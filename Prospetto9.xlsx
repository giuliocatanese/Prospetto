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xml.rels" ContentType="application/vnd.openxmlformats-package.relationships+xml"/>
  <Override PartName="/xl/worksheets/_rels/sheet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spetto A3" sheetId="1" state="visible" r:id="rId3"/>
    <sheet name="Dashboard" sheetId="2" state="visible" r:id="rId4"/>
    <sheet name="Stadio San Siro" sheetId="3" state="visible" r:id="rId5"/>
    <sheet name="Comune di Alghero" sheetId="4" state="visible" r:id="rId6"/>
    <sheet name="ARIA 2026 401" sheetId="5" state="visible" r:id="rId7"/>
    <sheet name="ARIA 2026 410" sheetId="6" state="visible" r:id="rId8"/>
    <sheet name="CONSIP ID 2849" sheetId="7" state="visible" r:id="rId9"/>
    <sheet name="ASP Pavia EPC" sheetId="8" state="visible" r:id="rId10"/>
    <sheet name="ASP Pavia Lavori" sheetId="9" state="visible" r:id="rId11"/>
    <sheet name="Consip SIE PAC ED 1" sheetId="10" state="visible" r:id="rId12"/>
    <sheet name="Azienda Zero" sheetId="11" state="visible" r:id="rId13"/>
    <sheet name="Sanità Lazio" sheetId="12" state="visible" r:id="rId14"/>
    <sheet name="DAP Carceri" sheetId="13" state="visible" r:id="rId15"/>
    <sheet name="Ricerca Gare" sheetId="14" state="visible" r:id="rId16"/>
    <sheet name="Link Bandi" sheetId="15" state="visible" r:id="rId17"/>
    <sheet name="Consip MIES 2950" sheetId="16" state="visible" r:id="rId18"/>
    <sheet name="Multiservizio Lazio Ed4" sheetId="17" state="visible" r:id="rId19"/>
  </sheets>
  <definedNames>
    <definedName function="false" hidden="false" localSheetId="4" name="_xlnm.Print_Area" vbProcedure="false">'ARIA 2026 401'!$A$1:$E$70</definedName>
    <definedName function="false" hidden="false" localSheetId="5" name="_xlnm.Print_Area" vbProcedure="false">'ARIA 2026 410'!$A$1:$E$71</definedName>
    <definedName function="false" hidden="false" localSheetId="6" name="_xlnm.Print_Area" vbProcedure="false">'CONSIP ID 2849'!$A$1:$F$63</definedName>
    <definedName function="false" hidden="false" localSheetId="14" name="_xlnm.Print_Area" vbProcedure="false">'Link Bandi'!$A$1:$F$35</definedName>
    <definedName function="false" hidden="false" localSheetId="0" name="_xlnm.Print_Area" vbProcedure="false">'Prospetto A3'!$A$1:$X$21</definedName>
    <definedName function="false" hidden="false" localSheetId="0" name="_xlnm.Print_Titles" vbProcedure="false">'Prospetto A3'!$1:$3</definedName>
    <definedName function="false" hidden="false" localSheetId="13" name="_xlnm.Print_Area" vbProcedure="false">'Ricerca Gare'!$A$1:$E$60</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B63" authorId="0">
      <text>
        <r>
          <rPr>
            <sz val="10"/>
            <rFont val="Arial"/>
            <family val="2"/>
          </rPr>
          <t xml:space="preserve">Teodoro Catanese:
Source: Consip - AQ Servizio Integrato Energia per le PAL (ID 2849), Determina a contrarre, https://www.consip.it/sites/default/files/bandi/documentazione_non_firmata/AQ%20SIE%20PAL%20-%20ID%202849%20-%20Determina%20a%20contrarre.pdf</t>
        </r>
      </text>
    </comment>
  </commentList>
</comments>
</file>

<file path=xl/sharedStrings.xml><?xml version="1.0" encoding="utf-8"?>
<sst xmlns="http://schemas.openxmlformats.org/spreadsheetml/2006/main" count="1620" uniqueCount="1205">
  <si>
    <t xml:space="preserve">PROSPETTO ATTIVITÀ COMMERCIALE PUBBLICO — aggiornato al 10 settembre 2026</t>
  </si>
  <si>
    <t xml:space="preserve">ENTE</t>
  </si>
  <si>
    <t xml:space="preserve">DESCRIZIONE</t>
  </si>
  <si>
    <t xml:space="preserve">IMPORTO (€)</t>
  </si>
  <si>
    <t xml:space="preserve">LOTTI</t>
  </si>
  <si>
    <t xml:space="preserve">SOPRALLUOGO</t>
  </si>
  <si>
    <t xml:space="preserve">SCADENZA</t>
  </si>
  <si>
    <t xml:space="preserve">APERTURA</t>
  </si>
  <si>
    <t xml:space="preserve">DURATA</t>
  </si>
  <si>
    <t xml:space="preserve">PROGETTISTA</t>
  </si>
  <si>
    <t xml:space="preserve">COSTO PROGETTO (€)</t>
  </si>
  <si>
    <t xml:space="preserve">ALTRI COSTI (fideiuss., ecc.)</t>
  </si>
  <si>
    <t xml:space="preserve">ATI</t>
  </si>
  <si>
    <t xml:space="preserve">NOTE</t>
  </si>
  <si>
    <t xml:space="preserve">LINK</t>
  </si>
  <si>
    <t xml:space="preserve">ESITO</t>
  </si>
  <si>
    <t xml:space="preserve">ID GARA</t>
  </si>
  <si>
    <t xml:space="preserve">CIG</t>
  </si>
  <si>
    <t xml:space="preserve">TOT</t>
  </si>
  <si>
    <t xml:space="preserve">PART</t>
  </si>
  <si>
    <t xml:space="preserve">AGG</t>
  </si>
  <si>
    <t xml:space="preserve">PAR.TI</t>
  </si>
  <si>
    <t xml:space="preserve">VALORE PART.TI</t>
  </si>
  <si>
    <t xml:space="preserve">TECNICO</t>
  </si>
  <si>
    <t xml:space="preserve">ECONOMICO</t>
  </si>
  <si>
    <t xml:space="preserve">CONVENZ.</t>
  </si>
  <si>
    <t xml:space="preserve">CONTRATTO</t>
  </si>
  <si>
    <t xml:space="preserve">PASSATE  (1 procedura)</t>
  </si>
  <si>
    <t xml:space="preserve">STADIO SAN SIRO</t>
  </si>
  <si>
    <t xml:space="preserve">CONCESSIONE</t>
  </si>
  <si>
    <t xml:space="preserve">Comune di Milano — Avviso pubblico 24/03/2025 (rogito firmato 05/11/2025)</t>
  </si>
  <si>
    <t xml:space="preserve">Comune Milano - Avviso San Siro</t>
  </si>
  <si>
    <t xml:space="preserve">Avviso pubblico DD 2213 del 24/03/2025 — Rogito Rep. notarile 77207/2025</t>
  </si>
  <si>
    <t xml:space="preserve">D.Lgs. 38/2021 art. 4 c.13 (Legge Stadi)</t>
  </si>
  <si>
    <t xml:space="preserve">IN VALUTAZIONE  (4 procedure)</t>
  </si>
  <si>
    <t xml:space="preserve">COMUNE DI ALGHERO</t>
  </si>
  <si>
    <t xml:space="preserve">PPP TERMICO E PUBBLICA ILLUM</t>
  </si>
  <si>
    <t xml:space="preserve">SI</t>
  </si>
  <si>
    <t xml:space="preserve">/</t>
  </si>
  <si>
    <t xml:space="preserve">20A</t>
  </si>
  <si>
    <t xml:space="preserve">INGEIA</t>
  </si>
  <si>
    <t xml:space="preserve">NON SOSTENUTI DA CS</t>
  </si>
  <si>
    <t xml:space="preserve">RENOVIT 55% - GETEC 45%</t>
  </si>
  <si>
    <t xml:space="preserve">20% SUBAPPALATO PASSANTE PER CS</t>
  </si>
  <si>
    <t xml:space="preserve">Portale appalti Alghero</t>
  </si>
  <si>
    <t xml:space="preserve">TBD — bando non ancora pubblicato su portale Maggioli (vedi anomalia QualEnergia 27/02/2026)</t>
  </si>
  <si>
    <t xml:space="preserve">—</t>
  </si>
  <si>
    <t xml:space="preserve">ARIA</t>
  </si>
  <si>
    <t xml:space="preserve">MANUTENZIONE IMP. ELETTRICI SANITA' PR. AP. ART 71</t>
  </si>
  <si>
    <t xml:space="preserve">3 4 6</t>
  </si>
  <si>
    <t xml:space="preserve">NO</t>
  </si>
  <si>
    <t xml:space="preserve">36M</t>
  </si>
  <si>
    <t xml:space="preserve">MENS</t>
  </si>
  <si>
    <t xml:space="preserve">DA QUANTIFICARE</t>
  </si>
  <si>
    <t xml:space="preserve">CONSORZIO INNOVA</t>
  </si>
  <si>
    <t xml:space="preserve">C.INNOVA INDICA 100% CS; COSTI PROGETTO COMPENSATI</t>
  </si>
  <si>
    <t xml:space="preserve">ARIA_2026_401 — Piattaforma Sintel — RUP Carmen Schweigl</t>
  </si>
  <si>
    <t xml:space="preserve">vedi all. Dettaglio Lotti (7 CIG, uno per lotto)</t>
  </si>
  <si>
    <t xml:space="preserve">MANUTEZIONE IMP.IDRICI PR. AP.ART71</t>
  </si>
  <si>
    <t xml:space="preserve">1 2</t>
  </si>
  <si>
    <t xml:space="preserve">COMPRENSO NEI 14,7K</t>
  </si>
  <si>
    <t xml:space="preserve">ARIA_2026_410 — Piattaforma Sintel — Bando GUUE 276431-2026</t>
  </si>
  <si>
    <t xml:space="preserve">vedi all. Dettaglio Lotti (6 CIG, uno per lotto)</t>
  </si>
  <si>
    <t xml:space="preserve">CONSIP</t>
  </si>
  <si>
    <t xml:space="preserve">AQ SERVIZIO INTEGRATO ENERGIA PAL</t>
  </si>
  <si>
    <t xml:space="preserve">2 3 6 7 8 9 10</t>
  </si>
  <si>
    <t xml:space="preserve">3/6 ANNI</t>
  </si>
  <si>
    <t xml:space="preserve">RENOVIT/ TEKAL/ CECCHINI/ CERTOSA10%</t>
  </si>
  <si>
    <t xml:space="preserve">Consip ID 2849 — AQ SIE PAL — Bando GUUE S 051 del 13/03/2026</t>
  </si>
  <si>
    <t xml:space="preserve">vedi Bando UE — 10 CIG, uno per lotto territoriale</t>
  </si>
  <si>
    <t xml:space="preserve">IN CORSO  (2 procedure)</t>
  </si>
  <si>
    <t xml:space="preserve">ASP PAVIA</t>
  </si>
  <si>
    <t xml:space="preserve">EPC</t>
  </si>
  <si>
    <t xml:space="preserve">DA QUANTFICARE</t>
  </si>
  <si>
    <t xml:space="preserve">45% CONS.INNOVA / 35% GETTEC / 20% SANTA TERESA</t>
  </si>
  <si>
    <t xml:space="preserve">CS NON SOSTIENE COSTO, RIBALTA SUBITO QUANTO RICEVUTO DA PROGTTISTA </t>
  </si>
  <si>
    <t xml:space="preserve">https://www.sintel.regione.lombardia.it/eprocdata/auctionDetail.xhtml?id=219510451</t>
  </si>
  <si>
    <t xml:space="preserve">Sintel ID 219510451 — ASP Pavia — Procedura aperta</t>
  </si>
  <si>
    <t xml:space="preserve">da Sintel (login SPID)</t>
  </si>
  <si>
    <t xml:space="preserve">LAVORI</t>
  </si>
  <si>
    <t xml:space="preserve">70% FERVO / 30% CS</t>
  </si>
  <si>
    <t xml:space="preserve">https://www.sintel.regione.lombardia.it/eprocdata/auctionDetail.xhtml?id=220127460</t>
  </si>
  <si>
    <t xml:space="preserve">Sintel ID 220127460 — ASP Pavia — Procedura aperta</t>
  </si>
  <si>
    <t xml:space="preserve">IN ELABORAZIONE  (2 procedure)</t>
  </si>
  <si>
    <t xml:space="preserve">CONSIP MIES - ID 2950</t>
  </si>
  <si>
    <t xml:space="preserve">AQ MULTISERVIZIO INTEGRATO ENERGIA SSN — ED. 2</t>
  </si>
  <si>
    <t xml:space="preserve">TBD</t>
  </si>
  <si>
    <t xml:space="preserve">da definire</t>
  </si>
  <si>
    <t xml:space="preserve">30/09/2026 h. 16:00</t>
  </si>
  <si>
    <t xml:space="preserve">02/10/2026 h. 15:00</t>
  </si>
  <si>
    <t xml:space="preserve">02/10/2026</t>
  </si>
  <si>
    <t xml:space="preserve">36 mesi (AQ) + 6/9 anni (contratti)</t>
  </si>
  <si>
    <t xml:space="preserve">Accordo Quadro</t>
  </si>
  <si>
    <t xml:space="preserve">ATI da definire</t>
  </si>
  <si>
    <t xml:space="preserve">🔴 BANDO PUBBLICATO 28/08/2026. Determina 25/08/2026. Chiarimenti entro 11/09/2026. Piattaforma Acquistinretepa (Consip). Vincolo max 2 lotti (L1-L4).</t>
  </si>
  <si>
    <t xml:space="preserve">Consip ID 2950 — Determina 25/08/2026 — Avviso preinformazione 28/05/2026 — RUP proget.: Ing. Simona Petetta — RUP procedim.: Dott. Claudio Antonini</t>
  </si>
  <si>
    <t xml:space="preserve">L1: BCC72E2B3A | L2: BCC72E3C0D | L3: BCC72E4CE0 | L4: BCC72E5DB3 | L5: BCC72E6E86</t>
  </si>
  <si>
    <t xml:space="preserve">REGIONE LAZIO — DIREZIONE CENTRALE ACQUISTI</t>
  </si>
  <si>
    <t xml:space="preserve">MULTISERVIZIO TECNOLOGICO AASS LAZIO — ED. 4 (EPC)</t>
  </si>
  <si>
    <t xml:space="preserve">TBD (max 1)</t>
  </si>
  <si>
    <t xml:space="preserve">OBBLIGATORIO (entro 30 gg da scadenza)</t>
  </si>
  <si>
    <t xml:space="preserve">29/10/2026 (indicativa — verificare S.Tel.LA)</t>
  </si>
  <si>
    <t xml:space="preserve">Convenzione 24 mesi + Ordinativi 108 mesi + proroga 6 mesi</t>
  </si>
  <si>
    <t xml:space="preserve">Convenzione + Ordinativi</t>
  </si>
  <si>
    <t xml:space="preserve">ATI GETEC 80% / CS 20% (da riconfermare per Ed. 4)</t>
  </si>
  <si>
    <t xml:space="preserve">🔴 BANDO PUBBLICATO 12/06/2026. 10 lotti, MAX 1 lotto per operatore. Tecnica 70/Economica 30. RUP: Ing. Alessio Primavera. Sopralluogo obbligatorio. Base gara 1.601 mld €.</t>
  </si>
  <si>
    <t xml:space="preserve">Regione Lazio — Multiservizio AASS Ed. 4 — Disciplinare 12/06/2026 — Piattaforma S.Tel.LA — RUP Ing. Alessio Primavera (aprimavera@regione.lazio.it)</t>
  </si>
  <si>
    <t xml:space="preserve">CIG per singolo lotto — non pubblicati nel disciplinare schema (leggere su S.Tel.LA)</t>
  </si>
  <si>
    <t xml:space="preserve">FUTURE  (3 procedure)</t>
  </si>
  <si>
    <t xml:space="preserve">https://www.sintel.regione.lombardia.it/eprocdata/sintelSearch.xhtml</t>
  </si>
  <si>
    <t xml:space="preserve">SIE PAC ED. 1</t>
  </si>
  <si>
    <t xml:space="preserve">ND</t>
  </si>
  <si>
    <t xml:space="preserve">https://www.conferenzastatocitta.gov.it/home/notizie-e-comunicati/2026/servizio-integrato-energia-gara-consip-per-le-amministrazioni-locali/</t>
  </si>
  <si>
    <t xml:space="preserve">Consip SIE PAC ed. 1 — Consultazione di mercato (questionario chiuso 19/01/2025)</t>
  </si>
  <si>
    <t xml:space="preserve">CIG attesi al bando</t>
  </si>
  <si>
    <t xml:space="preserve">AZIENDA ZERO</t>
  </si>
  <si>
    <t xml:space="preserve">SERVIZIO ENERGIA / EPC</t>
  </si>
  <si>
    <t xml:space="preserve">3+2</t>
  </si>
  <si>
    <t xml:space="preserve">GETEC 80% - CS 20%</t>
  </si>
  <si>
    <t xml:space="preserve">Info future</t>
  </si>
  <si>
    <t xml:space="preserve">Numero gara 9436015 — Sintel ID 176837685 — Codice 2023.026 — Delibera DG 730/2023</t>
  </si>
  <si>
    <t xml:space="preserve">CIG Lotto 6: A02D9A71A2 (vedi sentenza TAR Veneto 2498/2025 RG 1834/2025)</t>
  </si>
  <si>
    <t xml:space="preserve">DAP</t>
  </si>
  <si>
    <t xml:space="preserve">PPP CARCERI</t>
  </si>
  <si>
    <t xml:space="preserve">15/20 ANNI</t>
  </si>
  <si>
    <t xml:space="preserve">GETEC - CS oppure RENOVIT-DEVI-CS</t>
  </si>
  <si>
    <t xml:space="preserve">Ministero Giustizia/DAP — Manifestazione di interesse PPP Energia (scad. 31/12/2024)</t>
  </si>
  <si>
    <t xml:space="preserve">DAP - Avviso PPP Energia</t>
  </si>
  <si>
    <t xml:space="preserve">Avviso DAP 20/08/2024 (SBG1416417) — Linee guida DAP-Demanio 30/03/2025 pubblicate 03/04/2026 (SBG1498554)</t>
  </si>
  <si>
    <t xml:space="preserve">https://www.giustizia.it/giustizia/page/it/scheda_di_sintesi_gare_o_contratti?contentId=SBG1416417</t>
  </si>
  <si>
    <t xml:space="preserve">DASHBOARD PROSPETTO ATTIVITÀ COMMERCIALE</t>
  </si>
  <si>
    <t xml:space="preserve">TOTALI PER STATO</t>
  </si>
  <si>
    <t xml:space="preserve">Stato</t>
  </si>
  <si>
    <t xml:space="preserve">N° procedure</t>
  </si>
  <si>
    <t xml:space="preserve">Importo totale (€)</t>
  </si>
  <si>
    <t xml:space="preserve">Importo CS partecipato (€)</t>
  </si>
  <si>
    <t xml:space="preserve">% CS su totale</t>
  </si>
  <si>
    <t xml:space="preserve">PASSATE</t>
  </si>
  <si>
    <t xml:space="preserve">IN VALUTAZIONE</t>
  </si>
  <si>
    <t xml:space="preserve">IN CORSO</t>
  </si>
  <si>
    <t xml:space="preserve">🔴</t>
  </si>
  <si>
    <t xml:space="preserve">IN ELABORAZIONE</t>
  </si>
  <si>
    <t xml:space="preserve">FUTURE</t>
  </si>
  <si>
    <t xml:space="preserve">TOTALE</t>
  </si>
  <si>
    <t xml:space="preserve">PROSSIME SCADENZE (offerte)</t>
  </si>
  <si>
    <t xml:space="preserve">Ente</t>
  </si>
  <si>
    <t xml:space="preserve">Descrizione</t>
  </si>
  <si>
    <t xml:space="preserve">Scadenza</t>
  </si>
  <si>
    <t xml:space="preserve">Giorni residui</t>
  </si>
  <si>
    <t xml:space="preserve">BREAKDOWN PER ENTE COMMITTENTE</t>
  </si>
  <si>
    <t xml:space="preserve">N° gare</t>
  </si>
  <si>
    <t xml:space="preserve">REGIONE LAZIO</t>
  </si>
  <si>
    <t xml:space="preserve">KPI RAPIDI</t>
  </si>
  <si>
    <t xml:space="preserve">Gare urgenti (scadenza ≤ 7gg)</t>
  </si>
  <si>
    <t xml:space="preserve">Gare con scadenza in attenzione (8-30gg)</t>
  </si>
  <si>
    <t xml:space="preserve">Gare con scadenza tranquilla (&gt;30gg)</t>
  </si>
  <si>
    <t xml:space="preserve">Gare già scadute</t>
  </si>
  <si>
    <t xml:space="preserve">Importo totale partecipato (€)</t>
  </si>
  <si>
    <t xml:space="preserve">Numero totale gare attive (no PASSATE)</t>
  </si>
  <si>
    <t xml:space="preserve">ESPOSIZIONE PER PARTNER ATI</t>
  </si>
  <si>
    <t xml:space="preserve">Vista sinottica per CFO/Direzione — concentrazione del rischio di portafoglio per partner ATI</t>
  </si>
  <si>
    <t xml:space="preserve">Partner</t>
  </si>
  <si>
    <t xml:space="preserve">Importo gare con valore (€)</t>
  </si>
  <si>
    <t xml:space="preserve">Quota partner stimata (€)</t>
  </si>
  <si>
    <t xml:space="preserve">Note</t>
  </si>
  <si>
    <t xml:space="preserve">Certosa Servizi (CS)</t>
  </si>
  <si>
    <t xml:space="preserve">Su 13 gare potenzialmente attive (escluso S.Siro). 6 con quota definita: Alghero 20%, ARIA Elettrici 100% via Innova, ARIA Idrici 100% via Innova, CONSIP SIE PAL 10%, ASP Pavia Lavori 30%. 7 con quota TBD/ND (ASP Pavia EPC via Innova, MIES 2950, Multiservizio Lazio Ed4, Az.Zero, Sanità Lazio programm., DAP, SIE PAC).</t>
  </si>
  <si>
    <t xml:space="preserve">Consorzio Innova</t>
  </si>
  <si>
    <t xml:space="preserve">Mandataria in ARIA Elettrici (9.756.650 €) e ARIA Idrici (4.981.384 €) con CS 100% di facto. Partner 45% in ASP Pavia EPC (9.749.335 €). In ARIA c'è compensazione costi progettazione.</t>
  </si>
  <si>
    <t xml:space="preserve">GETEC</t>
  </si>
  <si>
    <t xml:space="preserve">5 gare: Alghero 45% (15.225.750 €), ASP Pavia EPC 35% (7.582.816 €), Az.Zero 80% (TBD), Multiservizio Lazio Ed4 80% ipotesi (TBD - bando pubblicato), DAP opz A (TBD). Stimato su 2 gare con valore certo.</t>
  </si>
  <si>
    <t xml:space="preserve">RENOVIT</t>
  </si>
  <si>
    <t xml:space="preserve">Alghero 55% (18.609.250 €). Pool CONSIP SIE PAL (1,03 mld €): quote interne 90% non note. DAP opz B (TBD). Esposizione potenziale elevata su SIE PAL.</t>
  </si>
  <si>
    <t xml:space="preserve">Tekal</t>
  </si>
  <si>
    <t xml:space="preserve">Solo pool CONSIP SIE PAL. Quote interne tra Renovit/Tekal/Cecchini non dichiarate; resta 90% al netto della quota CS (10%).</t>
  </si>
  <si>
    <t xml:space="preserve">Cecchini</t>
  </si>
  <si>
    <t xml:space="preserve">Solo pool CONSIP SIE PAL. Stessa nota di Tekal.</t>
  </si>
  <si>
    <t xml:space="preserve">Santa Teresa</t>
  </si>
  <si>
    <t xml:space="preserve">Solo ASP Pavia EPC, quota 20%.</t>
  </si>
  <si>
    <t xml:space="preserve">FERVO</t>
  </si>
  <si>
    <t xml:space="preserve">Solo ASP Pavia Lavori, mandataria 70%. Esposizione bassa in valore assoluto.</t>
  </si>
  <si>
    <t xml:space="preserve">DEVI</t>
  </si>
  <si>
    <t xml:space="preserve">Solo DAP opzione B (RENOVIT-DEVI-CS). Importo gara ND, quota TBD.</t>
  </si>
  <si>
    <t xml:space="preserve">Progettisti (NON soci ATI)</t>
  </si>
  <si>
    <t xml:space="preserve">4 gare (ARIA Elettrici, ARIA Idrici, ASP Pavia EPC 35.500 €, ASP Pavia Lavori). Compensato direttamente, non incide su quota CS</t>
  </si>
  <si>
    <t xml:space="preserve">2 gare (Comune Alghero 14.750 €, CONSIP SIE PAL 226.070 €). Costi non sostenuti da CS</t>
  </si>
  <si>
    <t xml:space="preserve">Note metodologiche:</t>
  </si>
  <si>
    <t xml:space="preserve">• Le quote partner sono dichiarate nel prospetto (col. S). "TBD" = gare future con ATI non ancora definita</t>
  </si>
  <si>
    <t xml:space="preserve">• Gare escluse dal calcolo "Importo gare con valore" e "Quota stimata": (a) importo ND: Az. Zero, DAP, SIE PAC; (b) ATI da definire: MIES 2950, Multiservizio Lazio Ed4 — sono contate nel conteggio gare</t>
  </si>
  <si>
    <t xml:space="preserve">• Per CONSIP SIE PAL: l'importo 1.032.130.000 € è la quota partecipata (7 lotti su 10), non l'importo totale gara (2.015.086.959 €)</t>
  </si>
  <si>
    <t xml:space="preserve">• In ARIA Elettrici e ARIA Idrici, il Consorzio Innova "indica 100% CS" con compensazione costi progettazione: CS è di fatto unico esecutore tramite il consorzio</t>
  </si>
  <si>
    <t xml:space="preserve">• In ASP Pavia EPC, CS opera come consorziato esecutore tramite Consorzio Innova (quota dichiarata Innova 45%): quota CS specifica non dichiarata nell'ATI</t>
  </si>
  <si>
    <t xml:space="preserve">• DAP Carceri ha 2 opzioni ATI alternative: A) GETEC+CS oppure B) RENOVIT+DEVI+CS. Entrambe sono contate ma le quote sono TBD</t>
  </si>
  <si>
    <t xml:space="preserve">🔴 GARE IN ELABORAZIONE (bandi pubblicati sett. 2026, ATI da definire):</t>
  </si>
  <si>
    <t xml:space="preserve">• MIES 2950 (CONSIP): importo globale 3.289.440.000 €, 5 lotti geografici (Piemonte×2, Bolzano+Veneto1, Veneto2, Campania). Vincolo MAX 2 lotti L1-L4. Ipotesi ATI: se partecipazione con quota CS 10% → esposizione potenziale CS ~329 M€ (globale) o ~250 M€ (base gara).</t>
  </si>
  <si>
    <t xml:space="preserve">• Multiservizio Lazio Ed4 (Regione Lazio): importo globale 2.010.788.785 €, 10 lotti (Roma+province Lazio). MAX 1 lotto per operatore. Ipotesi ATI: se riconferma GETEC 80% + CS 20% → esposizione potenziale GETEC ~1.608 M€ + CS ~402 M€ (globale). Su lotto singolo tipico L1-L4 (~250 M€ globale) esposizione CS ~50 M€.</t>
  </si>
  <si>
    <t xml:space="preserve">• Per una vista precisa aggiornata, quando l'ATI viene definita, aggiornare la tabella Esposizione Partner con importi effettivi.</t>
  </si>
  <si>
    <t xml:space="preserve">STADIO SAN SIRO — GFU "GRANDE FUNZIONE URBANA"</t>
  </si>
  <si>
    <t xml:space="preserve">Procedura ex art. 4 c.13 D.Lgs. 38/2021 ("Legge Stadi") — Compendio immobiliare comprensivo dello Stadio "Giuseppe Meazza"</t>
  </si>
  <si>
    <t xml:space="preserve">IDENTIFICAZIONE</t>
  </si>
  <si>
    <t xml:space="preserve">Stazione appaltante</t>
  </si>
  <si>
    <t xml:space="preserve">Comune di Milano</t>
  </si>
  <si>
    <t xml:space="preserve">Tipo procedura</t>
  </si>
  <si>
    <t xml:space="preserve">Avviso pubblico ex art. 4 c.13 D.Lgs. 38/2021 — Legge Stadi</t>
  </si>
  <si>
    <t xml:space="preserve">Acquirenti finali</t>
  </si>
  <si>
    <t xml:space="preserve">F.C. Internazionale Milano S.p.A. + A.C. Milan S.p.A.</t>
  </si>
  <si>
    <t xml:space="preserve">Veicolo societario</t>
  </si>
  <si>
    <t xml:space="preserve">Stadio San Siro S.p.A.</t>
  </si>
  <si>
    <t xml:space="preserve">CONCLUSA — Rogito firmato 05/11/2025</t>
  </si>
  <si>
    <t xml:space="preserve">Oggetto</t>
  </si>
  <si>
    <t xml:space="preserve">Vendita del compendio immobiliare "Ambito GFU San Siro" comprensivo dello Stadio Meazza</t>
  </si>
  <si>
    <t xml:space="preserve">Superficie totale</t>
  </si>
  <si>
    <t xml:space="preserve">Circa 280.000 m² (stadio ~70.000 m² + aree edificabili limitrofe ~211.000 m²)</t>
  </si>
  <si>
    <t xml:space="preserve">Indice di edificabilità</t>
  </si>
  <si>
    <t xml:space="preserve">0,35 mq/mq — Diritti edificatori: 98.321 mq SL</t>
  </si>
  <si>
    <t xml:space="preserve">VALORI ECONOMICI</t>
  </si>
  <si>
    <t xml:space="preserve">Prezzo di vendita</t>
  </si>
  <si>
    <t xml:space="preserve">Stima Agenzia delle Entrate</t>
  </si>
  <si>
    <t xml:space="preserve">Prima rata al rogito</t>
  </si>
  <si>
    <t xml:space="preserve">Quota rateizzata con fideiussioni</t>
  </si>
  <si>
    <t xml:space="preserve">Investimento complessivo Inter+Milan</t>
  </si>
  <si>
    <t xml:space="preserve">  - Nuovo stadio</t>
  </si>
  <si>
    <t xml:space="preserve">  - Comparto plurivalente</t>
  </si>
  <si>
    <t xml:space="preserve">Quota Comune Milano (bonifiche, Patroclo)</t>
  </si>
  <si>
    <t xml:space="preserve">Contributo sostenibilità ambientale</t>
  </si>
  <si>
    <t xml:space="preserve">CRONOLOGIA</t>
  </si>
  <si>
    <t xml:space="preserve">11/03/2025</t>
  </si>
  <si>
    <t xml:space="preserve">Proposta congiunta Inter + Milan ex art. 4 c.13 D.Lgs. 38/2021</t>
  </si>
  <si>
    <t xml:space="preserve">18/03/2025</t>
  </si>
  <si>
    <t xml:space="preserve">DGC linee di indirizzo</t>
  </si>
  <si>
    <t xml:space="preserve">24/03/2025</t>
  </si>
  <si>
    <t xml:space="preserve">Avviso pubblico raccolta manifestazioni interesse (Det. Dir. n. 2213)</t>
  </si>
  <si>
    <t xml:space="preserve">15/04/2025</t>
  </si>
  <si>
    <t xml:space="preserve">Prima Conferenza dei Servizi preliminare</t>
  </si>
  <si>
    <t xml:space="preserve">30/04/2025</t>
  </si>
  <si>
    <t xml:space="preserve">Chiusura avviso — nessuna proposta migliorativa pervenuta</t>
  </si>
  <si>
    <t xml:space="preserve">17/09/2025</t>
  </si>
  <si>
    <t xml:space="preserve">Giunta favorevole agli elementi essenziali</t>
  </si>
  <si>
    <t xml:space="preserve">29/09/2025</t>
  </si>
  <si>
    <t xml:space="preserve">Delibera Consiglio Comunale (24 favorevoli / 20 contrari / 0 astenuti)</t>
  </si>
  <si>
    <t xml:space="preserve">24/10/2025</t>
  </si>
  <si>
    <t xml:space="preserve">DG n. 1321 approvazione schema Convenzione Quadro</t>
  </si>
  <si>
    <t xml:space="preserve">05/11/2025</t>
  </si>
  <si>
    <t xml:space="preserve">Firma rogito (Rep. n. 77207, Racc. n. 16709) e Convenzione Quadro</t>
  </si>
  <si>
    <t xml:space="preserve">31/03/2026</t>
  </si>
  <si>
    <t xml:space="preserve">Perquisizione GdF — indagine Procura Milano per turbativa d'asta</t>
  </si>
  <si>
    <t xml:space="preserve">STRALCI FUNZIONALI (Convenzione Quadro)</t>
  </si>
  <si>
    <t xml:space="preserve">Stralcio 1 — Stadio</t>
  </si>
  <si>
    <t xml:space="preserve">Nuovo impianto 70.000-71.500 spettatori + volumi chiusi funzionali</t>
  </si>
  <si>
    <t xml:space="preserve">Stralcio 2 — Plurivalente</t>
  </si>
  <si>
    <t xml:space="preserve">Restanti funzioni urbane + rifunzionalizzazione porzione Meazza conservata</t>
  </si>
  <si>
    <t xml:space="preserve">Verde pubblico</t>
  </si>
  <si>
    <t xml:space="preserve">≥50% della superficie GFU + 80.000 mq di verde profondo</t>
  </si>
  <si>
    <t xml:space="preserve">Demolizione</t>
  </si>
  <si>
    <t xml:space="preserve">Demolizione ~91% del Meazza esistente; conservata porzione secondo anello (vincolo Soprintendenza dal 10/11/2025)</t>
  </si>
  <si>
    <t xml:space="preserve">SOGGETTI E FORNITORI</t>
  </si>
  <si>
    <t xml:space="preserve">Progettazione</t>
  </si>
  <si>
    <t xml:space="preserve">Foster + Partners (Lord Norman Foster) + MANICA (David Manica)</t>
  </si>
  <si>
    <t xml:space="preserve">Coordinatori finanziamento</t>
  </si>
  <si>
    <t xml:space="preserve">Goldman Sachs + JP Morgan</t>
  </si>
  <si>
    <t xml:space="preserve">Banche partner</t>
  </si>
  <si>
    <t xml:space="preserve">Banco BPM + BPER Banca</t>
  </si>
  <si>
    <t xml:space="preserve">Proprietà club</t>
  </si>
  <si>
    <t xml:space="preserve">RedBird (Milan) + fondi gestiti da Oaktree (Inter)</t>
  </si>
  <si>
    <t xml:space="preserve">Consulenza legale Comune</t>
  </si>
  <si>
    <t xml:space="preserve">Prof. Avv. Alberto Toffoletto</t>
  </si>
  <si>
    <t xml:space="preserve">Consulenza tecnico-economica</t>
  </si>
  <si>
    <t xml:space="preserve">Professori del Politecnico di Milano e Università Bocconi</t>
  </si>
  <si>
    <t xml:space="preserve">CLAUSOLE PARTICOLARI</t>
  </si>
  <si>
    <t xml:space="preserve">Earn-out</t>
  </si>
  <si>
    <t xml:space="preserve">Quota plusvalenza al Comune in caso di rivendita entro 5 anni</t>
  </si>
  <si>
    <t xml:space="preserve">Prelazione Comune</t>
  </si>
  <si>
    <t xml:space="preserve">Diritto di prelazione su rivendite a prezzo pari o inferiore</t>
  </si>
  <si>
    <t xml:space="preserve">White list</t>
  </si>
  <si>
    <t xml:space="preserve">Obbligo white list imprese coinvolte nei lavori</t>
  </si>
  <si>
    <t xml:space="preserve">Bonifiche</t>
  </si>
  <si>
    <t xml:space="preserve">Max 5 M€ per bonifiche Parco dei Capitani</t>
  </si>
  <si>
    <t xml:space="preserve">Operativo nuovo stadio</t>
  </si>
  <si>
    <t xml:space="preserve">2031 (capienza 71.500 posti)</t>
  </si>
  <si>
    <t xml:space="preserve">PARTECIPAZIONE CERTOSA SERVIZI</t>
  </si>
  <si>
    <t xml:space="preserve">Ruolo</t>
  </si>
  <si>
    <t xml:space="preserve">Nessuno — gara non partecipabile (vendita immobiliare diretta tra Comune e Club)</t>
  </si>
  <si>
    <t xml:space="preserve">LINK UFFICIALI</t>
  </si>
  <si>
    <t xml:space="preserve">Annuncio Comune (24/03/2025)</t>
  </si>
  <si>
    <t xml:space="preserve">https://www.comune.milano.it/-/palazzo-marino.-stadio-pubblicato-l-avviso-per-la-raccorla-di-eventuali-proposte-migliorative</t>
  </si>
  <si>
    <t xml:space="preserve">Annuncio Giunta (17/09/2025)</t>
  </si>
  <si>
    <t xml:space="preserve">https://www.comune.milano.it/-/stadio.-giunta-favorevole-agli-elementi-essenziali-per-la-vendita-del-compendio-immobiliare-san-siro-comprensivo-dell-impianto-giuseppe-meazza-</t>
  </si>
  <si>
    <t xml:space="preserve">DD 2202/2026 (VAS)</t>
  </si>
  <si>
    <t xml:space="preserve">https://www2.comune.milano.it/documents/20126/516289114/Determinazione+Dirigenziale+n.+2202+del+23+marzo+2026.pdf</t>
  </si>
  <si>
    <t xml:space="preserve">Avviso pubblico (DD 2213)</t>
  </si>
  <si>
    <t xml:space="preserve">https://servizi.comune.milano.it/</t>
  </si>
  <si>
    <t xml:space="preserve">FONTE</t>
  </si>
  <si>
    <t xml:space="preserve">Documenti</t>
  </si>
  <si>
    <t xml:space="preserve">Comunicati Comune di Milano (24/03/2025, 17/09/2025); ANSA, Sole 24 ORE, ilpost (05/11/2025); ImgPress (perizia 197.075.590 €); Determinazione Dirigenziale n. 2202 del 23/03/2026.</t>
  </si>
  <si>
    <t xml:space="preserve">INCHIESTA PROCURA MILANO (aggiornata 24/04/2026)</t>
  </si>
  <si>
    <t xml:space="preserve">Data perquisizioni</t>
  </si>
  <si>
    <t xml:space="preserve">31/03/2026 — Nucleo PEF GdF Milano</t>
  </si>
  <si>
    <t xml:space="preserve">Decreto GIP</t>
  </si>
  <si>
    <t xml:space="preserve">Roberto Crepaldi</t>
  </si>
  <si>
    <t xml:space="preserve">Pubblici Ministeri</t>
  </si>
  <si>
    <t xml:space="preserve">Giovanna Cavalleri, Paolo Filippini, Giovanni Polizzi</t>
  </si>
  <si>
    <t xml:space="preserve">Ipotesi di reato</t>
  </si>
  <si>
    <t xml:space="preserve">Turbativa d'asta (art. 353-bis cp) + Rivelazione segreto d'ufficio (art. 326 cp)</t>
  </si>
  <si>
    <t xml:space="preserve">Numero indagati</t>
  </si>
  <si>
    <t xml:space="preserve">9 persone fisiche + 1 soggetto terzo non indagato + sede M-I Stadio S.r.l.</t>
  </si>
  <si>
    <t xml:space="preserve">INDAGATI (fonte: Corriere, Sole 24 ORE, ANSA, ilpost — 31/03/2026)</t>
  </si>
  <si>
    <t xml:space="preserve">Giancarlo Tancredi</t>
  </si>
  <si>
    <t xml:space="preserve">Ex assessore Rigenerazione Urbana Comune Milano (ex RUP)</t>
  </si>
  <si>
    <t xml:space="preserve">Christian Malangone</t>
  </si>
  <si>
    <t xml:space="preserve">Direttore Generale Comune Milano</t>
  </si>
  <si>
    <t xml:space="preserve">Ada Lucia De Cesaris</t>
  </si>
  <si>
    <t xml:space="preserve">Ex assessore Comune Milano, avvocata consulente Inter</t>
  </si>
  <si>
    <t xml:space="preserve">Simona Collarini</t>
  </si>
  <si>
    <t xml:space="preserve">Ex responsabile settore Rigenerazione urbana, RUP procedura stadio</t>
  </si>
  <si>
    <t xml:space="preserve">Fabrizio Grena</t>
  </si>
  <si>
    <t xml:space="preserve">Consulente F.C. Internazionale</t>
  </si>
  <si>
    <t xml:space="preserve">Marta Spaini</t>
  </si>
  <si>
    <t xml:space="preserve">Consulente A.C. Milan</t>
  </si>
  <si>
    <t xml:space="preserve">Giuseppe Bonomi</t>
  </si>
  <si>
    <t xml:space="preserve">Presidente Sport Life City S.r.l. (controllata Milan)</t>
  </si>
  <si>
    <t xml:space="preserve">Mark Van Huukslot</t>
  </si>
  <si>
    <t xml:space="preserve">Procuratore F.C. Internazionale</t>
  </si>
  <si>
    <t xml:space="preserve">Alessandro Antonello</t>
  </si>
  <si>
    <t xml:space="preserve">Ex AD corporate F.C. Internazionale</t>
  </si>
  <si>
    <t xml:space="preserve">SVILUPPI SUCCESSIVI</t>
  </si>
  <si>
    <t xml:space="preserve">24/04/2026</t>
  </si>
  <si>
    <t xml:space="preserve">Corriere della Sera (Luigi Ferrarella): emerge informativa GdF che la perizia degli esperti Giacomo Morri (Bocconi) e Alessandra Oppio (Politecnico) sarebbe stata modificata in 3 passaggi (flussi di cassa, obsolescenza fisica, tasso di attualizzazione) per farla coincidere con la valutazione precedente dell'Agenzia delle Entrate (197 M€ totali, di cui 73 M€ per il solo stadio). Bozza datata circa 10 giorni prima del deposito finale del 18/06/2025.</t>
  </si>
  <si>
    <t xml:space="preserve">Esposti</t>
  </si>
  <si>
    <t xml:space="preserve">Indagine partita da esposti in Procura di Luigi Corbani (ex vicesindaco) e Claudio Trotta (promoter, comitato Sì Meazza)</t>
  </si>
  <si>
    <t xml:space="preserve">Posizione Comune</t>
  </si>
  <si>
    <t xml:space="preserve">Sindaco Sala: "Le procedure di partenariato pubblico privato richiedono interlocuzioni preliminari con i club; sono fisiologiche". Indagine ancora in corso.</t>
  </si>
  <si>
    <t xml:space="preserve">COMUNE DI ALGHERO — PPP TERMICO E PUBBLICA ILLUMINAZIONE</t>
  </si>
  <si>
    <t xml:space="preserve">Concessione in Partenariato Pubblico-Privato — Servizio Energia + Illuminazione Pubblica</t>
  </si>
  <si>
    <t xml:space="preserve">Comune di Alghero (SS)</t>
  </si>
  <si>
    <t xml:space="preserve">NON ANCORA PUBBLICATO — In attesa di bando</t>
  </si>
  <si>
    <t xml:space="preserve">PPP termico + pubblica illuminazione</t>
  </si>
  <si>
    <t xml:space="preserve">Partenariato Pubblico Privato (art. 174 e ss D.Lgs. 36/2023)</t>
  </si>
  <si>
    <t xml:space="preserve">VALORI ECONOMICI E DURATA</t>
  </si>
  <si>
    <t xml:space="preserve">Valore stimato</t>
  </si>
  <si>
    <t xml:space="preserve">Durata</t>
  </si>
  <si>
    <t xml:space="preserve">20 anni</t>
  </si>
  <si>
    <t xml:space="preserve">STRUTTURA LOTTI E SOPRALLUOGO</t>
  </si>
  <si>
    <t xml:space="preserve">Lotti</t>
  </si>
  <si>
    <t xml:space="preserve">Sopralluogo</t>
  </si>
  <si>
    <t xml:space="preserve">Sì (data prevista 24/04/2026)</t>
  </si>
  <si>
    <t xml:space="preserve">ATI PREVISTA — PARTECIPAZIONE CERTOSA</t>
  </si>
  <si>
    <t xml:space="preserve">Mandataria</t>
  </si>
  <si>
    <t xml:space="preserve">RENOVIT (55%)</t>
  </si>
  <si>
    <t xml:space="preserve">Mandante</t>
  </si>
  <si>
    <t xml:space="preserve">GETEC (45%)</t>
  </si>
  <si>
    <t xml:space="preserve">Quota CS</t>
  </si>
  <si>
    <t xml:space="preserve">20% subappaltato passante per Certosa Servizi</t>
  </si>
  <si>
    <t xml:space="preserve">Progettista</t>
  </si>
  <si>
    <t xml:space="preserve">INGEIA — Costi progetto non sostenuti da CS</t>
  </si>
  <si>
    <t xml:space="preserve">NOTE OPERATIVE</t>
  </si>
  <si>
    <t xml:space="preserve">Nessuna procedura PPP termico/illuminazione attualmente aperta sul portale del Comune. Quando il bando sarà pubblicato sul portale appalti, caricare il PDF nella cartella F:\Appalti\Comune di Alghero\ per costruire il foglio di dettaglio completo.</t>
  </si>
  <si>
    <t xml:space="preserve">Portale appalti Alghero (Maggioli Cloud)</t>
  </si>
  <si>
    <t xml:space="preserve">https://alghero.maggiolicloud.it/portaleappalti/it/homepage.wp</t>
  </si>
  <si>
    <t xml:space="preserve">AZIONE</t>
  </si>
  <si>
    <t xml:space="preserve">Monitoraggio</t>
  </si>
  <si>
    <t xml:space="preserve">Registrarsi al portale Maggioli e attivare alert con parole chiave: "PPP", "illuminazione", "servizio energia"</t>
  </si>
  <si>
    <t xml:space="preserve">⚠️ DISCREPANZA DA VERIFICARE (segnalata 19/06/2026)</t>
  </si>
  <si>
    <t xml:space="preserve">Fonte segnalazione</t>
  </si>
  <si>
    <t xml:space="preserve">QualEnergia.it PRO (testata energia/efficientamento)</t>
  </si>
  <si>
    <t xml:space="preserve">Contenuto avviso</t>
  </si>
  <si>
    <t xml:space="preserve">"Avviso pubblico per la presentazione di proposte di P.P.P. per la riqualificazione e gestione energetica di immobili di proprietà della pubblica amministrazione del comune di Alghero (SS)"</t>
  </si>
  <si>
    <t xml:space="preserve">Importo dichiarato</t>
  </si>
  <si>
    <t xml:space="preserve">n.d. (non disponibile sul portale)</t>
  </si>
  <si>
    <t xml:space="preserve">Scadenza segnalata</t>
  </si>
  <si>
    <t xml:space="preserve">27/02/2026</t>
  </si>
  <si>
    <t xml:space="preserve">Scadenza nel prospetto</t>
  </si>
  <si>
    <t xml:space="preserve">Ipotesi 1</t>
  </si>
  <si>
    <t xml:space="preserve">Bando pre-pubblicato e poi ritirato (è già passata la scadenza 27/02)</t>
  </si>
  <si>
    <t xml:space="preserve">Ipotesi 2</t>
  </si>
  <si>
    <t xml:space="preserve">Si tratta di una procedura diversa dal PPP termico+illuminazione tracciato</t>
  </si>
  <si>
    <t xml:space="preserve">Ipotesi 3</t>
  </si>
  <si>
    <t xml:space="preserve">La scadenza nel prospetto è da aggiornare</t>
  </si>
  <si>
    <t xml:space="preserve">Link verifica</t>
  </si>
  <si>
    <t xml:space="preserve">https://www.qualenergia.it/pro/documenti/riqualificazione-energetica-immobili-di-proprieta-comune-di-alghero-ss/</t>
  </si>
  <si>
    <t xml:space="preserve">Azione</t>
  </si>
  <si>
    <t xml:space="preserve">Verificare con uffici Certosa Servizi quale dei due dati è corretto; controllare albo pretorio Alghero per qualsiasi procedura con scadenza 27/02/2026</t>
  </si>
  <si>
    <t xml:space="preserve">ARIA — MANUTENZIONE IMPIANTI ELETTRICI (ARIA_2026_401)</t>
  </si>
  <si>
    <t xml:space="preserve">Sintesi del Bando UE e del Disciplinare di gara — procedura aperta art. 71 D.Lgs. 36/2023</t>
  </si>
  <si>
    <t xml:space="preserve">Codice procedura</t>
  </si>
  <si>
    <t xml:space="preserve">ARIA_2026_401</t>
  </si>
  <si>
    <t xml:space="preserve">ARIA S.p.A. — Azienda Regionale per l'Innovazione e gli Acquisti (Regione Lombardia)</t>
  </si>
  <si>
    <t xml:space="preserve">Servizio di manutenzione degli impianti elettrici in favore degli Enti del SIREG</t>
  </si>
  <si>
    <t xml:space="preserve">Beneficiari</t>
  </si>
  <si>
    <t xml:space="preserve">Enti del SIREG: Province, Fondazione IRCCS Policlinico, IZSLER, ARIA S.p.A. sede Catania</t>
  </si>
  <si>
    <t xml:space="preserve">CPV principale</t>
  </si>
  <si>
    <t xml:space="preserve">50711000 — Servizi di riparazione e manutenzione di impianti elettrici di edifici</t>
  </si>
  <si>
    <t xml:space="preserve">Pubblicazione UE</t>
  </si>
  <si>
    <t xml:space="preserve">GU UE S 72/2026 del 14/04/2026 — avviso n. 254042-2026</t>
  </si>
  <si>
    <t xml:space="preserve">Identificativo UE</t>
  </si>
  <si>
    <t xml:space="preserve">7ce359f9-5275-4912-bb73-25dfee2a4c03</t>
  </si>
  <si>
    <t xml:space="preserve">CCNL applicato</t>
  </si>
  <si>
    <t xml:space="preserve">Metalmeccanico — installazione impianti</t>
  </si>
  <si>
    <t xml:space="preserve">PROCEDURA, IMPORTI E DURATA</t>
  </si>
  <si>
    <t xml:space="preserve">Tipologia procedura</t>
  </si>
  <si>
    <t xml:space="preserve">Procedura aperta art. 71 D.Lgs. 36/2023 — inversione procedimentale (art. 107 c.3)</t>
  </si>
  <si>
    <t xml:space="preserve">Criterio di aggiudicazione</t>
  </si>
  <si>
    <t xml:space="preserve">Offerta economicamente più vantaggiosa (OEPV) — PT 70 / PE 30</t>
  </si>
  <si>
    <t xml:space="preserve">Importo a base d'asta (ribassabile)</t>
  </si>
  <si>
    <t xml:space="preserve">Oneri sicurezza interferenze (non ribassabili)</t>
  </si>
  <si>
    <t xml:space="preserve">Opzione quinto d'obbligo (+20%, art. 120 c.9)</t>
  </si>
  <si>
    <t xml:space="preserve">Valore globale stimato dell'appalto</t>
  </si>
  <si>
    <t xml:space="preserve">Costi manodopera (stimati)</t>
  </si>
  <si>
    <t xml:space="preserve">Durata contratti di fornitura</t>
  </si>
  <si>
    <t xml:space="preserve">36 mesi</t>
  </si>
  <si>
    <t xml:space="preserve">Validità dell'offerta</t>
  </si>
  <si>
    <t xml:space="preserve">270 giorni dalla scadenza presentazione</t>
  </si>
  <si>
    <t xml:space="preserve">Garanzia provvisoria</t>
  </si>
  <si>
    <t xml:space="preserve">2% del valore globale dei lotti di partecipazione</t>
  </si>
  <si>
    <t xml:space="preserve">Suddivisione</t>
  </si>
  <si>
    <t xml:space="preserve">7 lotti — partecipabili e aggiudicabili tutti</t>
  </si>
  <si>
    <t xml:space="preserve">Subappalto</t>
  </si>
  <si>
    <t xml:space="preserve">Ammesso ai sensi dell'art. 119 D.Lgs. 36/2023</t>
  </si>
  <si>
    <t xml:space="preserve">Avvalimento</t>
  </si>
  <si>
    <t xml:space="preserve">Ammesso ai sensi dell'art. 104 D.Lgs. 36/2023</t>
  </si>
  <si>
    <t xml:space="preserve">Piattaforma di gara</t>
  </si>
  <si>
    <t xml:space="preserve">Sintel — www.ariaspa.it</t>
  </si>
  <si>
    <t xml:space="preserve">SCADENZE</t>
  </si>
  <si>
    <t xml:space="preserve">Termine richiesta chiarimenti</t>
  </si>
  <si>
    <t xml:space="preserve">Scadenza presentazione offerte</t>
  </si>
  <si>
    <t xml:space="preserve">Apertura pubblica delle offerte</t>
  </si>
  <si>
    <t xml:space="preserve">SUDDIVISIONE IN LOTTI (€, IVA esclusa)</t>
  </si>
  <si>
    <t xml:space="preserve">Lotto</t>
  </si>
  <si>
    <t xml:space="preserve">Ente / Sede</t>
  </si>
  <si>
    <t xml:space="preserve">Importo contratto</t>
  </si>
  <si>
    <t xml:space="preserve">Opzione quinto (+20%)</t>
  </si>
  <si>
    <t xml:space="preserve">Valore globale lotto</t>
  </si>
  <si>
    <t xml:space="preserve">Provincia di Milano</t>
  </si>
  <si>
    <t xml:space="preserve">Provincia di Brescia</t>
  </si>
  <si>
    <t xml:space="preserve">Fondazione IRCCS Cà Granda Ospedale Maggiore Policlinico</t>
  </si>
  <si>
    <t xml:space="preserve">Provincia di Bergamo</t>
  </si>
  <si>
    <t xml:space="preserve">Provincia di Pavia</t>
  </si>
  <si>
    <t xml:space="preserve">I.Z.L.E.R. — Istituto Zooprofilattico Lombardia/E.Romagna</t>
  </si>
  <si>
    <t xml:space="preserve">ARIA S.p.A. — sede di Catania</t>
  </si>
  <si>
    <t xml:space="preserve">Tot.</t>
  </si>
  <si>
    <t xml:space="preserve">Totale</t>
  </si>
  <si>
    <t xml:space="preserve">Nota: righe in giallo = lotti su cui Certosa Servizi sta partecipando (3, 4, 6).</t>
  </si>
  <si>
    <t xml:space="preserve">REQUISITI DI PARTECIPAZIONE PER LOTTO (€, IVA esclusa)</t>
  </si>
  <si>
    <t xml:space="preserve">Capacità econ.-finanz.: fatturato globale ≥ 30% del valore globale del lotto (3 migliori anni su 5). Capacità tecn.-prof.: servizi analoghi (manutenzione impianti elettrici) ≥ 50% del valore globale del lotto, negli ultimi 10 anni.</t>
  </si>
  <si>
    <t xml:space="preserve">Fatturato min. (30%)</t>
  </si>
  <si>
    <t xml:space="preserve">Servizi analoghi (50%)</t>
  </si>
  <si>
    <t xml:space="preserve">Partecipazione multi-lotto: fatturato min. = 30% della somma dei 2 lotti di maggior valore; servizi analoghi = 50% del lotto di maggior valore.</t>
  </si>
  <si>
    <t xml:space="preserve">RESPONSABILI E ALTRE INFORMAZIONI</t>
  </si>
  <si>
    <t xml:space="preserve">RUP</t>
  </si>
  <si>
    <t xml:space="preserve">Carmen Schweigl (atto di nomina 15/12/2025, verbale CDA n.19)</t>
  </si>
  <si>
    <t xml:space="preserve">E-mail RUP</t>
  </si>
  <si>
    <t xml:space="preserve">carmen.schweigl@ariaspa.it</t>
  </si>
  <si>
    <t xml:space="preserve">Telefono</t>
  </si>
  <si>
    <t xml:space="preserve">02 393311</t>
  </si>
  <si>
    <t xml:space="preserve">Sede ARIA</t>
  </si>
  <si>
    <t xml:space="preserve">Piazza Gae Aulenti 1, 20154 Milano</t>
  </si>
  <si>
    <t xml:space="preserve">CIG per lotto</t>
  </si>
  <si>
    <t xml:space="preserve">Vedi allegato "Dettaglio Lotti" (1 CIG per ciascuno dei 7 lotti)</t>
  </si>
  <si>
    <t xml:space="preserve">Ricorsi</t>
  </si>
  <si>
    <t xml:space="preserve">TAR Lombardia — Milano (entro 30 giorni dalla pubblicazione)</t>
  </si>
  <si>
    <t xml:space="preserve">Clausola hardship</t>
  </si>
  <si>
    <t xml:space="preserve">Prevista (art. 9 D.Lgs. 36/2023): rinegoziazione per eccessiva onerosità sopravvenuta</t>
  </si>
  <si>
    <t xml:space="preserve">Fonte</t>
  </si>
  <si>
    <t xml:space="preserve">Bando UE 254042-2026 + Disciplinare di gara ARIA_2026_401</t>
  </si>
  <si>
    <t xml:space="preserve">ARIA — MANUTENZIONE IMPIANTI IDRICI (ARIA_2026_410)</t>
  </si>
  <si>
    <t xml:space="preserve">ARIA_2026_410</t>
  </si>
  <si>
    <t xml:space="preserve">Servizio di manutenzione degli impianti idrici in favore degli Enti del SIREG</t>
  </si>
  <si>
    <t xml:space="preserve">Enti del SIREG: Finlombarda, Policlinico, ATS Città Metr. Milano, ASST Bergamo Est/Ovest, ASST Spedali Civili Brescia, ATS Val Padana, ASST Lodi, ATS Pavia, IZSLER, ARIA S.p.A. sede Catania</t>
  </si>
  <si>
    <t xml:space="preserve">50711000-2 — Servizi di riparazione e manutenzione di impianti idrici</t>
  </si>
  <si>
    <t xml:space="preserve">Codice ATECO</t>
  </si>
  <si>
    <t xml:space="preserve">43.22.01</t>
  </si>
  <si>
    <t xml:space="preserve">Avviso n. 276431-2026</t>
  </si>
  <si>
    <t xml:space="preserve">CNEL C011 Metalmeccanico Industria (lotti 2,3,5,6); CNEL C018 PMI industria metalmecc./installazione impianti (lotti 1,2,4)</t>
  </si>
  <si>
    <t xml:space="preserve">36 mesi (variabile per ente: da 5 a 36 mesi)</t>
  </si>
  <si>
    <t xml:space="preserve">6 lotti — partecipabili e aggiudicabili tutti</t>
  </si>
  <si>
    <t xml:space="preserve">N.B. — il Prospetto principale riporta apertura al 04/06/2026: verificare con la piattaforma Sintel se c'è stata proroga rispetto al bando UE (apertura ufficiale 27/05/2026).</t>
  </si>
  <si>
    <t xml:space="preserve">Ente principale / Provincia</t>
  </si>
  <si>
    <t xml:space="preserve">Provincia MI — Finlombarda + Policlinico + ATS Città Metr. Milano</t>
  </si>
  <si>
    <t xml:space="preserve">Provincia BG — ASST Bergamo Est + ASST Bergamo Ovest</t>
  </si>
  <si>
    <t xml:space="preserve">Provincia BS — ASST Spedali Civili Brescia + ATS Val Padana</t>
  </si>
  <si>
    <t xml:space="preserve">Province LO-PV — ASST Lodi + ATS Pavia</t>
  </si>
  <si>
    <t xml:space="preserve">Lombardia/E.Romagna — IZSLER Bruno Ubertini</t>
  </si>
  <si>
    <t xml:space="preserve">Nota: righe in giallo = lotti su cui Certosa Servizi sta partecipando (1, 2).</t>
  </si>
  <si>
    <t xml:space="preserve">Nota tecnica: "Importo contratto" = valore globale ÷ 1,20. Comprende quota ribassabile + oneri sicurezza interferenze (NON ribassabili). Per i singoli importi ribassabili per lotto vedere allegato Dettaglio Lotti.</t>
  </si>
  <si>
    <t xml:space="preserve">Capacità econ.-finanz.: fatturato globale ≥ 30% del valore globale del lotto (3 migliori anni su 5). Capacità tecn.-prof.: servizi analoghi (manutenzione impianti idrici/tecnologici) ≥ 50% del valore globale del lotto, negli ultimi 10 anni.</t>
  </si>
  <si>
    <t xml:space="preserve">Carmen Schweigl</t>
  </si>
  <si>
    <t xml:space="preserve">Vedi allegato "Dettaglio Lotti" (1 CIG per ciascuno dei 6 lotti)</t>
  </si>
  <si>
    <t xml:space="preserve">Costi manodopera</t>
  </si>
  <si>
    <t xml:space="preserve">NON soggetti a ribasso</t>
  </si>
  <si>
    <t xml:space="preserve">Bando UE 276431-2026 + Disciplinare di gara ARIA_2026_410 rev.</t>
  </si>
  <si>
    <t xml:space="preserve">CONSIP — AQ SERVIZIO INTEGRATO ENERGIA PER LE PAL (ID 2849)</t>
  </si>
  <si>
    <t xml:space="preserve">Sintesi della Determina a contrarre (art. 17 D.Lgs. 36/2023) — v.1.9 del 12/11/2025 — doc. SGQ1_MODU_000234_00</t>
  </si>
  <si>
    <t xml:space="preserve">Codice identificativo</t>
  </si>
  <si>
    <t xml:space="preserve">ID 2849</t>
  </si>
  <si>
    <t xml:space="preserve">Consip S.p.A. (Ministero dell'Economia e delle Finanze)</t>
  </si>
  <si>
    <t xml:space="preserve">Affidamento di un Accordo Quadro per il Servizio Integrato Energia per le Pubbliche Amministrazioni Locali</t>
  </si>
  <si>
    <t xml:space="preserve">Amministrazioni Locali del conto economico consolidato (L. 196/2009), escluse le Amministrazioni sanitarie</t>
  </si>
  <si>
    <t xml:space="preserve">Attività / ATECO</t>
  </si>
  <si>
    <t xml:space="preserve">Manut. riscaldamento e raffreddamento (43.22.0), impianti elettrici (43.21.01), erogazione gas (35.23) ed energia elettrica (35.15), progettazione impianti (71)</t>
  </si>
  <si>
    <t xml:space="preserve">Metalmeccanico — installazione impianti (codice C011)</t>
  </si>
  <si>
    <t xml:space="preserve">Procedura aperta — Accordo Quadro con più operatori (art. 59 c.4 lett. a D.Lgs. 36/2023; art. 2 c.225 L. 191/2009). Inversione procedimentale (art. 107 c.3).</t>
  </si>
  <si>
    <t xml:space="preserve">Offerta economicamente più vantaggiosa — miglior rapporto qualità/prezzo (art. 108). PT 70 / PE 30.</t>
  </si>
  <si>
    <t xml:space="preserve">Importo base stimato</t>
  </si>
  <si>
    <t xml:space="preserve">(IVA escl. — 80.000.000 m³)</t>
  </si>
  <si>
    <t xml:space="preserve">Importo globale con estensioni</t>
  </si>
  <si>
    <t xml:space="preserve">(IVA esclusa)</t>
  </si>
  <si>
    <t xml:space="preserve">Durata Accordo Quadro</t>
  </si>
  <si>
    <t xml:space="preserve">24 mesi + proroga fino a 12 mesi</t>
  </si>
  <si>
    <t xml:space="preserve">3 o 6 anni — estendibile di +2 anni (premiale, art. 120 c.10)</t>
  </si>
  <si>
    <t xml:space="preserve">10 lotti geografici (aggregazione di regioni contigue con condizioni climatiche analoghe)</t>
  </si>
  <si>
    <t xml:space="preserve">RIPARTIZIONE DELL'IMPORTO TRA OPERATORI AGGIUDICATARI</t>
  </si>
  <si>
    <t xml:space="preserve">Offerte valide</t>
  </si>
  <si>
    <t xml:space="preserve">Aggiudicatari</t>
  </si>
  <si>
    <t xml:space="preserve">1°</t>
  </si>
  <si>
    <t xml:space="preserve">2°</t>
  </si>
  <si>
    <t xml:space="preserve">3°</t>
  </si>
  <si>
    <t xml:space="preserve">N = 1</t>
  </si>
  <si>
    <t xml:space="preserve">tutti</t>
  </si>
  <si>
    <t xml:space="preserve">N = 2</t>
  </si>
  <si>
    <t xml:space="preserve">N ≥ 3</t>
  </si>
  <si>
    <t xml:space="preserve">2, 3, 4, 7</t>
  </si>
  <si>
    <t xml:space="preserve">Nota: i lotti 1, 5, 6, 8, 9, 10 prevedono solo le ripartizioni N=1 (100%) e N≥2 (70/30%).</t>
  </si>
  <si>
    <t xml:space="preserve">SUDDIVISIONE IN LOTTI</t>
  </si>
  <si>
    <t xml:space="preserve">Aree territoriali</t>
  </si>
  <si>
    <t xml:space="preserve">Quantità max (m³)</t>
  </si>
  <si>
    <t xml:space="preserve">Importo stimato (€)</t>
  </si>
  <si>
    <t xml:space="preserve">Importo con estensioni (€)</t>
  </si>
  <si>
    <t xml:space="preserve">Valle d'Aosta e Piemonte</t>
  </si>
  <si>
    <t xml:space="preserve">Lombardia e P.A. Bolzano</t>
  </si>
  <si>
    <t xml:space="preserve">Friuli-Venezia Giulia, Veneto e P.A. Trento</t>
  </si>
  <si>
    <t xml:space="preserve">Emilia-Romagna e Liguria</t>
  </si>
  <si>
    <t xml:space="preserve">Toscana e Umbria</t>
  </si>
  <si>
    <t xml:space="preserve">Marche e Abruzzo</t>
  </si>
  <si>
    <t xml:space="preserve">Lazio e Sardegna</t>
  </si>
  <si>
    <t xml:space="preserve">Campania e Molise</t>
  </si>
  <si>
    <t xml:space="preserve">Puglia e Basilicata</t>
  </si>
  <si>
    <t xml:space="preserve">Calabria e Sicilia</t>
  </si>
  <si>
    <t xml:space="preserve">Fatturato globale (3 su 5 anni)</t>
  </si>
  <si>
    <t xml:space="preserve">Serv. progettazione</t>
  </si>
  <si>
    <t xml:space="preserve">SOA OG11 — importo annuo lavori</t>
  </si>
  <si>
    <t xml:space="preserve">Classifica</t>
  </si>
  <si>
    <t xml:space="preserve">Esperienza pregressa (20%)</t>
  </si>
  <si>
    <t xml:space="preserve">IV</t>
  </si>
  <si>
    <t xml:space="preserve">III bis</t>
  </si>
  <si>
    <t xml:space="preserve">RUP (progetto)</t>
  </si>
  <si>
    <t xml:space="preserve">Ing. Simona Petetta</t>
  </si>
  <si>
    <t xml:space="preserve">RP fase affidamento</t>
  </si>
  <si>
    <t xml:space="preserve">Dott. Matteo Cavallini</t>
  </si>
  <si>
    <t xml:space="preserve">Approvazione determina</t>
  </si>
  <si>
    <t xml:space="preserve">Avv. Marco Reggiani (Amministratore Delegato e Direttore Generale)</t>
  </si>
  <si>
    <t xml:space="preserve">Avvisi di preinformazione</t>
  </si>
  <si>
    <t xml:space="preserve">09/10/2025 e 10/12/2025</t>
  </si>
  <si>
    <t xml:space="preserve">Clausole sociali</t>
  </si>
  <si>
    <t xml:space="preserve">Stabilità occupazionale; pari opportunità generazionali, di genere e inclusione lavorativa (art. 57 c.1)</t>
  </si>
  <si>
    <t xml:space="preserve">Deroghe al Bando tipo</t>
  </si>
  <si>
    <t xml:space="preserve">Sent. TAR Lazio 16458/2024: nessuna esclusione per tardivo pagamento contributo ANAC sanato in soccorso istruttorio (deroga Bando tipo ANAC 1/2023)</t>
  </si>
  <si>
    <t xml:space="preserve">Consip — AQ Servizio Integrato Energia per le PAL (ID 2849), Determina a contrarre (v.1.9, 12/11/2025)</t>
  </si>
  <si>
    <t xml:space="preserve">ASP PAVIA — ENERGY PERFORMANCE CONTRACT (EPC)</t>
  </si>
  <si>
    <t xml:space="preserve">Procedura aperta sulla Piattaforma Sintel — Regione Lombardia</t>
  </si>
  <si>
    <t xml:space="preserve">ASP Pavia — Azienda Servizi alla Persona</t>
  </si>
  <si>
    <t xml:space="preserve">IN CORSO — Offerte da presentare entro 22/06/2026</t>
  </si>
  <si>
    <t xml:space="preserve">Energy Performance Contract (EPC)</t>
  </si>
  <si>
    <t xml:space="preserve">ID Sintel</t>
  </si>
  <si>
    <t xml:space="preserve">219510451</t>
  </si>
  <si>
    <t xml:space="preserve">VALORI E DURATA</t>
  </si>
  <si>
    <t xml:space="preserve">Importo</t>
  </si>
  <si>
    <t xml:space="preserve">12 anni</t>
  </si>
  <si>
    <t xml:space="preserve">Sì</t>
  </si>
  <si>
    <t xml:space="preserve">Scadenza offerte</t>
  </si>
  <si>
    <t xml:space="preserve">22/06/2026 (URGENTE — 4 giorni residui)</t>
  </si>
  <si>
    <t xml:space="preserve">STRUTTURA LOTTI</t>
  </si>
  <si>
    <t xml:space="preserve">Partecipanti</t>
  </si>
  <si>
    <t xml:space="preserve">Aggiudicabili</t>
  </si>
  <si>
    <t xml:space="preserve">Consorzio Innova (45%)</t>
  </si>
  <si>
    <t xml:space="preserve">Mandante 1</t>
  </si>
  <si>
    <t xml:space="preserve">GETEC (35%)</t>
  </si>
  <si>
    <t xml:space="preserve">Mandante 2</t>
  </si>
  <si>
    <t xml:space="preserve">Santa Teresa (20%)</t>
  </si>
  <si>
    <t xml:space="preserve">MENS — Costo progetto: 35.500 €</t>
  </si>
  <si>
    <t xml:space="preserve">CS non sostiene costo progetto: ribalta subito quanto ricevuto dal progettista</t>
  </si>
  <si>
    <t xml:space="preserve">DOCUMENTI</t>
  </si>
  <si>
    <t xml:space="preserve">Documentazione completa scaricabile da Sintel previa autenticazione SPID/CIE/CNS. Quando scarichi i PDF, caricarli in F:\Appalti\ASP Pavia EPC\.</t>
  </si>
  <si>
    <t xml:space="preserve">Dettaglio gara Sintel</t>
  </si>
  <si>
    <t xml:space="preserve">Portale ARIA SpA</t>
  </si>
  <si>
    <t xml:space="preserve">https://www.ariaspa.it/</t>
  </si>
  <si>
    <t xml:space="preserve">ASP PAVIA — LAVORI CONNESSI ALL'EPC</t>
  </si>
  <si>
    <t xml:space="preserve">ASP Pavia</t>
  </si>
  <si>
    <t xml:space="preserve">IN CORSO — Offerte da presentare entro 01/07/2026</t>
  </si>
  <si>
    <t xml:space="preserve">Lavori connessi all'EPC ASP Pavia</t>
  </si>
  <si>
    <t xml:space="preserve">220127460</t>
  </si>
  <si>
    <t xml:space="preserve">1 mese</t>
  </si>
  <si>
    <t xml:space="preserve">01/07/2026 (13 giorni residui — Attenzione)</t>
  </si>
  <si>
    <t xml:space="preserve">FERVO (70%)</t>
  </si>
  <si>
    <t xml:space="preserve">Certosa Servizi (30%)</t>
  </si>
  <si>
    <t xml:space="preserve">MENS — Costi non sostenuti da CS</t>
  </si>
  <si>
    <t xml:space="preserve">Documentazione completa su Sintel (login SPID). Quando scarichi i PDF, caricarli in F:\Appalti\ASP Pavia Lavori\.</t>
  </si>
  <si>
    <t xml:space="preserve">CONSIP — SIE PAC ED. 1</t>
  </si>
  <si>
    <t xml:space="preserve">Servizio Integrato Energia per le Pubbliche Amministrazioni Centrali — Consultazione di mercato in preparazione bando</t>
  </si>
  <si>
    <t xml:space="preserve">Consip S.p.A.</t>
  </si>
  <si>
    <t xml:space="preserve">CONSULTAZIONE DI MERCATO — Questionario chiuso 19/01/2025; bando in fase di preparazione</t>
  </si>
  <si>
    <t xml:space="preserve">Pubbliche Amministrazioni Centrali (PAC)</t>
  </si>
  <si>
    <t xml:space="preserve">Edizione</t>
  </si>
  <si>
    <t xml:space="preserve">1ª</t>
  </si>
  <si>
    <t xml:space="preserve">VALORI E STRUTTURA</t>
  </si>
  <si>
    <t xml:space="preserve">Importo stimato</t>
  </si>
  <si>
    <t xml:space="preserve">ND (bando ancora in preparazione)</t>
  </si>
  <si>
    <t xml:space="preserve">Lotti previsti</t>
  </si>
  <si>
    <t xml:space="preserve">STATO PROCEDURA</t>
  </si>
  <si>
    <t xml:space="preserve">Il questionario di consultazione di mercato è stato chiuso il 19/01/2025. Il bando di gara è in fase di preparazione presso Consip e potrebbe seguire una struttura simile a quella della SIE PAL (ID 2849), già bandita per le Amministrazioni Locali nel marzo 2026.</t>
  </si>
  <si>
    <t xml:space="preserve">Comunicato Conferenza Stato-Città</t>
  </si>
  <si>
    <t xml:space="preserve">Portale Consip</t>
  </si>
  <si>
    <t xml:space="preserve">https://www.consip.it/</t>
  </si>
  <si>
    <t xml:space="preserve">Portale Acquistinretepa</t>
  </si>
  <si>
    <t xml:space="preserve">https://www.acquistinretepa.it/</t>
  </si>
  <si>
    <t xml:space="preserve">Registrarsi su acquistinretepa.it e impostare alert su "SIE PAC" e "Servizio Integrato Energia".</t>
  </si>
  <si>
    <t xml:space="preserve">AZIENDA ZERO — GVE (Gestione Vettori Energetici)</t>
  </si>
  <si>
    <t xml:space="preserve">Procedura aperta telematica per le Aziende Sanitarie della Regione del Veneto — CRAV</t>
  </si>
  <si>
    <t xml:space="preserve">Azienda Zero — Centrale Acquisti Regione Veneto (CRAV)</t>
  </si>
  <si>
    <t xml:space="preserve">AGGIUDICATA — Con ricorsi pendenti al TAR</t>
  </si>
  <si>
    <t xml:space="preserve">Gestione dei Vettori Energetici delle Aziende Sanitarie della Regione del Veneto</t>
  </si>
  <si>
    <t xml:space="preserve">Procedura</t>
  </si>
  <si>
    <t xml:space="preserve">Aperta telematica — Convenzione Quadro ex art. 26 L. 488/1999</t>
  </si>
  <si>
    <t xml:space="preserve">Numero gara</t>
  </si>
  <si>
    <t xml:space="preserve">9436015</t>
  </si>
  <si>
    <t xml:space="preserve">176837685</t>
  </si>
  <si>
    <t xml:space="preserve">Codice Gara</t>
  </si>
  <si>
    <t xml:space="preserve">2023.026</t>
  </si>
  <si>
    <t xml:space="preserve">Pubblicazione GURI</t>
  </si>
  <si>
    <t xml:space="preserve">V Serie Speciale n. 145 del 18/12/2023 + n. 38 del 29/03/2024</t>
  </si>
  <si>
    <t xml:space="preserve">STORIA DELLA PROCEDURA</t>
  </si>
  <si>
    <t xml:space="preserve">Gara originaria GETIS</t>
  </si>
  <si>
    <t xml:space="preserve">ANNULLATA dal Consiglio di Stato (Ottobre 2024)</t>
  </si>
  <si>
    <t xml:space="preserve">Sostituita da GVE</t>
  </si>
  <si>
    <t xml:space="preserve">Indetta con Delibera D.G. n. 730 del 28/11/2023</t>
  </si>
  <si>
    <t xml:space="preserve">Modifiche</t>
  </si>
  <si>
    <t xml:space="preserve">Delibere n. 104 del 01/03/2024 e n. 299/2024</t>
  </si>
  <si>
    <t xml:space="preserve">STRUTTURA E CRITERI</t>
  </si>
  <si>
    <t xml:space="preserve">Aziende Sanitarie del Veneto</t>
  </si>
  <si>
    <t xml:space="preserve">Criterio</t>
  </si>
  <si>
    <t xml:space="preserve">OEPV con soglia di sbarramento tecnica (min 40/70 pt)</t>
  </si>
  <si>
    <t xml:space="preserve">Vincolo</t>
  </si>
  <si>
    <t xml:space="preserve">Aggiudicazione a un solo lotto per concorrente (a scelta del 1° classificato)</t>
  </si>
  <si>
    <t xml:space="preserve">ESITO E RICORSI</t>
  </si>
  <si>
    <t xml:space="preserve">17 concorrenti, tutti ammessi</t>
  </si>
  <si>
    <t xml:space="preserve">Esclusi</t>
  </si>
  <si>
    <t xml:space="preserve">9 (mancato superamento soglia tecnica)</t>
  </si>
  <si>
    <t xml:space="preserve">Lotto 6 (ULSS 9 Scaligera) - CIG A02D9A71A2</t>
  </si>
  <si>
    <t xml:space="preserve">Aggiudicato a Teckal — Gemmo 2ª — Ricorso TAR Veneto RG 1834/2025 (esito pendente)</t>
  </si>
  <si>
    <t xml:space="preserve">GETEC (80%)</t>
  </si>
  <si>
    <t xml:space="preserve">Certosa Servizi (20%)</t>
  </si>
  <si>
    <t xml:space="preserve">Bandi Azienda Zero</t>
  </si>
  <si>
    <t xml:space="preserve">https://www.azero.veneto.it/bandi-di-gara-fornitori</t>
  </si>
  <si>
    <t xml:space="preserve">BUR Veneto (delibere)</t>
  </si>
  <si>
    <t xml:space="preserve">https://bur.regione.veneto.it/</t>
  </si>
  <si>
    <t xml:space="preserve">Sentenza TAR Veneto</t>
  </si>
  <si>
    <t xml:space="preserve">https://mdp.giustizia-amministrativa.it/</t>
  </si>
  <si>
    <t xml:space="preserve">Chiarimenti GVE</t>
  </si>
  <si>
    <t xml:space="preserve">https://www.azero.veneto.it/documents/20126/9b74bc50-0a53-d87e-e9ca-f2be37252769</t>
  </si>
  <si>
    <t xml:space="preserve">Documentazione completa su Sintel ID 176837685 (login SPID/CNS). Quando scarichi i PDF, caricarli in F:\Appalti\Azienda Zero\.</t>
  </si>
  <si>
    <t xml:space="preserve">SANITÀ LAZIO — SERVIZIO ENERGIA / EPC</t>
  </si>
  <si>
    <t xml:space="preserve">Centrale Acquisti Regione Lazio — Piano Biennale 2026-2027 (in programmazione)</t>
  </si>
  <si>
    <t xml:space="preserve">Centrale Acquisti Regione Lazio</t>
  </si>
  <si>
    <t xml:space="preserve">PROGRAMMAZIONE — Bando non ancora pubblicato</t>
  </si>
  <si>
    <t xml:space="preserve">Servizio Energia / Energy Performance Contract per il SSR Lazio</t>
  </si>
  <si>
    <t xml:space="preserve">Piano</t>
  </si>
  <si>
    <t xml:space="preserve">Piano Biennale 2026-2027 — Approvato con DGR n. 1314 del 30/12/2025</t>
  </si>
  <si>
    <t xml:space="preserve">STRUTTURA PREVISTA</t>
  </si>
  <si>
    <t xml:space="preserve">ND (bando non ancora pubblicato)</t>
  </si>
  <si>
    <t xml:space="preserve">Aziende sanitarie del SSR Lazio</t>
  </si>
  <si>
    <t xml:space="preserve">La gara è inclusa nel Piano Biennale 2026-2027 della Centrale Acquisti Regione Lazio, approvato con DGR n. 1314 del 30/12/2025. Bando atteso nel piano triennale. La piattaforma utilizzata sarà STEL.LA.</t>
  </si>
  <si>
    <t xml:space="preserve">Centrale Acquisti Lazio</t>
  </si>
  <si>
    <t xml:space="preserve">https://centraleacquisti.regione.lazio.it/</t>
  </si>
  <si>
    <t xml:space="preserve">Bandi in scadenza STEL.LA</t>
  </si>
  <si>
    <t xml:space="preserve">https://centraleacquisti.regione.lazio.it/bandi-e-strumenti-di-acquisto/bandi-di-gara-in-scadenza</t>
  </si>
  <si>
    <t xml:space="preserve">Sito Regione Lazio</t>
  </si>
  <si>
    <t xml:space="preserve">https://www.regione.lazio.it/</t>
  </si>
  <si>
    <t xml:space="preserve">Registrarsi sulla piattaforma STEL.LA con parole chiave: "servizio energia", "EPC", "sanità", "efficientamento".</t>
  </si>
  <si>
    <t xml:space="preserve">⚠️ NOTA IMPORTANTE (aggiornamento 10/09/2026)</t>
  </si>
  <si>
    <t xml:space="preserve">Bando pubblicato</t>
  </si>
  <si>
    <t xml:space="preserve">La gara "Multiservizio Tecnologico AASS Regione Lazio Ed. 4" è stata pubblicata il 12/06/2026 sulla piattaforma S.Tel.LA. Si tratta della gara specifica precedentemente tracciata genericamente in questa scheda.</t>
  </si>
  <si>
    <t xml:space="preserve">Foglio dedicato</t>
  </si>
  <si>
    <t xml:space="preserve">Vedi foglio "Multiservizio Lazio Ed4" per tutti i dettagli operativi.</t>
  </si>
  <si>
    <t xml:space="preserve">Riferimento prospetto</t>
  </si>
  <si>
    <t xml:space="preserve">Nel Prospetto A3 la gara è ora in sezione "IN ELABORAZIONE" (riga 16).</t>
  </si>
  <si>
    <t xml:space="preserve">Scadenza indicativa</t>
  </si>
  <si>
    <t xml:space="preserve">29/10/2026 (DA CONFERMARE su S.Tel.LA)</t>
  </si>
  <si>
    <t xml:space="preserve">Questa scheda</t>
  </si>
  <si>
    <t xml:space="preserve">Rimane come traccia storica della programmazione Sanità Lazio pre-pubblicazione bando (DGR 1163/2024).</t>
  </si>
  <si>
    <t xml:space="preserve">DAP — PPP ENERGIA CARCERI</t>
  </si>
  <si>
    <t xml:space="preserve">Ministero della Giustizia — Dipartimento Amministrazione Penitenziaria</t>
  </si>
  <si>
    <t xml:space="preserve">Ministero della Giustizia — DAP</t>
  </si>
  <si>
    <t xml:space="preserve">Ufficio</t>
  </si>
  <si>
    <t xml:space="preserve">Direzione Generale per la gestione dei beni, dei servizi e degli interventi in materia di edilizia penitenziaria — Ufficio III</t>
  </si>
  <si>
    <t xml:space="preserve">🆕 LINEE GUIDA PUBBLICATE 03/04/2026 — Bando di gara atteso</t>
  </si>
  <si>
    <t xml:space="preserve">Sistema integrato di fornitura e gestione dell'energia + interventi di efficientamento energetico</t>
  </si>
  <si>
    <t xml:space="preserve">Direttore Generale</t>
  </si>
  <si>
    <t xml:space="preserve">Antonio Bianco</t>
  </si>
  <si>
    <t xml:space="preserve">OBIETTIVI DELL'AVVISO</t>
  </si>
  <si>
    <t xml:space="preserve">Servizio Energia; ammodernamento impianti; riqualificazione energetica (solare termico/FV, cogenerazione); servizi di gestione; manutenzione ordinaria e straordinaria.</t>
  </si>
  <si>
    <t xml:space="preserve">PERIMETRO</t>
  </si>
  <si>
    <t xml:space="preserve">Istituti penitenziari coinvolti</t>
  </si>
  <si>
    <t xml:space="preserve">Provveditorati interregionali</t>
  </si>
  <si>
    <t xml:space="preserve">Durata stimata</t>
  </si>
  <si>
    <t xml:space="preserve">15-20 anni</t>
  </si>
  <si>
    <t xml:space="preserve">20/08/2024</t>
  </si>
  <si>
    <t xml:space="preserve">Pubblicazione Avviso pubblico manifestazione interesse</t>
  </si>
  <si>
    <t xml:space="preserve">29/08/2024</t>
  </si>
  <si>
    <t xml:space="preserve">Errata corrige indirizzi email PEC</t>
  </si>
  <si>
    <t xml:space="preserve">29/11/2024</t>
  </si>
  <si>
    <t xml:space="preserve">Pubblicazione risposte ai quesiti</t>
  </si>
  <si>
    <t xml:space="preserve">09/12/2024</t>
  </si>
  <si>
    <t xml:space="preserve">Pubblicazione aggiornamento risposte ai quesiti</t>
  </si>
  <si>
    <t xml:space="preserve">31/12/2024</t>
  </si>
  <si>
    <t xml:space="preserve">SCADENZA presentazione manifestazioni di interesse</t>
  </si>
  <si>
    <t xml:space="preserve">20/05/2025</t>
  </si>
  <si>
    <t xml:space="preserve">Pubblicazione elenco 43 operatori che hanno aderito</t>
  </si>
  <si>
    <t xml:space="preserve">OPERATORI ECONOMICI INTERESSATI (estratto)</t>
  </si>
  <si>
    <t xml:space="preserve">Tra i 43 operatori che hanno presentato manifestazione di interesse: A2A Calore &amp; Servizi (Brescia), Comat (Torino), Devi Impianti (Busto Arsizio), Edison Next Government (Milano), Engie Servizi (Roma), GETEC Italia (Gragnano Trebbiense), Renovit Public Solutions (Milano), Siram (Milano), City Green Light (Vicenza), Geoside (Casalecchio di Reno), Gemmo (Arcugnano) e altri 32 operatori.</t>
  </si>
  <si>
    <t xml:space="preserve">Opzione A</t>
  </si>
  <si>
    <t xml:space="preserve">GETEC + Certosa Servizi</t>
  </si>
  <si>
    <t xml:space="preserve">Opzione B</t>
  </si>
  <si>
    <t xml:space="preserve">RENOVIT + DEVI + Certosa Servizi</t>
  </si>
  <si>
    <t xml:space="preserve">STATO ATTUALE</t>
  </si>
  <si>
    <t xml:space="preserve">Accordo ex art. 15 L. 241/90 sottoscritto tra DAP e Agenzia del Demanio per la definizione di criteri specifici. La gara vera e propria sarà bandita dopo l'emanazione delle linee guida congiunte. Gli operatori interessati saranno informati con apposito avviso sul sito del Ministero.</t>
  </si>
  <si>
    <t xml:space="preserve">CONTATTI</t>
  </si>
  <si>
    <t xml:space="preserve">PEC presentazioni</t>
  </si>
  <si>
    <t xml:space="preserve">prot.dgbs.dap@giustiziacert.it</t>
  </si>
  <si>
    <t xml:space="preserve">Email informazioni</t>
  </si>
  <si>
    <t xml:space="preserve">gestioneimmobili.dgbs.dap@giustizia.it</t>
  </si>
  <si>
    <t xml:space="preserve">Pagina avviso DAP</t>
  </si>
  <si>
    <t xml:space="preserve">Risposte quesiti (9/12/2024)</t>
  </si>
  <si>
    <t xml:space="preserve">https://www.giustizia.it/cmsresources/cms/documents/dap_roma_manifestazione_energia_9dic2024_risposte_quesiti_aggiornamento.pdf</t>
  </si>
  <si>
    <t xml:space="preserve">Risposte quesiti (29/11/2024)</t>
  </si>
  <si>
    <t xml:space="preserve">https://www.giustizia.it/cmsresources/cms/documents/dap_roma_manifestazione_energia_13ago2024_risposte_quesiti.pdf</t>
  </si>
  <si>
    <t xml:space="preserve">Ministero Giustizia</t>
  </si>
  <si>
    <t xml:space="preserve">https://www.giustizia.it/</t>
  </si>
  <si>
    <t xml:space="preserve">🆕 AGGIORNAMENTO 03/04/2026 — LINEE GUIDA PUBBLICATE</t>
  </si>
  <si>
    <t xml:space="preserve">Documento</t>
  </si>
  <si>
    <t xml:space="preserve">Linee di indirizzo 30 marzo 2025 — Partenariato Pubblico Privato per la realizzazione di un sistema integrato di fornitura e gestione dell'energia e interventi di efficientamento energetico per gli istituti penitenziari</t>
  </si>
  <si>
    <t xml:space="preserve">Firmatario</t>
  </si>
  <si>
    <t xml:space="preserve">Massimo Parisi — Vice capo del DAP e Direttore Generale reggente</t>
  </si>
  <si>
    <t xml:space="preserve">Sede pubblicazione</t>
  </si>
  <si>
    <t xml:space="preserve">Sito Ministero della Giustizia — sezione Regolamenti attuativi Codice contratti D.Lgs. 36/2023</t>
  </si>
  <si>
    <t xml:space="preserve">Data pubblicazione sul sito</t>
  </si>
  <si>
    <t xml:space="preserve">03/04/2026 (annunciato l'08/04/2026 sul Quotidiano gNews del Ministero della Giustizia)</t>
  </si>
  <si>
    <t xml:space="preserve">Contenuto</t>
  </si>
  <si>
    <t xml:space="preserve">Criteri e modalità operative per la pianificazione, progettazione e realizzazione di interventi di efficientamento energetico degli istituti penitenziari (frutto della collaborazione DAP + Agenzia del Demanio ex art. 15 L. 241/90)</t>
  </si>
  <si>
    <t xml:space="preserve">Next step</t>
  </si>
  <si>
    <t xml:space="preserve">Pubblicazione del bando di gara vero e proprio sul sito del Ministero (notifica agli operatori interessati registrati come da Avviso 2024)</t>
  </si>
  <si>
    <t xml:space="preserve">Link</t>
  </si>
  <si>
    <t xml:space="preserve">https://www.giustizia.it/giustizia/page/it/regolamenti_codice_contratti_pubblici</t>
  </si>
  <si>
    <t xml:space="preserve">Monitorare il sito Ministero Giustizia con cadenza settimanale per uscita del bando; preparare in anticipo la documentazione ATI (opzione A: GETEC+CS oppure opzione B: RENOVIT+DEVI+CS)</t>
  </si>
  <si>
    <t xml:space="preserve">RICERCA GARE — MONITORAGGIO AUTOMATICO DI BANDI E IDENTIFICATIVI</t>
  </si>
  <si>
    <t xml:space="preserve">Strumenti per sapere automaticamente quando una gara viene pubblicata e ottenere subito CIG, ID e documentazione.</t>
  </si>
  <si>
    <t xml:space="preserve">OBIETTIVO</t>
  </si>
  <si>
    <t xml:space="preserve">Per le gare in fase preliminare (consultazione di mercato, manifestazione di interesse, programmazione) il CIG ANAC non esiste ancora — viene attribuito solo all'atto della pubblicazione del bando. Servono quindi strumenti che monitorino i portali ufficiali e ci avvisino automaticamente quando una gara di interesse viene pubblicata, in modo da poter scaricare subito documentazione, CIG e identificativo.</t>
  </si>
  <si>
    <t xml:space="preserve">PORTALI UFFICIALI DA MONITORARE</t>
  </si>
  <si>
    <t xml:space="preserve">Portale</t>
  </si>
  <si>
    <t xml:space="preserve">A cosa serve</t>
  </si>
  <si>
    <t xml:space="preserve">Costo</t>
  </si>
  <si>
    <t xml:space="preserve">Notifiche email</t>
  </si>
  <si>
    <t xml:space="preserve">ANAC</t>
  </si>
  <si>
    <t xml:space="preserve">Banca dati ufficiale dei CIG (tutte le gare italiane)</t>
  </si>
  <si>
    <t xml:space="preserve">Gratis</t>
  </si>
  <si>
    <t xml:space="preserve">Sì (BDNCP)</t>
  </si>
  <si>
    <t xml:space="preserve">Fonte primaria: ogni CIG d'Italia passa di qui</t>
  </si>
  <si>
    <t xml:space="preserve">TED (UE)</t>
  </si>
  <si>
    <t xml:space="preserve">Gazzetta Ufficiale Europea — gare sopra soglia UE</t>
  </si>
  <si>
    <t xml:space="preserve">Sì (TED eSender)</t>
  </si>
  <si>
    <t xml:space="preserve">Per ARIA, CONSIP e gare grandi della PA</t>
  </si>
  <si>
    <t xml:space="preserve">Acquistinretepa.it</t>
  </si>
  <si>
    <t xml:space="preserve">Portale CONSIP — gare nazionali</t>
  </si>
  <si>
    <t xml:space="preserve">Gratis (registrazione)</t>
  </si>
  <si>
    <t xml:space="preserve">Copre tutte le gare CONSIP (es. SIE PAC, MIES)</t>
  </si>
  <si>
    <t xml:space="preserve">Sintel — ARIA SpA</t>
  </si>
  <si>
    <t xml:space="preserve">Piattaforma Regione Lombardia</t>
  </si>
  <si>
    <t xml:space="preserve">ARIA, ASP Pavia, Azienda Zero usano tutti Sintel</t>
  </si>
  <si>
    <t xml:space="preserve">STEL.LA</t>
  </si>
  <si>
    <t xml:space="preserve">Piattaforma Centrale Acquisti Regione Lazio</t>
  </si>
  <si>
    <t xml:space="preserve">Copre le gare della sanità del Lazio</t>
  </si>
  <si>
    <t xml:space="preserve">Maggioli Cloud Alghero</t>
  </si>
  <si>
    <t xml:space="preserve">Portale appalti del Comune di Alghero</t>
  </si>
  <si>
    <t xml:space="preserve">Verificare</t>
  </si>
  <si>
    <t xml:space="preserve">Necessario per la gara PPP termico/illuminazione</t>
  </si>
  <si>
    <t xml:space="preserve">Giustizia.it / DAP</t>
  </si>
  <si>
    <t xml:space="preserve">Avvisi del Ministero della Giustizia</t>
  </si>
  <si>
    <t xml:space="preserve">Da verificare</t>
  </si>
  <si>
    <t xml:space="preserve">Per le procedure PPP delle carceri</t>
  </si>
  <si>
    <t xml:space="preserve">TRE STRADE POSSIBILI</t>
  </si>
  <si>
    <t xml:space="preserve">1) AVVISI E-MAIL GRATUITI DAI PORTALI — la via più semplice</t>
  </si>
  <si>
    <t xml:space="preserve">Ci si registra una volta sola su ciascun portale (ANAC, TED, CONSIP, Sintel, STEL.LA...) e si impostano parole chiave (es. "manutenzione impianti elettrici", "servizio energia", "PPP illuminazione"). Quando viene pubblicato qualcosa di pertinente, arriva un'e-mail di avviso. PRO: gratis, nessuna installazione. CONTRO: si ricevono molte e-mail da fonti diverse, va filtrato manualmente.</t>
  </si>
  <si>
    <t xml:space="preserve">2) AGGREGATORE COMMERCIALE — la via comoda a pagamento</t>
  </si>
  <si>
    <t xml:space="preserve">Servizi privati che monitorano automaticamente tutti i portali italiani e inviano un unico digest giornaliero o settimanale. Esempi: TelemacoBandi, BandiOnline, Appalti.net, InfoPlus Procurement. Costo indicativo: 80–250 €/mese. PRO: un'unica interfaccia, filtri precisi (CPV, importo, area geografica). CONTRO: ha un costo mensile e per gare locali o in fase pre-bando la copertura può non essere completa.</t>
  </si>
  <si>
    <t xml:space="preserve">3) PROGRAMMA PERSONALIZZATO — la via più potente</t>
  </si>
  <si>
    <t xml:space="preserve">Piccolo programma in Python che ogni mattina (o quando lo si avvia con doppio clic) interroga le API pubbliche di ANAC e TED, legge i feed RSS dei portali (CONSIP, Sintel, STEL.LA), filtra le parole chiave di interesse e AGGIORNA DIRETTAMENTE QUESTO FILE EXCEL compilando le colonne CIG e ID GARA quando trova un bando nuovo. PRO: gratis dopo lo sviluppo, fa esattamente ciò che serve, si integra con il prospetto. CONTRO: va sviluppato (può farlo Claude in un'altra sessione di lavoro).</t>
  </si>
  <si>
    <t xml:space="preserve">CONFRONTO TRA LE TRE STRADE</t>
  </si>
  <si>
    <t xml:space="preserve">Aspetto</t>
  </si>
  <si>
    <t xml:space="preserve">1) Avvisi e-mail</t>
  </si>
  <si>
    <t xml:space="preserve">2) Aggregatore</t>
  </si>
  <si>
    <t xml:space="preserve">3) Programma</t>
  </si>
  <si>
    <t xml:space="preserve">Vincitore</t>
  </si>
  <si>
    <t xml:space="preserve">Costo iniziale</t>
  </si>
  <si>
    <t xml:space="preserve">Sviluppo una tantum</t>
  </si>
  <si>
    <t xml:space="preserve">1 e 2</t>
  </si>
  <si>
    <t xml:space="preserve">Costo mensile</t>
  </si>
  <si>
    <t xml:space="preserve">80–250 €/mese</t>
  </si>
  <si>
    <t xml:space="preserve">1 e 3</t>
  </si>
  <si>
    <t xml:space="preserve">Difficoltà iniziale</t>
  </si>
  <si>
    <t xml:space="preserve">Bassa (mezz'ora)</t>
  </si>
  <si>
    <t xml:space="preserve">Bassissima</t>
  </si>
  <si>
    <t xml:space="preserve">Media</t>
  </si>
  <si>
    <t xml:space="preserve">2</t>
  </si>
  <si>
    <t xml:space="preserve">Manutenzione richiesta</t>
  </si>
  <si>
    <t xml:space="preserve">Quasi zero</t>
  </si>
  <si>
    <t xml:space="preserve">Zero</t>
  </si>
  <si>
    <t xml:space="preserve">Zero (versione manuale)</t>
  </si>
  <si>
    <t xml:space="preserve">2 e 3</t>
  </si>
  <si>
    <t xml:space="preserve">Tutto in un'unica vista</t>
  </si>
  <si>
    <t xml:space="preserve">No (più e-mail)</t>
  </si>
  <si>
    <t xml:space="preserve">Sì (nell'Excel)</t>
  </si>
  <si>
    <t xml:space="preserve">Copertura gare locali</t>
  </si>
  <si>
    <t xml:space="preserve">Sì, se iscritto</t>
  </si>
  <si>
    <t xml:space="preserve">Parziale</t>
  </si>
  <si>
    <t xml:space="preserve">Buona</t>
  </si>
  <si>
    <t xml:space="preserve">Aggiorna l'Excel solo</t>
  </si>
  <si>
    <t xml:space="preserve">No</t>
  </si>
  <si>
    <t xml:space="preserve">SÌ</t>
  </si>
  <si>
    <t xml:space="preserve">3</t>
  </si>
  <si>
    <t xml:space="preserve">Filtri per parole chiave</t>
  </si>
  <si>
    <t xml:space="preserve">Sì (per portale)</t>
  </si>
  <si>
    <t xml:space="preserve">Sì (centralizzati)</t>
  </si>
  <si>
    <t xml:space="preserve">Sì (totali)</t>
  </si>
  <si>
    <t xml:space="preserve">RACCOMANDAZIONE — PERCORSO CONSIGLIATO</t>
  </si>
  <si>
    <t xml:space="preserve">Approccio consigliato: COMBINARE la Strada 1 (subito, gratis) con la Strada 3 versione "manuale" (a breve, una tantum). I tre portali chiave da monitorare oggi sono ARIA/Sintel, CONSIP e ANAC: da soli coprono il 70% delle gare in lista. La Strada 3 viene poi sviluppata in un secondo momento come piccola app da aprire con un doppio clic, che aggiorna l'Excel da sola.</t>
  </si>
  <si>
    <t xml:space="preserve">FASE 1 — OGGI (gratis, 30 minuti di iscrizioni)</t>
  </si>
  <si>
    <t xml:space="preserve">Passo</t>
  </si>
  <si>
    <t xml:space="preserve">Cosa fare</t>
  </si>
  <si>
    <t xml:space="preserve">Tempo</t>
  </si>
  <si>
    <t xml:space="preserve">Link / Riferimento</t>
  </si>
  <si>
    <t xml:space="preserve">1</t>
  </si>
  <si>
    <t xml:space="preserve">Registrarsi su ANAC (Servizi BDNCP) e attivare le notifiche sui nuovi CIG</t>
  </si>
  <si>
    <t xml:space="preserve">10 min</t>
  </si>
  <si>
    <t xml:space="preserve">anticorruzione.it</t>
  </si>
  <si>
    <t xml:space="preserve">Registrarsi su acquistinretepa.it (CONSIP) e impostare gli alert su SIE PAC e MIES</t>
  </si>
  <si>
    <t xml:space="preserve">acquistinretepa.it</t>
  </si>
  <si>
    <t xml:space="preserve">Registrarsi su Sintel ARIA SpA con parole chiave per ARIA, ASP Pavia, Azienda Zero</t>
  </si>
  <si>
    <t xml:space="preserve">ariaspa.it</t>
  </si>
  <si>
    <t xml:space="preserve">4</t>
  </si>
  <si>
    <t xml:space="preserve">Iscriversi alla newsletter TED per gare sopra soglia UE</t>
  </si>
  <si>
    <t xml:space="preserve">5 min</t>
  </si>
  <si>
    <t xml:space="preserve">ted.europa.eu</t>
  </si>
  <si>
    <t xml:space="preserve">FASE 2 — A BREVE (programma personalizzato)</t>
  </si>
  <si>
    <t xml:space="preserve">Chi</t>
  </si>
  <si>
    <t xml:space="preserve">Definire le parole chiave da monitorare</t>
  </si>
  <si>
    <t xml:space="preserve">15 min</t>
  </si>
  <si>
    <t xml:space="preserve">Teodoro</t>
  </si>
  <si>
    <t xml:space="preserve">Es. "servizio energia", "EPC", "PPP illuminazione"...</t>
  </si>
  <si>
    <t xml:space="preserve">Confermare l'elenco enti da tenere sotto controllo</t>
  </si>
  <si>
    <t xml:space="preserve">Già nel Prospetto A3</t>
  </si>
  <si>
    <t xml:space="preserve">Sviluppo del programma in Python</t>
  </si>
  <si>
    <t xml:space="preserve">1–2 ore</t>
  </si>
  <si>
    <t xml:space="preserve">Claude</t>
  </si>
  <si>
    <t xml:space="preserve">In una nuova sessione, fornendo i dati al punto 1 e 2</t>
  </si>
  <si>
    <t xml:space="preserve">Installazione sul computer (file .exe da doppio clic)</t>
  </si>
  <si>
    <t xml:space="preserve">Insieme</t>
  </si>
  <si>
    <t xml:space="preserve">Spiegazione passo-passo</t>
  </si>
  <si>
    <t xml:space="preserve">5</t>
  </si>
  <si>
    <t xml:space="preserve">Test su una settimana, taratura filtri</t>
  </si>
  <si>
    <t xml:space="preserve">7 giorni</t>
  </si>
  <si>
    <t xml:space="preserve">Verificare la qualità degli avvisi</t>
  </si>
  <si>
    <t xml:space="preserve">PAROLE CHIAVE SUGGERITE PER I FILTRI (DA CONFERMARE)</t>
  </si>
  <si>
    <t xml:space="preserve">Area di interesse</t>
  </si>
  <si>
    <t xml:space="preserve">Parole chiave principali</t>
  </si>
  <si>
    <t xml:space="preserve">CPV correlati</t>
  </si>
  <si>
    <t xml:space="preserve">Esempi di gare</t>
  </si>
  <si>
    <t xml:space="preserve">Priorità</t>
  </si>
  <si>
    <t xml:space="preserve">Servizi medicali</t>
  </si>
  <si>
    <t xml:space="preserve">manutenzione apparecchiature biomediche, gas medicali, dispositivi medici</t>
  </si>
  <si>
    <t xml:space="preserve">33</t>
  </si>
  <si>
    <t xml:space="preserve">Az. Zero, Sanità Lazio</t>
  </si>
  <si>
    <t xml:space="preserve">Alta</t>
  </si>
  <si>
    <t xml:space="preserve">Servizi energetici</t>
  </si>
  <si>
    <t xml:space="preserve">servizio energia, EPC, energy performance contract, multi servizio energetico</t>
  </si>
  <si>
    <t xml:space="preserve">50720000, 71314000</t>
  </si>
  <si>
    <t xml:space="preserve">CONSIP SIE PAC/MIES, Az. Zero</t>
  </si>
  <si>
    <t xml:space="preserve">Manutenzione elettrica</t>
  </si>
  <si>
    <t xml:space="preserve">manutenzione impianti elettrici, illuminazione, fotovoltaico</t>
  </si>
  <si>
    <t xml:space="preserve">50711000, 50232100</t>
  </si>
  <si>
    <t xml:space="preserve">ARIA Elettrici, Alghero PI</t>
  </si>
  <si>
    <t xml:space="preserve">Manutenzione idrica</t>
  </si>
  <si>
    <t xml:space="preserve">manutenzione impianti idrici, idrotermosanitario, termoidraulico</t>
  </si>
  <si>
    <t xml:space="preserve">50711000-2, 45330000</t>
  </si>
  <si>
    <t xml:space="preserve">ARIA Idrici</t>
  </si>
  <si>
    <t xml:space="preserve">PPP / Concessioni</t>
  </si>
  <si>
    <t xml:space="preserve">partenariato pubblico privato, PPP, concessione, finanza di progetto</t>
  </si>
  <si>
    <t xml:space="preserve">DAP, San Siro, Alghero</t>
  </si>
  <si>
    <t xml:space="preserve">LINK E DOCUMENTI DELLE GARE — RACCOLTA URL UFFICIALI</t>
  </si>
  <si>
    <t xml:space="preserve">Per ogni gara: stato attuale, link al portale ufficiale, link a documenti specifici quando reperibili. Aggiornato a giugno 2026.</t>
  </si>
  <si>
    <t xml:space="preserve">LEGENDA DEGLI STATI</t>
  </si>
  <si>
    <t xml:space="preserve">Bando attivo / documentazione disponibile</t>
  </si>
  <si>
    <t xml:space="preserve">In consultazione di mercato, manifestazione di interesse o programmazione</t>
  </si>
  <si>
    <t xml:space="preserve">Procedura chiusa o conclusa</t>
  </si>
  <si>
    <t xml:space="preserve">🔴 GARE IN ELABORAZIONE — BANDI PUBBLICATI CON OFFERTE DA PRESENTARE</t>
  </si>
  <si>
    <t xml:space="preserve">Riga</t>
  </si>
  <si>
    <t xml:space="preserve">Gara</t>
  </si>
  <si>
    <t xml:space="preserve">Link diretto / Foglio riferimento</t>
  </si>
  <si>
    <t xml:space="preserve">MIES ID 2950 — Multiservizio Integrato Energia SSN (Ed. 2)</t>
  </si>
  <si>
    <t xml:space="preserve">🔴 IN ELABORAZIONE</t>
  </si>
  <si>
    <t xml:space="preserve">Foglio "Consip MIES 2950" + Acquistinretepa.it (Piattaforma PAD)</t>
  </si>
  <si>
    <t xml:space="preserve">30/09/2026 h.16:00</t>
  </si>
  <si>
    <t xml:space="preserve">Multiservizio Tecnologico AASS Regione Lazio — Ed. 4</t>
  </si>
  <si>
    <t xml:space="preserve">Foglio "Multiservizio Lazio Ed4" + centraleacquisti.regione.lazio.it (S.Tel.LA)</t>
  </si>
  <si>
    <t xml:space="preserve">29/10/2026 (indic.)</t>
  </si>
  <si>
    <t xml:space="preserve">GARE CON DOCUMENTAZIONE GIÀ CARICATA NEL PROGETTO (vedere fogli di dettaglio)</t>
  </si>
  <si>
    <t xml:space="preserve">Manutenzione Impianti Elettrici</t>
  </si>
  <si>
    <t xml:space="preserve">Attivo</t>
  </si>
  <si>
    <t xml:space="preserve">Foglio "ARIA_2026_401" — Manutenzione Imp. Elettrici Sanità (RUP C. Schweigl)</t>
  </si>
  <si>
    <t xml:space="preserve">Scadenza offerte: 18/05/2026 ore 11:00</t>
  </si>
  <si>
    <t xml:space="preserve">Manutenzione Impianti Idrici</t>
  </si>
  <si>
    <t xml:space="preserve">Foglio "ARIA_2026_410" — Manutenzione Imp. Idrici Sanità (GUUE 276431-2026)</t>
  </si>
  <si>
    <t xml:space="preserve">Scadenza offerte: 26/05/2026 ore 11:00</t>
  </si>
  <si>
    <t xml:space="preserve">AQ Servizio Integrato Energia PAL (ID 2849)</t>
  </si>
  <si>
    <t xml:space="preserve">Foglio "Consip ID 2849" — AQ SIE PAL (GUUE S 051 del 13/03/2026)</t>
  </si>
  <si>
    <t xml:space="preserve">Bando GU UE n. 176703-2026 del 13/03/2026</t>
  </si>
  <si>
    <t xml:space="preserve">https://www.consip.it/notizie-avvisi/pubblicata-la-consultazione-del-mercato-per-laffidamento-del-servizio-integrato-energia-per-le-pubbliche-amministrazioni-centrali-sie-pac</t>
  </si>
  <si>
    <t xml:space="preserve">GARE PER LE QUALI HO TROVATO LINK / DOCUMENTI ONLINE</t>
  </si>
  <si>
    <t xml:space="preserve">Link diretto</t>
  </si>
  <si>
    <t xml:space="preserve">MIES ID 2950 — Multiservizio Integrato Energia Sanità (Ed. 2)</t>
  </si>
  <si>
    <t xml:space="preserve">Consip ID 2950 — AQ MIES Ed. 2 (bando pubblicato 28/08/2026, offerte 30/09/2026 h.16)</t>
  </si>
  <si>
    <t xml:space="preserve">🔴 BANDO PUBBLICATO. Determina 25/08/2026, offerte 30/09/2026 h.16, prima seduta 02/10/2026 h.15 (inversione procedimentale). CIG: L1 BCC72E2B3A / L2 BCC72E3C0D / L3 BCC72E4CE0 / L4 BCC72E5DB3 / L5 BCC72E6E86. Vincolo max 2 lotti L1-L4.</t>
  </si>
  <si>
    <t xml:space="preserve">MIES ID 2635 (ed. 1) - PRECEDENTE EDIZIONE già bandita</t>
  </si>
  <si>
    <t xml:space="preserve">Consip ID 2635 — AQ MIES ed. 1 (PRECEDENTE — riferimento)</t>
  </si>
  <si>
    <t xml:space="preserve">La nuova MIES (ID 2950) avrà struttura simile. Utile come riferimento.</t>
  </si>
  <si>
    <t xml:space="preserve">SIE PAC ED.1 - Servizio Integrato Energia Pubblica Amministrazione Centrale</t>
  </si>
  <si>
    <t xml:space="preserve">Consultazione</t>
  </si>
  <si>
    <t xml:space="preserve">Consip — Consultazione SIE PAC ed. 1 (questionario chiuso 19/01/2025)</t>
  </si>
  <si>
    <t xml:space="preserve">Questionario di mercato chiuso il 19/01/2025. Bando in fase di preparazione.</t>
  </si>
  <si>
    <t xml:space="preserve">Multiservizio Tecnologico AASS Regione Lazio — Ed. 4 (EPC)</t>
  </si>
  <si>
    <t xml:space="preserve">Regione Lazio — Multiservizio AASS Ed. 4 (disciplinare 12/06/2026, offerte indic. 29/10/2026)</t>
  </si>
  <si>
    <t xml:space="preserve">🔴 BANDO PUBBLICATO. Disciplinare 12/06/2026, offerte indicative 29/10/2026 (da confermare S.Tel.LA). 10 lotti - MAX 1 per operatore. RUP Ing. Alessio Primavera. Base gara 1.601 mld €. Vedi foglio "Multiservizio Lazio Ed4".</t>
  </si>
  <si>
    <t xml:space="preserve">COMUNE DI MILANO</t>
  </si>
  <si>
    <t xml:space="preserve">PPP "San Siro" - GFU Compendio immobiliare</t>
  </si>
  <si>
    <t xml:space="preserve">Conclusa</t>
  </si>
  <si>
    <t xml:space="preserve">Comune Milano — Avviso DD 2213 del 24/03/2025 (S.Siro: rogito 05/11/2025)</t>
  </si>
  <si>
    <t xml:space="preserve">Avviso pubblico DLgs 38/2021 art.4 c.13 (24/03 - 30/04/2025). Rogito firmato 05/11/2025 a favore di Inter+Milan.</t>
  </si>
  <si>
    <t xml:space="preserve">DAP - MIN. GIUSTIZIA</t>
  </si>
  <si>
    <t xml:space="preserve">PPP Sistema integrato energia istituti penitenziari</t>
  </si>
  <si>
    <t xml:space="preserve">Manif. interesse</t>
  </si>
  <si>
    <t xml:space="preserve">Giustizia.it — Avviso PPP Energia DAP (SBG1416417 + Linee guida 30/03/2025)</t>
  </si>
  <si>
    <t xml:space="preserve">Avviso manifestazione interesse scaduto 31/12/2024. 🆕 LINEE GUIDA pubblicate 03/04/2026 (vedi foglio "DAP Carceri"). Bando atteso.</t>
  </si>
  <si>
    <t xml:space="preserve">GARE CON LINK SINTEL GIÀ NEL PROSPETTO PRINCIPALE</t>
  </si>
  <si>
    <t xml:space="preserve">EPC - Energy Performance Contract</t>
  </si>
  <si>
    <t xml:space="preserve">Attivo / da verificare</t>
  </si>
  <si>
    <t xml:space="preserve">Sintel ID 219510451 — ASP Pavia EPC (procedura aperta, scad. 22/06/2026)</t>
  </si>
  <si>
    <t xml:space="preserve">ID procedura Sintel già nel Prospetto colonna U (riga 12).</t>
  </si>
  <si>
    <t xml:space="preserve">Lavori connessi all'EPC</t>
  </si>
  <si>
    <t xml:space="preserve">Sintel ID 220127460 — ASP Pavia Lavori (procedura aperta, scad. 01/07/2026)</t>
  </si>
  <si>
    <t xml:space="preserve">ID procedura Sintel già nel Prospetto colonna U (riga 13).</t>
  </si>
  <si>
    <t xml:space="preserve">GARE PER LE QUALI NON È DISPONIBILE DOCUMENTAZIONE ONLINE</t>
  </si>
  <si>
    <t xml:space="preserve">Portale di riferimento</t>
  </si>
  <si>
    <t xml:space="preserve">COMUNE ALGHERO</t>
  </si>
  <si>
    <t xml:space="preserve">PPP termico e pubblica illuminazione</t>
  </si>
  <si>
    <t xml:space="preserve">Non pubblicato</t>
  </si>
  <si>
    <t xml:space="preserve">Portale Alghero (Maggioli) — ⚠️ anomalia scadenza QualEnergia 27/02/2026</t>
  </si>
  <si>
    <t xml:space="preserve">Anomalia: QualEnergia.it PRO segnala avviso PPP con scadenza 27/02/2026 (importo n.d.); prospetto riporta 24/04/2026. Tre ipotesi: pre-pubblicazione ritirata / procedure diverse / prospetto da aggiornare. Verificare in azienda.</t>
  </si>
  <si>
    <t xml:space="preserve">NOTA OPERATIVA</t>
  </si>
  <si>
    <t xml:space="preserve">I link in questo foglio sono cliccabili: premi CTRL+clic sulla cella verde (link) per aprire la pagina nel browser. Per le gare in stato "Consultazione" o "Programmazione", l'apertura del bando ufficiale è prevista nei prossimi mesi: una volta uscito il bando, basterà caricare il PDF nel progetto Claude per generare un foglio di dettaglio analogo a quelli già creati (CONSIP ID 2849, ARIA 2026 401, ARIA 2026 410). Per il monitoraggio automatico, vedi il foglio "Ricerca Gare".</t>
  </si>
  <si>
    <t xml:space="preserve">CONSIP MIES 2950 — AQ MULTISERVIZIO INTEGRATO ENERGIA SSN (Ed. 2)</t>
  </si>
  <si>
    <t xml:space="preserve">Aggiornamento scheda</t>
  </si>
  <si>
    <t xml:space="preserve">10 settembre 2026 — bando pubblicato</t>
  </si>
  <si>
    <t xml:space="preserve">🔴 BANDO PUBBLICATO — offerte 30/09/2026</t>
  </si>
  <si>
    <t xml:space="preserve">Ente aggiudicatore</t>
  </si>
  <si>
    <t xml:space="preserve">Consip S.p.A. per conto Ministero Economia e Finanze (MEF)</t>
  </si>
  <si>
    <t xml:space="preserve">Denominazione gara</t>
  </si>
  <si>
    <t xml:space="preserve">Procedura aperta per Accordo Quadro Multiservizio Integrato Energia per gli enti del Servizio Sanitario Nazionale — ID 2950 (Ed. 2)</t>
  </si>
  <si>
    <t xml:space="preserve">Determina a contrarre</t>
  </si>
  <si>
    <t xml:space="preserve">25/08/2026</t>
  </si>
  <si>
    <t xml:space="preserve">Avviso preinformazione</t>
  </si>
  <si>
    <t xml:space="preserve">28/05/2026 (2 avvisi)</t>
  </si>
  <si>
    <t xml:space="preserve">Pubblicazione bando</t>
  </si>
  <si>
    <t xml:space="preserve">28/08/2026</t>
  </si>
  <si>
    <t xml:space="preserve">Consultazione mercato precedente</t>
  </si>
  <si>
    <t xml:space="preserve">chiusa 19/12/2025</t>
  </si>
  <si>
    <t xml:space="preserve">Convenzione precedente</t>
  </si>
  <si>
    <t xml:space="preserve">MIES ID 1379 (Ed. 1) in scadenza</t>
  </si>
  <si>
    <t xml:space="preserve">RUP progetto</t>
  </si>
  <si>
    <t xml:space="preserve">RUP procedimento affidam.</t>
  </si>
  <si>
    <t xml:space="preserve">Dott. Claudio Antonini</t>
  </si>
  <si>
    <t xml:space="preserve">Piattaforma</t>
  </si>
  <si>
    <t xml:space="preserve">PAD Acquistinretepa.it (Consip)</t>
  </si>
  <si>
    <t xml:space="preserve">Autenticazione</t>
  </si>
  <si>
    <t xml:space="preserve">SPID / CIE / CNS</t>
  </si>
  <si>
    <t xml:space="preserve">SCADENZE OPERATIVE</t>
  </si>
  <si>
    <t xml:space="preserve">Chiarimenti — termine invio</t>
  </si>
  <si>
    <t xml:space="preserve">11/09/2026 (min. 19 gg prima scadenza offerte)</t>
  </si>
  <si>
    <t xml:space="preserve">Chiarimenti — risposte</t>
  </si>
  <si>
    <t xml:space="preserve">almeno 6 gg prima scadenza offerte</t>
  </si>
  <si>
    <t xml:space="preserve">🔴 SCADENZA OFFERTE</t>
  </si>
  <si>
    <t xml:space="preserve">30/09/2026 ore 16:00</t>
  </si>
  <si>
    <t xml:space="preserve">Prima seduta di gara</t>
  </si>
  <si>
    <t xml:space="preserve">02/10/2026 ore 15:00 — INVERSIONE PROCEDIMENTALE</t>
  </si>
  <si>
    <t xml:space="preserve">Durata procedimento</t>
  </si>
  <si>
    <t xml:space="preserve">9 mesi dalla pubblicazione bando in BDNCP</t>
  </si>
  <si>
    <t xml:space="preserve">Aggiudicazione stimata</t>
  </si>
  <si>
    <t xml:space="preserve">maggio-giugno 2027</t>
  </si>
  <si>
    <t xml:space="preserve">IMPORTI GLOBALI</t>
  </si>
  <si>
    <t xml:space="preserve">Importo base gara (IVA escl.)</t>
  </si>
  <si>
    <t xml:space="preserve">€ 2.492.000.000</t>
  </si>
  <si>
    <t xml:space="preserve">Importo globale con opzioni</t>
  </si>
  <si>
    <t xml:space="preserve">€ 3.289.440.000</t>
  </si>
  <si>
    <t xml:space="preserve">Incremento art. 120 c.1 lett. a) + c.9</t>
  </si>
  <si>
    <t xml:space="preserve">+ € 797.440.000 (32%)</t>
  </si>
  <si>
    <t xml:space="preserve">Commissione fornitore (Consip)</t>
  </si>
  <si>
    <t xml:space="preserve">1,25% del fatturato</t>
  </si>
  <si>
    <t xml:space="preserve">Costi manodopera stimati</t>
  </si>
  <si>
    <t xml:space="preserve">24% dell'importo (NON ribassabili)</t>
  </si>
  <si>
    <t xml:space="preserve">CCNL Metalmeccanico (C011)</t>
  </si>
  <si>
    <t xml:space="preserve">Oneri sicurezza interferenze</t>
  </si>
  <si>
    <t xml:space="preserve">da quantificare in singolo Ordine di Fornitura</t>
  </si>
  <si>
    <t xml:space="preserve">STRUTTURA IN 5 LOTTI GEOGRAFICI</t>
  </si>
  <si>
    <t xml:space="preserve">LOTTO 1</t>
  </si>
  <si>
    <t xml:space="preserve">CIG BCC72E2B3A — Val d'Aosta + Piemonte 1 (Città metrop. Torino). Volume 3.500.000 m³. Importo base 504.000.000 € / con opzioni 665.280.000 €. SOA OG11 IV bis + OG1 III bis. Cauzione 3.326.400 €. Costi manodopera 140.342.000 €. Fatturato richiesto 40.320.000 € (3/5 anni).</t>
  </si>
  <si>
    <t xml:space="preserve">LOTTO 2</t>
  </si>
  <si>
    <t xml:space="preserve">CIG BCC72E3C0D — Piemonte 2 (tutte province escluse Torino). Volume 4.350.000 m³. Importo base 533.000.000 € / con opzioni 703.560.000 €. SOA OG11 IV + OG1 III. Cauzione 3.517.800 €. Costi manodopera 123.445.000 €. Fatturato richiesto 39.090.000 €.</t>
  </si>
  <si>
    <t xml:space="preserve">LOTTO 3</t>
  </si>
  <si>
    <t xml:space="preserve">CIG BCC72E4CE0 — Provincia Autonoma Bolzano + Veneto 1 (Città metrop. Venezia, BL, TV, VI). Volume 7.600.000 m³. Importo base 598.000.000 € / con opzioni 789.360.000 €. SOA OG11 IV + OG1 III. Cauzione 3.946.800 €. Costi manodopera 146.389.000 €. Fatturato richiesto 35.880.000 €.</t>
  </si>
  <si>
    <t xml:space="preserve">LOTTO 4</t>
  </si>
  <si>
    <t xml:space="preserve">CIG BCC72E5DB3 — Veneto 2 (VR, RO, PD). Volume 6.050.000 m³. Importo base 733.000.000 € / con opzioni 967.560.000 €. SOA OG11 V + OG1 IV. Cauzione 4.837.800 €. Costi manodopera 156.700.000 €. Fatturato richiesto 58.640.000 €.</t>
  </si>
  <si>
    <t xml:space="preserve">LOTTO 5</t>
  </si>
  <si>
    <t xml:space="preserve">CIG BCC72E6E86 — Campania. Volume 1.500.000 m³. Importo base 124.000.000 € / con opzioni 163.680.000 €. SOA OG11 III + OG1 II. Cauzione 818.400 €. Costi manodopera 37.103.000 €. Fatturato richiesto 16.350.000 €. AQ con singolo operatore (gli altri lotti con più operatori).</t>
  </si>
  <si>
    <t xml:space="preserve">VINCOLI DI PARTECIPAZIONE</t>
  </si>
  <si>
    <t xml:space="preserve">Lotti 1-4</t>
  </si>
  <si>
    <t xml:space="preserve">MAX 2 lotti per operatore (per rilevanza economica decrescente in caso di offerta a più)</t>
  </si>
  <si>
    <t xml:space="preserve">Lotto 5</t>
  </si>
  <si>
    <t xml:space="preserve">Nessun vincolo lotti — Accordo Quadro con 1 solo operatore</t>
  </si>
  <si>
    <t xml:space="preserve">Blocco RTI</t>
  </si>
  <si>
    <t xml:space="preserve">In vigore per lotti 1-4: RTI/consorzio sempre stessa composizione</t>
  </si>
  <si>
    <t xml:space="preserve">Massimo aggiudicatari</t>
  </si>
  <si>
    <t xml:space="preserve">per lotto: 4 operatori (con quote% e slot temporali diversi)</t>
  </si>
  <si>
    <t xml:space="preserve">Durata AQ</t>
  </si>
  <si>
    <t xml:space="preserve">36 mesi (prorogabili +18 mesi)</t>
  </si>
  <si>
    <t xml:space="preserve">Durata contratti fornitura</t>
  </si>
  <si>
    <t xml:space="preserve">6 o 9 anni</t>
  </si>
  <si>
    <t xml:space="preserve">CRITERIO DI AGGIUDICAZIONE</t>
  </si>
  <si>
    <t xml:space="preserve">Offerta Economicamente Più Vantaggiosa (OEPV) — miglior rapporto qualità/prezzo (art. 108 D.Lgs. 36/2023)</t>
  </si>
  <si>
    <t xml:space="preserve">CAM applicati</t>
  </si>
  <si>
    <t xml:space="preserve">DM 12/08/2024 CAM EPC (Servizi Energetici) + DM 24/11/2025 CAM Edilizia</t>
  </si>
  <si>
    <t xml:space="preserve">50720000-8 (Riparazione/manutenzione impianti riscaldamento) — codice ATECO 43.22.01</t>
  </si>
  <si>
    <t xml:space="preserve">CPV secondari</t>
  </si>
  <si>
    <t xml:space="preserve">50730000-1, 50711000-2, 50413200-5, 50750000-7, 65200000-5, 65300000-6</t>
  </si>
  <si>
    <t xml:space="preserve">REQUISITI SOA MINIMI PER LOTTO</t>
  </si>
  <si>
    <t xml:space="preserve">Lotto 1</t>
  </si>
  <si>
    <t xml:space="preserve">OG11 IV bis (€ 3.203.000 annui) + OG1 III bis (€ 1.373.000)</t>
  </si>
  <si>
    <t xml:space="preserve">Lotto 2</t>
  </si>
  <si>
    <t xml:space="preserve">OG11 IV (€ 2.336.000) + OG1 III (€ 1.000.000)</t>
  </si>
  <si>
    <t xml:space="preserve">Lotto 3</t>
  </si>
  <si>
    <t xml:space="preserve">OG11 IV (€ 2.280.000) + OG1 III (€ 977.000)</t>
  </si>
  <si>
    <t xml:space="preserve">Lotto 4</t>
  </si>
  <si>
    <t xml:space="preserve">OG11 V (€ 5.208.000) + OG1 IV (€ 2.232.000)</t>
  </si>
  <si>
    <t xml:space="preserve">OG11 III (€ 736.000) + OG1 II (€ 316.000)</t>
  </si>
  <si>
    <t xml:space="preserve">ATI POTENZIALI CERTOSA SERVIZI</t>
  </si>
  <si>
    <t xml:space="preserve">Note strategiche</t>
  </si>
  <si>
    <t xml:space="preserve">ATI da definire. Ipotesi di partecipazione a valutare in funzione dei lotti geografici di maggior interesse (Piemonte, Veneto). Precedente edizione MIES 1379: Certosa non ha partecipato.</t>
  </si>
  <si>
    <t xml:space="preserve">SIE PAL in parallelo</t>
  </si>
  <si>
    <t xml:space="preserve">Attenzione: se Certosa partecipa a CONSIP SIE PAL ID 2849 (in valutazione, offerte 05/05/2026 già presentate) ed è aggiudicataria, valutare compatibilità con quota MIES 2950.</t>
  </si>
  <si>
    <t xml:space="preserve">DOCUMENTI DI GARA</t>
  </si>
  <si>
    <t xml:space="preserve">•</t>
  </si>
  <si>
    <t xml:space="preserve">Bando di gara (pubblicato GUUE/BDNCP il 28/08/2026)</t>
  </si>
  <si>
    <t xml:space="preserve">Capitolato d'Oneri + 16 Allegati (tra cui Allegato 4 Relazione Tecnica, Allegato 5 Elenco Prezzi)</t>
  </si>
  <si>
    <t xml:space="preserve">Capitolato Tecnico + Appendici</t>
  </si>
  <si>
    <t xml:space="preserve">Schema di Accordo Quadro</t>
  </si>
  <si>
    <t xml:space="preserve">DGUE (Request.xml)</t>
  </si>
  <si>
    <t xml:space="preserve">Patto di integrità</t>
  </si>
  <si>
    <t xml:space="preserve">Regole di Sistema E-procurement PA</t>
  </si>
  <si>
    <t xml:space="preserve">Consip AQ SIE PAL</t>
  </si>
  <si>
    <t xml:space="preserve">https://www.acquistinretepa.it/opencms/opencms/scheda_iniziativa.html?idIniziativa=2950</t>
  </si>
  <si>
    <t xml:space="preserve">GUUE / TED</t>
  </si>
  <si>
    <t xml:space="preserve">https://ted.europa.eu (cercare per ID 2950)</t>
  </si>
  <si>
    <t xml:space="preserve">ANAC BDNCP</t>
  </si>
  <si>
    <t xml:space="preserve">https://dati.anticorruzione.it (cercare per CIG BCC72E2B3A ecc.)</t>
  </si>
  <si>
    <t xml:space="preserve">REGIONE LAZIO — MULTISERVIZIO TECNOLOGICO AASS ED. 4</t>
  </si>
  <si>
    <t xml:space="preserve">🔴 BANDO PUBBLICATO — offerte indicative 29/10/2026</t>
  </si>
  <si>
    <t xml:space="preserve">Regione Lazio — Direzione Centrale Acquisti (Soggetto Aggregatore per le Aziende Sanitarie del Lazio)</t>
  </si>
  <si>
    <t xml:space="preserve">Gara comunitaria centralizzata a procedura aperta per il multiservizio tecnologico di manutenzione degli impianti relativi agli immobili in uso alle AASS Lazio — Ed. 4</t>
  </si>
  <si>
    <t xml:space="preserve">Tipo contratto</t>
  </si>
  <si>
    <t xml:space="preserve">EPC (Energy Performance Contract) — CAM EPC (DM 12/08/2024) + CAM Edilizia + CAM Pulizie</t>
  </si>
  <si>
    <t xml:space="preserve">Data disciplinare</t>
  </si>
  <si>
    <t xml:space="preserve">12/06/2026</t>
  </si>
  <si>
    <t xml:space="preserve">Data progetto servizio</t>
  </si>
  <si>
    <t xml:space="preserve">10/07/2026</t>
  </si>
  <si>
    <t xml:space="preserve">Ing. Alessio Primavera — aprimavera@regione.lazio.it</t>
  </si>
  <si>
    <t xml:space="preserve">Doc. tecnici via email</t>
  </si>
  <si>
    <t xml:space="preserve">Planimetrie, bollette, diagnosi energetiche → ftrivisondoli@regione.lazio.it</t>
  </si>
  <si>
    <t xml:space="preserve">S.Tel.LA — https://centraleacquisti.regione.lazio.it</t>
  </si>
  <si>
    <t xml:space="preserve">Help desk piattaforma</t>
  </si>
  <si>
    <t xml:space="preserve">supporto.stella@regione.lazio.it — 06/997744 (lun-ven 9-13 / 14-18)</t>
  </si>
  <si>
    <t xml:space="preserve">SPID / CIE / CNS + firma digitale + PEC</t>
  </si>
  <si>
    <t xml:space="preserve">Riferimento normativo</t>
  </si>
  <si>
    <t xml:space="preserve">D.Lgs. 36/2023 (Codice contratti pubblici) e allegati</t>
  </si>
  <si>
    <t xml:space="preserve">Data pubblicazione bando</t>
  </si>
  <si>
    <t xml:space="preserve">12/06/2026 (disciplinare) — da verificare pubblicazione GUUE su S.Tel.LA</t>
  </si>
  <si>
    <t xml:space="preserve">29/10/2026 (indicativa da InfoGare — DA CONFERMARE su S.Tel.LA)</t>
  </si>
  <si>
    <t xml:space="preserve">Validità offerta</t>
  </si>
  <si>
    <t xml:space="preserve">Sopralluogo obbligatorio</t>
  </si>
  <si>
    <t xml:space="preserve">Entro 30 giorni dalla scadenza offerte (richiesta via email all'AS)</t>
  </si>
  <si>
    <t xml:space="preserve">Importo base 108 mesi</t>
  </si>
  <si>
    <t xml:space="preserve">€ 1.601.415.191,61 (IVA escl.)</t>
  </si>
  <si>
    <t xml:space="preserve">€ 98.000,00 (non soggetti a ribasso)</t>
  </si>
  <si>
    <t xml:space="preserve">Importo complessivo</t>
  </si>
  <si>
    <t xml:space="preserve">€ 1.601.513.191,61 (IVA escl.)</t>
  </si>
  <si>
    <t xml:space="preserve">Valore globale con opzioni</t>
  </si>
  <si>
    <t xml:space="preserve">€ 2.010.788.785,02</t>
  </si>
  <si>
    <t xml:space="preserve">  di cui quinto d'obbligo</t>
  </si>
  <si>
    <t xml:space="preserve">€ 320.302.638,32</t>
  </si>
  <si>
    <t xml:space="preserve">  di cui proroga 6 mesi</t>
  </si>
  <si>
    <t xml:space="preserve">€ 88.972.955,09</t>
  </si>
  <si>
    <t xml:space="preserve">Basi d'asta energia</t>
  </si>
  <si>
    <t xml:space="preserve">Spread elettrico 0,05000 €/kWh — Spread termico 0,02000 €/kWh — Acqua 3,00 €/m³</t>
  </si>
  <si>
    <t xml:space="preserve">Stime prezzo 2026</t>
  </si>
  <si>
    <t xml:space="preserve">EE 0,22356 €/kWh — ET 0,06170 €/kWh — fattore 9,59 kWh/Sm³</t>
  </si>
  <si>
    <t xml:space="preserve">CCNL C011 (Metalmeccanico) o equivalente (Allegato 7 se diverso)</t>
  </si>
  <si>
    <t xml:space="preserve">STRUTTURA IN 10 LOTTI (max 1 per operatore)</t>
  </si>
  <si>
    <t xml:space="preserve">A.O. S. Giovanni Addolorata + A.O.U. Sant'Andrea — importo base 221.168.519,46 € / con opz. 277.704.932,21 €. Cauzione 5.554.098,64 €. SOA OG1+OG11 classifica IV. Oneri interf. 12.400 €.</t>
  </si>
  <si>
    <t xml:space="preserve">ASL Roma 2 — importo base 219.327.828,75 € / con opz. 275.391.331,65 €. Cauzione 5.507.826,63 €. SOA IV. Oneri interf. 10.400 €.</t>
  </si>
  <si>
    <t xml:space="preserve">ASL Roma 1 — importo base 200.864.571,66 € / con opz. 252.209.686,64 €. Cauzione 5.044.193,73 €. SOA IV. Oneri interf. 10.400 €.</t>
  </si>
  <si>
    <t xml:space="preserve">ASL Frosinone — importo base 197.289.827,64 € / con opz. 247.721.396,93 €. Cauzione 4.954.427,94 €. SOA IV. Oneri interf. 10.400 €.</t>
  </si>
  <si>
    <t xml:space="preserve">ASL Roma 6 — importo base 149.718.371,40 € / con opz. 187.992.790,76 €. Cauzione 3.759.855,82 €. SOA III bis. Oneri interf. 10.400 €.</t>
  </si>
  <si>
    <t xml:space="preserve">LOTTO 6</t>
  </si>
  <si>
    <t xml:space="preserve">ASL Latina — importo base 148.743.219,33 € / con opz. 186.768.433,16 €. Cauzione 3.735.368,66 €. SOA IV. Oneri interf. 10.400 €.</t>
  </si>
  <si>
    <t xml:space="preserve">LOTTO 7</t>
  </si>
  <si>
    <t xml:space="preserve">ASL Roma 3 + ASL Roma 4 — importo base 125.567.749,80 € / con opz. 157.672.352,53 €. Cauzione 3.153.447,05 €. SOA III bis. Oneri interf. 12.000 €.</t>
  </si>
  <si>
    <t xml:space="preserve">LOTTO 8</t>
  </si>
  <si>
    <t xml:space="preserve">Policlinico Tor Vergata — importo base 115.326.648,63 € / con opz. 144.806.045,50 €. Cauzione 2.896.120,91 €. SOA III bis. Oneri interf. 5.600 €.</t>
  </si>
  <si>
    <t xml:space="preserve">LOTTO 9</t>
  </si>
  <si>
    <t xml:space="preserve">ASL Roma 5 — importo base 114.922.666,53 € / con opz. 144.303.845,75 €. Cauzione 2.886.076,92 €. SOA III bis. Oneri interf. 9.600 €.</t>
  </si>
  <si>
    <t xml:space="preserve">LOTTO 10</t>
  </si>
  <si>
    <t xml:space="preserve">ASL Rieti — importo base 108.485.788,41 € / con opz. 136.217.969,89 €. Cauzione 2.724.359,40 €. SOA III bis. Oneri interf. 6.400 €.</t>
  </si>
  <si>
    <t xml:space="preserve">Durata Convenzione</t>
  </si>
  <si>
    <t xml:space="preserve">24 mesi (per emettere Ordinativi di fornitura)</t>
  </si>
  <si>
    <t xml:space="preserve">Durata Ordinativi</t>
  </si>
  <si>
    <t xml:space="preserve">108 mesi (9 anni) dall'emissione + eventuale proroga di 6 mesi (art. 120 c.10)</t>
  </si>
  <si>
    <t xml:space="preserve">Totale complessivo</t>
  </si>
  <si>
    <t xml:space="preserve">fino a 24 + 108 + 6 = 138 mesi (11,5 anni)</t>
  </si>
  <si>
    <t xml:space="preserve">OEPV — miglior rapporto qualità/prezzo (base 100)</t>
  </si>
  <si>
    <t xml:space="preserve">Offerta Tecnica</t>
  </si>
  <si>
    <t xml:space="preserve">70 punti — 4 aree: (1) Organizzazione servizio 28 pt, (2) Gestione informatizzata 10 pt, (3) Sostenibilità ambientale 29 pt, (4) Certificazioni 3 pt</t>
  </si>
  <si>
    <t xml:space="preserve">Offerta Economica</t>
  </si>
  <si>
    <t xml:space="preserve">30 punti — formula C=(Ribasso_i/Ribasso_max)^0,5. 6 ribassi separati: spread termico (2 pt), spread elettrico (2,5 pt), acqua (1 pt), canoni manutentivi (17 pt), Prezziario Lazio (5 pt), Prezziario DEI (2 pt)</t>
  </si>
  <si>
    <t xml:space="preserve">Soglia anomalia</t>
  </si>
  <si>
    <t xml:space="preserve">Offerte &gt;4/5 punteggio tecnico E economico → verifica congruità</t>
  </si>
  <si>
    <t xml:space="preserve">REQUISITI DI PARTECIPAZIONE</t>
  </si>
  <si>
    <t xml:space="preserve">Idoneità professionale</t>
  </si>
  <si>
    <t xml:space="preserve">Iscrizione Registro Imprese / Albo artigiane per attività inerenti l'oggetto (§6.1)</t>
  </si>
  <si>
    <t xml:space="preserve">Economico-finanziari</t>
  </si>
  <si>
    <t xml:space="preserve">Fatturato globale ≥ 60% Valore globale del lotto (migliori 3 di 5 anni 2021-2025) — soddisfatto dal RTI nel complesso</t>
  </si>
  <si>
    <t xml:space="preserve">Tecnico-professionali (a)</t>
  </si>
  <si>
    <t xml:space="preserve">≥ 3 servizi analoghi ultimi 10 anni presso Enti sanitari (pub/priv), complessivamente ≥ 30% Valore globale del lotto, almeno 1 in modalità "servizio energia"</t>
  </si>
  <si>
    <t xml:space="preserve">Tecnico-professionali (b)</t>
  </si>
  <si>
    <t xml:space="preserve">SOA OG1 + OG11 classifica pari al 50% valore annuo extra-canone. Somma classifiche RTI: L1-4+6: €2.582.000 OG1 + €2.582.000 OG11; L5,7-10: €1.500.000 + €1.500.000</t>
  </si>
  <si>
    <t xml:space="preserve">White list / Patente cantieri</t>
  </si>
  <si>
    <t xml:space="preserve">Richiesta per attività a rischio infiltrazione; patente a punti (art. 27 D.Lgs. 81/2008) o SOA ≥ III</t>
  </si>
  <si>
    <t xml:space="preserve">Clausola sociale</t>
  </si>
  <si>
    <t xml:space="preserve">Assorbimento prioritario personale uscente (Allegato 5) + Progetto riassorbimento (Allegato 6) in Busta Tecnica. 30% occupazione giovanile a pena esclusione</t>
  </si>
  <si>
    <t xml:space="preserve">Sovvenzioni estere</t>
  </si>
  <si>
    <t xml:space="preserve">Reg. UE 2022/2560: obbligo dichiarativo Allegato II Reg. 2023/1441 (lotti ≥ 125 mln)</t>
  </si>
  <si>
    <t xml:space="preserve">Vincolo aggiudicazione</t>
  </si>
  <si>
    <t xml:space="preserve">MAX 1 lotto aggiudicabile per concorrente (art. 58 Codice)</t>
  </si>
  <si>
    <t xml:space="preserve">GARANZIA PROVVISORIA E RIDUZIONI</t>
  </si>
  <si>
    <t xml:space="preserve">Cauzione provvisoria</t>
  </si>
  <si>
    <t xml:space="preserve">2% importo complessivo lotto — validità 270 gg — Schema DM 193/2022</t>
  </si>
  <si>
    <t xml:space="preserve">Riduzioni cumulabili</t>
  </si>
  <si>
    <t xml:space="preserve">-30% ISO 9001 — -50% PMI — -10% fideiussione telematica — -20% Allegato II.13 certificazioni</t>
  </si>
  <si>
    <t xml:space="preserve">Contributo ANAC</t>
  </si>
  <si>
    <t xml:space="preserve">€ 560,00 per ciascun lotto (condizione di ammissibilità)</t>
  </si>
  <si>
    <t xml:space="preserve">Imposta di bollo</t>
  </si>
  <si>
    <t xml:space="preserve">€ 16 sulla domanda di partecipazione</t>
  </si>
  <si>
    <t xml:space="preserve">STRUTTURA DELLE BUSTE</t>
  </si>
  <si>
    <t xml:space="preserve">BUSTA A — Amministrativa</t>
  </si>
  <si>
    <t xml:space="preserve">14 documenti: domanda, DGUE, garanzia, contributo ANAC, sopralluogo, avvalimento, RTI, sovvenzioni estere, GDPR, antimafia. Max 100 MB/file</t>
  </si>
  <si>
    <t xml:space="preserve">BUSTA B — Tecnica (1/lotto)</t>
  </si>
  <si>
    <t xml:space="preserve">7 documenti: Relazione tecnica (Allegato 3, max 40 facciate), Piano interventi riqualificazione energetica, certificazioni tabellari, doc. comprova, avvalimento premiale, dichiarazione parti riservate, Progetto riassorbimento (Allegato 6)</t>
  </si>
  <si>
    <t xml:space="preserve">BUSTA C — Economica (1/lotto)</t>
  </si>
  <si>
    <t xml:space="preserve">11 voci: ribassi separati su termico/elettrico/acqua/canoni/Prezziario Lazio/Prezziario DEI/economia; oneri sicurezza aziendale; costi manodopera canone/extra-canone; Allegato 7 se CCNL ≠ C011</t>
  </si>
  <si>
    <t xml:space="preserve">Configurazione da valutare</t>
  </si>
  <si>
    <t xml:space="preserve">Precedente configurazione tracciata: GETEC 80% + Certosa Servizi 20%. Da RICONFERMARE per Ed. 4 in funzione del/dei lotti scelti.</t>
  </si>
  <si>
    <t xml:space="preserve">Focus lotti geografici</t>
  </si>
  <si>
    <t xml:space="preserve">Lotti a Roma (2, 3, 5, 7, 8, 9), Lazio nord (10 Rieti), Lazio sud (4 Frosinone, 6 Latina, 1 Roma centro). Attenzione al vincolo MAX 1 lotto per operatore.</t>
  </si>
  <si>
    <t xml:space="preserve">Requisiti chiave</t>
  </si>
  <si>
    <t xml:space="preserve">Serve SOA OG1+OG11 classifica IV (lotti 1-4, 6) o III bis (lotti 5, 7-10). 3 servizi analoghi in enti sanitari negli ultimi 10 anni per ≥30% valore globale.</t>
  </si>
  <si>
    <t xml:space="preserve">DOCUMENTI DI GARA (dallo schema)</t>
  </si>
  <si>
    <t xml:space="preserve">01 Progetto del servizio (10/07/2026)</t>
  </si>
  <si>
    <t xml:space="preserve">02 Disciplinare di gara (12/06/2026)</t>
  </si>
  <si>
    <t xml:space="preserve">11 Capitolato tecnico (12/06/2026 v4)</t>
  </si>
  <si>
    <t xml:space="preserve">12 Disciplinare tecnico (12/06/2026 v6)</t>
  </si>
  <si>
    <t xml:space="preserve">13 Allegato B — Listino prezzi</t>
  </si>
  <si>
    <t xml:space="preserve">Allegato C — Consistenze (12 fogli, 1 per AS)</t>
  </si>
  <si>
    <t xml:space="preserve">15 Allegato D — Schede periodicità (12/06/2026)</t>
  </si>
  <si>
    <t xml:space="preserve">16 Allegato E — Dettaglio cogeneratori</t>
  </si>
  <si>
    <t xml:space="preserve">Allegato F — Baseline consumi energetici (12 file, 1 per AS, 3 fogli per anno)</t>
  </si>
  <si>
    <t xml:space="preserve">29 Schema di Convenzione</t>
  </si>
  <si>
    <t xml:space="preserve">Allegati 1-10 amministrativi/tecnici (compilazione + firma digitale)</t>
  </si>
  <si>
    <t xml:space="preserve">⚠ Allegato 11 (DGR 473/2026 Allegato 2): NON incluso nella cartella — reperire su S.Tel.LA / Amm. Trasparente</t>
  </si>
  <si>
    <t xml:space="preserve">S.Tel.LA Bandi</t>
  </si>
  <si>
    <t xml:space="preserve">InfoGare Lazio</t>
  </si>
  <si>
    <t xml:space="preserve">https://www.infogare.it/lazio-multiservizio-tecnologico-aass-2026/</t>
  </si>
  <si>
    <t xml:space="preserve">https://dati.anticorruzione.it (cercare per CIG dopo pubblicazione S.Tel.LA)</t>
  </si>
</sst>
</file>

<file path=xl/styles.xml><?xml version="1.0" encoding="utf-8"?>
<styleSheet xmlns="http://schemas.openxmlformats.org/spreadsheetml/2006/main">
  <numFmts count="9">
    <numFmt numFmtId="164" formatCode="General"/>
    <numFmt numFmtId="165" formatCode="#,##0&quot; €&quot;"/>
    <numFmt numFmtId="166" formatCode="dd/mm/yy"/>
    <numFmt numFmtId="167" formatCode="#,##0.00&quot; €&quot;"/>
    <numFmt numFmtId="168" formatCode="General"/>
    <numFmt numFmtId="169" formatCode="0.0%"/>
    <numFmt numFmtId="170" formatCode="m/d/yyyy"/>
    <numFmt numFmtId="171" formatCode="0%"/>
    <numFmt numFmtId="172" formatCode="#,##0"/>
  </numFmts>
  <fonts count="42">
    <font>
      <sz val="11"/>
      <color theme="1"/>
      <name val="Calibri"/>
      <family val="2"/>
      <charset val="1"/>
    </font>
    <font>
      <sz val="10"/>
      <name val="Arial"/>
      <family val="0"/>
    </font>
    <font>
      <sz val="10"/>
      <name val="Arial"/>
      <family val="0"/>
    </font>
    <font>
      <sz val="10"/>
      <name val="Arial"/>
      <family val="0"/>
    </font>
    <font>
      <sz val="8"/>
      <color theme="1"/>
      <name val="Calibri"/>
      <family val="2"/>
      <charset val="1"/>
    </font>
    <font>
      <sz val="7"/>
      <color theme="1"/>
      <name val="Calibri"/>
      <family val="2"/>
      <charset val="1"/>
    </font>
    <font>
      <sz val="6"/>
      <color theme="1"/>
      <name val="Calibri"/>
      <family val="2"/>
      <charset val="1"/>
    </font>
    <font>
      <b val="true"/>
      <sz val="16"/>
      <color rgb="FF1F3864"/>
      <name val="Arial"/>
      <family val="2"/>
      <charset val="1"/>
    </font>
    <font>
      <b val="true"/>
      <sz val="7.5"/>
      <color rgb="FFFFFFFF"/>
      <name val="Arial"/>
      <family val="0"/>
      <charset val="1"/>
    </font>
    <font>
      <b val="true"/>
      <sz val="7.5"/>
      <color rgb="FFFFFFFF"/>
      <name val="Arial"/>
      <family val="2"/>
      <charset val="1"/>
    </font>
    <font>
      <b val="true"/>
      <sz val="7"/>
      <color rgb="FFFFFFFF"/>
      <name val="Arial"/>
      <family val="2"/>
      <charset val="1"/>
    </font>
    <font>
      <b val="true"/>
      <sz val="10"/>
      <color rgb="FFFFFFFF"/>
      <name val="Arial"/>
      <family val="0"/>
      <charset val="1"/>
    </font>
    <font>
      <u val="single"/>
      <sz val="11"/>
      <color theme="10"/>
      <name val="Calibri"/>
      <family val="2"/>
      <charset val="1"/>
    </font>
    <font>
      <sz val="9"/>
      <name val="Arial"/>
      <family val="0"/>
      <charset val="1"/>
    </font>
    <font>
      <sz val="8"/>
      <name val="Arial"/>
      <family val="2"/>
      <charset val="1"/>
    </font>
    <font>
      <sz val="7"/>
      <name val="Arial"/>
      <family val="2"/>
      <charset val="1"/>
    </font>
    <font>
      <b val="true"/>
      <sz val="7"/>
      <name val="Arial"/>
      <family val="2"/>
      <charset val="1"/>
    </font>
    <font>
      <u val="single"/>
      <sz val="9"/>
      <color rgb="FF0563C1"/>
      <name val="Arial"/>
      <family val="0"/>
      <charset val="1"/>
    </font>
    <font>
      <sz val="8"/>
      <name val="Arial"/>
      <family val="0"/>
      <charset val="1"/>
    </font>
    <font>
      <sz val="9"/>
      <name val="Arial"/>
      <family val="2"/>
      <charset val="1"/>
    </font>
    <font>
      <b val="true"/>
      <sz val="6"/>
      <name val="Arial"/>
      <family val="2"/>
      <charset val="1"/>
    </font>
    <font>
      <u val="single"/>
      <sz val="7"/>
      <color theme="10"/>
      <name val="Calibri"/>
      <family val="2"/>
      <charset val="1"/>
    </font>
    <font>
      <u val="single"/>
      <sz val="6"/>
      <color theme="10"/>
      <name val="Calibri"/>
      <family val="2"/>
      <charset val="1"/>
    </font>
    <font>
      <b val="true"/>
      <sz val="14"/>
      <color rgb="FFFFFFFF"/>
      <name val="Arial"/>
      <family val="0"/>
      <charset val="1"/>
    </font>
    <font>
      <b val="true"/>
      <sz val="9"/>
      <color rgb="FFFFFFFF"/>
      <name val="Arial"/>
      <family val="0"/>
      <charset val="1"/>
    </font>
    <font>
      <b val="true"/>
      <sz val="9"/>
      <name val="Arial"/>
      <family val="0"/>
      <charset val="1"/>
    </font>
    <font>
      <b val="true"/>
      <sz val="11"/>
      <color rgb="FFFFFFFF"/>
      <name val="Arial"/>
      <family val="0"/>
      <charset val="1"/>
    </font>
    <font>
      <i val="true"/>
      <sz val="8"/>
      <color rgb="FF595959"/>
      <name val="Arial"/>
      <family val="0"/>
      <charset val="1"/>
    </font>
    <font>
      <b val="true"/>
      <sz val="9"/>
      <color rgb="FFC00000"/>
      <name val="Arial"/>
      <family val="0"/>
      <charset val="1"/>
    </font>
    <font>
      <b val="true"/>
      <sz val="14"/>
      <name val="Arial"/>
      <family val="0"/>
      <charset val="1"/>
    </font>
    <font>
      <b val="true"/>
      <sz val="14"/>
      <color rgb="FF1F3864"/>
      <name val="Arial"/>
      <family val="0"/>
      <charset val="1"/>
    </font>
    <font>
      <sz val="9"/>
      <color rgb="FF808080"/>
      <name val="Arial"/>
      <family val="0"/>
      <charset val="1"/>
    </font>
    <font>
      <i val="true"/>
      <sz val="9"/>
      <color rgb="FF595959"/>
      <name val="Arial"/>
      <family val="0"/>
      <charset val="1"/>
    </font>
    <font>
      <i val="true"/>
      <sz val="9"/>
      <color rgb="FF808080"/>
      <name val="Arial"/>
      <family val="0"/>
      <charset val="1"/>
    </font>
    <font>
      <b val="true"/>
      <sz val="9"/>
      <color theme="1"/>
      <name val="Arial"/>
      <family val="0"/>
      <charset val="1"/>
    </font>
    <font>
      <sz val="9"/>
      <color theme="1"/>
      <name val="Arial"/>
      <family val="0"/>
      <charset val="1"/>
    </font>
    <font>
      <i val="true"/>
      <sz val="8"/>
      <color rgb="FF808080"/>
      <name val="Arial"/>
      <family val="0"/>
      <charset val="1"/>
    </font>
    <font>
      <u val="single"/>
      <sz val="9"/>
      <color theme="10"/>
      <name val="Arial"/>
      <family val="0"/>
      <charset val="1"/>
    </font>
    <font>
      <sz val="10"/>
      <name val="Arial"/>
      <family val="2"/>
    </font>
    <font>
      <b val="true"/>
      <sz val="10"/>
      <color rgb="FF1F3864"/>
      <name val="Arial"/>
      <family val="0"/>
      <charset val="1"/>
    </font>
    <font>
      <b val="true"/>
      <sz val="9"/>
      <color rgb="FF1F3864"/>
      <name val="Arial"/>
      <family val="0"/>
      <charset val="1"/>
    </font>
    <font>
      <sz val="9"/>
      <color rgb="FF0000FF"/>
      <name val="Arial"/>
      <family val="0"/>
      <charset val="1"/>
    </font>
  </fonts>
  <fills count="17">
    <fill>
      <patternFill patternType="none"/>
    </fill>
    <fill>
      <patternFill patternType="gray125"/>
    </fill>
    <fill>
      <patternFill patternType="solid">
        <fgColor rgb="FF1F3864"/>
        <bgColor rgb="FF404040"/>
      </patternFill>
    </fill>
    <fill>
      <patternFill patternType="solid">
        <fgColor rgb="FF7F7F7F"/>
        <bgColor rgb="FF808080"/>
      </patternFill>
    </fill>
    <fill>
      <patternFill patternType="solid">
        <fgColor rgb="FFBF8F00"/>
        <bgColor rgb="FFFF6600"/>
      </patternFill>
    </fill>
    <fill>
      <patternFill patternType="solid">
        <fgColor rgb="FFF2F2F2"/>
        <bgColor rgb="FFE2EFDA"/>
      </patternFill>
    </fill>
    <fill>
      <patternFill patternType="solid">
        <fgColor rgb="FFFFFF00"/>
        <bgColor rgb="FFFFFF00"/>
      </patternFill>
    </fill>
    <fill>
      <patternFill patternType="solid">
        <fgColor rgb="FF2E7D32"/>
        <bgColor rgb="FF008080"/>
      </patternFill>
    </fill>
    <fill>
      <patternFill patternType="solid">
        <fgColor rgb="FF1F5FA8"/>
        <bgColor rgb="FF2E5395"/>
      </patternFill>
    </fill>
    <fill>
      <patternFill patternType="solid">
        <fgColor rgb="FFD9D9D9"/>
        <bgColor rgb="FFD9E1F2"/>
      </patternFill>
    </fill>
    <fill>
      <patternFill patternType="solid">
        <fgColor rgb="FFDDEBF7"/>
        <bgColor rgb="FFD9E1F2"/>
      </patternFill>
    </fill>
    <fill>
      <patternFill patternType="solid">
        <fgColor rgb="FF2E5395"/>
        <bgColor rgb="FF1F5FA8"/>
      </patternFill>
    </fill>
    <fill>
      <patternFill patternType="solid">
        <fgColor rgb="FFC00000"/>
        <bgColor rgb="FF9C0006"/>
      </patternFill>
    </fill>
    <fill>
      <patternFill patternType="solid">
        <fgColor rgb="FFFFF2CC"/>
        <bgColor rgb="FFFCE4D6"/>
      </patternFill>
    </fill>
    <fill>
      <patternFill patternType="solid">
        <fgColor rgb="FFD9E1F2"/>
        <bgColor rgb="FFDDEBF7"/>
      </patternFill>
    </fill>
    <fill>
      <patternFill patternType="solid">
        <fgColor rgb="FFE2EFDA"/>
        <bgColor rgb="FFDDEBF7"/>
      </patternFill>
    </fill>
    <fill>
      <patternFill patternType="solid">
        <fgColor rgb="FFFCE4D6"/>
        <bgColor rgb="FFFFF2CC"/>
      </patternFill>
    </fill>
  </fills>
  <borders count="33">
    <border diagonalUp="false" diagonalDown="false">
      <left/>
      <right/>
      <top/>
      <bottom/>
      <diagonal/>
    </border>
    <border diagonalUp="false" diagonalDown="false">
      <left style="medium">
        <color rgb="FF404040"/>
      </left>
      <right style="thin">
        <color rgb="FFBFBFBF"/>
      </right>
      <top style="medium">
        <color rgb="FF404040"/>
      </top>
      <bottom style="medium">
        <color rgb="FF404040"/>
      </bottom>
      <diagonal/>
    </border>
    <border diagonalUp="false" diagonalDown="false">
      <left style="thin">
        <color rgb="FFBFBFBF"/>
      </left>
      <right style="thin">
        <color rgb="FFBFBFBF"/>
      </right>
      <top style="medium">
        <color rgb="FF404040"/>
      </top>
      <bottom style="medium">
        <color rgb="FF404040"/>
      </bottom>
      <diagonal/>
    </border>
    <border diagonalUp="false" diagonalDown="false">
      <left style="thin">
        <color rgb="FFBFBFBF"/>
      </left>
      <right style="thin">
        <color rgb="FFBFBFBF"/>
      </right>
      <top style="medium">
        <color rgb="FF404040"/>
      </top>
      <bottom style="thin">
        <color rgb="FFBFBFBF"/>
      </bottom>
      <diagonal/>
    </border>
    <border diagonalUp="false" diagonalDown="false">
      <left style="thin">
        <color rgb="FFBFBFBF"/>
      </left>
      <right style="medium">
        <color rgb="FF404040"/>
      </right>
      <top style="medium">
        <color rgb="FF404040"/>
      </top>
      <bottom style="medium">
        <color rgb="FF404040"/>
      </bottom>
      <diagonal/>
    </border>
    <border diagonalUp="false" diagonalDown="false">
      <left style="thin">
        <color rgb="FFBFBFBF"/>
      </left>
      <right style="thin">
        <color rgb="FFBFBFBF"/>
      </right>
      <top style="thin">
        <color rgb="FFBFBFBF"/>
      </top>
      <bottom style="medium">
        <color rgb="FF404040"/>
      </bottom>
      <diagonal/>
    </border>
    <border diagonalUp="false" diagonalDown="false">
      <left style="medium">
        <color rgb="FF404040"/>
      </left>
      <right style="medium">
        <color rgb="FF404040"/>
      </right>
      <top style="thin">
        <color rgb="FFBFBFBF"/>
      </top>
      <bottom style="medium">
        <color rgb="FF404040"/>
      </bottom>
      <diagonal/>
    </border>
    <border diagonalUp="false" diagonalDown="false">
      <left style="medium">
        <color rgb="FF404040"/>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medium">
        <color rgb="FF404040"/>
      </right>
      <top style="thin">
        <color rgb="FFBFBFBF"/>
      </top>
      <bottom style="thin">
        <color rgb="FFBFBFBF"/>
      </bottom>
      <diagonal/>
    </border>
    <border diagonalUp="false" diagonalDown="false">
      <left style="medium">
        <color rgb="FF404040"/>
      </left>
      <right style="thin">
        <color rgb="FFBFBFBF"/>
      </right>
      <top style="thin">
        <color rgb="FFBFBFBF"/>
      </top>
      <bottom style="medium">
        <color rgb="FF404040"/>
      </bottom>
      <diagonal/>
    </border>
    <border diagonalUp="false" diagonalDown="false">
      <left style="thin">
        <color rgb="FFBFBFBF"/>
      </left>
      <right/>
      <top style="thin">
        <color rgb="FFBFBFBF"/>
      </top>
      <bottom style="medium">
        <color rgb="FF404040"/>
      </bottom>
      <diagonal/>
    </border>
    <border diagonalUp="false" diagonalDown="false">
      <left style="thin">
        <color rgb="FFBFBFBF"/>
      </left>
      <right style="medium">
        <color rgb="FF404040"/>
      </right>
      <top style="thin">
        <color rgb="FFBFBFBF"/>
      </top>
      <bottom style="medium">
        <color rgb="FF404040"/>
      </bottom>
      <diagonal/>
    </border>
    <border diagonalUp="false" diagonalDown="false">
      <left/>
      <right/>
      <top style="thin">
        <color rgb="FFBFBFBF"/>
      </top>
      <bottom style="medium">
        <color rgb="FF404040"/>
      </bottom>
      <diagonal/>
    </border>
    <border diagonalUp="false" diagonalDown="false">
      <left/>
      <right style="medium">
        <color rgb="FF404040"/>
      </right>
      <top style="thin">
        <color rgb="FFBFBFBF"/>
      </top>
      <bottom style="medium">
        <color rgb="FF404040"/>
      </bottom>
      <diagonal/>
    </border>
    <border diagonalUp="false" diagonalDown="false">
      <left style="medium">
        <color rgb="FF404040"/>
      </left>
      <right style="thin">
        <color rgb="FFBFBFBF"/>
      </right>
      <top style="thin">
        <color rgb="FFBFBFBF"/>
      </top>
      <bottom style="thin">
        <color theme="0" tint="-0.35"/>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style="thin">
        <color rgb="FFBFBFBF"/>
      </top>
      <bottom style="thin">
        <color theme="0" tint="-0.35"/>
      </bottom>
      <diagonal/>
    </border>
    <border diagonalUp="false" diagonalDown="false">
      <left style="thin">
        <color rgb="FFBFBFBF"/>
      </left>
      <right/>
      <top style="thin">
        <color rgb="FFBFBFBF"/>
      </top>
      <bottom style="thin">
        <color theme="0" tint="-0.35"/>
      </bottom>
      <diagonal/>
    </border>
    <border diagonalUp="false" diagonalDown="false">
      <left style="thin">
        <color rgb="FFBFBFBF"/>
      </left>
      <right style="medium">
        <color rgb="FF404040"/>
      </right>
      <top style="thin">
        <color rgb="FFBFBFBF"/>
      </top>
      <bottom style="thin">
        <color theme="0" tint="-0.35"/>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right style="thin">
        <color rgb="FFB0B0B0"/>
      </right>
      <top style="thin">
        <color rgb="FFB0B0B0"/>
      </top>
      <bottom style="thin">
        <color rgb="FFB0B0B0"/>
      </bottom>
      <diagonal/>
    </border>
    <border diagonalUp="false" diagonalDown="false">
      <left/>
      <right/>
      <top style="thin">
        <color rgb="FFB0B0B0"/>
      </top>
      <bottom style="thin">
        <color rgb="FFB0B0B0"/>
      </bottom>
      <diagonal/>
    </border>
    <border diagonalUp="false" diagonalDown="false">
      <left style="thin">
        <color rgb="FF404040"/>
      </left>
      <right style="thin">
        <color rgb="FFBFBFBF"/>
      </right>
      <top style="thin">
        <color rgb="FF404040"/>
      </top>
      <bottom style="thin">
        <color rgb="FFBFBFBF"/>
      </bottom>
      <diagonal/>
    </border>
    <border diagonalUp="false" diagonalDown="false">
      <left style="thin">
        <color rgb="FFBFBFBF"/>
      </left>
      <right style="thin">
        <color rgb="FFBFBFBF"/>
      </right>
      <top style="thin">
        <color rgb="FF404040"/>
      </top>
      <bottom style="thin">
        <color rgb="FFBFBFBF"/>
      </bottom>
      <diagonal/>
    </border>
    <border diagonalUp="false" diagonalDown="false">
      <left style="thin">
        <color rgb="FFBFBFBF"/>
      </left>
      <right style="thin">
        <color rgb="FF404040"/>
      </right>
      <top style="thin">
        <color rgb="FF404040"/>
      </top>
      <bottom style="thin">
        <color rgb="FFBFBFBF"/>
      </bottom>
      <diagonal/>
    </border>
    <border diagonalUp="false" diagonalDown="false">
      <left style="thin">
        <color rgb="FF404040"/>
      </left>
      <right style="thin">
        <color rgb="FFBFBFBF"/>
      </right>
      <top style="thin">
        <color rgb="FFBFBFBF"/>
      </top>
      <bottom style="thin">
        <color rgb="FFBFBFBF"/>
      </bottom>
      <diagonal/>
    </border>
    <border diagonalUp="false" diagonalDown="false">
      <left style="thin">
        <color rgb="FFBFBFBF"/>
      </left>
      <right style="thin">
        <color rgb="FF404040"/>
      </right>
      <top style="thin">
        <color rgb="FFBFBFBF"/>
      </top>
      <bottom style="thin">
        <color rgb="FFBFBFBF"/>
      </bottom>
      <diagonal/>
    </border>
    <border diagonalUp="false" diagonalDown="false">
      <left style="thin">
        <color rgb="FF404040"/>
      </left>
      <right style="thin">
        <color rgb="FFBFBFBF"/>
      </right>
      <top style="thin">
        <color rgb="FFBFBFBF"/>
      </top>
      <bottom style="thin">
        <color rgb="FF404040"/>
      </bottom>
      <diagonal/>
    </border>
    <border diagonalUp="false" diagonalDown="false">
      <left style="thin">
        <color rgb="FFBFBFBF"/>
      </left>
      <right style="thin">
        <color rgb="FFBFBFBF"/>
      </right>
      <top style="thin">
        <color rgb="FFBFBFBF"/>
      </top>
      <bottom style="thin">
        <color rgb="FF404040"/>
      </bottom>
      <diagonal/>
    </border>
    <border diagonalUp="false" diagonalDown="false">
      <left style="thin">
        <color rgb="FFBFBFBF"/>
      </left>
      <right style="thin">
        <color rgb="FF404040"/>
      </right>
      <top style="thin">
        <color rgb="FFBFBFBF"/>
      </top>
      <bottom style="thin">
        <color rgb="FF40404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5" fontId="8" fillId="2" borderId="3"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8" fillId="2" borderId="3"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8" fillId="2" borderId="4"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8" fillId="2" borderId="5" xfId="0" applyFont="true" applyBorder="true" applyAlignment="true" applyProtection="false">
      <alignment horizontal="center" vertical="center" textRotation="0" wrapText="true" indent="0" shrinkToFit="false"/>
      <protection locked="true" hidden="false"/>
    </xf>
    <xf numFmtId="164" fontId="11" fillId="3" borderId="6" xfId="0" applyFont="true" applyBorder="true" applyAlignment="true" applyProtection="false">
      <alignment horizontal="center" vertical="center" textRotation="0" wrapText="false" indent="0" shrinkToFit="false"/>
      <protection locked="true" hidden="false"/>
    </xf>
    <xf numFmtId="164" fontId="12" fillId="0" borderId="7" xfId="0" applyFont="true" applyBorder="true" applyAlignment="true" applyProtection="false">
      <alignment horizontal="center" vertical="center" textRotation="0" wrapText="true" indent="0" shrinkToFit="false"/>
      <protection locked="true" hidden="false"/>
    </xf>
    <xf numFmtId="164" fontId="13" fillId="0" borderId="8" xfId="0" applyFont="true" applyBorder="true" applyAlignment="true" applyProtection="false">
      <alignment horizontal="center" vertical="center" textRotation="0" wrapText="true" indent="0" shrinkToFit="false"/>
      <protection locked="true" hidden="false"/>
    </xf>
    <xf numFmtId="165" fontId="14" fillId="0" borderId="8" xfId="0" applyFont="true" applyBorder="true" applyAlignment="true" applyProtection="false">
      <alignment horizontal="center" vertical="center" textRotation="0" wrapText="true" indent="0" shrinkToFit="false"/>
      <protection locked="true" hidden="false"/>
    </xf>
    <xf numFmtId="164" fontId="15" fillId="0" borderId="8" xfId="0" applyFont="true" applyBorder="true" applyAlignment="true" applyProtection="false">
      <alignment horizontal="center" vertical="center" textRotation="0" wrapText="true" indent="0" shrinkToFit="false"/>
      <protection locked="true" hidden="false"/>
    </xf>
    <xf numFmtId="164" fontId="16" fillId="0" borderId="8" xfId="0" applyFont="true" applyBorder="true" applyAlignment="true" applyProtection="false">
      <alignment horizontal="center" vertical="center" textRotation="0" wrapText="true" indent="0" shrinkToFit="false"/>
      <protection locked="true" hidden="false"/>
    </xf>
    <xf numFmtId="164" fontId="17" fillId="0" borderId="9" xfId="0" applyFont="true" applyBorder="true" applyAlignment="true" applyProtection="false">
      <alignment horizontal="center" vertical="center" textRotation="0" wrapText="true" indent="0" shrinkToFit="false"/>
      <protection locked="true" hidden="false"/>
    </xf>
    <xf numFmtId="164" fontId="13" fillId="0" borderId="1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4" fontId="11" fillId="4" borderId="6" xfId="0" applyFont="true" applyBorder="true" applyAlignment="true" applyProtection="false">
      <alignment horizontal="center" vertical="center"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6" fontId="13" fillId="0" borderId="8" xfId="0" applyFont="true" applyBorder="true" applyAlignment="true" applyProtection="false">
      <alignment horizontal="center" vertical="center" textRotation="0" wrapText="true" indent="0" shrinkToFit="false"/>
      <protection locked="true" hidden="false"/>
    </xf>
    <xf numFmtId="164" fontId="12" fillId="5" borderId="7" xfId="0" applyFont="true" applyBorder="true" applyAlignment="true" applyProtection="false">
      <alignment horizontal="center" vertical="center" textRotation="0" wrapText="true" indent="0" shrinkToFit="false"/>
      <protection locked="true" hidden="false"/>
    </xf>
    <xf numFmtId="164" fontId="13" fillId="5" borderId="8" xfId="0" applyFont="true" applyBorder="true" applyAlignment="true" applyProtection="false">
      <alignment horizontal="center" vertical="center" textRotation="0" wrapText="true" indent="0" shrinkToFit="false"/>
      <protection locked="true" hidden="false"/>
    </xf>
    <xf numFmtId="165" fontId="14" fillId="5" borderId="8" xfId="0" applyFont="true" applyBorder="true" applyAlignment="true" applyProtection="false">
      <alignment horizontal="center" vertical="center" textRotation="0" wrapText="true" indent="0" shrinkToFit="false"/>
      <protection locked="true" hidden="false"/>
    </xf>
    <xf numFmtId="164" fontId="19" fillId="5" borderId="8" xfId="0" applyFont="true" applyBorder="true" applyAlignment="true" applyProtection="false">
      <alignment horizontal="center" vertical="center" textRotation="0" wrapText="true" indent="0" shrinkToFit="false"/>
      <protection locked="true" hidden="false"/>
    </xf>
    <xf numFmtId="166" fontId="13" fillId="5" borderId="8" xfId="0" applyFont="true" applyBorder="true" applyAlignment="true" applyProtection="false">
      <alignment horizontal="center" vertical="center" textRotation="0" wrapText="true" indent="0" shrinkToFit="false"/>
      <protection locked="true" hidden="false"/>
    </xf>
    <xf numFmtId="167" fontId="15" fillId="5" borderId="8" xfId="0" applyFont="true" applyBorder="true" applyAlignment="true" applyProtection="false">
      <alignment horizontal="center" vertical="center" textRotation="0" wrapText="true" indent="0" shrinkToFit="false"/>
      <protection locked="true" hidden="false"/>
    </xf>
    <xf numFmtId="164" fontId="15" fillId="5" borderId="8" xfId="0" applyFont="true" applyBorder="true" applyAlignment="true" applyProtection="false">
      <alignment horizontal="center" vertical="center" textRotation="0" wrapText="true" indent="0" shrinkToFit="false"/>
      <protection locked="true" hidden="false"/>
    </xf>
    <xf numFmtId="164" fontId="16" fillId="5" borderId="8" xfId="0" applyFont="true" applyBorder="true" applyAlignment="true" applyProtection="false">
      <alignment horizontal="center" vertical="center" textRotation="0" wrapText="true" indent="0" shrinkToFit="false"/>
      <protection locked="true" hidden="false"/>
    </xf>
    <xf numFmtId="164" fontId="20" fillId="5" borderId="9" xfId="0" applyFont="true" applyBorder="true" applyAlignment="true" applyProtection="false">
      <alignment horizontal="center" vertical="center" textRotation="0" wrapText="true" indent="0" shrinkToFit="false"/>
      <protection locked="true" hidden="false"/>
    </xf>
    <xf numFmtId="164" fontId="13" fillId="5" borderId="10" xfId="0" applyFont="true" applyBorder="true" applyAlignment="true" applyProtection="false">
      <alignment horizontal="center" vertical="center" textRotation="0" wrapText="true" indent="0" shrinkToFit="false"/>
      <protection locked="true" hidden="false"/>
    </xf>
    <xf numFmtId="164" fontId="18" fillId="5" borderId="0" xfId="0" applyFont="true" applyBorder="false" applyAlignment="true" applyProtection="false">
      <alignment horizontal="left" vertical="center" textRotation="0" wrapText="true" indent="0" shrinkToFit="false"/>
      <protection locked="true" hidden="false"/>
    </xf>
    <xf numFmtId="164" fontId="20" fillId="0" borderId="9" xfId="0" applyFont="true" applyBorder="true" applyAlignment="true" applyProtection="false">
      <alignment horizontal="center" vertical="center" textRotation="0" wrapText="true" indent="0" shrinkToFit="false"/>
      <protection locked="true" hidden="false"/>
    </xf>
    <xf numFmtId="164" fontId="12" fillId="5" borderId="11" xfId="0" applyFont="true" applyBorder="true" applyAlignment="true" applyProtection="false">
      <alignment horizontal="center" vertical="center" textRotation="0" wrapText="true" indent="0" shrinkToFit="false"/>
      <protection locked="true" hidden="false"/>
    </xf>
    <xf numFmtId="164" fontId="13" fillId="5" borderId="5" xfId="0" applyFont="true" applyBorder="true" applyAlignment="true" applyProtection="false">
      <alignment horizontal="center" vertical="center" textRotation="0" wrapText="true" indent="0" shrinkToFit="false"/>
      <protection locked="true" hidden="false"/>
    </xf>
    <xf numFmtId="165" fontId="14" fillId="5" borderId="5" xfId="0" applyFont="true" applyBorder="true" applyAlignment="true" applyProtection="false">
      <alignment horizontal="center" vertical="center" textRotation="0" wrapText="true" indent="0" shrinkToFit="false"/>
      <protection locked="true" hidden="false"/>
    </xf>
    <xf numFmtId="164" fontId="19" fillId="5" borderId="5" xfId="0" applyFont="true" applyBorder="true" applyAlignment="true" applyProtection="false">
      <alignment horizontal="center" vertical="center" textRotation="0" wrapText="true" indent="0" shrinkToFit="false"/>
      <protection locked="true" hidden="false"/>
    </xf>
    <xf numFmtId="166" fontId="13" fillId="5" borderId="5" xfId="0" applyFont="true" applyBorder="true" applyAlignment="true" applyProtection="false">
      <alignment horizontal="center" vertical="center" textRotation="0" wrapText="true" indent="0" shrinkToFit="false"/>
      <protection locked="true" hidden="false"/>
    </xf>
    <xf numFmtId="167" fontId="15" fillId="5" borderId="5" xfId="0" applyFont="true" applyBorder="true" applyAlignment="true" applyProtection="false">
      <alignment horizontal="center" vertical="center" textRotation="0" wrapText="true" indent="0" shrinkToFit="false"/>
      <protection locked="true" hidden="false"/>
    </xf>
    <xf numFmtId="164" fontId="15" fillId="6" borderId="5" xfId="0" applyFont="true" applyBorder="true" applyAlignment="true" applyProtection="false">
      <alignment horizontal="center" vertical="center" textRotation="0" wrapText="true" indent="0" shrinkToFit="false"/>
      <protection locked="true" hidden="false"/>
    </xf>
    <xf numFmtId="164" fontId="21" fillId="5" borderId="5" xfId="0" applyFont="true" applyBorder="true" applyAlignment="true" applyProtection="false">
      <alignment horizontal="center" vertical="center" textRotation="0" wrapText="true" indent="0" shrinkToFit="false"/>
      <protection locked="true" hidden="false"/>
    </xf>
    <xf numFmtId="164" fontId="22" fillId="5" borderId="12" xfId="0" applyFont="true" applyBorder="true" applyAlignment="true" applyProtection="false">
      <alignment horizontal="center" vertical="center" textRotation="0" wrapText="true" indent="0" shrinkToFit="false"/>
      <protection locked="true" hidden="false"/>
    </xf>
    <xf numFmtId="164" fontId="13" fillId="5" borderId="13" xfId="0" applyFont="true" applyBorder="true" applyAlignment="true" applyProtection="false">
      <alignment horizontal="center" vertical="center" textRotation="0" wrapText="true" indent="0" shrinkToFit="false"/>
      <protection locked="true" hidden="false"/>
    </xf>
    <xf numFmtId="164" fontId="11" fillId="7" borderId="6" xfId="0" applyFont="true" applyBorder="true" applyAlignment="true" applyProtection="false">
      <alignment horizontal="center" vertical="center" textRotation="0" wrapText="false" indent="0" shrinkToFit="false"/>
      <protection locked="true" hidden="false"/>
    </xf>
    <xf numFmtId="167" fontId="15" fillId="0" borderId="8" xfId="0" applyFont="true" applyBorder="true" applyAlignment="true" applyProtection="false">
      <alignment horizontal="center" vertical="center" textRotation="0" wrapText="true" indent="0" shrinkToFit="false"/>
      <protection locked="true" hidden="false"/>
    </xf>
    <xf numFmtId="164" fontId="22" fillId="0" borderId="9" xfId="0" applyFont="true" applyBorder="true" applyAlignment="true" applyProtection="false">
      <alignment horizontal="center" vertical="center" textRotation="0" wrapText="true" indent="0" shrinkToFit="false"/>
      <protection locked="true" hidden="false"/>
    </xf>
    <xf numFmtId="164" fontId="15" fillId="5" borderId="5" xfId="0" applyFont="true" applyBorder="true" applyAlignment="true" applyProtection="false">
      <alignment horizontal="center" vertical="center" textRotation="0" wrapText="true" indent="0" shrinkToFit="false"/>
      <protection locked="true" hidden="false"/>
    </xf>
    <xf numFmtId="164" fontId="11" fillId="8" borderId="6" xfId="0" applyFont="true" applyBorder="true" applyAlignment="true" applyProtection="false">
      <alignment horizontal="center" vertical="center"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0" fillId="0" borderId="15" xfId="0" applyFont="false" applyBorder="true" applyAlignment="true" applyProtection="false">
      <alignment horizontal="general" vertical="bottom" textRotation="0" wrapText="false" indent="0" shrinkToFit="false"/>
      <protection locked="true" hidden="false"/>
    </xf>
    <xf numFmtId="164" fontId="22" fillId="5" borderId="9" xfId="0" applyFont="true" applyBorder="true" applyAlignment="true" applyProtection="false">
      <alignment horizontal="center" vertical="center" textRotation="0" wrapText="true" indent="0" shrinkToFit="false"/>
      <protection locked="true" hidden="false"/>
    </xf>
    <xf numFmtId="164" fontId="12" fillId="5" borderId="16" xfId="0" applyFont="true" applyBorder="true" applyAlignment="true" applyProtection="false">
      <alignment horizontal="center" vertical="center" textRotation="0" wrapText="true" indent="0" shrinkToFit="false"/>
      <protection locked="true" hidden="false"/>
    </xf>
    <xf numFmtId="164" fontId="13" fillId="5" borderId="17" xfId="0" applyFont="true" applyBorder="true" applyAlignment="true" applyProtection="false">
      <alignment horizontal="center" vertical="center" textRotation="0" wrapText="true" indent="0" shrinkToFit="false"/>
      <protection locked="true" hidden="false"/>
    </xf>
    <xf numFmtId="164" fontId="13" fillId="5" borderId="18" xfId="0" applyFont="true" applyBorder="true" applyAlignment="true" applyProtection="false">
      <alignment horizontal="center" vertical="center" textRotation="0" wrapText="true" indent="0" shrinkToFit="false"/>
      <protection locked="true" hidden="false"/>
    </xf>
    <xf numFmtId="165" fontId="14" fillId="5" borderId="18" xfId="0" applyFont="true" applyBorder="true" applyAlignment="true" applyProtection="false">
      <alignment horizontal="center" vertical="center" textRotation="0" wrapText="true" indent="0" shrinkToFit="false"/>
      <protection locked="true" hidden="false"/>
    </xf>
    <xf numFmtId="164" fontId="15" fillId="5" borderId="18" xfId="0" applyFont="true" applyBorder="true" applyAlignment="true" applyProtection="false">
      <alignment horizontal="center" vertical="center" textRotation="0" wrapText="true" indent="0" shrinkToFit="false"/>
      <protection locked="true" hidden="false"/>
    </xf>
    <xf numFmtId="164" fontId="16" fillId="5" borderId="18" xfId="0" applyFont="true" applyBorder="true" applyAlignment="true" applyProtection="false">
      <alignment horizontal="center" vertical="center" textRotation="0" wrapText="true" indent="0" shrinkToFit="false"/>
      <protection locked="true" hidden="false"/>
    </xf>
    <xf numFmtId="164" fontId="17" fillId="5" borderId="19" xfId="0" applyFont="true" applyBorder="true" applyAlignment="true" applyProtection="false">
      <alignment horizontal="center" vertical="center" textRotation="0" wrapText="true" indent="0" shrinkToFit="false"/>
      <protection locked="true" hidden="false"/>
    </xf>
    <xf numFmtId="164" fontId="13" fillId="5" borderId="20" xfId="0" applyFont="true" applyBorder="true" applyAlignment="true" applyProtection="false">
      <alignment horizontal="center" vertical="center" textRotation="0" wrapText="true" indent="0" shrinkToFit="false"/>
      <protection locked="true" hidden="false"/>
    </xf>
    <xf numFmtId="164" fontId="23" fillId="2"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true" applyAlignment="true" applyProtection="false">
      <alignment horizontal="left" vertical="center" textRotation="0" wrapText="true" indent="0" shrinkToFit="false"/>
      <protection locked="true" hidden="false"/>
    </xf>
    <xf numFmtId="164" fontId="25" fillId="9" borderId="21" xfId="0" applyFont="true" applyBorder="true" applyAlignment="true" applyProtection="false">
      <alignment horizontal="center" vertical="center" textRotation="0" wrapText="true" indent="0" shrinkToFit="false"/>
      <protection locked="true" hidden="false"/>
    </xf>
    <xf numFmtId="164" fontId="25" fillId="0" borderId="21" xfId="0" applyFont="true" applyBorder="true" applyAlignment="true" applyProtection="false">
      <alignment horizontal="general" vertical="bottom" textRotation="0" wrapText="false" indent="0" shrinkToFit="false"/>
      <protection locked="true" hidden="false"/>
    </xf>
    <xf numFmtId="168" fontId="13" fillId="0" borderId="21" xfId="0" applyFont="true" applyBorder="true" applyAlignment="true" applyProtection="false">
      <alignment horizontal="center" vertical="center" textRotation="0" wrapText="true" indent="0" shrinkToFit="false"/>
      <protection locked="true" hidden="false"/>
    </xf>
    <xf numFmtId="167" fontId="13" fillId="0" borderId="21" xfId="0" applyFont="true" applyBorder="true" applyAlignment="true" applyProtection="false">
      <alignment horizontal="general" vertical="bottom" textRotation="0" wrapText="false" indent="0" shrinkToFit="false"/>
      <protection locked="true" hidden="false"/>
    </xf>
    <xf numFmtId="169" fontId="13" fillId="0" borderId="21" xfId="0" applyFont="true" applyBorder="true" applyAlignment="true" applyProtection="false">
      <alignment horizontal="general" vertical="bottom" textRotation="0" wrapText="false" indent="0" shrinkToFit="false"/>
      <protection locked="true" hidden="false"/>
    </xf>
    <xf numFmtId="164" fontId="25" fillId="10" borderId="21" xfId="0" applyFont="true" applyBorder="true" applyAlignment="true" applyProtection="false">
      <alignment horizontal="general" vertical="bottom" textRotation="0" wrapText="false" indent="0" shrinkToFit="false"/>
      <protection locked="true" hidden="false"/>
    </xf>
    <xf numFmtId="168" fontId="25" fillId="10" borderId="21" xfId="0" applyFont="true" applyBorder="true" applyAlignment="true" applyProtection="false">
      <alignment horizontal="center" vertical="center" textRotation="0" wrapText="true" indent="0" shrinkToFit="false"/>
      <protection locked="true" hidden="false"/>
    </xf>
    <xf numFmtId="167" fontId="25" fillId="10" borderId="21" xfId="0" applyFont="true" applyBorder="true" applyAlignment="true" applyProtection="false">
      <alignment horizontal="general" vertical="bottom" textRotation="0" wrapText="false" indent="0" shrinkToFit="false"/>
      <protection locked="true" hidden="false"/>
    </xf>
    <xf numFmtId="169" fontId="25" fillId="10" borderId="21"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2" borderId="0" xfId="0" applyFont="true" applyBorder="false" applyAlignment="true" applyProtection="false">
      <alignment horizontal="left" vertical="center" textRotation="0" wrapText="true" indent="0" shrinkToFit="false"/>
      <protection locked="true" hidden="false"/>
    </xf>
    <xf numFmtId="164" fontId="13" fillId="0" borderId="21" xfId="0" applyFont="true" applyBorder="true" applyAlignment="true" applyProtection="false">
      <alignment horizontal="general" vertical="bottom" textRotation="0" wrapText="false" indent="0" shrinkToFit="false"/>
      <protection locked="true" hidden="false"/>
    </xf>
    <xf numFmtId="164" fontId="13" fillId="0" borderId="21" xfId="0" applyFont="true" applyBorder="true" applyAlignment="true" applyProtection="false">
      <alignment horizontal="left" vertical="center" textRotation="0" wrapText="true" indent="0" shrinkToFit="false"/>
      <protection locked="true" hidden="false"/>
    </xf>
    <xf numFmtId="170" fontId="13" fillId="0" borderId="21" xfId="0" applyFont="true" applyBorder="true" applyAlignment="true" applyProtection="false">
      <alignment horizontal="center" vertical="center" textRotation="0" wrapText="true" indent="0" shrinkToFit="false"/>
      <protection locked="true" hidden="false"/>
    </xf>
    <xf numFmtId="164" fontId="13" fillId="0" borderId="21" xfId="0" applyFont="true" applyBorder="true" applyAlignment="true" applyProtection="false">
      <alignment horizontal="center" vertical="center" textRotation="0" wrapText="true" indent="0" shrinkToFit="false"/>
      <protection locked="true" hidden="false"/>
    </xf>
    <xf numFmtId="164" fontId="0" fillId="0" borderId="21" xfId="0" applyFont="false" applyBorder="true" applyAlignment="true" applyProtection="false">
      <alignment horizontal="general" vertical="bottom" textRotation="0" wrapText="false" indent="0" shrinkToFit="false"/>
      <protection locked="true" hidden="false"/>
    </xf>
    <xf numFmtId="164" fontId="26" fillId="2" borderId="0" xfId="0" applyFont="true" applyBorder="true" applyAlignment="true" applyProtection="false">
      <alignment horizontal="left" vertical="center" textRotation="0" wrapText="tru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24" fillId="11" borderId="22" xfId="0" applyFont="true" applyBorder="true" applyAlignment="true" applyProtection="false">
      <alignment horizontal="center" vertical="center" textRotation="0" wrapText="true" indent="0" shrinkToFit="false"/>
      <protection locked="true" hidden="false"/>
    </xf>
    <xf numFmtId="164" fontId="25" fillId="0" borderId="22" xfId="0" applyFont="true" applyBorder="true" applyAlignment="true" applyProtection="false">
      <alignment horizontal="left" vertical="center" textRotation="0" wrapText="true" indent="0" shrinkToFit="false"/>
      <protection locked="true" hidden="false"/>
    </xf>
    <xf numFmtId="164" fontId="13" fillId="0" borderId="22" xfId="0" applyFont="true" applyBorder="true" applyAlignment="true" applyProtection="false">
      <alignment horizontal="center" vertical="center" textRotation="0" wrapText="true" indent="0" shrinkToFit="false"/>
      <protection locked="true" hidden="false"/>
    </xf>
    <xf numFmtId="165" fontId="13" fillId="0" borderId="22" xfId="0" applyFont="true" applyBorder="true" applyAlignment="true" applyProtection="false">
      <alignment horizontal="right" vertical="center" textRotation="0" wrapText="true" indent="0" shrinkToFit="false"/>
      <protection locked="true" hidden="false"/>
    </xf>
    <xf numFmtId="164" fontId="27" fillId="0" borderId="22" xfId="0" applyFont="true" applyBorder="true" applyAlignment="true" applyProtection="false">
      <alignment horizontal="left" vertical="center" textRotation="0" wrapText="true" indent="0" shrinkToFit="false"/>
      <protection locked="true" hidden="false"/>
    </xf>
    <xf numFmtId="164" fontId="25" fillId="5" borderId="22" xfId="0" applyFont="true" applyBorder="true" applyAlignment="true" applyProtection="false">
      <alignment horizontal="left" vertical="center" textRotation="0" wrapText="true" indent="0" shrinkToFit="false"/>
      <protection locked="true" hidden="false"/>
    </xf>
    <xf numFmtId="164" fontId="0" fillId="0" borderId="23" xfId="0" applyFont="false" applyBorder="true" applyAlignment="true" applyProtection="false">
      <alignment horizontal="general" vertical="bottom" textRotation="0" wrapText="false" indent="0" shrinkToFit="false"/>
      <protection locked="true" hidden="false"/>
    </xf>
    <xf numFmtId="164" fontId="27" fillId="5" borderId="22" xfId="0" applyFont="true" applyBorder="true" applyAlignment="true" applyProtection="false">
      <alignment horizontal="left" vertical="center" textRotation="0" wrapText="true" indent="0" shrinkToFit="false"/>
      <protection locked="true" hidden="false"/>
    </xf>
    <xf numFmtId="164" fontId="0" fillId="0" borderId="24" xfId="0" applyFont="fals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center" textRotation="0" wrapText="true" indent="0" shrinkToFit="false"/>
      <protection locked="true" hidden="false"/>
    </xf>
    <xf numFmtId="164" fontId="27" fillId="0" borderId="0" xfId="0" applyFont="true" applyBorder="true" applyAlignment="true" applyProtection="false">
      <alignment horizontal="left" vertical="center" textRotation="0" wrapText="tru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7" fontId="13" fillId="0" borderId="0" xfId="0" applyFont="true" applyBorder="false" applyAlignment="true" applyProtection="false">
      <alignment horizontal="left" vertical="top" textRotation="0" wrapText="true" indent="0" shrinkToFit="false"/>
      <protection locked="true" hidden="false"/>
    </xf>
    <xf numFmtId="164" fontId="11" fillId="12"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7" fontId="13" fillId="0" borderId="0" xfId="0" applyFont="true" applyBorder="false" applyAlignment="true" applyProtection="false">
      <alignment horizontal="left" vertical="center" textRotation="0" wrapText="tru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13" fillId="13" borderId="0" xfId="0" applyFont="true" applyBorder="false" applyAlignment="true" applyProtection="false">
      <alignment horizontal="center" vertical="center" textRotation="0" wrapText="true" indent="0" shrinkToFit="false"/>
      <protection locked="true" hidden="false"/>
    </xf>
    <xf numFmtId="164" fontId="13" fillId="13" borderId="0" xfId="0" applyFont="true" applyBorder="false" applyAlignment="true" applyProtection="false">
      <alignment horizontal="general" vertical="bottom" textRotation="0" wrapText="false" indent="0" shrinkToFit="false"/>
      <protection locked="true" hidden="false"/>
    </xf>
    <xf numFmtId="167" fontId="13" fillId="13" borderId="0" xfId="0" applyFont="true" applyBorder="false" applyAlignment="true" applyProtection="false">
      <alignment horizontal="general" vertical="bottom" textRotation="0" wrapText="false" indent="0" shrinkToFit="false"/>
      <protection locked="true" hidden="false"/>
    </xf>
    <xf numFmtId="164" fontId="25" fillId="14" borderId="0" xfId="0" applyFont="true" applyBorder="false" applyAlignment="true" applyProtection="false">
      <alignment horizontal="center" vertical="center" textRotation="0" wrapText="true" indent="0" shrinkToFit="false"/>
      <protection locked="true" hidden="false"/>
    </xf>
    <xf numFmtId="164" fontId="25" fillId="14" borderId="0" xfId="0" applyFont="true" applyBorder="false" applyAlignment="true" applyProtection="false">
      <alignment horizontal="general" vertical="bottom" textRotation="0" wrapText="false" indent="0" shrinkToFit="false"/>
      <protection locked="true" hidden="false"/>
    </xf>
    <xf numFmtId="167" fontId="25" fillId="14"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5" fontId="35" fillId="0" borderId="0" xfId="0" applyFont="true" applyBorder="false" applyAlignment="true" applyProtection="false">
      <alignment horizontal="general" vertical="bottom" textRotation="0" wrapText="false" indent="0" shrinkToFit="false"/>
      <protection locked="true" hidden="false"/>
    </xf>
    <xf numFmtId="167" fontId="35" fillId="0" borderId="0" xfId="0" applyFont="true" applyBorder="false" applyAlignment="tru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71" fontId="35" fillId="0"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24" fillId="3" borderId="25" xfId="0" applyFont="true" applyBorder="true" applyAlignment="true" applyProtection="false">
      <alignment horizontal="center" vertical="bottom" textRotation="0" wrapText="false" indent="0" shrinkToFit="false"/>
      <protection locked="true" hidden="false"/>
    </xf>
    <xf numFmtId="164" fontId="24" fillId="3" borderId="26" xfId="0" applyFont="true" applyBorder="true" applyAlignment="true" applyProtection="false">
      <alignment horizontal="general" vertical="bottom" textRotation="0" wrapText="false" indent="0" shrinkToFit="false"/>
      <protection locked="true" hidden="false"/>
    </xf>
    <xf numFmtId="164" fontId="24" fillId="3" borderId="26" xfId="0" applyFont="true" applyBorder="true" applyAlignment="true" applyProtection="false">
      <alignment horizontal="center" vertical="bottom" textRotation="0" wrapText="false" indent="0" shrinkToFit="false"/>
      <protection locked="true" hidden="false"/>
    </xf>
    <xf numFmtId="164" fontId="24" fillId="3" borderId="27" xfId="0" applyFont="true" applyBorder="true" applyAlignment="true" applyProtection="false">
      <alignment horizontal="center" vertical="bottom" textRotation="0" wrapText="false" indent="0" shrinkToFit="false"/>
      <protection locked="true" hidden="false"/>
    </xf>
    <xf numFmtId="164" fontId="35" fillId="0" borderId="28" xfId="0" applyFont="true" applyBorder="true" applyAlignment="true" applyProtection="false">
      <alignment horizontal="center" vertical="bottom" textRotation="0" wrapText="false" indent="0" shrinkToFit="false"/>
      <protection locked="true" hidden="false"/>
    </xf>
    <xf numFmtId="164" fontId="35" fillId="0" borderId="8" xfId="0" applyFont="true" applyBorder="true" applyAlignment="true" applyProtection="false">
      <alignment horizontal="general" vertical="bottom" textRotation="0" wrapText="false" indent="0" shrinkToFit="false"/>
      <protection locked="true" hidden="false"/>
    </xf>
    <xf numFmtId="172" fontId="35" fillId="0" borderId="8" xfId="0" applyFont="true" applyBorder="true" applyAlignment="true" applyProtection="false">
      <alignment horizontal="right" vertical="bottom" textRotation="0" wrapText="false" indent="0" shrinkToFit="false"/>
      <protection locked="true" hidden="false"/>
    </xf>
    <xf numFmtId="167" fontId="35" fillId="0" borderId="8" xfId="0" applyFont="true" applyBorder="true" applyAlignment="true" applyProtection="false">
      <alignment horizontal="general" vertical="bottom" textRotation="0" wrapText="false" indent="0" shrinkToFit="false"/>
      <protection locked="true" hidden="false"/>
    </xf>
    <xf numFmtId="167" fontId="35" fillId="0" borderId="29" xfId="0" applyFont="true" applyBorder="true" applyAlignment="true" applyProtection="false">
      <alignment horizontal="general" vertical="bottom" textRotation="0" wrapText="false" indent="0" shrinkToFit="false"/>
      <protection locked="true" hidden="false"/>
    </xf>
    <xf numFmtId="164" fontId="34" fillId="14" borderId="30" xfId="0" applyFont="true" applyBorder="true" applyAlignment="true" applyProtection="false">
      <alignment horizontal="center" vertical="bottom" textRotation="0" wrapText="false" indent="0" shrinkToFit="false"/>
      <protection locked="true" hidden="false"/>
    </xf>
    <xf numFmtId="164" fontId="34" fillId="14" borderId="31" xfId="0" applyFont="true" applyBorder="true" applyAlignment="true" applyProtection="false">
      <alignment horizontal="general" vertical="bottom" textRotation="0" wrapText="false" indent="0" shrinkToFit="false"/>
      <protection locked="true" hidden="false"/>
    </xf>
    <xf numFmtId="172" fontId="34" fillId="14" borderId="31" xfId="0" applyFont="true" applyBorder="true" applyAlignment="true" applyProtection="false">
      <alignment horizontal="general" vertical="bottom" textRotation="0" wrapText="false" indent="0" shrinkToFit="false"/>
      <protection locked="true" hidden="false"/>
    </xf>
    <xf numFmtId="167" fontId="34" fillId="14" borderId="31" xfId="0" applyFont="true" applyBorder="true" applyAlignment="true" applyProtection="false">
      <alignment horizontal="general" vertical="bottom" textRotation="0" wrapText="false" indent="0" shrinkToFit="false"/>
      <protection locked="true" hidden="false"/>
    </xf>
    <xf numFmtId="167" fontId="34" fillId="14" borderId="32" xfId="0" applyFont="true" applyBorder="true" applyAlignment="true" applyProtection="false">
      <alignment horizontal="general" vertical="bottom" textRotation="0" wrapText="false" indent="0" shrinkToFit="false"/>
      <protection locked="true" hidden="false"/>
    </xf>
    <xf numFmtId="172" fontId="35" fillId="0" borderId="8" xfId="0" applyFont="true" applyBorder="true" applyAlignment="true" applyProtection="false">
      <alignment horizontal="general" vertical="bottom" textRotation="0" wrapText="false" indent="0" shrinkToFit="false"/>
      <protection locked="true" hidden="false"/>
    </xf>
    <xf numFmtId="164" fontId="35" fillId="0" borderId="8" xfId="0" applyFont="true" applyBorder="true" applyAlignment="true" applyProtection="false">
      <alignment horizontal="center" vertical="bottom" textRotation="0" wrapText="false" indent="0" shrinkToFit="false"/>
      <protection locked="true" hidden="false"/>
    </xf>
    <xf numFmtId="172" fontId="35" fillId="0" borderId="29" xfId="0" applyFont="true" applyBorder="true" applyAlignment="true" applyProtection="false">
      <alignment horizontal="general" vertical="bottom" textRotation="0" wrapText="false" indent="0" shrinkToFit="false"/>
      <protection locked="true" hidden="false"/>
    </xf>
    <xf numFmtId="164" fontId="35" fillId="0" borderId="30" xfId="0" applyFont="true" applyBorder="true" applyAlignment="true" applyProtection="false">
      <alignment horizontal="center" vertical="bottom" textRotation="0" wrapText="false" indent="0" shrinkToFit="false"/>
      <protection locked="true" hidden="false"/>
    </xf>
    <xf numFmtId="172" fontId="35" fillId="0" borderId="31" xfId="0" applyFont="true" applyBorder="true" applyAlignment="true" applyProtection="false">
      <alignment horizontal="general" vertical="bottom" textRotation="0" wrapText="false" indent="0" shrinkToFit="false"/>
      <protection locked="true" hidden="false"/>
    </xf>
    <xf numFmtId="164" fontId="35" fillId="0" borderId="31" xfId="0" applyFont="true" applyBorder="true" applyAlignment="true" applyProtection="false">
      <alignment horizontal="center" vertical="bottom" textRotation="0" wrapText="false" indent="0" shrinkToFit="false"/>
      <protection locked="true" hidden="false"/>
    </xf>
    <xf numFmtId="172" fontId="35" fillId="0" borderId="32" xfId="0" applyFont="true" applyBorder="tru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left" vertical="top" textRotation="0" wrapText="true" indent="0" shrinkToFit="false"/>
      <protection locked="true" hidden="false"/>
    </xf>
    <xf numFmtId="164" fontId="28" fillId="0" borderId="0" xfId="0" applyFont="true" applyBorder="false" applyAlignment="true" applyProtection="false">
      <alignment horizontal="left" vertical="top" textRotation="0" wrapText="true" indent="0" shrinkToFit="false"/>
      <protection locked="true" hidden="false"/>
    </xf>
    <xf numFmtId="164" fontId="30" fillId="0" borderId="0" xfId="0" applyFont="true" applyBorder="tru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general" vertical="bottom" textRotation="0" wrapText="false" indent="0" shrinkToFit="false"/>
      <protection locked="true" hidden="false"/>
    </xf>
    <xf numFmtId="164" fontId="39" fillId="0" borderId="0" xfId="0" applyFont="true" applyBorder="true" applyAlignment="true" applyProtection="false">
      <alignment horizontal="general" vertical="bottom" textRotation="0" wrapText="false" indent="0" shrinkToFit="false"/>
      <protection locked="true" hidden="false"/>
    </xf>
    <xf numFmtId="164" fontId="40" fillId="15" borderId="0" xfId="0" applyFont="true" applyBorder="false" applyAlignment="true" applyProtection="false">
      <alignment horizontal="left" vertical="top" textRotation="0" wrapText="true" indent="0" shrinkToFit="false"/>
      <protection locked="true" hidden="false"/>
    </xf>
    <xf numFmtId="164" fontId="0" fillId="15" borderId="0" xfId="0" applyFont="false" applyBorder="fals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0" fillId="16" borderId="0" xfId="0" applyFont="false" applyBorder="false" applyAlignment="true" applyProtection="false">
      <alignment horizontal="general" vertical="bottom" textRotation="0" wrapText="false" indent="0" shrinkToFit="false"/>
      <protection locked="true" hidden="false"/>
    </xf>
    <xf numFmtId="164" fontId="26" fillId="12" borderId="0" xfId="0" applyFont="true" applyBorder="true" applyAlignment="true" applyProtection="false">
      <alignment horizontal="general" vertical="bottom" textRotation="0" wrapText="false" indent="0" shrinkToFit="false"/>
      <protection locked="true" hidden="false"/>
    </xf>
    <xf numFmtId="164" fontId="24" fillId="11"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4" fillId="3" borderId="0" xfId="0" applyFont="true" applyBorder="true" applyAlignment="true" applyProtection="false">
      <alignment horizontal="center" vertical="center" textRotation="0" wrapText="true" indent="0" shrinkToFit="false"/>
      <protection locked="true" hidden="false"/>
    </xf>
    <xf numFmtId="164" fontId="13" fillId="15" borderId="0" xfId="0" applyFont="true" applyBorder="false" applyAlignment="true" applyProtection="false">
      <alignment horizontal="left" vertical="top" textRotation="0" wrapText="true" indent="0" shrinkToFit="false"/>
      <protection locked="true" hidden="false"/>
    </xf>
    <xf numFmtId="164" fontId="41" fillId="15" borderId="0" xfId="0" applyFont="true" applyBorder="false" applyAlignment="true" applyProtection="false">
      <alignment horizontal="left" vertical="top" textRotation="0" wrapText="true" indent="0" shrinkToFit="false"/>
      <protection locked="true" hidden="false"/>
    </xf>
    <xf numFmtId="164" fontId="13" fillId="13" borderId="0" xfId="0" applyFont="true" applyBorder="false" applyAlignment="true" applyProtection="false">
      <alignment horizontal="left" vertical="top" textRotation="0" wrapText="true" indent="0" shrinkToFit="false"/>
      <protection locked="true" hidden="false"/>
    </xf>
    <xf numFmtId="164" fontId="28" fillId="13" borderId="0" xfId="0" applyFont="true" applyBorder="false" applyAlignment="true" applyProtection="false">
      <alignment horizontal="left" vertical="top" textRotation="0" wrapText="true" indent="0" shrinkToFit="false"/>
      <protection locked="true" hidden="false"/>
    </xf>
    <xf numFmtId="164" fontId="17" fillId="13" borderId="0" xfId="0" applyFont="true" applyBorder="false" applyAlignment="true" applyProtection="false">
      <alignment horizontal="left" vertical="top" textRotation="0" wrapText="true" indent="0" shrinkToFit="false"/>
      <protection locked="true" hidden="false"/>
    </xf>
    <xf numFmtId="164" fontId="13" fillId="15" borderId="0" xfId="0" applyFont="true" applyBorder="false" applyAlignment="true" applyProtection="false">
      <alignment horizontal="center" vertical="center" textRotation="0" wrapText="true" indent="0" shrinkToFit="false"/>
      <protection locked="true" hidden="false"/>
    </xf>
    <xf numFmtId="164" fontId="17" fillId="15" borderId="0" xfId="0" applyFont="true" applyBorder="false" applyAlignment="true" applyProtection="false">
      <alignment horizontal="left" vertical="top" textRotation="0" wrapText="true" indent="0" shrinkToFit="false"/>
      <protection locked="true" hidden="false"/>
    </xf>
    <xf numFmtId="164" fontId="13" fillId="13" borderId="0" xfId="0" applyFont="true" applyBorder="true" applyAlignment="true" applyProtection="false">
      <alignment horizontal="center" vertical="center" textRotation="0" wrapText="true" indent="0" shrinkToFit="false"/>
      <protection locked="true" hidden="false"/>
    </xf>
    <xf numFmtId="164" fontId="13" fillId="16" borderId="0" xfId="0" applyFont="true" applyBorder="false" applyAlignment="true" applyProtection="false">
      <alignment horizontal="center" vertical="center" textRotation="0" wrapText="true" indent="0" shrinkToFit="false"/>
      <protection locked="true" hidden="false"/>
    </xf>
    <xf numFmtId="164" fontId="13" fillId="16" borderId="0" xfId="0" applyFont="true" applyBorder="false" applyAlignment="true" applyProtection="false">
      <alignment horizontal="left" vertical="top" textRotation="0" wrapText="true" indent="0" shrinkToFit="false"/>
      <protection locked="true" hidden="false"/>
    </xf>
    <xf numFmtId="164" fontId="17" fillId="16" borderId="0" xfId="0" applyFont="true" applyBorder="false" applyAlignment="true" applyProtection="false">
      <alignment horizontal="left" vertical="top" textRotation="0" wrapText="true" indent="0" shrinkToFit="false"/>
      <protection locked="true" hidden="false"/>
    </xf>
    <xf numFmtId="164" fontId="32"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i val="1"/>
        <color rgb="FF808080"/>
      </font>
      <fill>
        <patternFill>
          <bgColor rgb="FFD9D9D9"/>
        </patternFill>
      </fill>
    </dxf>
    <dxf>
      <font>
        <b val="1"/>
        <color rgb="FF9C0006"/>
      </font>
      <fill>
        <patternFill>
          <bgColor rgb="FFF8CBAD"/>
        </patternFill>
      </fill>
    </dxf>
    <dxf>
      <font>
        <b val="1"/>
        <color rgb="FF806000"/>
      </font>
      <fill>
        <patternFill>
          <bgColor rgb="FFFFE699"/>
        </patternFill>
      </fill>
    </dxf>
    <dxf>
      <font>
        <color rgb="FF006100"/>
      </font>
      <fill>
        <patternFill>
          <bgColor rgb="FFC6EFCE"/>
        </patternFill>
      </fill>
    </dxf>
    <dxf>
      <font>
        <name val="Arial"/>
        <charset val="1"/>
        <family val="0"/>
        <i val="1"/>
        <color rgb="FF808080"/>
        <sz val="9"/>
      </font>
      <fill>
        <patternFill>
          <bgColor rgb="FFD9D9D9"/>
        </patternFill>
      </fill>
    </dxf>
    <dxf>
      <font>
        <name val="Arial"/>
        <charset val="1"/>
        <family val="0"/>
        <b val="1"/>
        <color rgb="FF9C0006"/>
        <sz val="9"/>
      </font>
      <fill>
        <patternFill>
          <bgColor rgb="FFF8CBAD"/>
        </patternFill>
      </fill>
    </dxf>
    <dxf>
      <font>
        <name val="Arial"/>
        <charset val="1"/>
        <family val="0"/>
        <b val="1"/>
        <color rgb="FF806000"/>
        <sz val="9"/>
      </font>
      <fill>
        <patternFill>
          <bgColor rgb="FFFFE699"/>
        </patternFill>
      </fill>
    </dxf>
    <dxf>
      <font>
        <name val="Arial"/>
        <charset val="1"/>
        <family val="0"/>
        <color rgb="FF006100"/>
        <sz val="9"/>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6000"/>
      <rgbColor rgb="FF800080"/>
      <rgbColor rgb="FF008080"/>
      <rgbColor rgb="FFBFBFBF"/>
      <rgbColor rgb="FF808080"/>
      <rgbColor rgb="FFB0B0B0"/>
      <rgbColor rgb="FF7F7F7F"/>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FE699"/>
      <rgbColor rgb="FFD9E1F2"/>
      <rgbColor rgb="FFFCE4D6"/>
      <rgbColor rgb="FFF2F2F2"/>
      <rgbColor rgb="FFF8CBAD"/>
      <rgbColor rgb="FF1F5FA8"/>
      <rgbColor rgb="FF33CCCC"/>
      <rgbColor rgb="FF99CC00"/>
      <rgbColor rgb="FFFFCC00"/>
      <rgbColor rgb="FFBF8F00"/>
      <rgbColor rgb="FFFF6600"/>
      <rgbColor rgb="FF595959"/>
      <rgbColor rgb="FFA6A6A6"/>
      <rgbColor rgb="FF1F3864"/>
      <rgbColor rgb="FF2E7D32"/>
      <rgbColor rgb="FF003300"/>
      <rgbColor rgb="FF333300"/>
      <rgbColor rgb="FF993300"/>
      <rgbColor rgb="FF993366"/>
      <rgbColor rgb="FF2E539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comune.milano.it/-/palazzo-marino.-stadio-pubblicato-l-avviso-per-la-raccorla-di-eventuali-proposte-migliorative" TargetMode="External"/><Relationship Id="rId2" Type="http://schemas.openxmlformats.org/officeDocument/2006/relationships/hyperlink" Target="https://appalti-comune-alghero.maggiolicloud.it/" TargetMode="External"/><Relationship Id="rId3" Type="http://schemas.openxmlformats.org/officeDocument/2006/relationships/hyperlink" Target="https://www.sintel.regione.lombardia.it/eprocdata/auctionDetail.xhtml?id=219510451" TargetMode="External"/><Relationship Id="rId4" Type="http://schemas.openxmlformats.org/officeDocument/2006/relationships/hyperlink" Target="https://www.consip.it/notizie-avvisi/pubblicata-la-consultazione-del-mercato-per-laffidamento-di-un-multiservizio-integrato-energia-per-gli-immobili-in-uso-agli-enti-del-ssn" TargetMode="External"/><Relationship Id="rId5" Type="http://schemas.openxmlformats.org/officeDocument/2006/relationships/hyperlink" Target="https://www.conferenzastatocitta.gov.it/home/notizie-e-comunicati/2026/servizio-integrato-energia-gara-consip-per-le-amministrazioni-locali/" TargetMode="External"/><Relationship Id="rId6" Type="http://schemas.openxmlformats.org/officeDocument/2006/relationships/hyperlink" Target="https://www.sintel.regione.lombardia.it/eprocdata/sintelSearch.xhtml" TargetMode="External"/><Relationship Id="rId7" Type="http://schemas.openxmlformats.org/officeDocument/2006/relationships/hyperlink" Target="https://www.giustizia.it/giustizia/page/it/scheda_di_sintesi_gare_o_contratti?contentId=SBG1416417" TargetMode="Externa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consip.it/sites/default/files/bandi/documentazione_non_firmata/AQ%20SIE%20PAL%20-%20ID%202849%20-%20Determina%20a%20contrarre.pdf" TargetMode="External"/><Relationship Id="rId3" Type="http://schemas.openxmlformats.org/officeDocument/2006/relationships/vmlDrawing" Target="../drawings/vmlDrawing1.vml"/>
</Relationships>
</file>

<file path=xl/worksheets/_rels/sheet15.xml.rels><?xml version="1.0" encoding="UTF-8"?>
<Relationships xmlns="http://schemas.openxmlformats.org/package/2006/relationships"><Relationship Id="rId1" Type="http://schemas.openxmlformats.org/officeDocument/2006/relationships/hyperlink" Target="https://www.consip.it/notizie-avvisi/pubblicata-la-consultazione-del-mercato-per-laffidamento-di-un-multiservizio-integrato-energia-per-gli-immobili-in-uso-agli-enti-del-ssn" TargetMode="External"/><Relationship Id="rId2" Type="http://schemas.openxmlformats.org/officeDocument/2006/relationships/hyperlink" Target="https://www.consip.it/bandi/aq-multiservizio-integrato-energia-sanita-ed-1" TargetMode="External"/><Relationship Id="rId3" Type="http://schemas.openxmlformats.org/officeDocument/2006/relationships/hyperlink" Target="https://www.consip.it/notizie-avvisi/pubblicata-la-consultazione-del-mercato-per-laffidamento-del-servizio-integrato-energia-per-le-pubbliche-amministrazioni-centrali-sie-pac" TargetMode="External"/><Relationship Id="rId4" Type="http://schemas.openxmlformats.org/officeDocument/2006/relationships/hyperlink" Target="https://www.azero.veneto.it/bandi-di-gara-fornitori" TargetMode="External"/><Relationship Id="rId5" Type="http://schemas.openxmlformats.org/officeDocument/2006/relationships/hyperlink" Target="https://centraleacquisti.regione.lazio.it/bandi-e-strumenti-di-acquisto/bandi-di-gara-in-scadenza" TargetMode="External"/><Relationship Id="rId6" Type="http://schemas.openxmlformats.org/officeDocument/2006/relationships/hyperlink" Target="https://www.comune.milano.it/-/palazzo-marino.-stadio-pubblicato-l-avviso-per-la-raccorla-di-eventuali-proposte-migliorative" TargetMode="External"/><Relationship Id="rId7" Type="http://schemas.openxmlformats.org/officeDocument/2006/relationships/hyperlink" Target="https://www.giustizia.it/giustizia/page/it/scheda_di_sintesi_gare_o_contratti?contentId=SBG1416417" TargetMode="External"/><Relationship Id="rId8" Type="http://schemas.openxmlformats.org/officeDocument/2006/relationships/hyperlink" Target="https://www.sintel.regione.lombardia.it/eprocdata/auctionDetail.xhtml?id=219510451" TargetMode="External"/><Relationship Id="rId9" Type="http://schemas.openxmlformats.org/officeDocument/2006/relationships/hyperlink" Target="https://www.sintel.regione.lombardia.it/eprocdata/auctionDetail.xhtml?id=220127460" TargetMode="External"/><Relationship Id="rId10" Type="http://schemas.openxmlformats.org/officeDocument/2006/relationships/hyperlink" Target="https://appalti-comune-alghero.maggiolicloud.i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21"/>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W5" activeCellId="0" sqref="W5"/>
    </sheetView>
  </sheetViews>
  <sheetFormatPr defaultColWidth="8.5703125" defaultRowHeight="15" zeroHeight="false" outlineLevelRow="0" outlineLevelCol="0"/>
  <cols>
    <col collapsed="false" customWidth="true" hidden="false" outlineLevel="0" max="1" min="1" style="1" width="4.86"/>
    <col collapsed="false" customWidth="true" hidden="false" outlineLevel="0" max="2" min="2" style="1" width="11"/>
    <col collapsed="false" customWidth="true" hidden="false" outlineLevel="0" max="3" min="3" style="1" width="19"/>
    <col collapsed="false" customWidth="true" hidden="false" outlineLevel="0" max="4" min="4" style="2" width="12"/>
    <col collapsed="false" customWidth="true" hidden="false" outlineLevel="0" max="5" min="5" style="1" width="4.14"/>
    <col collapsed="false" customWidth="true" hidden="false" outlineLevel="0" max="6" min="6" style="1" width="4.71"/>
    <col collapsed="false" customWidth="true" hidden="false" outlineLevel="0" max="7" min="7" style="1" width="4.29"/>
    <col collapsed="false" customWidth="true" hidden="false" outlineLevel="0" max="8" min="8" style="1" width="7.71"/>
    <col collapsed="false" customWidth="true" hidden="false" outlineLevel="0" max="9" min="9" style="2" width="12.42"/>
    <col collapsed="false" customWidth="true" hidden="false" outlineLevel="0" max="10" min="10" style="1" width="6.57"/>
    <col collapsed="false" customWidth="true" hidden="false" outlineLevel="0" max="11" min="11" style="1" width="8.42"/>
    <col collapsed="false" customWidth="true" hidden="false" outlineLevel="0" max="12" min="12" style="1" width="8"/>
    <col collapsed="false" customWidth="true" hidden="false" outlineLevel="0" max="13" min="13" style="1" width="9"/>
    <col collapsed="false" customWidth="true" hidden="false" outlineLevel="0" max="14" min="14" style="1" width="8"/>
    <col collapsed="false" customWidth="true" hidden="false" outlineLevel="0" max="15" min="15" style="1" width="9"/>
    <col collapsed="false" customWidth="true" hidden="false" outlineLevel="0" max="16" min="16" style="1" width="7.71"/>
    <col collapsed="false" customWidth="true" hidden="false" outlineLevel="0" max="17" min="17" style="3" width="12"/>
    <col collapsed="false" customWidth="true" hidden="false" outlineLevel="0" max="18" min="18" style="3" width="9.29"/>
    <col collapsed="false" customWidth="true" hidden="false" outlineLevel="0" max="19" min="19" style="3" width="11.43"/>
    <col collapsed="false" customWidth="true" hidden="false" outlineLevel="0" max="20" min="20" style="3" width="16.57"/>
    <col collapsed="false" customWidth="true" hidden="false" outlineLevel="0" max="21" min="21" style="4" width="16.57"/>
    <col collapsed="false" customWidth="true" hidden="false" outlineLevel="0" max="22" min="22" style="1" width="5.57"/>
    <col collapsed="false" customWidth="true" hidden="false" outlineLevel="0" max="23" min="23" style="5" width="50"/>
    <col collapsed="false" customWidth="true" hidden="false" outlineLevel="0" max="24" min="24" style="5" width="40"/>
  </cols>
  <sheetData>
    <row r="1" customFormat="false" ht="27.75" hidden="false" customHeight="true" outlineLevel="0" collapsed="false">
      <c r="A1" s="6" t="s">
        <v>0</v>
      </c>
      <c r="B1" s="6"/>
      <c r="C1" s="6"/>
      <c r="D1" s="6"/>
      <c r="E1" s="6"/>
      <c r="F1" s="6"/>
      <c r="G1" s="6"/>
      <c r="H1" s="6"/>
      <c r="I1" s="6"/>
      <c r="J1" s="6"/>
      <c r="K1" s="6"/>
      <c r="L1" s="6"/>
      <c r="M1" s="6"/>
      <c r="N1" s="6"/>
      <c r="O1" s="6"/>
      <c r="P1" s="6"/>
      <c r="Q1" s="6"/>
      <c r="R1" s="6"/>
      <c r="S1" s="6"/>
      <c r="T1" s="6"/>
      <c r="U1" s="6"/>
      <c r="V1" s="6"/>
      <c r="W1" s="6"/>
      <c r="X1" s="6"/>
    </row>
    <row r="2" customFormat="false" ht="12.75" hidden="false" customHeight="true" outlineLevel="0" collapsed="false">
      <c r="A2" s="7"/>
      <c r="B2" s="8" t="s">
        <v>1</v>
      </c>
      <c r="C2" s="8" t="s">
        <v>2</v>
      </c>
      <c r="D2" s="8" t="s">
        <v>3</v>
      </c>
      <c r="E2" s="9" t="s">
        <v>4</v>
      </c>
      <c r="F2" s="9"/>
      <c r="G2" s="9"/>
      <c r="H2" s="9"/>
      <c r="I2" s="9"/>
      <c r="J2" s="10" t="s">
        <v>5</v>
      </c>
      <c r="K2" s="8" t="s">
        <v>6</v>
      </c>
      <c r="L2" s="11" t="s">
        <v>7</v>
      </c>
      <c r="M2" s="11"/>
      <c r="N2" s="11" t="s">
        <v>8</v>
      </c>
      <c r="O2" s="11"/>
      <c r="P2" s="10" t="s">
        <v>9</v>
      </c>
      <c r="Q2" s="12" t="s">
        <v>10</v>
      </c>
      <c r="R2" s="12" t="s">
        <v>11</v>
      </c>
      <c r="S2" s="12" t="s">
        <v>12</v>
      </c>
      <c r="T2" s="12" t="s">
        <v>13</v>
      </c>
      <c r="U2" s="12" t="s">
        <v>14</v>
      </c>
      <c r="V2" s="13" t="s">
        <v>15</v>
      </c>
      <c r="W2" s="14" t="s">
        <v>16</v>
      </c>
      <c r="X2" s="14" t="s">
        <v>17</v>
      </c>
    </row>
    <row r="3" customFormat="false" ht="35.25" hidden="false" customHeight="true" outlineLevel="0" collapsed="false">
      <c r="A3" s="7"/>
      <c r="B3" s="8"/>
      <c r="C3" s="8"/>
      <c r="D3" s="8"/>
      <c r="E3" s="15" t="s">
        <v>18</v>
      </c>
      <c r="F3" s="15" t="s">
        <v>19</v>
      </c>
      <c r="G3" s="15" t="s">
        <v>20</v>
      </c>
      <c r="H3" s="15" t="s">
        <v>21</v>
      </c>
      <c r="I3" s="15" t="s">
        <v>22</v>
      </c>
      <c r="J3" s="10"/>
      <c r="K3" s="10"/>
      <c r="L3" s="15" t="s">
        <v>23</v>
      </c>
      <c r="M3" s="15" t="s">
        <v>24</v>
      </c>
      <c r="N3" s="15" t="s">
        <v>25</v>
      </c>
      <c r="O3" s="15" t="s">
        <v>26</v>
      </c>
      <c r="P3" s="10"/>
      <c r="Q3" s="10"/>
      <c r="R3" s="10"/>
      <c r="S3" s="10"/>
      <c r="T3" s="10"/>
      <c r="U3" s="10"/>
      <c r="V3" s="13"/>
      <c r="W3" s="14"/>
      <c r="X3" s="14"/>
    </row>
    <row r="4" customFormat="false" ht="16.5" hidden="false" customHeight="true" outlineLevel="0" collapsed="false">
      <c r="A4" s="16" t="s">
        <v>27</v>
      </c>
      <c r="B4" s="16"/>
      <c r="C4" s="16"/>
      <c r="D4" s="16"/>
      <c r="E4" s="16"/>
      <c r="F4" s="16"/>
      <c r="G4" s="16"/>
      <c r="H4" s="16"/>
      <c r="I4" s="16"/>
      <c r="J4" s="16"/>
      <c r="K4" s="16"/>
      <c r="L4" s="16"/>
      <c r="M4" s="16"/>
      <c r="N4" s="16"/>
      <c r="O4" s="16"/>
      <c r="P4" s="16"/>
      <c r="Q4" s="16"/>
      <c r="R4" s="16"/>
      <c r="S4" s="16"/>
      <c r="T4" s="16"/>
      <c r="U4" s="16"/>
      <c r="V4" s="16"/>
      <c r="W4" s="16"/>
      <c r="X4" s="16"/>
    </row>
    <row r="5" customFormat="false" ht="30.75" hidden="false" customHeight="true" outlineLevel="0" collapsed="false">
      <c r="A5" s="17" t="str">
        <f aca="false">HYPERLINK("F:\Appalti\Stadio San Siro","Apri")</f>
        <v>Apri</v>
      </c>
      <c r="B5" s="18" t="s">
        <v>28</v>
      </c>
      <c r="C5" s="18" t="s">
        <v>29</v>
      </c>
      <c r="D5" s="19" t="n">
        <v>197075590</v>
      </c>
      <c r="E5" s="18"/>
      <c r="F5" s="18"/>
      <c r="G5" s="18"/>
      <c r="H5" s="18"/>
      <c r="I5" s="19"/>
      <c r="J5" s="18"/>
      <c r="K5" s="18"/>
      <c r="L5" s="18"/>
      <c r="M5" s="18"/>
      <c r="N5" s="18"/>
      <c r="O5" s="18"/>
      <c r="P5" s="18"/>
      <c r="Q5" s="20"/>
      <c r="R5" s="20"/>
      <c r="S5" s="20"/>
      <c r="T5" s="21" t="s">
        <v>30</v>
      </c>
      <c r="U5" s="22" t="s">
        <v>31</v>
      </c>
      <c r="V5" s="23"/>
      <c r="W5" s="24" t="s">
        <v>32</v>
      </c>
      <c r="X5" s="24" t="s">
        <v>33</v>
      </c>
    </row>
    <row r="6" customFormat="false" ht="16.5" hidden="false" customHeight="true" outlineLevel="0" collapsed="false">
      <c r="A6" s="25" t="s">
        <v>34</v>
      </c>
      <c r="B6" s="25"/>
      <c r="C6" s="25"/>
      <c r="D6" s="25"/>
      <c r="E6" s="25"/>
      <c r="F6" s="25"/>
      <c r="G6" s="25"/>
      <c r="H6" s="25"/>
      <c r="I6" s="25"/>
      <c r="J6" s="25"/>
      <c r="K6" s="25"/>
      <c r="L6" s="25"/>
      <c r="M6" s="25"/>
      <c r="N6" s="25"/>
      <c r="O6" s="25"/>
      <c r="P6" s="25"/>
      <c r="Q6" s="25"/>
      <c r="R6" s="25"/>
      <c r="S6" s="25"/>
      <c r="T6" s="25"/>
      <c r="U6" s="25"/>
      <c r="V6" s="25"/>
      <c r="W6" s="25"/>
      <c r="X6" s="25"/>
    </row>
    <row r="7" customFormat="false" ht="43.5" hidden="false" customHeight="true" outlineLevel="0" collapsed="false">
      <c r="A7" s="17" t="str">
        <f aca="false">HYPERLINK("F:\Appalti\Comune di Alghero","Apri")</f>
        <v>Apri</v>
      </c>
      <c r="B7" s="18" t="s">
        <v>35</v>
      </c>
      <c r="C7" s="18" t="s">
        <v>36</v>
      </c>
      <c r="D7" s="19" t="n">
        <v>33835000</v>
      </c>
      <c r="E7" s="18" t="n">
        <v>1</v>
      </c>
      <c r="F7" s="18" t="n">
        <v>1</v>
      </c>
      <c r="G7" s="18" t="n">
        <v>1</v>
      </c>
      <c r="H7" s="18" t="n">
        <v>1</v>
      </c>
      <c r="I7" s="19" t="n">
        <v>33835000</v>
      </c>
      <c r="J7" s="26" t="s">
        <v>37</v>
      </c>
      <c r="K7" s="27" t="n">
        <v>46136</v>
      </c>
      <c r="L7" s="18"/>
      <c r="M7" s="18"/>
      <c r="N7" s="18" t="s">
        <v>38</v>
      </c>
      <c r="O7" s="18" t="s">
        <v>39</v>
      </c>
      <c r="P7" s="18" t="s">
        <v>40</v>
      </c>
      <c r="Q7" s="20" t="s">
        <v>41</v>
      </c>
      <c r="R7" s="20" t="s">
        <v>41</v>
      </c>
      <c r="S7" s="20" t="s">
        <v>42</v>
      </c>
      <c r="T7" s="21" t="s">
        <v>43</v>
      </c>
      <c r="U7" s="22" t="s">
        <v>44</v>
      </c>
      <c r="V7" s="23"/>
      <c r="W7" s="24" t="s">
        <v>45</v>
      </c>
      <c r="X7" s="24" t="s">
        <v>46</v>
      </c>
    </row>
    <row r="8" customFormat="false" ht="43.5" hidden="false" customHeight="true" outlineLevel="0" collapsed="false">
      <c r="A8" s="28" t="str">
        <f aca="false">HYPERLINK("F:\Appalti\Aria Manutenzione Impianti Elettrici Sanità","Apri")</f>
        <v>Apri</v>
      </c>
      <c r="B8" s="29" t="s">
        <v>47</v>
      </c>
      <c r="C8" s="29" t="s">
        <v>48</v>
      </c>
      <c r="D8" s="30" t="n">
        <v>12751568.22</v>
      </c>
      <c r="E8" s="29" t="n">
        <v>7</v>
      </c>
      <c r="F8" s="29" t="n">
        <v>7</v>
      </c>
      <c r="G8" s="29" t="n">
        <v>7</v>
      </c>
      <c r="H8" s="31" t="s">
        <v>49</v>
      </c>
      <c r="I8" s="30" t="n">
        <v>9756650</v>
      </c>
      <c r="J8" s="29" t="s">
        <v>50</v>
      </c>
      <c r="K8" s="32" t="n">
        <v>46160</v>
      </c>
      <c r="L8" s="32" t="n">
        <v>46162</v>
      </c>
      <c r="M8" s="29"/>
      <c r="N8" s="29" t="s">
        <v>38</v>
      </c>
      <c r="O8" s="29" t="s">
        <v>51</v>
      </c>
      <c r="P8" s="29" t="s">
        <v>52</v>
      </c>
      <c r="Q8" s="33" t="n">
        <v>14750</v>
      </c>
      <c r="R8" s="34" t="s">
        <v>53</v>
      </c>
      <c r="S8" s="34" t="s">
        <v>54</v>
      </c>
      <c r="T8" s="35" t="s">
        <v>55</v>
      </c>
      <c r="U8" s="36"/>
      <c r="V8" s="37"/>
      <c r="W8" s="38" t="s">
        <v>56</v>
      </c>
      <c r="X8" s="38" t="s">
        <v>57</v>
      </c>
    </row>
    <row r="9" customFormat="false" ht="43.5" hidden="false" customHeight="true" outlineLevel="0" collapsed="false">
      <c r="A9" s="17" t="str">
        <f aca="false">HYPERLINK("F:\Appalti\Aria Manutenzione Impianti Idrici","Apri")</f>
        <v>Apri</v>
      </c>
      <c r="B9" s="18" t="s">
        <v>47</v>
      </c>
      <c r="C9" s="18" t="s">
        <v>58</v>
      </c>
      <c r="D9" s="19" t="n">
        <v>5960717.38</v>
      </c>
      <c r="E9" s="18" t="n">
        <v>6</v>
      </c>
      <c r="F9" s="18" t="n">
        <v>6</v>
      </c>
      <c r="G9" s="18" t="n">
        <v>6</v>
      </c>
      <c r="H9" s="26" t="s">
        <v>59</v>
      </c>
      <c r="I9" s="19" t="n">
        <v>4981384</v>
      </c>
      <c r="J9" s="18" t="s">
        <v>50</v>
      </c>
      <c r="K9" s="27" t="n">
        <v>46168</v>
      </c>
      <c r="L9" s="27" t="n">
        <v>46177</v>
      </c>
      <c r="M9" s="18"/>
      <c r="N9" s="18" t="s">
        <v>38</v>
      </c>
      <c r="O9" s="18" t="s">
        <v>51</v>
      </c>
      <c r="P9" s="18" t="s">
        <v>52</v>
      </c>
      <c r="Q9" s="20" t="s">
        <v>60</v>
      </c>
      <c r="R9" s="20" t="s">
        <v>53</v>
      </c>
      <c r="S9" s="20" t="s">
        <v>54</v>
      </c>
      <c r="T9" s="21" t="s">
        <v>55</v>
      </c>
      <c r="U9" s="39"/>
      <c r="V9" s="23"/>
      <c r="W9" s="24" t="s">
        <v>61</v>
      </c>
      <c r="X9" s="24" t="s">
        <v>62</v>
      </c>
    </row>
    <row r="10" customFormat="false" ht="43.5" hidden="false" customHeight="true" outlineLevel="0" collapsed="false">
      <c r="A10" s="40" t="str">
        <f aca="false">HYPERLINK("F:\Appalti\Consip SIE PAL ID 2849","Apri")</f>
        <v>Apri</v>
      </c>
      <c r="B10" s="41" t="s">
        <v>63</v>
      </c>
      <c r="C10" s="41" t="s">
        <v>64</v>
      </c>
      <c r="D10" s="42" t="n">
        <v>2015086959</v>
      </c>
      <c r="E10" s="41" t="n">
        <v>10</v>
      </c>
      <c r="F10" s="41" t="n">
        <v>7</v>
      </c>
      <c r="G10" s="41" t="n">
        <v>7</v>
      </c>
      <c r="H10" s="43" t="s">
        <v>65</v>
      </c>
      <c r="I10" s="42" t="n">
        <v>1032130000</v>
      </c>
      <c r="J10" s="41" t="s">
        <v>50</v>
      </c>
      <c r="K10" s="44" t="n">
        <v>46147</v>
      </c>
      <c r="L10" s="41"/>
      <c r="M10" s="41"/>
      <c r="N10" s="41" t="s">
        <v>51</v>
      </c>
      <c r="O10" s="41" t="s">
        <v>66</v>
      </c>
      <c r="P10" s="41" t="s">
        <v>40</v>
      </c>
      <c r="Q10" s="45" t="n">
        <v>226070</v>
      </c>
      <c r="R10" s="45" t="n">
        <v>14923.28</v>
      </c>
      <c r="S10" s="46" t="s">
        <v>67</v>
      </c>
      <c r="T10" s="47"/>
      <c r="U10" s="48"/>
      <c r="V10" s="49"/>
      <c r="W10" s="24" t="s">
        <v>68</v>
      </c>
      <c r="X10" s="24" t="s">
        <v>69</v>
      </c>
    </row>
    <row r="11" customFormat="false" ht="16.5" hidden="false" customHeight="true" outlineLevel="0" collapsed="false">
      <c r="A11" s="50" t="s">
        <v>70</v>
      </c>
      <c r="B11" s="50"/>
      <c r="C11" s="50"/>
      <c r="D11" s="50"/>
      <c r="E11" s="50"/>
      <c r="F11" s="50"/>
      <c r="G11" s="50"/>
      <c r="H11" s="50"/>
      <c r="I11" s="50"/>
      <c r="J11" s="50"/>
      <c r="K11" s="50"/>
      <c r="L11" s="50"/>
      <c r="M11" s="50"/>
      <c r="N11" s="50"/>
      <c r="O11" s="50"/>
      <c r="P11" s="50"/>
      <c r="Q11" s="50"/>
      <c r="R11" s="50"/>
      <c r="S11" s="50"/>
      <c r="T11" s="50"/>
      <c r="U11" s="50"/>
      <c r="V11" s="50"/>
      <c r="W11" s="50"/>
      <c r="X11" s="50"/>
    </row>
    <row r="12" customFormat="false" ht="43.5" hidden="false" customHeight="true" outlineLevel="0" collapsed="false">
      <c r="A12" s="17" t="str">
        <f aca="false">HYPERLINK("F:\Appalti\ASP Pavia EPC","Apri")</f>
        <v>Apri</v>
      </c>
      <c r="B12" s="18" t="s">
        <v>71</v>
      </c>
      <c r="C12" s="18" t="s">
        <v>72</v>
      </c>
      <c r="D12" s="19" t="n">
        <v>21665189</v>
      </c>
      <c r="E12" s="18" t="n">
        <v>1</v>
      </c>
      <c r="F12" s="18" t="n">
        <v>1</v>
      </c>
      <c r="G12" s="18" t="n">
        <v>1</v>
      </c>
      <c r="H12" s="18" t="n">
        <v>1</v>
      </c>
      <c r="I12" s="19"/>
      <c r="J12" s="18" t="s">
        <v>37</v>
      </c>
      <c r="K12" s="27" t="n">
        <v>46195</v>
      </c>
      <c r="L12" s="18"/>
      <c r="M12" s="18"/>
      <c r="N12" s="18" t="s">
        <v>38</v>
      </c>
      <c r="O12" s="18" t="n">
        <v>12</v>
      </c>
      <c r="P12" s="18" t="s">
        <v>52</v>
      </c>
      <c r="Q12" s="51" t="n">
        <v>35500</v>
      </c>
      <c r="R12" s="20" t="s">
        <v>73</v>
      </c>
      <c r="S12" s="20" t="s">
        <v>74</v>
      </c>
      <c r="T12" s="20" t="s">
        <v>75</v>
      </c>
      <c r="U12" s="52" t="s">
        <v>76</v>
      </c>
      <c r="V12" s="23"/>
      <c r="W12" s="24" t="s">
        <v>77</v>
      </c>
      <c r="X12" s="24" t="s">
        <v>78</v>
      </c>
    </row>
    <row r="13" customFormat="false" ht="43.5" hidden="false" customHeight="true" outlineLevel="0" collapsed="false">
      <c r="A13" s="40" t="str">
        <f aca="false">HYPERLINK("F:\Appalti\ASP Pavia Lavori","Apri")</f>
        <v>Apri</v>
      </c>
      <c r="B13" s="43" t="s">
        <v>71</v>
      </c>
      <c r="C13" s="41" t="s">
        <v>79</v>
      </c>
      <c r="D13" s="42" t="n">
        <v>989218</v>
      </c>
      <c r="E13" s="41" t="n">
        <v>1</v>
      </c>
      <c r="F13" s="41" t="n">
        <v>1</v>
      </c>
      <c r="G13" s="41" t="n">
        <v>1</v>
      </c>
      <c r="H13" s="41" t="n">
        <v>1</v>
      </c>
      <c r="I13" s="42"/>
      <c r="J13" s="41" t="s">
        <v>37</v>
      </c>
      <c r="K13" s="44" t="n">
        <v>46204</v>
      </c>
      <c r="L13" s="41"/>
      <c r="M13" s="41"/>
      <c r="N13" s="41" t="s">
        <v>38</v>
      </c>
      <c r="O13" s="41" t="n">
        <v>1</v>
      </c>
      <c r="P13" s="41" t="s">
        <v>52</v>
      </c>
      <c r="Q13" s="53" t="s">
        <v>41</v>
      </c>
      <c r="R13" s="53" t="s">
        <v>73</v>
      </c>
      <c r="S13" s="53" t="s">
        <v>80</v>
      </c>
      <c r="T13" s="47"/>
      <c r="U13" s="48" t="s">
        <v>81</v>
      </c>
      <c r="V13" s="49"/>
      <c r="W13" s="24" t="s">
        <v>82</v>
      </c>
      <c r="X13" s="24" t="s">
        <v>78</v>
      </c>
    </row>
    <row r="14" customFormat="false" ht="16.5" hidden="false" customHeight="true" outlineLevel="0" collapsed="false">
      <c r="A14" s="50" t="s">
        <v>83</v>
      </c>
      <c r="B14" s="50"/>
      <c r="C14" s="50"/>
      <c r="D14" s="50"/>
      <c r="E14" s="50"/>
      <c r="F14" s="50"/>
      <c r="G14" s="50"/>
      <c r="H14" s="50"/>
      <c r="I14" s="50"/>
      <c r="J14" s="50"/>
      <c r="K14" s="50"/>
      <c r="L14" s="50"/>
      <c r="M14" s="50"/>
      <c r="N14" s="50"/>
      <c r="O14" s="50"/>
      <c r="P14" s="50"/>
      <c r="Q14" s="50"/>
      <c r="R14" s="50"/>
      <c r="S14" s="50"/>
      <c r="T14" s="50"/>
      <c r="U14" s="50"/>
      <c r="V14" s="50"/>
      <c r="W14" s="50"/>
      <c r="X14" s="50"/>
    </row>
    <row r="15" customFormat="false" ht="43.5" hidden="false" customHeight="true" outlineLevel="0" collapsed="false">
      <c r="A15" s="17" t="str">
        <f aca="false">HYPERLINK("F:\Appalti\Consip MIES 2950","Apri")</f>
        <v>Apri</v>
      </c>
      <c r="B15" s="18" t="s">
        <v>84</v>
      </c>
      <c r="C15" s="18" t="s">
        <v>85</v>
      </c>
      <c r="D15" s="19" t="n">
        <v>3289440000</v>
      </c>
      <c r="E15" s="18" t="n">
        <v>5</v>
      </c>
      <c r="F15" s="18" t="s">
        <v>86</v>
      </c>
      <c r="G15" s="18"/>
      <c r="H15" s="18"/>
      <c r="I15" s="19"/>
      <c r="J15" s="18" t="s">
        <v>87</v>
      </c>
      <c r="K15" s="27" t="s">
        <v>88</v>
      </c>
      <c r="L15" s="18" t="s">
        <v>89</v>
      </c>
      <c r="M15" s="18" t="s">
        <v>90</v>
      </c>
      <c r="N15" s="18" t="s">
        <v>91</v>
      </c>
      <c r="O15" s="18" t="s">
        <v>92</v>
      </c>
      <c r="P15" s="18" t="s">
        <v>86</v>
      </c>
      <c r="Q15" s="51"/>
      <c r="R15" s="20"/>
      <c r="S15" s="20" t="s">
        <v>93</v>
      </c>
      <c r="T15" s="20" t="s">
        <v>94</v>
      </c>
      <c r="U15" s="52" t="str">
        <f aca="false">HYPERLINK("https://www.acquistinretepa.it/","Acquistinretepa")</f>
        <v>Acquistinretepa</v>
      </c>
      <c r="V15" s="23"/>
      <c r="W15" s="24" t="s">
        <v>95</v>
      </c>
      <c r="X15" s="24" t="s">
        <v>96</v>
      </c>
    </row>
    <row r="16" customFormat="false" ht="43.5" hidden="false" customHeight="true" outlineLevel="0" collapsed="false">
      <c r="A16" s="17" t="str">
        <f aca="false">HYPERLINK("F:\Appalti\Multiservizio AASS Lazio Ed 4","Apri")</f>
        <v>Apri</v>
      </c>
      <c r="B16" s="18" t="s">
        <v>97</v>
      </c>
      <c r="C16" s="18" t="s">
        <v>98</v>
      </c>
      <c r="D16" s="19" t="n">
        <v>2010788785</v>
      </c>
      <c r="E16" s="18" t="n">
        <v>10</v>
      </c>
      <c r="F16" s="18" t="s">
        <v>99</v>
      </c>
      <c r="G16" s="18"/>
      <c r="H16" s="18"/>
      <c r="I16" s="19"/>
      <c r="J16" s="18" t="s">
        <v>100</v>
      </c>
      <c r="K16" s="27" t="s">
        <v>101</v>
      </c>
      <c r="L16" s="18" t="s">
        <v>87</v>
      </c>
      <c r="M16" s="18" t="s">
        <v>87</v>
      </c>
      <c r="N16" s="18" t="s">
        <v>102</v>
      </c>
      <c r="O16" s="18" t="s">
        <v>103</v>
      </c>
      <c r="P16" s="18" t="s">
        <v>86</v>
      </c>
      <c r="Q16" s="51"/>
      <c r="R16" s="20"/>
      <c r="S16" s="20" t="s">
        <v>104</v>
      </c>
      <c r="T16" s="20" t="s">
        <v>105</v>
      </c>
      <c r="U16" s="52" t="str">
        <f aca="false">HYPERLINK("https://centraleacquisti.regione.lazio.it/","STEL.LA")</f>
        <v>STEL.LA</v>
      </c>
      <c r="V16" s="23"/>
      <c r="W16" s="24" t="s">
        <v>106</v>
      </c>
      <c r="X16" s="24" t="s">
        <v>107</v>
      </c>
    </row>
    <row r="17" customFormat="false" ht="30.75" hidden="false" customHeight="true" outlineLevel="0" collapsed="false">
      <c r="A17" s="54" t="s">
        <v>108</v>
      </c>
      <c r="B17" s="55"/>
      <c r="C17" s="55"/>
      <c r="D17" s="55"/>
      <c r="E17" s="55"/>
      <c r="F17" s="55"/>
      <c r="G17" s="55"/>
      <c r="H17" s="55"/>
      <c r="I17" s="55"/>
      <c r="J17" s="55"/>
      <c r="K17" s="55"/>
      <c r="L17" s="55"/>
      <c r="M17" s="55"/>
      <c r="N17" s="55"/>
      <c r="O17" s="55"/>
      <c r="P17" s="55"/>
      <c r="Q17" s="55"/>
      <c r="R17" s="55"/>
      <c r="S17" s="55"/>
      <c r="T17" s="55"/>
      <c r="U17" s="55" t="s">
        <v>109</v>
      </c>
      <c r="V17" s="55"/>
      <c r="W17" s="55"/>
      <c r="X17" s="56"/>
    </row>
    <row r="18" customFormat="false" ht="30.75" hidden="false" customHeight="true" outlineLevel="0" collapsed="false">
      <c r="A18" s="28" t="str">
        <f aca="false">HYPERLINK("F:\Appalti\Consip SIE PAC ED 1","Apri")</f>
        <v>Apri</v>
      </c>
      <c r="B18" s="29" t="s">
        <v>63</v>
      </c>
      <c r="C18" s="29" t="s">
        <v>110</v>
      </c>
      <c r="D18" s="30" t="s">
        <v>111</v>
      </c>
      <c r="E18" s="29" t="s">
        <v>111</v>
      </c>
      <c r="F18" s="29" t="s">
        <v>111</v>
      </c>
      <c r="G18" s="29" t="s">
        <v>111</v>
      </c>
      <c r="H18" s="29" t="s">
        <v>111</v>
      </c>
      <c r="I18" s="30"/>
      <c r="J18" s="29" t="s">
        <v>111</v>
      </c>
      <c r="K18" s="29" t="s">
        <v>111</v>
      </c>
      <c r="L18" s="29"/>
      <c r="M18" s="29"/>
      <c r="N18" s="29" t="s">
        <v>111</v>
      </c>
      <c r="O18" s="29" t="s">
        <v>111</v>
      </c>
      <c r="P18" s="29" t="s">
        <v>111</v>
      </c>
      <c r="Q18" s="34" t="s">
        <v>111</v>
      </c>
      <c r="R18" s="34" t="s">
        <v>111</v>
      </c>
      <c r="S18" s="34" t="s">
        <v>86</v>
      </c>
      <c r="T18" s="34" t="s">
        <v>86</v>
      </c>
      <c r="U18" s="57" t="s">
        <v>112</v>
      </c>
      <c r="V18" s="37"/>
      <c r="W18" s="24" t="s">
        <v>113</v>
      </c>
      <c r="X18" s="24" t="s">
        <v>114</v>
      </c>
    </row>
    <row r="19" customFormat="false" ht="30.75" hidden="false" customHeight="true" outlineLevel="0" collapsed="false">
      <c r="A19" s="17" t="str">
        <f aca="false">HYPERLINK("F:\Appalti\Azienda Zero","Apri")</f>
        <v>Apri</v>
      </c>
      <c r="B19" s="18" t="s">
        <v>115</v>
      </c>
      <c r="C19" s="18" t="s">
        <v>116</v>
      </c>
      <c r="D19" s="19"/>
      <c r="E19" s="18" t="n">
        <v>5</v>
      </c>
      <c r="F19" s="18" t="n">
        <v>5</v>
      </c>
      <c r="G19" s="18" t="n">
        <v>1</v>
      </c>
      <c r="H19" s="18" t="n">
        <v>5</v>
      </c>
      <c r="I19" s="19"/>
      <c r="J19" s="18" t="s">
        <v>37</v>
      </c>
      <c r="K19" s="18" t="s">
        <v>111</v>
      </c>
      <c r="L19" s="18"/>
      <c r="M19" s="18"/>
      <c r="N19" s="18" t="s">
        <v>111</v>
      </c>
      <c r="O19" s="18" t="s">
        <v>117</v>
      </c>
      <c r="P19" s="18" t="s">
        <v>52</v>
      </c>
      <c r="Q19" s="20" t="s">
        <v>111</v>
      </c>
      <c r="R19" s="20" t="s">
        <v>111</v>
      </c>
      <c r="S19" s="20" t="s">
        <v>118</v>
      </c>
      <c r="T19" s="21" t="s">
        <v>119</v>
      </c>
      <c r="U19" s="52" t="s">
        <v>109</v>
      </c>
      <c r="V19" s="23"/>
      <c r="W19" s="24" t="s">
        <v>120</v>
      </c>
      <c r="X19" s="24" t="s">
        <v>121</v>
      </c>
    </row>
    <row r="20" customFormat="false" ht="43.5" hidden="false" customHeight="true" outlineLevel="0" collapsed="false">
      <c r="A20" s="58" t="str">
        <f aca="false">HYPERLINK("F:\Appalti\DAP Carceri","Apri")</f>
        <v>Apri</v>
      </c>
      <c r="B20" s="59" t="s">
        <v>122</v>
      </c>
      <c r="C20" s="60" t="s">
        <v>123</v>
      </c>
      <c r="D20" s="61" t="s">
        <v>111</v>
      </c>
      <c r="E20" s="60" t="n">
        <v>9</v>
      </c>
      <c r="F20" s="60" t="n">
        <v>9</v>
      </c>
      <c r="G20" s="60" t="n">
        <v>9</v>
      </c>
      <c r="H20" s="60" t="s">
        <v>111</v>
      </c>
      <c r="I20" s="61"/>
      <c r="J20" s="60" t="s">
        <v>37</v>
      </c>
      <c r="K20" s="60" t="s">
        <v>111</v>
      </c>
      <c r="L20" s="60"/>
      <c r="M20" s="60"/>
      <c r="N20" s="60" t="s">
        <v>111</v>
      </c>
      <c r="O20" s="60" t="s">
        <v>124</v>
      </c>
      <c r="P20" s="60" t="s">
        <v>86</v>
      </c>
      <c r="Q20" s="62" t="s">
        <v>111</v>
      </c>
      <c r="R20" s="62" t="s">
        <v>111</v>
      </c>
      <c r="S20" s="62" t="s">
        <v>125</v>
      </c>
      <c r="T20" s="63" t="s">
        <v>126</v>
      </c>
      <c r="U20" s="64" t="s">
        <v>127</v>
      </c>
      <c r="V20" s="65"/>
      <c r="W20" s="24" t="s">
        <v>128</v>
      </c>
      <c r="X20" s="24" t="s">
        <v>114</v>
      </c>
    </row>
    <row r="21" customFormat="false" ht="15" hidden="false" customHeight="true" outlineLevel="0" collapsed="false">
      <c r="U21" s="4" t="s">
        <v>129</v>
      </c>
    </row>
  </sheetData>
  <mergeCells count="23">
    <mergeCell ref="A1:X1"/>
    <mergeCell ref="A2:A3"/>
    <mergeCell ref="B2:B3"/>
    <mergeCell ref="C2:C3"/>
    <mergeCell ref="D2:D3"/>
    <mergeCell ref="E2:I2"/>
    <mergeCell ref="J2:J3"/>
    <mergeCell ref="K2:K3"/>
    <mergeCell ref="L2:M2"/>
    <mergeCell ref="N2:O2"/>
    <mergeCell ref="P2:P3"/>
    <mergeCell ref="Q2:Q3"/>
    <mergeCell ref="R2:R3"/>
    <mergeCell ref="S2:S3"/>
    <mergeCell ref="T2:T3"/>
    <mergeCell ref="U2:U3"/>
    <mergeCell ref="V2:V3"/>
    <mergeCell ref="W2:W3"/>
    <mergeCell ref="X2:X3"/>
    <mergeCell ref="A4:X4"/>
    <mergeCell ref="A6:X6"/>
    <mergeCell ref="A11:X11"/>
    <mergeCell ref="A14:X14"/>
  </mergeCells>
  <conditionalFormatting sqref="K5:K19">
    <cfRule type="expression" priority="2" aboveAverage="0" equalAverage="0" bottom="0" percent="0" rank="0" text="" dxfId="0">
      <formula>AND(ISNUMBER(K5), K5&lt;TODAY())</formula>
    </cfRule>
    <cfRule type="expression" priority="3" aboveAverage="0" equalAverage="0" bottom="0" percent="0" rank="0" text="" dxfId="1">
      <formula>AND(ISNUMBER(K5), K5&gt;=TODAY(), K5&lt;=TODAY()+7)</formula>
    </cfRule>
    <cfRule type="expression" priority="4" aboveAverage="0" equalAverage="0" bottom="0" percent="0" rank="0" text="" dxfId="2">
      <formula>AND(ISNUMBER(K5), K5&gt;TODAY()+7, K5&lt;=TODAY()+30)</formula>
    </cfRule>
    <cfRule type="expression" priority="5" aboveAverage="0" equalAverage="0" bottom="0" percent="0" rank="0" text="" dxfId="3">
      <formula>AND(ISNUMBER(K5), K5&gt;TODAY()+30)</formula>
    </cfRule>
  </conditionalFormatting>
  <hyperlinks>
    <hyperlink ref="U5" r:id="rId1" display="Comune Milano - Avviso San Siro"/>
    <hyperlink ref="U7" r:id="rId2" display="Portale appalti Alghero"/>
    <hyperlink ref="U12" r:id="rId3" display="https://www.sintel.regione.lombardia.it/eprocdata/auctionDetail.xhtml?id=219510451"/>
    <hyperlink ref="U15" r:id="rId4" display="https://www.consip.it/notizie-avvisi/pubblicata-la-consultazione-del-mercato-per-laffidamento-di-un-multiservizio-integrato-energia-per-gli-immobili-in-uso-agli-enti-del-ssn"/>
    <hyperlink ref="U16" r:id="rId5" display="https://www.conferenzastatocitta.gov.it/home/notizie-e-comunicati/2026/servizio-integrato-energia-gara-consip-per-le-amministrazioni-locali/"/>
    <hyperlink ref="U17" r:id="rId6" display="https://www.sintel.regione.lombardia.it/eprocdata/sintelSearch.xhtml"/>
    <hyperlink ref="U20" r:id="rId7" display="DAP - Avviso PPP Energia"/>
  </hyperlinks>
  <printOptions headings="false" gridLines="false" gridLinesSet="true" horizontalCentered="true" verticalCentered="false"/>
  <pageMargins left="0.3" right="0.3" top="0.4" bottom="0.4"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F78"/>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4"/>
    <col collapsed="false" customWidth="true" hidden="false" outlineLevel="0" max="2" min="2" style="5" width="30"/>
    <col collapsed="false" customWidth="true" hidden="false" outlineLevel="0" max="3" min="3" style="5" width="12"/>
    <col collapsed="false" customWidth="true" hidden="false" outlineLevel="0" max="6" min="4" style="5" width="22"/>
    <col collapsed="false" customWidth="true" hidden="false" outlineLevel="0" max="7" min="7" style="5" width="4"/>
  </cols>
  <sheetData>
    <row r="2" customFormat="false" ht="30" hidden="false" customHeight="true" outlineLevel="0" collapsed="false">
      <c r="B2" s="66" t="s">
        <v>130</v>
      </c>
      <c r="C2" s="66"/>
      <c r="D2" s="66"/>
      <c r="E2" s="66"/>
      <c r="F2" s="66"/>
    </row>
    <row r="3" customFormat="false" ht="15" hidden="false" customHeight="true" outlineLevel="0" collapsed="false">
      <c r="B3" s="67" t="str">
        <f aca="true">CONCATENATE("Aggiornato al ",TEXT(TODAY(),"d mmmm yyyy"))</f>
        <v>Aggiornato al 10 September 2026</v>
      </c>
      <c r="C3" s="67"/>
      <c r="D3" s="67"/>
      <c r="E3" s="67"/>
      <c r="F3" s="67"/>
    </row>
    <row r="5" customFormat="false" ht="15" hidden="false" customHeight="true" outlineLevel="0" collapsed="false">
      <c r="B5" s="68" t="s">
        <v>131</v>
      </c>
      <c r="C5" s="68"/>
      <c r="D5" s="68"/>
      <c r="E5" s="68"/>
      <c r="F5" s="68"/>
    </row>
    <row r="6" customFormat="false" ht="15" hidden="false" customHeight="true" outlineLevel="0" collapsed="false">
      <c r="B6" s="69" t="s">
        <v>132</v>
      </c>
      <c r="C6" s="69" t="s">
        <v>133</v>
      </c>
      <c r="D6" s="69" t="s">
        <v>134</v>
      </c>
      <c r="E6" s="69" t="s">
        <v>135</v>
      </c>
      <c r="F6" s="69" t="s">
        <v>136</v>
      </c>
    </row>
    <row r="7" customFormat="false" ht="15" hidden="false" customHeight="true" outlineLevel="0" collapsed="false">
      <c r="B7" s="70" t="s">
        <v>137</v>
      </c>
      <c r="C7" s="71" t="n">
        <f aca="false">COUNTIF('Prospetto A3'!$A$5:$A$5,"&lt;&gt;")</f>
        <v>1</v>
      </c>
      <c r="D7" s="72" t="n">
        <f aca="false">SUM('Prospetto A3'!$D$5)</f>
        <v>197075590</v>
      </c>
      <c r="E7" s="72" t="n">
        <f aca="false">SUM('Prospetto A3'!$I$5)</f>
        <v>0</v>
      </c>
      <c r="F7" s="73" t="n">
        <f aca="false">IFERROR(E7/D7,0)</f>
        <v>0</v>
      </c>
    </row>
    <row r="8" customFormat="false" ht="15" hidden="false" customHeight="true" outlineLevel="0" collapsed="false">
      <c r="B8" s="70" t="s">
        <v>138</v>
      </c>
      <c r="C8" s="71" t="n">
        <f aca="false">COUNTA('Prospetto A3'!$B$7:$B$10)</f>
        <v>4</v>
      </c>
      <c r="D8" s="72" t="n">
        <f aca="false">SUM('Prospetto A3'!$D$7:$D$10)</f>
        <v>2067634244.6</v>
      </c>
      <c r="E8" s="72" t="n">
        <f aca="false">SUM('Prospetto A3'!$I$7:$I$10)</f>
        <v>1080703034</v>
      </c>
      <c r="F8" s="73" t="n">
        <f aca="false">IFERROR(E8/D8,0)</f>
        <v>0.522676114899166</v>
      </c>
    </row>
    <row r="9" customFormat="false" ht="15" hidden="false" customHeight="true" outlineLevel="0" collapsed="false">
      <c r="B9" s="70" t="s">
        <v>139</v>
      </c>
      <c r="C9" s="71" t="n">
        <f aca="false">COUNTA('Prospetto A3'!$B$12:$B$13)</f>
        <v>2</v>
      </c>
      <c r="D9" s="72" t="n">
        <f aca="false">SUM('Prospetto A3'!$D$12:$D$13)</f>
        <v>22654407</v>
      </c>
      <c r="E9" s="72" t="n">
        <f aca="false">SUM('Prospetto A3'!$I$12:$I$13)</f>
        <v>0</v>
      </c>
      <c r="F9" s="73" t="n">
        <f aca="false">IFERROR(E9/D9,0)</f>
        <v>0</v>
      </c>
    </row>
    <row r="10" customFormat="false" ht="15" hidden="false" customHeight="true" outlineLevel="0" collapsed="false">
      <c r="A10" s="5" t="s">
        <v>140</v>
      </c>
      <c r="B10" s="70" t="s">
        <v>141</v>
      </c>
      <c r="C10" s="71" t="n">
        <f aca="false">COUNTA('Prospetto A3'!$B$15:$B$16)</f>
        <v>2</v>
      </c>
      <c r="D10" s="72" t="n">
        <f aca="false">SUM('Prospetto A3'!$D$15:$D$16)</f>
        <v>5300228785</v>
      </c>
      <c r="E10" s="72" t="n">
        <f aca="false">SUMIF('Prospetto A3'!$I$15:$I$16,"&gt;0")</f>
        <v>0</v>
      </c>
      <c r="F10" s="73"/>
    </row>
    <row r="11" customFormat="false" ht="15" hidden="false" customHeight="true" outlineLevel="0" collapsed="false">
      <c r="B11" s="70" t="s">
        <v>142</v>
      </c>
      <c r="C11" s="71" t="n">
        <f aca="false">COUNTA('Prospetto A3'!$B$18:$B$20)</f>
        <v>3</v>
      </c>
      <c r="D11" s="72" t="n">
        <f aca="false">SUMIF('Prospetto A3'!$D$18:$D$20,"&gt;0")</f>
        <v>0</v>
      </c>
      <c r="E11" s="72" t="n">
        <f aca="false">SUMIF('Prospetto A3'!$I$18:$I$20,"&gt;0")</f>
        <v>0</v>
      </c>
      <c r="F11" s="73" t="n">
        <f aca="false">IFERROR(E10/D10,0)</f>
        <v>0</v>
      </c>
    </row>
    <row r="12" customFormat="false" ht="15" hidden="false" customHeight="true" outlineLevel="0" collapsed="false">
      <c r="B12" s="74" t="s">
        <v>143</v>
      </c>
      <c r="C12" s="75" t="n">
        <f aca="false">SUM(C7:C10)</f>
        <v>9</v>
      </c>
      <c r="D12" s="76" t="n">
        <f aca="false">SUM(D7:D10)</f>
        <v>7587593026.6</v>
      </c>
      <c r="E12" s="76" t="n">
        <f aca="false">SUM(E7:E10)</f>
        <v>1080703034</v>
      </c>
      <c r="F12" s="77" t="n">
        <f aca="false">IFERROR(E11/D11,0)</f>
        <v>0</v>
      </c>
    </row>
    <row r="13" customFormat="false" ht="15" hidden="false" customHeight="true" outlineLevel="0" collapsed="false">
      <c r="B13" s="78"/>
      <c r="C13" s="78"/>
      <c r="D13" s="78"/>
      <c r="E13" s="78"/>
      <c r="F13" s="78"/>
    </row>
    <row r="14" customFormat="false" ht="15" hidden="false" customHeight="true" outlineLevel="0" collapsed="false">
      <c r="B14" s="79" t="s">
        <v>144</v>
      </c>
    </row>
    <row r="15" customFormat="false" ht="15" hidden="false" customHeight="true" outlineLevel="0" collapsed="false">
      <c r="B15" s="69" t="s">
        <v>145</v>
      </c>
      <c r="C15" s="69" t="s">
        <v>146</v>
      </c>
      <c r="D15" s="69" t="s">
        <v>147</v>
      </c>
      <c r="E15" s="69" t="s">
        <v>148</v>
      </c>
      <c r="F15" s="69" t="s">
        <v>132</v>
      </c>
    </row>
    <row r="16" customFormat="false" ht="32.25" hidden="false" customHeight="true" outlineLevel="0" collapsed="false">
      <c r="B16" s="80" t="str">
        <f aca="false">'Prospetto A3'!B5</f>
        <v>STADIO SAN SIRO</v>
      </c>
      <c r="C16" s="81" t="str">
        <f aca="false">'Prospetto A3'!C5</f>
        <v>CONCESSIONE</v>
      </c>
      <c r="D16" s="82" t="n">
        <f aca="false">'Prospetto A3'!K5</f>
        <v>0</v>
      </c>
      <c r="E16" s="71" t="str">
        <f aca="true">IF(ISNUMBER(D15),D15-TODAY(),"")</f>
        <v/>
      </c>
      <c r="F16" s="83" t="str">
        <f aca="false">IF(NOT(ISNUMBER(D15)),"—",IF(E15&lt;0,"Scaduta",IF(E15&lt;=7,"URGENTE",IF(E15&lt;=30,"Attenzione","Tranquilla"))))</f>
        <v>—</v>
      </c>
    </row>
    <row r="17" customFormat="false" ht="42.75" hidden="false" customHeight="true" outlineLevel="0" collapsed="false">
      <c r="B17" s="80" t="str">
        <f aca="false">'Prospetto A3'!B7</f>
        <v>COMUNE DI ALGHERO</v>
      </c>
      <c r="C17" s="81" t="str">
        <f aca="false">'Prospetto A3'!C7</f>
        <v>PPP TERMICO E PUBBLICA ILLUM</v>
      </c>
      <c r="D17" s="82" t="n">
        <f aca="false">'Prospetto A3'!K7</f>
        <v>46136</v>
      </c>
      <c r="E17" s="71" t="str">
        <f aca="true">IF(ISNUMBER(D16),D16-TODAY(),"")</f>
        <v/>
      </c>
      <c r="F17" s="83" t="str">
        <f aca="false">IF(NOT(ISNUMBER(D16)),"—",IF(E16&lt;0,"Scaduta",IF(E16&lt;=7,"URGENTE",IF(E16&lt;=30,"Attenzione","Tranquilla"))))</f>
        <v>—</v>
      </c>
    </row>
    <row r="18" customFormat="false" ht="32.25" hidden="false" customHeight="true" outlineLevel="0" collapsed="false">
      <c r="B18" s="80" t="str">
        <f aca="false">'Prospetto A3'!B8</f>
        <v>ARIA</v>
      </c>
      <c r="C18" s="81" t="str">
        <f aca="false">'Prospetto A3'!C8</f>
        <v>MANUTENZIONE IMP. ELETTRICI SANITA' PR. AP. ART 71</v>
      </c>
      <c r="D18" s="82" t="n">
        <f aca="false">'Prospetto A3'!K8</f>
        <v>46160</v>
      </c>
      <c r="E18" s="71" t="n">
        <f aca="true">IF(ISNUMBER(D17),D17-TODAY(),"")</f>
        <v>-139</v>
      </c>
      <c r="F18" s="83" t="str">
        <f aca="false">IF(NOT(ISNUMBER(D17)),"—",IF(E17&lt;0,"Scaduta",IF(E17&lt;=7,"URGENTE",IF(E17&lt;=30,"Attenzione","Tranquilla"))))</f>
        <v>Tranquilla</v>
      </c>
    </row>
    <row r="19" customFormat="false" ht="32.25" hidden="false" customHeight="true" outlineLevel="0" collapsed="false">
      <c r="B19" s="80" t="str">
        <f aca="false">'Prospetto A3'!B9</f>
        <v>ARIA</v>
      </c>
      <c r="C19" s="81" t="str">
        <f aca="false">'Prospetto A3'!C9</f>
        <v>MANUTEZIONE IMP.IDRICI PR. AP.ART71</v>
      </c>
      <c r="D19" s="82" t="n">
        <f aca="false">'Prospetto A3'!K9</f>
        <v>46168</v>
      </c>
      <c r="E19" s="71" t="n">
        <f aca="true">IF(ISNUMBER(D18),D18-TODAY(),"")</f>
        <v>-115</v>
      </c>
      <c r="F19" s="83" t="str">
        <f aca="false">IF(NOT(ISNUMBER(D18)),"—",IF(E18&lt;0,"Scaduta",IF(E18&lt;=7,"URGENTE",IF(E18&lt;=30,"Attenzione","Tranquilla"))))</f>
        <v>Scaduta</v>
      </c>
    </row>
    <row r="20" customFormat="false" ht="15" hidden="false" customHeight="true" outlineLevel="0" collapsed="false">
      <c r="B20" s="80" t="str">
        <f aca="false">'Prospetto A3'!B10</f>
        <v>CONSIP</v>
      </c>
      <c r="C20" s="81" t="str">
        <f aca="false">'Prospetto A3'!C10</f>
        <v>AQ SERVIZIO INTEGRATO ENERGIA PAL</v>
      </c>
      <c r="D20" s="82" t="n">
        <f aca="false">'Prospetto A3'!K10</f>
        <v>46147</v>
      </c>
      <c r="E20" s="71" t="n">
        <f aca="true">IF(ISNUMBER(D19),D19-TODAY(),"")</f>
        <v>-107</v>
      </c>
      <c r="F20" s="83" t="str">
        <f aca="false">IF(NOT(ISNUMBER(D19)),"—",IF(E19&lt;0,"Scaduta",IF(E19&lt;=7,"URGENTE",IF(E19&lt;=30,"Attenzione","Tranquilla"))))</f>
        <v>Scaduta</v>
      </c>
    </row>
    <row r="21" customFormat="false" ht="15" hidden="false" customHeight="true" outlineLevel="0" collapsed="false">
      <c r="B21" s="80" t="str">
        <f aca="false">'Prospetto A3'!B12</f>
        <v>ASP PAVIA</v>
      </c>
      <c r="C21" s="81" t="str">
        <f aca="false">'Prospetto A3'!C12</f>
        <v>EPC</v>
      </c>
      <c r="D21" s="82" t="n">
        <f aca="false">'Prospetto A3'!K12</f>
        <v>46195</v>
      </c>
      <c r="E21" s="71" t="n">
        <f aca="true">IF(ISNUMBER(D20),D20-TODAY(),"")</f>
        <v>-128</v>
      </c>
      <c r="F21" s="83" t="str">
        <f aca="false">IF(NOT(ISNUMBER(D20)),"—",IF(E20&lt;0,"Scaduta",IF(E20&lt;=7,"URGENTE",IF(E20&lt;=30,"Attenzione","Tranquilla"))))</f>
        <v>Scaduta</v>
      </c>
    </row>
    <row r="22" customFormat="false" ht="42.75" hidden="false" customHeight="true" outlineLevel="0" collapsed="false">
      <c r="B22" s="80" t="str">
        <f aca="false">'Prospetto A3'!B13</f>
        <v>ASP PAVIA</v>
      </c>
      <c r="C22" s="81" t="str">
        <f aca="false">'Prospetto A3'!C13</f>
        <v>LAVORI</v>
      </c>
      <c r="D22" s="82" t="n">
        <f aca="false">'Prospetto A3'!K13</f>
        <v>46204</v>
      </c>
      <c r="E22" s="71" t="n">
        <f aca="true">IF(ISNUMBER(D21),D21-TODAY(),"")</f>
        <v>-80</v>
      </c>
      <c r="F22" s="83" t="str">
        <f aca="false">IF(NOT(ISNUMBER(D21)),"—",IF(E21&lt;0,"Scaduta",IF(E21&lt;=7,"URGENTE",IF(E21&lt;=30,"Attenzione","Tranquilla"))))</f>
        <v>Scaduta</v>
      </c>
    </row>
    <row r="23" customFormat="false" ht="15" hidden="false" customHeight="true" outlineLevel="0" collapsed="false">
      <c r="B23" s="80" t="str">
        <f aca="false">'Prospetto A3'!B15</f>
        <v>CONSIP MIES - ID 2950</v>
      </c>
      <c r="C23" s="81" t="str">
        <f aca="false">'Prospetto A3'!C15</f>
        <v>AQ MULTISERVIZIO INTEGRATO ENERGIA SSN — ED. 2</v>
      </c>
      <c r="D23" s="82" t="str">
        <f aca="false">'Prospetto A3'!K15</f>
        <v>30/09/2026 h. 16:00</v>
      </c>
      <c r="E23" s="71" t="n">
        <f aca="true">IF(ISNUMBER(D22),D22-TODAY(),"")</f>
        <v>-71</v>
      </c>
      <c r="F23" s="83" t="str">
        <f aca="false">IF(NOT(ISNUMBER(D22)),"—",IF(E22&lt;0,"Scaduta",IF(E22&lt;=7,"URGENTE",IF(E22&lt;=30,"Attenzione","Tranquilla"))))</f>
        <v>Scaduta</v>
      </c>
    </row>
    <row r="24" customFormat="false" ht="21.75" hidden="false" customHeight="true" outlineLevel="0" collapsed="false">
      <c r="B24" s="80" t="str">
        <f aca="false">'Prospetto A3'!B16</f>
        <v>REGIONE LAZIO — DIREZIONE CENTRALE ACQUISTI</v>
      </c>
      <c r="C24" s="81" t="str">
        <f aca="false">'Prospetto A3'!C16</f>
        <v>MULTISERVIZIO TECNOLOGICO AASS LAZIO — ED. 4 (EPC)</v>
      </c>
      <c r="D24" s="82" t="str">
        <f aca="false">'Prospetto A3'!K16</f>
        <v>29/10/2026 (indicativa — verificare S.Tel.LA)</v>
      </c>
      <c r="E24" s="71" t="str">
        <f aca="true">IF(ISNUMBER(D23),D23-TODAY(),"")</f>
        <v/>
      </c>
      <c r="F24" s="83" t="str">
        <f aca="false">IF(NOT(ISNUMBER(D23)),"—",IF(E23&lt;0,"Scaduta",IF(E23&lt;=7,"URGENTE",IF(E23&lt;=30,"Attenzione","Tranquilla"))))</f>
        <v>—</v>
      </c>
    </row>
    <row r="25" customFormat="false" ht="21.75" hidden="false" customHeight="true" outlineLevel="0" collapsed="false">
      <c r="B25" s="80" t="str">
        <f aca="false">'Prospetto A3'!B18</f>
        <v>CONSIP</v>
      </c>
      <c r="C25" s="81" t="str">
        <f aca="false">'Prospetto A3'!C18</f>
        <v>SIE PAC ED. 1</v>
      </c>
      <c r="D25" s="82" t="str">
        <f aca="false">'Prospetto A3'!K18</f>
        <v>ND</v>
      </c>
      <c r="E25" s="71" t="str">
        <f aca="true">IF(ISNUMBER(D24),D24-TODAY(),"")</f>
        <v/>
      </c>
      <c r="F25" s="83" t="str">
        <f aca="false">IF(NOT(ISNUMBER(D24)),"—",IF(E24&lt;0,"Scaduta",IF(E24&lt;=7,"URGENTE",IF(E24&lt;=30,"Attenzione","Tranquilla"))))</f>
        <v>—</v>
      </c>
    </row>
    <row r="26" customFormat="false" ht="15" hidden="false" customHeight="true" outlineLevel="0" collapsed="false">
      <c r="B26" s="80" t="str">
        <f aca="false">'Prospetto A3'!B19</f>
        <v>AZIENDA ZERO</v>
      </c>
      <c r="C26" s="81" t="str">
        <f aca="false">'Prospetto A3'!C19</f>
        <v>SERVIZIO ENERGIA / EPC</v>
      </c>
      <c r="D26" s="82" t="str">
        <f aca="false">'Prospetto A3'!K19</f>
        <v>ND</v>
      </c>
      <c r="E26" s="71" t="str">
        <f aca="true">IF(ISNUMBER(D25),D25-TODAY(),"")</f>
        <v/>
      </c>
      <c r="F26" s="83" t="str">
        <f aca="false">IF(NOT(ISNUMBER(D25)),"—",IF(E25&lt;0,"Scaduta",IF(E25&lt;=7,"URGENTE",IF(E25&lt;=30,"Attenzione","Tranquilla"))))</f>
        <v>—</v>
      </c>
    </row>
    <row r="27" customFormat="false" ht="15" hidden="false" customHeight="true" outlineLevel="0" collapsed="false">
      <c r="B27" s="80" t="str">
        <f aca="false">'Prospetto A3'!B20</f>
        <v>DAP</v>
      </c>
      <c r="C27" s="81" t="str">
        <f aca="false">'Prospetto A3'!C20</f>
        <v>PPP CARCERI</v>
      </c>
      <c r="D27" s="82" t="str">
        <f aca="false">'Prospetto A3'!K20</f>
        <v>ND</v>
      </c>
      <c r="E27" s="71" t="str">
        <f aca="true">IF(ISNUMBER(D26),D26-TODAY(),"")</f>
        <v/>
      </c>
      <c r="F27" s="71" t="str">
        <f aca="false">IF(NOT(ISNUMBER(D26)),"—",IF(E26&lt;0,"Scaduta",IF(E26&lt;=7,"URGENTE",IF(E26&lt;=30,"Attenzione","Tranquilla"))))</f>
        <v>—</v>
      </c>
    </row>
    <row r="28" customFormat="false" ht="15" hidden="false" customHeight="true" outlineLevel="0" collapsed="false">
      <c r="B28" s="78"/>
      <c r="C28" s="78"/>
      <c r="D28" s="78"/>
      <c r="E28" s="78"/>
      <c r="F28" s="78"/>
    </row>
    <row r="29" customFormat="false" ht="15" hidden="false" customHeight="true" outlineLevel="0" collapsed="false">
      <c r="B29" s="79" t="s">
        <v>149</v>
      </c>
    </row>
    <row r="30" customFormat="false" ht="15" hidden="false" customHeight="true" outlineLevel="0" collapsed="false">
      <c r="B30" s="69" t="s">
        <v>145</v>
      </c>
      <c r="C30" s="69" t="s">
        <v>150</v>
      </c>
      <c r="D30" s="69" t="s">
        <v>134</v>
      </c>
      <c r="E30" s="84"/>
      <c r="F30" s="84"/>
    </row>
    <row r="31" customFormat="false" ht="15" hidden="false" customHeight="true" outlineLevel="0" collapsed="false">
      <c r="B31" s="80" t="s">
        <v>47</v>
      </c>
      <c r="C31" s="71" t="n">
        <f aca="false">COUNTIF('Prospetto A3'!B5:B20,"ARIA")</f>
        <v>2</v>
      </c>
      <c r="D31" s="72" t="n">
        <f aca="false">SUMIF('Prospetto A3'!B5:B20,"ARIA",'Prospetto A3'!D5:D20)</f>
        <v>18712285.6</v>
      </c>
    </row>
    <row r="32" customFormat="false" ht="15" hidden="false" customHeight="true" outlineLevel="0" collapsed="false">
      <c r="B32" s="80" t="s">
        <v>63</v>
      </c>
      <c r="C32" s="71" t="n">
        <f aca="false">COUNTIF('Prospetto A3'!B5:B20,"CONSIP")</f>
        <v>2</v>
      </c>
      <c r="D32" s="72" t="n">
        <f aca="false">SUMIF('Prospetto A3'!B5:B20,"CONSIP",'Prospetto A3'!D5:D20)</f>
        <v>2015086959</v>
      </c>
    </row>
    <row r="33" customFormat="false" ht="15" hidden="false" customHeight="true" outlineLevel="0" collapsed="false">
      <c r="B33" s="80" t="s">
        <v>71</v>
      </c>
      <c r="C33" s="71" t="n">
        <f aca="false">COUNTIF('Prospetto A3'!B5:B20,"ASP PAVIA")</f>
        <v>2</v>
      </c>
      <c r="D33" s="72" t="n">
        <f aca="false">SUMIF('Prospetto A3'!B5:B20,"ASP PAVIA",'Prospetto A3'!D5:D20)</f>
        <v>22654407</v>
      </c>
    </row>
    <row r="34" customFormat="false" ht="15" hidden="false" customHeight="true" outlineLevel="0" collapsed="false">
      <c r="B34" s="80" t="s">
        <v>115</v>
      </c>
      <c r="C34" s="71" t="n">
        <f aca="false">COUNTIF('Prospetto A3'!B5:B20,"AZIENDA ZERO")</f>
        <v>1</v>
      </c>
      <c r="D34" s="72" t="n">
        <f aca="false">SUMIF('Prospetto A3'!B5:B20,"AZIENDA ZERO",'Prospetto A3'!D5:D20)</f>
        <v>0</v>
      </c>
    </row>
    <row r="35" customFormat="false" ht="15" hidden="false" customHeight="true" outlineLevel="0" collapsed="false">
      <c r="B35" s="80" t="s">
        <v>151</v>
      </c>
      <c r="C35" s="71" t="n">
        <f aca="false">COUNTIF('Prospetto A3'!B5:B20,"REGIONE LAZIO")</f>
        <v>0</v>
      </c>
      <c r="D35" s="72" t="n">
        <f aca="false">SUMIF('Prospetto A3'!B5:B20,"REGIONE LAZIO",'Prospetto A3'!D5:D20)</f>
        <v>0</v>
      </c>
    </row>
    <row r="36" customFormat="false" ht="15" hidden="false" customHeight="true" outlineLevel="0" collapsed="false">
      <c r="B36" s="80" t="s">
        <v>35</v>
      </c>
      <c r="C36" s="71" t="n">
        <f aca="false">COUNTIF('Prospetto A3'!B5:B20,"COMUNE DI ALGHERO")</f>
        <v>1</v>
      </c>
      <c r="D36" s="72" t="n">
        <f aca="false">SUMIF('Prospetto A3'!B5:B20,"COMUNE DI ALGHERO",'Prospetto A3'!D5:D20)</f>
        <v>33835000</v>
      </c>
    </row>
    <row r="37" customFormat="false" ht="15" hidden="false" customHeight="true" outlineLevel="0" collapsed="false">
      <c r="B37" s="80" t="s">
        <v>28</v>
      </c>
      <c r="C37" s="71" t="n">
        <f aca="false">COUNTIF('Prospetto A3'!B5:B20,"STADIO SAN SIRO")</f>
        <v>1</v>
      </c>
      <c r="D37" s="72" t="n">
        <f aca="false">SUMIF('Prospetto A3'!B5:B20,"STADIO SAN SIRO",'Prospetto A3'!D5:D20)</f>
        <v>197075590</v>
      </c>
    </row>
    <row r="38" customFormat="false" ht="15" hidden="false" customHeight="true" outlineLevel="0" collapsed="false">
      <c r="B38" s="80" t="s">
        <v>84</v>
      </c>
      <c r="C38" s="71" t="n">
        <f aca="false">COUNTIF('Prospetto A3'!B5:B20,"CONSIP MIES - ID 2950")</f>
        <v>1</v>
      </c>
      <c r="D38" s="72" t="n">
        <f aca="false">SUMIF('Prospetto A3'!B5:B20,"CONSIP MIES - ID 2950",'Prospetto A3'!D5:D20)</f>
        <v>3289440000</v>
      </c>
    </row>
    <row r="39" customFormat="false" ht="15" hidden="false" customHeight="true" outlineLevel="0" collapsed="false">
      <c r="B39" s="80" t="s">
        <v>122</v>
      </c>
      <c r="C39" s="71" t="n">
        <f aca="false">COUNTIF('Prospetto A3'!B5:B20,"DAP")</f>
        <v>1</v>
      </c>
      <c r="D39" s="72" t="n">
        <f aca="false">SUMIF('Prospetto A3'!B5:B20,"DAP",'Prospetto A3'!D5:D20)</f>
        <v>0</v>
      </c>
    </row>
    <row r="41" customFormat="false" ht="15" hidden="false" customHeight="true" outlineLevel="0" collapsed="false">
      <c r="B41" s="78"/>
      <c r="C41" s="78"/>
      <c r="D41" s="78"/>
      <c r="E41" s="78"/>
      <c r="F41" s="78"/>
    </row>
    <row r="42" customFormat="false" ht="15" hidden="false" customHeight="true" outlineLevel="0" collapsed="false">
      <c r="B42" s="79" t="s">
        <v>152</v>
      </c>
    </row>
    <row r="43" customFormat="false" ht="15" hidden="false" customHeight="true" outlineLevel="0" collapsed="false">
      <c r="B43" s="70" t="s">
        <v>153</v>
      </c>
      <c r="C43" s="71" t="n">
        <f aca="false">COUNTIF(F15:F26,"URGENTE")</f>
        <v>0</v>
      </c>
    </row>
    <row r="44" customFormat="false" ht="15" hidden="false" customHeight="true" outlineLevel="0" collapsed="false">
      <c r="B44" s="70" t="s">
        <v>154</v>
      </c>
      <c r="C44" s="71" t="n">
        <f aca="false">COUNTIF(F15:F26,"Attenzione")</f>
        <v>0</v>
      </c>
    </row>
    <row r="45" customFormat="false" ht="15" hidden="false" customHeight="true" outlineLevel="0" collapsed="false">
      <c r="B45" s="70" t="s">
        <v>155</v>
      </c>
      <c r="C45" s="71" t="n">
        <f aca="false">COUNTIF(F15:F26,"Tranquilla")</f>
        <v>1</v>
      </c>
    </row>
    <row r="46" customFormat="false" ht="15" hidden="false" customHeight="true" outlineLevel="0" collapsed="false">
      <c r="B46" s="70" t="s">
        <v>156</v>
      </c>
      <c r="C46" s="71" t="n">
        <f aca="false">COUNTIF(F15:F26,"Scaduta")</f>
        <v>5</v>
      </c>
    </row>
    <row r="47" customFormat="false" ht="15" hidden="false" customHeight="true" outlineLevel="0" collapsed="false">
      <c r="B47" s="70" t="s">
        <v>157</v>
      </c>
      <c r="C47" s="72" t="n">
        <f aca="false">SUM('Prospetto A3'!I5:I20)</f>
        <v>1080703034</v>
      </c>
    </row>
    <row r="48" customFormat="false" ht="15" hidden="false" customHeight="true" outlineLevel="0" collapsed="false">
      <c r="B48" s="70" t="s">
        <v>158</v>
      </c>
      <c r="C48" s="71" t="n">
        <f aca="false">COUNTA('Prospetto A3'!B7:B20)</f>
        <v>11</v>
      </c>
    </row>
    <row r="49" customFormat="false" ht="21.75" hidden="false" customHeight="true" outlineLevel="0" collapsed="false">
      <c r="B49" s="78"/>
      <c r="C49" s="78"/>
      <c r="D49" s="78"/>
      <c r="E49" s="78"/>
      <c r="F49" s="78"/>
    </row>
    <row r="50" customFormat="false" ht="15" hidden="false" customHeight="true" outlineLevel="0" collapsed="false">
      <c r="B50" s="85" t="s">
        <v>159</v>
      </c>
      <c r="C50" s="85"/>
      <c r="D50" s="85"/>
      <c r="E50" s="85"/>
      <c r="F50" s="85"/>
    </row>
    <row r="51" customFormat="false" ht="27.75" hidden="false" customHeight="true" outlineLevel="0" collapsed="false">
      <c r="B51" s="86" t="s">
        <v>160</v>
      </c>
    </row>
    <row r="52" customFormat="false" ht="27.75" hidden="false" customHeight="true" outlineLevel="0" collapsed="false"/>
    <row r="53" customFormat="false" ht="42" hidden="false" customHeight="true" outlineLevel="0" collapsed="false">
      <c r="B53" s="87" t="s">
        <v>161</v>
      </c>
      <c r="C53" s="87" t="s">
        <v>150</v>
      </c>
      <c r="D53" s="87" t="s">
        <v>162</v>
      </c>
      <c r="E53" s="87" t="s">
        <v>163</v>
      </c>
      <c r="F53" s="87" t="s">
        <v>164</v>
      </c>
    </row>
    <row r="54" customFormat="false" ht="42" hidden="false" customHeight="true" outlineLevel="0" collapsed="false">
      <c r="B54" s="88" t="s">
        <v>165</v>
      </c>
      <c r="C54" s="89" t="n">
        <v>13</v>
      </c>
      <c r="D54" s="90" t="n">
        <v>1103492241</v>
      </c>
      <c r="E54" s="90" t="n">
        <v>125014799</v>
      </c>
      <c r="F54" s="91" t="s">
        <v>166</v>
      </c>
    </row>
    <row r="55" customFormat="false" ht="42" hidden="false" customHeight="true" outlineLevel="0" collapsed="false">
      <c r="B55" s="88" t="s">
        <v>167</v>
      </c>
      <c r="C55" s="89" t="n">
        <v>3</v>
      </c>
      <c r="D55" s="90" t="n">
        <v>36403223</v>
      </c>
      <c r="E55" s="90" t="n">
        <v>24487369</v>
      </c>
      <c r="F55" s="91" t="s">
        <v>168</v>
      </c>
    </row>
    <row r="56" customFormat="false" ht="42" hidden="false" customHeight="true" outlineLevel="0" collapsed="false">
      <c r="B56" s="88" t="s">
        <v>169</v>
      </c>
      <c r="C56" s="89" t="n">
        <v>5</v>
      </c>
      <c r="D56" s="90" t="n">
        <v>55500189</v>
      </c>
      <c r="E56" s="90" t="n">
        <v>22808566</v>
      </c>
      <c r="F56" s="91" t="s">
        <v>170</v>
      </c>
    </row>
    <row r="57" customFormat="false" ht="42" hidden="false" customHeight="true" outlineLevel="0" collapsed="false">
      <c r="B57" s="88" t="s">
        <v>171</v>
      </c>
      <c r="C57" s="89" t="n">
        <v>3</v>
      </c>
      <c r="D57" s="90" t="n">
        <v>1065965000</v>
      </c>
      <c r="E57" s="90" t="n">
        <v>18609250</v>
      </c>
      <c r="F57" s="91" t="s">
        <v>172</v>
      </c>
    </row>
    <row r="58" customFormat="false" ht="42" hidden="false" customHeight="true" outlineLevel="0" collapsed="false">
      <c r="B58" s="88" t="s">
        <v>173</v>
      </c>
      <c r="C58" s="89" t="n">
        <v>1</v>
      </c>
      <c r="D58" s="90" t="n">
        <v>1032130000</v>
      </c>
      <c r="E58" s="89" t="s">
        <v>86</v>
      </c>
      <c r="F58" s="91" t="s">
        <v>174</v>
      </c>
    </row>
    <row r="59" customFormat="false" ht="42" hidden="false" customHeight="true" outlineLevel="0" collapsed="false">
      <c r="B59" s="88" t="s">
        <v>175</v>
      </c>
      <c r="C59" s="89" t="n">
        <v>1</v>
      </c>
      <c r="D59" s="90" t="n">
        <v>1032130000</v>
      </c>
      <c r="E59" s="89" t="s">
        <v>86</v>
      </c>
      <c r="F59" s="91" t="s">
        <v>176</v>
      </c>
    </row>
    <row r="60" customFormat="false" ht="42" hidden="false" customHeight="true" outlineLevel="0" collapsed="false">
      <c r="B60" s="88" t="s">
        <v>177</v>
      </c>
      <c r="C60" s="89" t="n">
        <v>1</v>
      </c>
      <c r="D60" s="90" t="n">
        <v>21665189</v>
      </c>
      <c r="E60" s="90" t="n">
        <v>4333038</v>
      </c>
      <c r="F60" s="91" t="s">
        <v>178</v>
      </c>
    </row>
    <row r="61" customFormat="false" ht="42" hidden="false" customHeight="true" outlineLevel="0" collapsed="false">
      <c r="B61" s="88" t="s">
        <v>179</v>
      </c>
      <c r="C61" s="89" t="n">
        <v>1</v>
      </c>
      <c r="D61" s="90" t="n">
        <v>989218</v>
      </c>
      <c r="E61" s="90" t="n">
        <v>692453</v>
      </c>
      <c r="F61" s="91" t="s">
        <v>180</v>
      </c>
    </row>
    <row r="62" customFormat="false" ht="27.75" hidden="false" customHeight="true" outlineLevel="0" collapsed="false">
      <c r="B62" s="88" t="s">
        <v>181</v>
      </c>
      <c r="C62" s="89" t="n">
        <v>1</v>
      </c>
      <c r="D62" s="89" t="s">
        <v>111</v>
      </c>
      <c r="E62" s="89" t="s">
        <v>86</v>
      </c>
      <c r="F62" s="91" t="s">
        <v>182</v>
      </c>
    </row>
    <row r="63" customFormat="false" ht="18" hidden="false" customHeight="true" outlineLevel="0" collapsed="false">
      <c r="B63" s="78"/>
      <c r="C63" s="78"/>
      <c r="D63" s="78"/>
      <c r="E63" s="78"/>
      <c r="F63" s="78"/>
    </row>
    <row r="64" customFormat="false" ht="27.75" hidden="false" customHeight="true" outlineLevel="0" collapsed="false">
      <c r="B64" s="92" t="s">
        <v>183</v>
      </c>
      <c r="C64" s="93"/>
      <c r="D64" s="93"/>
      <c r="E64" s="93"/>
      <c r="F64" s="93"/>
    </row>
    <row r="65" customFormat="false" ht="27.75" hidden="false" customHeight="true" outlineLevel="0" collapsed="false">
      <c r="B65" s="92" t="s">
        <v>52</v>
      </c>
      <c r="C65" s="94" t="s">
        <v>184</v>
      </c>
      <c r="D65" s="94"/>
      <c r="E65" s="94"/>
      <c r="F65" s="94"/>
    </row>
    <row r="66" customFormat="false" ht="54.75" hidden="false" customHeight="true" outlineLevel="0" collapsed="false">
      <c r="B66" s="92" t="s">
        <v>40</v>
      </c>
      <c r="C66" s="94" t="s">
        <v>185</v>
      </c>
      <c r="D66" s="95"/>
      <c r="E66" s="95"/>
      <c r="F66" s="93"/>
    </row>
    <row r="67" customFormat="false" ht="15" hidden="false" customHeight="true" outlineLevel="0" collapsed="false">
      <c r="B67" s="78"/>
      <c r="C67" s="78"/>
      <c r="D67" s="78"/>
      <c r="E67" s="78"/>
      <c r="F67" s="78"/>
    </row>
    <row r="68" customFormat="false" ht="15.75" hidden="false" customHeight="true" outlineLevel="0" collapsed="false">
      <c r="B68" s="96" t="s">
        <v>186</v>
      </c>
      <c r="C68" s="96"/>
      <c r="D68" s="96"/>
      <c r="E68" s="96"/>
      <c r="F68" s="96"/>
    </row>
    <row r="69" customFormat="false" ht="15.75" hidden="false" customHeight="true" outlineLevel="0" collapsed="false">
      <c r="B69" s="97" t="s">
        <v>187</v>
      </c>
      <c r="C69" s="97"/>
      <c r="D69" s="97"/>
      <c r="E69" s="97"/>
      <c r="F69" s="97"/>
    </row>
    <row r="70" customFormat="false" ht="15.75" hidden="false" customHeight="true" outlineLevel="0" collapsed="false">
      <c r="B70" s="97" t="s">
        <v>188</v>
      </c>
      <c r="C70" s="97"/>
      <c r="D70" s="97"/>
      <c r="E70" s="97"/>
      <c r="F70" s="97"/>
    </row>
    <row r="71" customFormat="false" ht="15.75" hidden="false" customHeight="true" outlineLevel="0" collapsed="false">
      <c r="B71" s="97" t="s">
        <v>189</v>
      </c>
      <c r="C71" s="97"/>
      <c r="D71" s="97"/>
      <c r="E71" s="97"/>
      <c r="F71" s="97"/>
    </row>
    <row r="72" customFormat="false" ht="15.75" hidden="false" customHeight="true" outlineLevel="0" collapsed="false">
      <c r="B72" s="97" t="s">
        <v>190</v>
      </c>
      <c r="C72" s="97"/>
      <c r="D72" s="97"/>
      <c r="E72" s="97"/>
      <c r="F72" s="97"/>
    </row>
    <row r="73" customFormat="false" ht="15.75" hidden="false" customHeight="true" outlineLevel="0" collapsed="false">
      <c r="B73" s="97" t="s">
        <v>191</v>
      </c>
      <c r="C73" s="97"/>
      <c r="D73" s="97"/>
      <c r="E73" s="97"/>
      <c r="F73" s="97"/>
    </row>
    <row r="74" customFormat="false" ht="36.75" hidden="false" customHeight="true" outlineLevel="0" collapsed="false">
      <c r="B74" s="86" t="s">
        <v>192</v>
      </c>
    </row>
    <row r="75" customFormat="false" ht="15" hidden="false" customHeight="false" outlineLevel="0" collapsed="false">
      <c r="B75" s="98" t="s">
        <v>193</v>
      </c>
      <c r="C75" s="98"/>
      <c r="D75" s="98"/>
      <c r="E75" s="98"/>
      <c r="F75" s="98"/>
    </row>
    <row r="76" customFormat="false" ht="31.5" hidden="false" customHeight="true" outlineLevel="0" collapsed="false">
      <c r="B76" s="99" t="s">
        <v>194</v>
      </c>
      <c r="C76" s="99"/>
      <c r="D76" s="99"/>
      <c r="E76" s="99"/>
      <c r="F76" s="99"/>
    </row>
    <row r="77" customFormat="false" ht="31.5" hidden="false" customHeight="true" outlineLevel="0" collapsed="false">
      <c r="B77" s="99" t="s">
        <v>195</v>
      </c>
      <c r="C77" s="99"/>
      <c r="D77" s="99"/>
      <c r="E77" s="99"/>
      <c r="F77" s="99"/>
    </row>
    <row r="78" customFormat="false" ht="31.5" hidden="false" customHeight="true" outlineLevel="0" collapsed="false">
      <c r="B78" s="99" t="s">
        <v>196</v>
      </c>
      <c r="C78" s="99"/>
      <c r="D78" s="99"/>
      <c r="E78" s="99"/>
      <c r="F78" s="99"/>
    </row>
  </sheetData>
  <mergeCells count="22">
    <mergeCell ref="B2:F2"/>
    <mergeCell ref="B3:F3"/>
    <mergeCell ref="B5:F5"/>
    <mergeCell ref="B13:F13"/>
    <mergeCell ref="B28:F28"/>
    <mergeCell ref="B41:F41"/>
    <mergeCell ref="B49:F49"/>
    <mergeCell ref="B50:F50"/>
    <mergeCell ref="B63:F63"/>
    <mergeCell ref="C64:F64"/>
    <mergeCell ref="C65:F65"/>
    <mergeCell ref="B67:F67"/>
    <mergeCell ref="B68:F68"/>
    <mergeCell ref="B69:F69"/>
    <mergeCell ref="B70:F70"/>
    <mergeCell ref="B71:F71"/>
    <mergeCell ref="B72:F72"/>
    <mergeCell ref="B73:F73"/>
    <mergeCell ref="B75:F75"/>
    <mergeCell ref="B76:F76"/>
    <mergeCell ref="B77:F77"/>
    <mergeCell ref="B78:F78"/>
  </mergeCells>
  <conditionalFormatting sqref="F15:F26">
    <cfRule type="expression" priority="2" aboveAverage="0" equalAverage="0" bottom="0" percent="0" rank="0" text="" dxfId="4">
      <formula>F15="Scaduta"</formula>
    </cfRule>
    <cfRule type="expression" priority="3" aboveAverage="0" equalAverage="0" bottom="0" percent="0" rank="0" text="" dxfId="5">
      <formula>F15="URGENTE"</formula>
    </cfRule>
    <cfRule type="expression" priority="4" aboveAverage="0" equalAverage="0" bottom="0" percent="0" rank="0" text="" dxfId="6">
      <formula>F15="Attenzione"</formula>
    </cfRule>
    <cfRule type="expression" priority="5" aboveAverage="0" equalAverage="0" bottom="0" percent="0" rank="0" text="" dxfId="7">
      <formula>F15="Tranquilla"</formula>
    </cfRule>
  </conditionalFormatting>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1"/>
  <sheetViews>
    <sheetView showFormulas="false" showGridLines="true" showRowColHeaders="true" showZeros="true" rightToLeft="false" tabSelected="false" showOutlineSymbols="true" defaultGridColor="true" view="normal" topLeftCell="A64"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30"/>
    <col collapsed="false" customWidth="true" hidden="false" outlineLevel="0" max="2" min="2" style="5" width="70"/>
  </cols>
  <sheetData>
    <row r="1" customFormat="false" ht="17.25" hidden="false" customHeight="true" outlineLevel="0" collapsed="false">
      <c r="A1" s="100" t="s">
        <v>197</v>
      </c>
      <c r="B1" s="100"/>
    </row>
    <row r="2" customFormat="false" ht="15" hidden="false" customHeight="true" outlineLevel="0" collapsed="false">
      <c r="A2" s="101" t="s">
        <v>198</v>
      </c>
      <c r="B2" s="101"/>
    </row>
    <row r="4" customFormat="false" ht="18" hidden="false" customHeight="true" outlineLevel="0" collapsed="false">
      <c r="A4" s="102" t="s">
        <v>199</v>
      </c>
      <c r="B4" s="102"/>
    </row>
    <row r="5" customFormat="false" ht="15" hidden="false" customHeight="true" outlineLevel="0" collapsed="false">
      <c r="A5" s="103" t="s">
        <v>200</v>
      </c>
      <c r="B5" s="104" t="s">
        <v>201</v>
      </c>
    </row>
    <row r="6" customFormat="false" ht="15" hidden="false" customHeight="true" outlineLevel="0" collapsed="false">
      <c r="A6" s="103" t="s">
        <v>202</v>
      </c>
      <c r="B6" s="104" t="s">
        <v>203</v>
      </c>
    </row>
    <row r="7" customFormat="false" ht="15" hidden="false" customHeight="true" outlineLevel="0" collapsed="false">
      <c r="A7" s="103" t="s">
        <v>204</v>
      </c>
      <c r="B7" s="104" t="s">
        <v>205</v>
      </c>
    </row>
    <row r="8" customFormat="false" ht="15" hidden="false" customHeight="true" outlineLevel="0" collapsed="false">
      <c r="A8" s="103" t="s">
        <v>206</v>
      </c>
      <c r="B8" s="104" t="s">
        <v>207</v>
      </c>
    </row>
    <row r="9" customFormat="false" ht="15" hidden="false" customHeight="true" outlineLevel="0" collapsed="false">
      <c r="A9" s="103" t="s">
        <v>132</v>
      </c>
      <c r="B9" s="104" t="s">
        <v>208</v>
      </c>
    </row>
    <row r="10" customFormat="false" ht="15" hidden="false" customHeight="true" outlineLevel="0" collapsed="false">
      <c r="A10" s="103" t="s">
        <v>209</v>
      </c>
      <c r="B10" s="104" t="s">
        <v>210</v>
      </c>
    </row>
    <row r="11" customFormat="false" ht="15" hidden="false" customHeight="true" outlineLevel="0" collapsed="false">
      <c r="A11" s="103" t="s">
        <v>211</v>
      </c>
      <c r="B11" s="104" t="s">
        <v>212</v>
      </c>
    </row>
    <row r="12" customFormat="false" ht="15" hidden="false" customHeight="true" outlineLevel="0" collapsed="false">
      <c r="A12" s="103" t="s">
        <v>213</v>
      </c>
      <c r="B12" s="104" t="s">
        <v>214</v>
      </c>
    </row>
    <row r="14" customFormat="false" ht="18" hidden="false" customHeight="true" outlineLevel="0" collapsed="false">
      <c r="A14" s="102" t="s">
        <v>215</v>
      </c>
      <c r="B14" s="102"/>
    </row>
    <row r="15" customFormat="false" ht="15" hidden="false" customHeight="true" outlineLevel="0" collapsed="false">
      <c r="A15" s="103" t="s">
        <v>216</v>
      </c>
      <c r="B15" s="105" t="n">
        <v>197075590</v>
      </c>
    </row>
    <row r="16" customFormat="false" ht="15" hidden="false" customHeight="true" outlineLevel="0" collapsed="false">
      <c r="A16" s="103" t="s">
        <v>217</v>
      </c>
      <c r="B16" s="105" t="n">
        <v>197075590</v>
      </c>
    </row>
    <row r="17" customFormat="false" ht="15" hidden="false" customHeight="true" outlineLevel="0" collapsed="false">
      <c r="A17" s="103" t="s">
        <v>218</v>
      </c>
      <c r="B17" s="105" t="n">
        <v>73000000</v>
      </c>
    </row>
    <row r="18" customFormat="false" ht="15" hidden="false" customHeight="true" outlineLevel="0" collapsed="false">
      <c r="A18" s="103" t="s">
        <v>219</v>
      </c>
      <c r="B18" s="105" t="n">
        <v>124075590</v>
      </c>
    </row>
    <row r="19" customFormat="false" ht="15" hidden="false" customHeight="true" outlineLevel="0" collapsed="false">
      <c r="A19" s="103" t="s">
        <v>220</v>
      </c>
      <c r="B19" s="105" t="n">
        <v>1250800000</v>
      </c>
    </row>
    <row r="20" customFormat="false" ht="15" hidden="false" customHeight="true" outlineLevel="0" collapsed="false">
      <c r="A20" s="103" t="s">
        <v>221</v>
      </c>
      <c r="B20" s="105" t="n">
        <v>707900000</v>
      </c>
    </row>
    <row r="21" customFormat="false" ht="15" hidden="false" customHeight="true" outlineLevel="0" collapsed="false">
      <c r="A21" s="103" t="s">
        <v>222</v>
      </c>
      <c r="B21" s="105" t="n">
        <v>390100000</v>
      </c>
    </row>
    <row r="22" customFormat="false" ht="15" hidden="false" customHeight="true" outlineLevel="0" collapsed="false">
      <c r="A22" s="103" t="s">
        <v>223</v>
      </c>
      <c r="B22" s="105" t="n">
        <v>22000000</v>
      </c>
    </row>
    <row r="23" customFormat="false" ht="15" hidden="false" customHeight="true" outlineLevel="0" collapsed="false">
      <c r="A23" s="103" t="s">
        <v>224</v>
      </c>
      <c r="B23" s="105" t="n">
        <v>14000000</v>
      </c>
    </row>
    <row r="25" customFormat="false" ht="18" hidden="false" customHeight="true" outlineLevel="0" collapsed="false">
      <c r="A25" s="102" t="s">
        <v>225</v>
      </c>
      <c r="B25" s="102"/>
    </row>
    <row r="26" customFormat="false" ht="15" hidden="false" customHeight="true" outlineLevel="0" collapsed="false">
      <c r="A26" s="103" t="s">
        <v>226</v>
      </c>
      <c r="B26" s="104" t="s">
        <v>227</v>
      </c>
    </row>
    <row r="27" customFormat="false" ht="15" hidden="false" customHeight="true" outlineLevel="0" collapsed="false">
      <c r="A27" s="103" t="s">
        <v>228</v>
      </c>
      <c r="B27" s="104" t="s">
        <v>229</v>
      </c>
    </row>
    <row r="28" customFormat="false" ht="15" hidden="false" customHeight="true" outlineLevel="0" collapsed="false">
      <c r="A28" s="103" t="s">
        <v>230</v>
      </c>
      <c r="B28" s="104" t="s">
        <v>231</v>
      </c>
    </row>
    <row r="29" customFormat="false" ht="15" hidden="false" customHeight="true" outlineLevel="0" collapsed="false">
      <c r="A29" s="103" t="s">
        <v>232</v>
      </c>
      <c r="B29" s="104" t="s">
        <v>233</v>
      </c>
    </row>
    <row r="30" customFormat="false" ht="15" hidden="false" customHeight="true" outlineLevel="0" collapsed="false">
      <c r="A30" s="103" t="s">
        <v>234</v>
      </c>
      <c r="B30" s="104" t="s">
        <v>235</v>
      </c>
    </row>
    <row r="31" customFormat="false" ht="15" hidden="false" customHeight="true" outlineLevel="0" collapsed="false">
      <c r="A31" s="103" t="s">
        <v>236</v>
      </c>
      <c r="B31" s="104" t="s">
        <v>237</v>
      </c>
    </row>
    <row r="32" customFormat="false" ht="15" hidden="false" customHeight="true" outlineLevel="0" collapsed="false">
      <c r="A32" s="103" t="s">
        <v>238</v>
      </c>
      <c r="B32" s="104" t="s">
        <v>239</v>
      </c>
    </row>
    <row r="33" customFormat="false" ht="15" hidden="false" customHeight="true" outlineLevel="0" collapsed="false">
      <c r="A33" s="103" t="s">
        <v>240</v>
      </c>
      <c r="B33" s="104" t="s">
        <v>241</v>
      </c>
    </row>
    <row r="34" customFormat="false" ht="15" hidden="false" customHeight="true" outlineLevel="0" collapsed="false">
      <c r="A34" s="103" t="s">
        <v>242</v>
      </c>
      <c r="B34" s="104" t="s">
        <v>243</v>
      </c>
    </row>
    <row r="35" customFormat="false" ht="15" hidden="false" customHeight="true" outlineLevel="0" collapsed="false">
      <c r="A35" s="103" t="s">
        <v>244</v>
      </c>
      <c r="B35" s="104" t="s">
        <v>245</v>
      </c>
    </row>
    <row r="37" customFormat="false" ht="18" hidden="false" customHeight="true" outlineLevel="0" collapsed="false">
      <c r="A37" s="102" t="s">
        <v>246</v>
      </c>
      <c r="B37" s="102"/>
    </row>
    <row r="38" customFormat="false" ht="15" hidden="false" customHeight="true" outlineLevel="0" collapsed="false">
      <c r="A38" s="103" t="s">
        <v>247</v>
      </c>
      <c r="B38" s="104" t="s">
        <v>248</v>
      </c>
    </row>
    <row r="39" customFormat="false" ht="15" hidden="false" customHeight="true" outlineLevel="0" collapsed="false">
      <c r="A39" s="103" t="s">
        <v>249</v>
      </c>
      <c r="B39" s="104" t="s">
        <v>250</v>
      </c>
    </row>
    <row r="40" customFormat="false" ht="15" hidden="false" customHeight="true" outlineLevel="0" collapsed="false">
      <c r="A40" s="103" t="s">
        <v>251</v>
      </c>
      <c r="B40" s="104" t="s">
        <v>252</v>
      </c>
    </row>
    <row r="41" customFormat="false" ht="21.75" hidden="false" customHeight="true" outlineLevel="0" collapsed="false">
      <c r="A41" s="103" t="s">
        <v>253</v>
      </c>
      <c r="B41" s="104" t="s">
        <v>254</v>
      </c>
    </row>
    <row r="43" customFormat="false" ht="18" hidden="false" customHeight="true" outlineLevel="0" collapsed="false">
      <c r="A43" s="102" t="s">
        <v>255</v>
      </c>
      <c r="B43" s="102"/>
    </row>
    <row r="44" customFormat="false" ht="15" hidden="false" customHeight="true" outlineLevel="0" collapsed="false">
      <c r="A44" s="103" t="s">
        <v>256</v>
      </c>
      <c r="B44" s="104" t="s">
        <v>257</v>
      </c>
    </row>
    <row r="45" customFormat="false" ht="15" hidden="false" customHeight="true" outlineLevel="0" collapsed="false">
      <c r="A45" s="103" t="s">
        <v>258</v>
      </c>
      <c r="B45" s="104" t="s">
        <v>259</v>
      </c>
    </row>
    <row r="46" customFormat="false" ht="15" hidden="false" customHeight="true" outlineLevel="0" collapsed="false">
      <c r="A46" s="103" t="s">
        <v>260</v>
      </c>
      <c r="B46" s="104" t="s">
        <v>261</v>
      </c>
    </row>
    <row r="47" customFormat="false" ht="15" hidden="false" customHeight="true" outlineLevel="0" collapsed="false">
      <c r="A47" s="103" t="s">
        <v>262</v>
      </c>
      <c r="B47" s="104" t="s">
        <v>263</v>
      </c>
    </row>
    <row r="48" customFormat="false" ht="15" hidden="false" customHeight="true" outlineLevel="0" collapsed="false">
      <c r="A48" s="103" t="s">
        <v>264</v>
      </c>
      <c r="B48" s="104" t="s">
        <v>265</v>
      </c>
    </row>
    <row r="49" customFormat="false" ht="15" hidden="false" customHeight="true" outlineLevel="0" collapsed="false">
      <c r="A49" s="103" t="s">
        <v>266</v>
      </c>
      <c r="B49" s="104" t="s">
        <v>267</v>
      </c>
    </row>
    <row r="51" customFormat="false" ht="18" hidden="false" customHeight="true" outlineLevel="0" collapsed="false">
      <c r="A51" s="102" t="s">
        <v>268</v>
      </c>
      <c r="B51" s="102"/>
    </row>
    <row r="52" customFormat="false" ht="15" hidden="false" customHeight="true" outlineLevel="0" collapsed="false">
      <c r="A52" s="103" t="s">
        <v>269</v>
      </c>
      <c r="B52" s="104" t="s">
        <v>270</v>
      </c>
    </row>
    <row r="53" customFormat="false" ht="15" hidden="false" customHeight="true" outlineLevel="0" collapsed="false">
      <c r="A53" s="103" t="s">
        <v>271</v>
      </c>
      <c r="B53" s="104" t="s">
        <v>272</v>
      </c>
    </row>
    <row r="54" customFormat="false" ht="15" hidden="false" customHeight="true" outlineLevel="0" collapsed="false">
      <c r="A54" s="103" t="s">
        <v>273</v>
      </c>
      <c r="B54" s="104" t="s">
        <v>274</v>
      </c>
    </row>
    <row r="55" customFormat="false" ht="15" hidden="false" customHeight="true" outlineLevel="0" collapsed="false">
      <c r="A55" s="103" t="s">
        <v>275</v>
      </c>
      <c r="B55" s="104" t="s">
        <v>276</v>
      </c>
    </row>
    <row r="56" customFormat="false" ht="15" hidden="false" customHeight="true" outlineLevel="0" collapsed="false">
      <c r="A56" s="103" t="s">
        <v>277</v>
      </c>
      <c r="B56" s="104" t="s">
        <v>278</v>
      </c>
    </row>
    <row r="58" customFormat="false" ht="18" hidden="false" customHeight="true" outlineLevel="0" collapsed="false">
      <c r="A58" s="102" t="s">
        <v>279</v>
      </c>
      <c r="B58" s="102"/>
    </row>
    <row r="59" customFormat="false" ht="15" hidden="false" customHeight="true" outlineLevel="0" collapsed="false">
      <c r="A59" s="103" t="s">
        <v>280</v>
      </c>
      <c r="B59" s="104" t="s">
        <v>281</v>
      </c>
    </row>
    <row r="61" customFormat="false" ht="18" hidden="false" customHeight="true" outlineLevel="0" collapsed="false">
      <c r="A61" s="102" t="s">
        <v>282</v>
      </c>
      <c r="B61" s="102"/>
    </row>
    <row r="62" customFormat="false" ht="21.75" hidden="false" customHeight="true" outlineLevel="0" collapsed="false">
      <c r="A62" s="103" t="s">
        <v>283</v>
      </c>
      <c r="B62" s="104" t="s">
        <v>284</v>
      </c>
    </row>
    <row r="63" customFormat="false" ht="21.75" hidden="false" customHeight="true" outlineLevel="0" collapsed="false">
      <c r="A63" s="103" t="s">
        <v>285</v>
      </c>
      <c r="B63" s="104" t="s">
        <v>286</v>
      </c>
    </row>
    <row r="64" customFormat="false" ht="21.75" hidden="false" customHeight="true" outlineLevel="0" collapsed="false">
      <c r="A64" s="103" t="s">
        <v>287</v>
      </c>
      <c r="B64" s="104" t="s">
        <v>288</v>
      </c>
    </row>
    <row r="65" customFormat="false" ht="15" hidden="false" customHeight="true" outlineLevel="0" collapsed="false">
      <c r="A65" s="103" t="s">
        <v>289</v>
      </c>
      <c r="B65" s="104" t="s">
        <v>290</v>
      </c>
    </row>
    <row r="67" customFormat="false" ht="18" hidden="false" customHeight="true" outlineLevel="0" collapsed="false">
      <c r="A67" s="102" t="s">
        <v>291</v>
      </c>
      <c r="B67" s="102"/>
    </row>
    <row r="68" customFormat="false" ht="32.25" hidden="false" customHeight="true" outlineLevel="0" collapsed="false">
      <c r="A68" s="103" t="s">
        <v>292</v>
      </c>
      <c r="B68" s="104" t="s">
        <v>293</v>
      </c>
    </row>
    <row r="70" customFormat="false" ht="18" hidden="false" customHeight="true" outlineLevel="0" collapsed="false">
      <c r="A70" s="106" t="s">
        <v>294</v>
      </c>
      <c r="B70" s="106"/>
    </row>
    <row r="71" customFormat="false" ht="15" hidden="false" customHeight="true" outlineLevel="0" collapsed="false">
      <c r="A71" s="103" t="s">
        <v>295</v>
      </c>
      <c r="B71" s="104" t="s">
        <v>296</v>
      </c>
    </row>
    <row r="72" customFormat="false" ht="15" hidden="false" customHeight="true" outlineLevel="0" collapsed="false">
      <c r="A72" s="103" t="s">
        <v>297</v>
      </c>
      <c r="B72" s="104" t="s">
        <v>298</v>
      </c>
    </row>
    <row r="73" customFormat="false" ht="15" hidden="false" customHeight="true" outlineLevel="0" collapsed="false">
      <c r="A73" s="103" t="s">
        <v>299</v>
      </c>
      <c r="B73" s="104" t="s">
        <v>300</v>
      </c>
    </row>
    <row r="74" customFormat="false" ht="15" hidden="false" customHeight="true" outlineLevel="0" collapsed="false">
      <c r="A74" s="103" t="s">
        <v>301</v>
      </c>
      <c r="B74" s="104" t="s">
        <v>302</v>
      </c>
    </row>
    <row r="75" customFormat="false" ht="15" hidden="false" customHeight="true" outlineLevel="0" collapsed="false">
      <c r="A75" s="103" t="s">
        <v>303</v>
      </c>
      <c r="B75" s="104" t="s">
        <v>304</v>
      </c>
    </row>
    <row r="77" customFormat="false" ht="18" hidden="false" customHeight="true" outlineLevel="0" collapsed="false">
      <c r="A77" s="102" t="s">
        <v>305</v>
      </c>
      <c r="B77" s="102"/>
    </row>
    <row r="78" customFormat="false" ht="15" hidden="false" customHeight="true" outlineLevel="0" collapsed="false">
      <c r="A78" s="103" t="s">
        <v>306</v>
      </c>
      <c r="B78" s="104" t="s">
        <v>307</v>
      </c>
    </row>
    <row r="79" customFormat="false" ht="15" hidden="false" customHeight="true" outlineLevel="0" collapsed="false">
      <c r="A79" s="103" t="s">
        <v>308</v>
      </c>
      <c r="B79" s="104" t="s">
        <v>309</v>
      </c>
    </row>
    <row r="80" customFormat="false" ht="15" hidden="false" customHeight="true" outlineLevel="0" collapsed="false">
      <c r="A80" s="103" t="s">
        <v>310</v>
      </c>
      <c r="B80" s="104" t="s">
        <v>311</v>
      </c>
    </row>
    <row r="81" customFormat="false" ht="15" hidden="false" customHeight="true" outlineLevel="0" collapsed="false">
      <c r="A81" s="103" t="s">
        <v>312</v>
      </c>
      <c r="B81" s="104" t="s">
        <v>313</v>
      </c>
    </row>
    <row r="82" customFormat="false" ht="15" hidden="false" customHeight="true" outlineLevel="0" collapsed="false">
      <c r="A82" s="103" t="s">
        <v>314</v>
      </c>
      <c r="B82" s="104" t="s">
        <v>315</v>
      </c>
    </row>
    <row r="83" customFormat="false" ht="15" hidden="false" customHeight="true" outlineLevel="0" collapsed="false">
      <c r="A83" s="103" t="s">
        <v>316</v>
      </c>
      <c r="B83" s="104" t="s">
        <v>317</v>
      </c>
    </row>
    <row r="84" customFormat="false" ht="15" hidden="false" customHeight="true" outlineLevel="0" collapsed="false">
      <c r="A84" s="103" t="s">
        <v>318</v>
      </c>
      <c r="B84" s="104" t="s">
        <v>319</v>
      </c>
    </row>
    <row r="85" customFormat="false" ht="15" hidden="false" customHeight="true" outlineLevel="0" collapsed="false">
      <c r="A85" s="103" t="s">
        <v>320</v>
      </c>
      <c r="B85" s="104" t="s">
        <v>321</v>
      </c>
    </row>
    <row r="86" customFormat="false" ht="15" hidden="false" customHeight="true" outlineLevel="0" collapsed="false">
      <c r="A86" s="103" t="s">
        <v>322</v>
      </c>
      <c r="B86" s="104" t="s">
        <v>323</v>
      </c>
    </row>
    <row r="88" customFormat="false" ht="18" hidden="false" customHeight="true" outlineLevel="0" collapsed="false">
      <c r="A88" s="102" t="s">
        <v>324</v>
      </c>
      <c r="B88" s="102"/>
    </row>
    <row r="89" customFormat="false" ht="53.25" hidden="false" customHeight="true" outlineLevel="0" collapsed="false">
      <c r="A89" s="103" t="s">
        <v>325</v>
      </c>
      <c r="B89" s="104" t="s">
        <v>326</v>
      </c>
    </row>
    <row r="90" customFormat="false" ht="21.75" hidden="false" customHeight="true" outlineLevel="0" collapsed="false">
      <c r="A90" s="103" t="s">
        <v>327</v>
      </c>
      <c r="B90" s="104" t="s">
        <v>328</v>
      </c>
    </row>
    <row r="91" customFormat="false" ht="21.75" hidden="false" customHeight="true" outlineLevel="0" collapsed="false">
      <c r="A91" s="103" t="s">
        <v>329</v>
      </c>
      <c r="B91" s="104" t="s">
        <v>330</v>
      </c>
    </row>
  </sheetData>
  <mergeCells count="14">
    <mergeCell ref="A1:B1"/>
    <mergeCell ref="A2:B2"/>
    <mergeCell ref="A4:B4"/>
    <mergeCell ref="A14:B14"/>
    <mergeCell ref="A25:B25"/>
    <mergeCell ref="A37:B37"/>
    <mergeCell ref="A43:B43"/>
    <mergeCell ref="A51:B51"/>
    <mergeCell ref="A58:B58"/>
    <mergeCell ref="A61:B61"/>
    <mergeCell ref="A67:B67"/>
    <mergeCell ref="A70:B70"/>
    <mergeCell ref="A77:B77"/>
    <mergeCell ref="A88:B88"/>
  </mergeCells>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30"/>
    <col collapsed="false" customWidth="true" hidden="false" outlineLevel="0" max="2" min="2" style="5" width="70"/>
  </cols>
  <sheetData>
    <row r="1" customFormat="false" ht="17.25" hidden="false" customHeight="true" outlineLevel="0" collapsed="false">
      <c r="A1" s="100" t="s">
        <v>331</v>
      </c>
      <c r="B1" s="100"/>
    </row>
    <row r="2" customFormat="false" ht="15" hidden="false" customHeight="true" outlineLevel="0" collapsed="false">
      <c r="A2" s="101" t="s">
        <v>332</v>
      </c>
      <c r="B2" s="101"/>
    </row>
    <row r="4" customFormat="false" ht="18" hidden="false" customHeight="true" outlineLevel="0" collapsed="false">
      <c r="A4" s="102" t="s">
        <v>199</v>
      </c>
      <c r="B4" s="102"/>
    </row>
    <row r="5" customFormat="false" ht="15" hidden="false" customHeight="true" outlineLevel="0" collapsed="false">
      <c r="A5" s="103" t="s">
        <v>200</v>
      </c>
      <c r="B5" s="104" t="s">
        <v>333</v>
      </c>
    </row>
    <row r="6" customFormat="false" ht="15" hidden="false" customHeight="true" outlineLevel="0" collapsed="false">
      <c r="A6" s="103" t="s">
        <v>132</v>
      </c>
      <c r="B6" s="104" t="s">
        <v>334</v>
      </c>
    </row>
    <row r="7" customFormat="false" ht="15" hidden="false" customHeight="true" outlineLevel="0" collapsed="false">
      <c r="A7" s="103" t="s">
        <v>209</v>
      </c>
      <c r="B7" s="104" t="s">
        <v>335</v>
      </c>
    </row>
    <row r="8" customFormat="false" ht="15" hidden="false" customHeight="true" outlineLevel="0" collapsed="false">
      <c r="A8" s="103" t="s">
        <v>202</v>
      </c>
      <c r="B8" s="104" t="s">
        <v>336</v>
      </c>
    </row>
    <row r="10" customFormat="false" ht="18" hidden="false" customHeight="true" outlineLevel="0" collapsed="false">
      <c r="A10" s="102" t="s">
        <v>337</v>
      </c>
      <c r="B10" s="102"/>
    </row>
    <row r="11" customFormat="false" ht="15" hidden="false" customHeight="true" outlineLevel="0" collapsed="false">
      <c r="A11" s="103" t="s">
        <v>338</v>
      </c>
      <c r="B11" s="105" t="n">
        <v>33835000</v>
      </c>
    </row>
    <row r="12" customFormat="false" ht="15" hidden="false" customHeight="true" outlineLevel="0" collapsed="false">
      <c r="A12" s="103" t="s">
        <v>339</v>
      </c>
      <c r="B12" s="104" t="s">
        <v>340</v>
      </c>
    </row>
    <row r="14" customFormat="false" ht="18" hidden="false" customHeight="true" outlineLevel="0" collapsed="false">
      <c r="A14" s="102" t="s">
        <v>341</v>
      </c>
      <c r="B14" s="102"/>
    </row>
    <row r="15" customFormat="false" ht="15" hidden="false" customHeight="true" outlineLevel="0" collapsed="false">
      <c r="A15" s="103" t="s">
        <v>342</v>
      </c>
      <c r="B15" s="104" t="n">
        <v>1</v>
      </c>
    </row>
    <row r="16" customFormat="false" ht="15" hidden="false" customHeight="true" outlineLevel="0" collapsed="false">
      <c r="A16" s="103" t="s">
        <v>343</v>
      </c>
      <c r="B16" s="104" t="s">
        <v>344</v>
      </c>
    </row>
    <row r="18" customFormat="false" ht="18" hidden="false" customHeight="true" outlineLevel="0" collapsed="false">
      <c r="A18" s="102" t="s">
        <v>345</v>
      </c>
      <c r="B18" s="102"/>
    </row>
    <row r="19" customFormat="false" ht="15" hidden="false" customHeight="true" outlineLevel="0" collapsed="false">
      <c r="A19" s="103" t="s">
        <v>346</v>
      </c>
      <c r="B19" s="104" t="s">
        <v>347</v>
      </c>
    </row>
    <row r="20" customFormat="false" ht="15" hidden="false" customHeight="true" outlineLevel="0" collapsed="false">
      <c r="A20" s="103" t="s">
        <v>348</v>
      </c>
      <c r="B20" s="104" t="s">
        <v>349</v>
      </c>
    </row>
    <row r="21" customFormat="false" ht="15" hidden="false" customHeight="true" outlineLevel="0" collapsed="false">
      <c r="A21" s="103" t="s">
        <v>350</v>
      </c>
      <c r="B21" s="104" t="s">
        <v>351</v>
      </c>
    </row>
    <row r="22" customFormat="false" ht="15" hidden="false" customHeight="true" outlineLevel="0" collapsed="false">
      <c r="A22" s="103" t="s">
        <v>352</v>
      </c>
      <c r="B22" s="104" t="s">
        <v>353</v>
      </c>
    </row>
    <row r="24" customFormat="false" ht="18" hidden="false" customHeight="true" outlineLevel="0" collapsed="false">
      <c r="A24" s="102" t="s">
        <v>354</v>
      </c>
      <c r="B24" s="102"/>
    </row>
    <row r="25" customFormat="false" ht="21.75" hidden="false" customHeight="true" outlineLevel="0" collapsed="false">
      <c r="A25" s="107" t="s">
        <v>355</v>
      </c>
      <c r="B25" s="107"/>
    </row>
    <row r="27" customFormat="false" ht="18" hidden="false" customHeight="true" outlineLevel="0" collapsed="false">
      <c r="A27" s="102" t="s">
        <v>282</v>
      </c>
      <c r="B27" s="102"/>
    </row>
    <row r="28" customFormat="false" ht="15" hidden="false" customHeight="true" outlineLevel="0" collapsed="false">
      <c r="A28" s="103" t="s">
        <v>356</v>
      </c>
      <c r="B28" s="104" t="s">
        <v>357</v>
      </c>
    </row>
    <row r="30" customFormat="false" ht="18" hidden="false" customHeight="true" outlineLevel="0" collapsed="false">
      <c r="A30" s="102" t="s">
        <v>358</v>
      </c>
      <c r="B30" s="102"/>
    </row>
    <row r="31" customFormat="false" ht="21.75" hidden="false" customHeight="true" outlineLevel="0" collapsed="false">
      <c r="A31" s="103" t="s">
        <v>359</v>
      </c>
      <c r="B31" s="104" t="s">
        <v>360</v>
      </c>
    </row>
    <row r="33" customFormat="false" ht="18" hidden="false" customHeight="true" outlineLevel="0" collapsed="false">
      <c r="A33" s="106" t="s">
        <v>361</v>
      </c>
      <c r="B33" s="106"/>
    </row>
    <row r="34" customFormat="false" ht="15" hidden="false" customHeight="true" outlineLevel="0" collapsed="false">
      <c r="A34" s="103" t="s">
        <v>362</v>
      </c>
      <c r="B34" s="104" t="s">
        <v>363</v>
      </c>
    </row>
    <row r="35" customFormat="false" ht="32.25" hidden="false" customHeight="true" outlineLevel="0" collapsed="false">
      <c r="A35" s="103" t="s">
        <v>364</v>
      </c>
      <c r="B35" s="104" t="s">
        <v>365</v>
      </c>
    </row>
    <row r="36" customFormat="false" ht="15" hidden="false" customHeight="true" outlineLevel="0" collapsed="false">
      <c r="A36" s="103" t="s">
        <v>366</v>
      </c>
      <c r="B36" s="104" t="s">
        <v>367</v>
      </c>
    </row>
    <row r="37" customFormat="false" ht="15" hidden="false" customHeight="true" outlineLevel="0" collapsed="false">
      <c r="A37" s="103" t="s">
        <v>368</v>
      </c>
      <c r="B37" s="104" t="s">
        <v>369</v>
      </c>
    </row>
    <row r="38" customFormat="false" ht="15" hidden="false" customHeight="true" outlineLevel="0" collapsed="false">
      <c r="A38" s="103" t="s">
        <v>370</v>
      </c>
      <c r="B38" s="104" t="s">
        <v>325</v>
      </c>
    </row>
    <row r="39" customFormat="false" ht="15" hidden="false" customHeight="true" outlineLevel="0" collapsed="false">
      <c r="A39" s="103" t="s">
        <v>371</v>
      </c>
      <c r="B39" s="104" t="s">
        <v>372</v>
      </c>
    </row>
    <row r="40" customFormat="false" ht="15" hidden="false" customHeight="true" outlineLevel="0" collapsed="false">
      <c r="A40" s="103" t="s">
        <v>373</v>
      </c>
      <c r="B40" s="104" t="s">
        <v>374</v>
      </c>
    </row>
    <row r="41" customFormat="false" ht="15" hidden="false" customHeight="true" outlineLevel="0" collapsed="false">
      <c r="A41" s="103" t="s">
        <v>375</v>
      </c>
      <c r="B41" s="104" t="s">
        <v>376</v>
      </c>
    </row>
    <row r="42" customFormat="false" ht="21.75" hidden="false" customHeight="true" outlineLevel="0" collapsed="false">
      <c r="A42" s="103" t="s">
        <v>377</v>
      </c>
      <c r="B42" s="104" t="s">
        <v>378</v>
      </c>
    </row>
    <row r="43" customFormat="false" ht="21.75" hidden="false" customHeight="true" outlineLevel="0" collapsed="false">
      <c r="A43" s="103" t="s">
        <v>379</v>
      </c>
      <c r="B43" s="104" t="s">
        <v>380</v>
      </c>
    </row>
  </sheetData>
  <mergeCells count="11">
    <mergeCell ref="A1:B1"/>
    <mergeCell ref="A2:B2"/>
    <mergeCell ref="A4:B4"/>
    <mergeCell ref="A10:B10"/>
    <mergeCell ref="A14:B14"/>
    <mergeCell ref="A18:B18"/>
    <mergeCell ref="A24:B24"/>
    <mergeCell ref="A25:B25"/>
    <mergeCell ref="A27:B27"/>
    <mergeCell ref="A30:B30"/>
    <mergeCell ref="A33:B33"/>
  </mergeCells>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28"/>
    <col collapsed="false" customWidth="true" hidden="false" outlineLevel="0" max="2" min="2" style="5" width="42"/>
    <col collapsed="false" customWidth="true" hidden="false" outlineLevel="0" max="5" min="3" style="5" width="22"/>
  </cols>
  <sheetData>
    <row r="1" customFormat="false" ht="17.25" hidden="false" customHeight="true" outlineLevel="0" collapsed="false">
      <c r="A1" s="108" t="s">
        <v>381</v>
      </c>
    </row>
    <row r="2" customFormat="false" ht="15" hidden="false" customHeight="true" outlineLevel="0" collapsed="false">
      <c r="A2" s="109" t="s">
        <v>382</v>
      </c>
    </row>
    <row r="4" customFormat="false" ht="18" hidden="false" customHeight="true" outlineLevel="0" collapsed="false">
      <c r="A4" s="110" t="s">
        <v>199</v>
      </c>
      <c r="B4" s="110"/>
      <c r="C4" s="110"/>
      <c r="D4" s="110"/>
      <c r="E4" s="110"/>
    </row>
    <row r="5" customFormat="false" ht="15" hidden="false" customHeight="true" outlineLevel="0" collapsed="false">
      <c r="A5" s="103" t="s">
        <v>383</v>
      </c>
      <c r="B5" s="111" t="s">
        <v>384</v>
      </c>
    </row>
    <row r="6" customFormat="false" ht="21.75" hidden="false" customHeight="true" outlineLevel="0" collapsed="false">
      <c r="A6" s="103" t="s">
        <v>200</v>
      </c>
      <c r="B6" s="111" t="s">
        <v>385</v>
      </c>
    </row>
    <row r="7" customFormat="false" ht="21.75" hidden="false" customHeight="true" outlineLevel="0" collapsed="false">
      <c r="A7" s="103" t="s">
        <v>209</v>
      </c>
      <c r="B7" s="111" t="s">
        <v>386</v>
      </c>
    </row>
    <row r="8" customFormat="false" ht="21.75" hidden="false" customHeight="true" outlineLevel="0" collapsed="false">
      <c r="A8" s="103" t="s">
        <v>387</v>
      </c>
      <c r="B8" s="111" t="s">
        <v>388</v>
      </c>
    </row>
    <row r="9" customFormat="false" ht="21.75" hidden="false" customHeight="true" outlineLevel="0" collapsed="false">
      <c r="A9" s="103" t="s">
        <v>389</v>
      </c>
      <c r="B9" s="111" t="s">
        <v>390</v>
      </c>
    </row>
    <row r="10" customFormat="false" ht="21.75" hidden="false" customHeight="true" outlineLevel="0" collapsed="false">
      <c r="A10" s="103" t="s">
        <v>391</v>
      </c>
      <c r="B10" s="111" t="s">
        <v>392</v>
      </c>
    </row>
    <row r="11" customFormat="false" ht="15" hidden="false" customHeight="true" outlineLevel="0" collapsed="false">
      <c r="A11" s="103" t="s">
        <v>393</v>
      </c>
      <c r="B11" s="111" t="s">
        <v>394</v>
      </c>
    </row>
    <row r="12" customFormat="false" ht="15" hidden="false" customHeight="true" outlineLevel="0" collapsed="false">
      <c r="A12" s="103" t="s">
        <v>395</v>
      </c>
      <c r="B12" s="111" t="s">
        <v>396</v>
      </c>
    </row>
    <row r="14" customFormat="false" ht="18" hidden="false" customHeight="true" outlineLevel="0" collapsed="false">
      <c r="A14" s="110" t="s">
        <v>397</v>
      </c>
      <c r="B14" s="110"/>
      <c r="C14" s="110"/>
      <c r="D14" s="110"/>
      <c r="E14" s="110"/>
    </row>
    <row r="15" customFormat="false" ht="21.75" hidden="false" customHeight="true" outlineLevel="0" collapsed="false">
      <c r="A15" s="103" t="s">
        <v>398</v>
      </c>
      <c r="B15" s="111" t="s">
        <v>399</v>
      </c>
    </row>
    <row r="16" customFormat="false" ht="21.75" hidden="false" customHeight="true" outlineLevel="0" collapsed="false">
      <c r="A16" s="103" t="s">
        <v>400</v>
      </c>
      <c r="B16" s="111" t="s">
        <v>401</v>
      </c>
    </row>
    <row r="17" customFormat="false" ht="15" hidden="false" customHeight="true" outlineLevel="0" collapsed="false">
      <c r="A17" s="103" t="s">
        <v>402</v>
      </c>
      <c r="B17" s="112" t="n">
        <v>12628155.35</v>
      </c>
    </row>
    <row r="18" customFormat="false" ht="15" hidden="false" customHeight="true" outlineLevel="0" collapsed="false">
      <c r="A18" s="103" t="s">
        <v>403</v>
      </c>
      <c r="B18" s="112" t="n">
        <v>123412.87</v>
      </c>
    </row>
    <row r="19" customFormat="false" ht="15" hidden="false" customHeight="true" outlineLevel="0" collapsed="false">
      <c r="A19" s="103" t="s">
        <v>404</v>
      </c>
      <c r="B19" s="112" t="n">
        <v>2550313.64</v>
      </c>
    </row>
    <row r="20" customFormat="false" ht="15" hidden="false" customHeight="true" outlineLevel="0" collapsed="false">
      <c r="A20" s="103" t="s">
        <v>405</v>
      </c>
      <c r="B20" s="112" t="n">
        <v>15301881.86</v>
      </c>
    </row>
    <row r="21" customFormat="false" ht="15" hidden="false" customHeight="true" outlineLevel="0" collapsed="false">
      <c r="A21" s="103" t="s">
        <v>406</v>
      </c>
      <c r="B21" s="112" t="n">
        <v>6278341.9</v>
      </c>
    </row>
    <row r="22" customFormat="false" ht="15" hidden="false" customHeight="true" outlineLevel="0" collapsed="false">
      <c r="A22" s="103" t="s">
        <v>407</v>
      </c>
      <c r="B22" s="111" t="s">
        <v>408</v>
      </c>
    </row>
    <row r="23" customFormat="false" ht="15" hidden="false" customHeight="true" outlineLevel="0" collapsed="false">
      <c r="A23" s="103" t="s">
        <v>409</v>
      </c>
      <c r="B23" s="111" t="s">
        <v>410</v>
      </c>
    </row>
    <row r="24" customFormat="false" ht="15" hidden="false" customHeight="true" outlineLevel="0" collapsed="false">
      <c r="A24" s="103" t="s">
        <v>411</v>
      </c>
      <c r="B24" s="111" t="s">
        <v>412</v>
      </c>
    </row>
    <row r="25" customFormat="false" ht="15" hidden="false" customHeight="true" outlineLevel="0" collapsed="false">
      <c r="A25" s="103" t="s">
        <v>413</v>
      </c>
      <c r="B25" s="111" t="s">
        <v>414</v>
      </c>
    </row>
    <row r="26" customFormat="false" ht="15" hidden="false" customHeight="true" outlineLevel="0" collapsed="false">
      <c r="A26" s="103" t="s">
        <v>415</v>
      </c>
      <c r="B26" s="111" t="s">
        <v>416</v>
      </c>
    </row>
    <row r="27" customFormat="false" ht="15" hidden="false" customHeight="true" outlineLevel="0" collapsed="false">
      <c r="A27" s="103" t="s">
        <v>417</v>
      </c>
      <c r="B27" s="111" t="s">
        <v>418</v>
      </c>
    </row>
    <row r="28" customFormat="false" ht="15" hidden="false" customHeight="true" outlineLevel="0" collapsed="false">
      <c r="A28" s="103" t="s">
        <v>419</v>
      </c>
      <c r="B28" s="111" t="s">
        <v>420</v>
      </c>
    </row>
    <row r="30" customFormat="false" ht="18" hidden="false" customHeight="true" outlineLevel="0" collapsed="false">
      <c r="A30" s="110" t="s">
        <v>421</v>
      </c>
      <c r="B30" s="110"/>
      <c r="C30" s="110"/>
      <c r="D30" s="110"/>
      <c r="E30" s="110"/>
    </row>
    <row r="31" customFormat="false" ht="15" hidden="false" customHeight="true" outlineLevel="0" collapsed="false">
      <c r="A31" s="103" t="s">
        <v>422</v>
      </c>
      <c r="B31" s="113" t="n">
        <v>46153</v>
      </c>
    </row>
    <row r="32" customFormat="false" ht="15" hidden="false" customHeight="true" outlineLevel="0" collapsed="false">
      <c r="A32" s="103" t="s">
        <v>423</v>
      </c>
      <c r="B32" s="113" t="n">
        <v>46160</v>
      </c>
    </row>
    <row r="33" customFormat="false" ht="15" hidden="false" customHeight="true" outlineLevel="0" collapsed="false">
      <c r="A33" s="103" t="s">
        <v>424</v>
      </c>
      <c r="B33" s="113" t="n">
        <v>46162</v>
      </c>
    </row>
    <row r="35" customFormat="false" ht="18" hidden="false" customHeight="true" outlineLevel="0" collapsed="false">
      <c r="A35" s="110" t="s">
        <v>425</v>
      </c>
      <c r="B35" s="110"/>
      <c r="C35" s="110"/>
      <c r="D35" s="110"/>
      <c r="E35" s="110"/>
    </row>
    <row r="36" customFormat="false" ht="15" hidden="false" customHeight="true" outlineLevel="0" collapsed="false">
      <c r="A36" s="114" t="s">
        <v>426</v>
      </c>
      <c r="B36" s="114" t="s">
        <v>427</v>
      </c>
      <c r="C36" s="114" t="s">
        <v>428</v>
      </c>
      <c r="D36" s="114" t="s">
        <v>429</v>
      </c>
      <c r="E36" s="114" t="s">
        <v>430</v>
      </c>
    </row>
    <row r="37" customFormat="false" ht="15" hidden="false" customHeight="true" outlineLevel="0" collapsed="false">
      <c r="A37" s="115" t="n">
        <v>1</v>
      </c>
      <c r="B37" s="116" t="s">
        <v>431</v>
      </c>
      <c r="C37" s="117" t="n">
        <f aca="false">E37/1.2</f>
        <v>253438.05</v>
      </c>
      <c r="D37" s="117" t="n">
        <f aca="false">E37-C37</f>
        <v>50687.61</v>
      </c>
      <c r="E37" s="117" t="n">
        <v>304125.66</v>
      </c>
    </row>
    <row r="38" customFormat="false" ht="15" hidden="false" customHeight="true" outlineLevel="0" collapsed="false">
      <c r="A38" s="115" t="n">
        <v>2</v>
      </c>
      <c r="B38" s="116" t="s">
        <v>432</v>
      </c>
      <c r="C38" s="117" t="n">
        <f aca="false">E38/1.2</f>
        <v>578120.1</v>
      </c>
      <c r="D38" s="117" t="n">
        <f aca="false">E38-C38</f>
        <v>115624.02</v>
      </c>
      <c r="E38" s="117" t="n">
        <v>693744.12</v>
      </c>
    </row>
    <row r="39" customFormat="false" ht="15" hidden="false" customHeight="true" outlineLevel="0" collapsed="false">
      <c r="A39" s="118" t="n">
        <v>3</v>
      </c>
      <c r="B39" s="119" t="s">
        <v>433</v>
      </c>
      <c r="C39" s="120" t="n">
        <f aca="false">E39/1.2</f>
        <v>4001932.30833333</v>
      </c>
      <c r="D39" s="120" t="n">
        <f aca="false">E39-C39</f>
        <v>800386.461666666</v>
      </c>
      <c r="E39" s="120" t="n">
        <v>4802318.77</v>
      </c>
    </row>
    <row r="40" customFormat="false" ht="15" hidden="false" customHeight="true" outlineLevel="0" collapsed="false">
      <c r="A40" s="118" t="n">
        <v>4</v>
      </c>
      <c r="B40" s="119" t="s">
        <v>434</v>
      </c>
      <c r="C40" s="120" t="n">
        <f aca="false">E40/1.2</f>
        <v>4700550</v>
      </c>
      <c r="D40" s="120" t="n">
        <f aca="false">E40-C40</f>
        <v>940110</v>
      </c>
      <c r="E40" s="120" t="n">
        <v>5640660</v>
      </c>
    </row>
    <row r="41" customFormat="false" ht="15" hidden="false" customHeight="true" outlineLevel="0" collapsed="false">
      <c r="A41" s="115" t="n">
        <v>5</v>
      </c>
      <c r="B41" s="116" t="s">
        <v>435</v>
      </c>
      <c r="C41" s="117" t="n">
        <f aca="false">E41/1.2</f>
        <v>389211.758333333</v>
      </c>
      <c r="D41" s="117" t="n">
        <f aca="false">E41-C41</f>
        <v>77842.3516666666</v>
      </c>
      <c r="E41" s="117" t="n">
        <v>467054.11</v>
      </c>
    </row>
    <row r="42" customFormat="false" ht="15" hidden="false" customHeight="true" outlineLevel="0" collapsed="false">
      <c r="A42" s="118" t="n">
        <v>6</v>
      </c>
      <c r="B42" s="119" t="s">
        <v>436</v>
      </c>
      <c r="C42" s="120" t="n">
        <f aca="false">E42/1.2</f>
        <v>2666400</v>
      </c>
      <c r="D42" s="120" t="n">
        <f aca="false">E42-C42</f>
        <v>533280</v>
      </c>
      <c r="E42" s="120" t="n">
        <v>3199680</v>
      </c>
    </row>
    <row r="43" customFormat="false" ht="15" hidden="false" customHeight="true" outlineLevel="0" collapsed="false">
      <c r="A43" s="115" t="n">
        <v>7</v>
      </c>
      <c r="B43" s="116" t="s">
        <v>437</v>
      </c>
      <c r="C43" s="117" t="n">
        <f aca="false">E43/1.2</f>
        <v>161916</v>
      </c>
      <c r="D43" s="117" t="n">
        <f aca="false">E43-C43</f>
        <v>32383.2</v>
      </c>
      <c r="E43" s="117" t="n">
        <v>194299.2</v>
      </c>
    </row>
    <row r="44" customFormat="false" ht="15" hidden="false" customHeight="true" outlineLevel="0" collapsed="false">
      <c r="A44" s="121" t="s">
        <v>438</v>
      </c>
      <c r="B44" s="122" t="s">
        <v>439</v>
      </c>
      <c r="C44" s="123" t="n">
        <f aca="false">SUM(C37:C43)</f>
        <v>12751568.2166667</v>
      </c>
      <c r="D44" s="123" t="n">
        <f aca="false">SUM(D37:D43)</f>
        <v>2550313.64333333</v>
      </c>
      <c r="E44" s="123" t="n">
        <f aca="false">SUM(E37:E43)</f>
        <v>15301881.86</v>
      </c>
    </row>
    <row r="46" customFormat="false" ht="15" hidden="false" customHeight="true" outlineLevel="0" collapsed="false">
      <c r="A46" s="124" t="s">
        <v>440</v>
      </c>
      <c r="B46" s="124"/>
      <c r="C46" s="124"/>
      <c r="D46" s="124"/>
      <c r="E46" s="124"/>
    </row>
    <row r="48" customFormat="false" ht="18" hidden="false" customHeight="true" outlineLevel="0" collapsed="false">
      <c r="A48" s="110" t="s">
        <v>441</v>
      </c>
      <c r="B48" s="110"/>
      <c r="C48" s="110"/>
      <c r="D48" s="110"/>
      <c r="E48" s="110"/>
    </row>
    <row r="49" customFormat="false" ht="31.5" hidden="false" customHeight="true" outlineLevel="0" collapsed="false">
      <c r="A49" s="125" t="s">
        <v>442</v>
      </c>
      <c r="B49" s="125"/>
      <c r="C49" s="125"/>
      <c r="D49" s="125"/>
      <c r="E49" s="125"/>
    </row>
    <row r="50" customFormat="false" ht="15" hidden="false" customHeight="true" outlineLevel="0" collapsed="false">
      <c r="A50" s="114" t="s">
        <v>426</v>
      </c>
      <c r="B50" s="114" t="s">
        <v>427</v>
      </c>
      <c r="C50" s="114" t="s">
        <v>430</v>
      </c>
      <c r="D50" s="114" t="s">
        <v>443</v>
      </c>
      <c r="E50" s="114" t="s">
        <v>444</v>
      </c>
    </row>
    <row r="51" customFormat="false" ht="15" hidden="false" customHeight="true" outlineLevel="0" collapsed="false">
      <c r="A51" s="115" t="n">
        <v>1</v>
      </c>
      <c r="B51" s="116" t="s">
        <v>431</v>
      </c>
      <c r="C51" s="117" t="n">
        <v>304125.66</v>
      </c>
      <c r="D51" s="117" t="n">
        <f aca="false">C51*0.3</f>
        <v>91237.698</v>
      </c>
      <c r="E51" s="117" t="n">
        <f aca="false">C51*0.5</f>
        <v>152062.83</v>
      </c>
    </row>
    <row r="52" customFormat="false" ht="15" hidden="false" customHeight="true" outlineLevel="0" collapsed="false">
      <c r="A52" s="115" t="n">
        <v>2</v>
      </c>
      <c r="B52" s="116" t="s">
        <v>432</v>
      </c>
      <c r="C52" s="117" t="n">
        <v>693744.12</v>
      </c>
      <c r="D52" s="117" t="n">
        <f aca="false">C52*0.3</f>
        <v>208123.236</v>
      </c>
      <c r="E52" s="117" t="n">
        <f aca="false">C52*0.5</f>
        <v>346872.06</v>
      </c>
    </row>
    <row r="53" customFormat="false" ht="15" hidden="false" customHeight="true" outlineLevel="0" collapsed="false">
      <c r="A53" s="118" t="n">
        <v>3</v>
      </c>
      <c r="B53" s="119" t="s">
        <v>433</v>
      </c>
      <c r="C53" s="120" t="n">
        <v>4802318.77</v>
      </c>
      <c r="D53" s="120" t="n">
        <f aca="false">C53*0.3</f>
        <v>1440695.631</v>
      </c>
      <c r="E53" s="120" t="n">
        <f aca="false">C53*0.5</f>
        <v>2401159.385</v>
      </c>
    </row>
    <row r="54" customFormat="false" ht="15" hidden="false" customHeight="true" outlineLevel="0" collapsed="false">
      <c r="A54" s="118" t="n">
        <v>4</v>
      </c>
      <c r="B54" s="119" t="s">
        <v>434</v>
      </c>
      <c r="C54" s="120" t="n">
        <v>5640660</v>
      </c>
      <c r="D54" s="120" t="n">
        <f aca="false">C54*0.3</f>
        <v>1692198</v>
      </c>
      <c r="E54" s="120" t="n">
        <f aca="false">C54*0.5</f>
        <v>2820330</v>
      </c>
    </row>
    <row r="55" customFormat="false" ht="15" hidden="false" customHeight="true" outlineLevel="0" collapsed="false">
      <c r="A55" s="115" t="n">
        <v>5</v>
      </c>
      <c r="B55" s="116" t="s">
        <v>435</v>
      </c>
      <c r="C55" s="117" t="n">
        <v>467054.11</v>
      </c>
      <c r="D55" s="117" t="n">
        <f aca="false">C55*0.3</f>
        <v>140116.233</v>
      </c>
      <c r="E55" s="117" t="n">
        <f aca="false">C55*0.5</f>
        <v>233527.055</v>
      </c>
    </row>
    <row r="56" customFormat="false" ht="15" hidden="false" customHeight="true" outlineLevel="0" collapsed="false">
      <c r="A56" s="118" t="n">
        <v>6</v>
      </c>
      <c r="B56" s="119" t="s">
        <v>436</v>
      </c>
      <c r="C56" s="120" t="n">
        <v>3199680</v>
      </c>
      <c r="D56" s="120" t="n">
        <f aca="false">C56*0.3</f>
        <v>959904</v>
      </c>
      <c r="E56" s="120" t="n">
        <f aca="false">C56*0.5</f>
        <v>1599840</v>
      </c>
    </row>
    <row r="57" customFormat="false" ht="15" hidden="false" customHeight="true" outlineLevel="0" collapsed="false">
      <c r="A57" s="115" t="n">
        <v>7</v>
      </c>
      <c r="B57" s="116" t="s">
        <v>437</v>
      </c>
      <c r="C57" s="117" t="n">
        <v>194299.2</v>
      </c>
      <c r="D57" s="117" t="n">
        <f aca="false">C57*0.3</f>
        <v>58289.76</v>
      </c>
      <c r="E57" s="117" t="n">
        <f aca="false">C57*0.5</f>
        <v>97149.6</v>
      </c>
    </row>
    <row r="59" customFormat="false" ht="27.75" hidden="false" customHeight="true" outlineLevel="0" collapsed="false">
      <c r="A59" s="125" t="s">
        <v>445</v>
      </c>
      <c r="B59" s="125"/>
      <c r="C59" s="125"/>
      <c r="D59" s="125"/>
      <c r="E59" s="125"/>
    </row>
    <row r="61" customFormat="false" ht="18" hidden="false" customHeight="true" outlineLevel="0" collapsed="false">
      <c r="A61" s="110" t="s">
        <v>446</v>
      </c>
      <c r="B61" s="110"/>
      <c r="C61" s="110"/>
      <c r="D61" s="110"/>
      <c r="E61" s="110"/>
    </row>
    <row r="62" customFormat="false" ht="21.75" hidden="false" customHeight="true" outlineLevel="0" collapsed="false">
      <c r="A62" s="103" t="s">
        <v>447</v>
      </c>
      <c r="B62" s="111" t="s">
        <v>448</v>
      </c>
    </row>
    <row r="63" customFormat="false" ht="15" hidden="false" customHeight="true" outlineLevel="0" collapsed="false">
      <c r="A63" s="103" t="s">
        <v>449</v>
      </c>
      <c r="B63" s="111" t="s">
        <v>450</v>
      </c>
    </row>
    <row r="64" customFormat="false" ht="15" hidden="false" customHeight="true" outlineLevel="0" collapsed="false">
      <c r="A64" s="103" t="s">
        <v>451</v>
      </c>
      <c r="B64" s="111" t="s">
        <v>452</v>
      </c>
    </row>
    <row r="65" customFormat="false" ht="15" hidden="false" customHeight="true" outlineLevel="0" collapsed="false">
      <c r="A65" s="103" t="s">
        <v>453</v>
      </c>
      <c r="B65" s="111" t="s">
        <v>454</v>
      </c>
    </row>
    <row r="66" customFormat="false" ht="21.75" hidden="false" customHeight="true" outlineLevel="0" collapsed="false">
      <c r="A66" s="103" t="s">
        <v>455</v>
      </c>
      <c r="B66" s="111" t="s">
        <v>456</v>
      </c>
    </row>
    <row r="67" customFormat="false" ht="21.75" hidden="false" customHeight="true" outlineLevel="0" collapsed="false">
      <c r="A67" s="103" t="s">
        <v>457</v>
      </c>
      <c r="B67" s="111" t="s">
        <v>458</v>
      </c>
    </row>
    <row r="68" customFormat="false" ht="21.75" hidden="false" customHeight="true" outlineLevel="0" collapsed="false">
      <c r="A68" s="103" t="s">
        <v>459</v>
      </c>
      <c r="B68" s="111" t="s">
        <v>460</v>
      </c>
    </row>
    <row r="69" customFormat="false" ht="21.75" hidden="false" customHeight="true" outlineLevel="0" collapsed="false">
      <c r="A69" s="103" t="s">
        <v>461</v>
      </c>
      <c r="B69" s="111" t="s">
        <v>462</v>
      </c>
    </row>
  </sheetData>
  <mergeCells count="9">
    <mergeCell ref="A4:E4"/>
    <mergeCell ref="A14:E14"/>
    <mergeCell ref="A30:E30"/>
    <mergeCell ref="A35:E35"/>
    <mergeCell ref="A46:E46"/>
    <mergeCell ref="A48:E48"/>
    <mergeCell ref="A49:E49"/>
    <mergeCell ref="A59:E59"/>
    <mergeCell ref="A61:E61"/>
  </mergeCells>
  <printOptions headings="false" gridLines="false" gridLinesSet="true" horizontalCentered="true" verticalCentered="false"/>
  <pageMargins left="0.5" right="0.5"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28"/>
    <col collapsed="false" customWidth="true" hidden="false" outlineLevel="0" max="2" min="2" style="5" width="50"/>
    <col collapsed="false" customWidth="true" hidden="false" outlineLevel="0" max="5" min="3" style="5" width="22"/>
  </cols>
  <sheetData>
    <row r="1" customFormat="false" ht="17.25" hidden="false" customHeight="true" outlineLevel="0" collapsed="false">
      <c r="A1" s="108" t="s">
        <v>463</v>
      </c>
    </row>
    <row r="2" customFormat="false" ht="15" hidden="false" customHeight="true" outlineLevel="0" collapsed="false">
      <c r="A2" s="109" t="s">
        <v>382</v>
      </c>
    </row>
    <row r="4" customFormat="false" ht="18" hidden="false" customHeight="true" outlineLevel="0" collapsed="false">
      <c r="A4" s="110" t="s">
        <v>199</v>
      </c>
      <c r="B4" s="110"/>
      <c r="C4" s="110"/>
      <c r="D4" s="110"/>
      <c r="E4" s="110"/>
    </row>
    <row r="5" customFormat="false" ht="15" hidden="false" customHeight="true" outlineLevel="0" collapsed="false">
      <c r="A5" s="103" t="s">
        <v>383</v>
      </c>
      <c r="B5" s="111" t="s">
        <v>464</v>
      </c>
    </row>
    <row r="6" customFormat="false" ht="21.75" hidden="false" customHeight="true" outlineLevel="0" collapsed="false">
      <c r="A6" s="103" t="s">
        <v>200</v>
      </c>
      <c r="B6" s="111" t="s">
        <v>385</v>
      </c>
    </row>
    <row r="7" customFormat="false" ht="21.75" hidden="false" customHeight="true" outlineLevel="0" collapsed="false">
      <c r="A7" s="103" t="s">
        <v>209</v>
      </c>
      <c r="B7" s="111" t="s">
        <v>465</v>
      </c>
    </row>
    <row r="8" customFormat="false" ht="42.75" hidden="false" customHeight="true" outlineLevel="0" collapsed="false">
      <c r="A8" s="103" t="s">
        <v>387</v>
      </c>
      <c r="B8" s="111" t="s">
        <v>466</v>
      </c>
    </row>
    <row r="9" customFormat="false" ht="21.75" hidden="false" customHeight="true" outlineLevel="0" collapsed="false">
      <c r="A9" s="103" t="s">
        <v>389</v>
      </c>
      <c r="B9" s="111" t="s">
        <v>467</v>
      </c>
    </row>
    <row r="10" customFormat="false" ht="15" hidden="false" customHeight="true" outlineLevel="0" collapsed="false">
      <c r="A10" s="103" t="s">
        <v>468</v>
      </c>
      <c r="B10" s="111" t="s">
        <v>469</v>
      </c>
    </row>
    <row r="11" customFormat="false" ht="15" hidden="false" customHeight="true" outlineLevel="0" collapsed="false">
      <c r="A11" s="103" t="s">
        <v>391</v>
      </c>
      <c r="B11" s="111" t="s">
        <v>470</v>
      </c>
    </row>
    <row r="12" customFormat="false" ht="21.75" hidden="false" customHeight="true" outlineLevel="0" collapsed="false">
      <c r="A12" s="103" t="s">
        <v>395</v>
      </c>
      <c r="B12" s="111" t="s">
        <v>471</v>
      </c>
    </row>
    <row r="14" customFormat="false" ht="18" hidden="false" customHeight="true" outlineLevel="0" collapsed="false">
      <c r="A14" s="110" t="s">
        <v>397</v>
      </c>
      <c r="B14" s="110"/>
      <c r="C14" s="110"/>
      <c r="D14" s="110"/>
      <c r="E14" s="110"/>
    </row>
    <row r="15" customFormat="false" ht="21.75" hidden="false" customHeight="true" outlineLevel="0" collapsed="false">
      <c r="A15" s="103" t="s">
        <v>398</v>
      </c>
      <c r="B15" s="111" t="s">
        <v>399</v>
      </c>
    </row>
    <row r="16" customFormat="false" ht="21.75" hidden="false" customHeight="true" outlineLevel="0" collapsed="false">
      <c r="A16" s="103" t="s">
        <v>400</v>
      </c>
      <c r="B16" s="111" t="s">
        <v>401</v>
      </c>
    </row>
    <row r="17" customFormat="false" ht="15" hidden="false" customHeight="true" outlineLevel="0" collapsed="false">
      <c r="A17" s="103" t="s">
        <v>402</v>
      </c>
      <c r="B17" s="112" t="n">
        <v>5918949.47</v>
      </c>
    </row>
    <row r="18" customFormat="false" ht="15" hidden="false" customHeight="true" outlineLevel="0" collapsed="false">
      <c r="A18" s="103" t="s">
        <v>403</v>
      </c>
      <c r="B18" s="112" t="n">
        <v>41767.91</v>
      </c>
    </row>
    <row r="19" customFormat="false" ht="15" hidden="false" customHeight="true" outlineLevel="0" collapsed="false">
      <c r="A19" s="103" t="s">
        <v>404</v>
      </c>
      <c r="B19" s="112" t="n">
        <v>1192143.48</v>
      </c>
    </row>
    <row r="20" customFormat="false" ht="15" hidden="false" customHeight="true" outlineLevel="0" collapsed="false">
      <c r="A20" s="103" t="s">
        <v>405</v>
      </c>
      <c r="B20" s="112" t="n">
        <v>7152860.85</v>
      </c>
    </row>
    <row r="21" customFormat="false" ht="15" hidden="false" customHeight="true" outlineLevel="0" collapsed="false">
      <c r="A21" s="103" t="s">
        <v>406</v>
      </c>
      <c r="B21" s="112" t="n">
        <v>2334948.68</v>
      </c>
    </row>
    <row r="22" customFormat="false" ht="15" hidden="false" customHeight="true" outlineLevel="0" collapsed="false">
      <c r="A22" s="103" t="s">
        <v>407</v>
      </c>
      <c r="B22" s="111" t="s">
        <v>472</v>
      </c>
    </row>
    <row r="23" customFormat="false" ht="15" hidden="false" customHeight="true" outlineLevel="0" collapsed="false">
      <c r="A23" s="103" t="s">
        <v>409</v>
      </c>
      <c r="B23" s="111" t="s">
        <v>410</v>
      </c>
    </row>
    <row r="24" customFormat="false" ht="15" hidden="false" customHeight="true" outlineLevel="0" collapsed="false">
      <c r="A24" s="103" t="s">
        <v>411</v>
      </c>
      <c r="B24" s="111" t="s">
        <v>412</v>
      </c>
    </row>
    <row r="25" customFormat="false" ht="15" hidden="false" customHeight="true" outlineLevel="0" collapsed="false">
      <c r="A25" s="103" t="s">
        <v>413</v>
      </c>
      <c r="B25" s="111" t="s">
        <v>473</v>
      </c>
    </row>
    <row r="26" customFormat="false" ht="15" hidden="false" customHeight="true" outlineLevel="0" collapsed="false">
      <c r="A26" s="103" t="s">
        <v>415</v>
      </c>
      <c r="B26" s="111" t="s">
        <v>416</v>
      </c>
    </row>
    <row r="27" customFormat="false" ht="15" hidden="false" customHeight="true" outlineLevel="0" collapsed="false">
      <c r="A27" s="103" t="s">
        <v>417</v>
      </c>
      <c r="B27" s="111" t="s">
        <v>418</v>
      </c>
    </row>
    <row r="28" customFormat="false" ht="15" hidden="false" customHeight="true" outlineLevel="0" collapsed="false">
      <c r="A28" s="103" t="s">
        <v>419</v>
      </c>
      <c r="B28" s="111" t="s">
        <v>420</v>
      </c>
    </row>
    <row r="30" customFormat="false" ht="18" hidden="false" customHeight="true" outlineLevel="0" collapsed="false">
      <c r="A30" s="110" t="s">
        <v>421</v>
      </c>
      <c r="B30" s="110"/>
      <c r="C30" s="110"/>
      <c r="D30" s="110"/>
      <c r="E30" s="110"/>
    </row>
    <row r="31" customFormat="false" ht="15" hidden="false" customHeight="true" outlineLevel="0" collapsed="false">
      <c r="A31" s="103" t="s">
        <v>422</v>
      </c>
      <c r="B31" s="113" t="n">
        <v>46161</v>
      </c>
    </row>
    <row r="32" customFormat="false" ht="15" hidden="false" customHeight="true" outlineLevel="0" collapsed="false">
      <c r="A32" s="103" t="s">
        <v>423</v>
      </c>
      <c r="B32" s="113" t="n">
        <v>46168</v>
      </c>
    </row>
    <row r="33" customFormat="false" ht="15" hidden="false" customHeight="true" outlineLevel="0" collapsed="false">
      <c r="A33" s="103" t="s">
        <v>424</v>
      </c>
      <c r="B33" s="113" t="n">
        <v>46169</v>
      </c>
    </row>
    <row r="34" customFormat="false" ht="31.5" hidden="false" customHeight="true" outlineLevel="0" collapsed="false">
      <c r="A34" s="125" t="s">
        <v>474</v>
      </c>
      <c r="B34" s="125"/>
      <c r="C34" s="125"/>
      <c r="D34" s="125"/>
      <c r="E34" s="125"/>
    </row>
    <row r="36" customFormat="false" ht="18" hidden="false" customHeight="true" outlineLevel="0" collapsed="false">
      <c r="A36" s="110" t="s">
        <v>425</v>
      </c>
      <c r="B36" s="110"/>
      <c r="C36" s="110"/>
      <c r="D36" s="110"/>
      <c r="E36" s="110"/>
    </row>
    <row r="37" customFormat="false" ht="15" hidden="false" customHeight="true" outlineLevel="0" collapsed="false">
      <c r="A37" s="114" t="s">
        <v>426</v>
      </c>
      <c r="B37" s="114" t="s">
        <v>475</v>
      </c>
      <c r="C37" s="114" t="s">
        <v>428</v>
      </c>
      <c r="D37" s="114" t="s">
        <v>429</v>
      </c>
      <c r="E37" s="114" t="s">
        <v>430</v>
      </c>
    </row>
    <row r="38" customFormat="false" ht="15" hidden="false" customHeight="true" outlineLevel="0" collapsed="false">
      <c r="A38" s="118" t="n">
        <v>1</v>
      </c>
      <c r="B38" s="119" t="s">
        <v>476</v>
      </c>
      <c r="C38" s="120" t="n">
        <f aca="false">E38/1.2</f>
        <v>1491069.16666667</v>
      </c>
      <c r="D38" s="120" t="n">
        <f aca="false">E38-C38</f>
        <v>298213.833333333</v>
      </c>
      <c r="E38" s="120" t="n">
        <v>1789283</v>
      </c>
    </row>
    <row r="39" customFormat="false" ht="15" hidden="false" customHeight="true" outlineLevel="0" collapsed="false">
      <c r="A39" s="118" t="n">
        <v>2</v>
      </c>
      <c r="B39" s="119" t="s">
        <v>477</v>
      </c>
      <c r="C39" s="120" t="n">
        <f aca="false">E39/1.2</f>
        <v>3525968</v>
      </c>
      <c r="D39" s="120" t="n">
        <f aca="false">E39-C39</f>
        <v>705193.6</v>
      </c>
      <c r="E39" s="120" t="n">
        <v>4231161.6</v>
      </c>
    </row>
    <row r="40" customFormat="false" ht="15" hidden="false" customHeight="true" outlineLevel="0" collapsed="false">
      <c r="A40" s="115" t="n">
        <v>3</v>
      </c>
      <c r="B40" s="116" t="s">
        <v>478</v>
      </c>
      <c r="C40" s="117" t="n">
        <f aca="false">E40/1.2</f>
        <v>334011.658333333</v>
      </c>
      <c r="D40" s="117" t="n">
        <f aca="false">E40-C40</f>
        <v>66802.3316666667</v>
      </c>
      <c r="E40" s="117" t="n">
        <v>400813.99</v>
      </c>
    </row>
    <row r="41" customFormat="false" ht="15" hidden="false" customHeight="true" outlineLevel="0" collapsed="false">
      <c r="A41" s="115" t="n">
        <v>4</v>
      </c>
      <c r="B41" s="116" t="s">
        <v>479</v>
      </c>
      <c r="C41" s="117" t="n">
        <f aca="false">E41/1.2</f>
        <v>286089.8</v>
      </c>
      <c r="D41" s="117" t="n">
        <f aca="false">E41-C41</f>
        <v>57217.96</v>
      </c>
      <c r="E41" s="117" t="n">
        <v>343307.76</v>
      </c>
    </row>
    <row r="42" customFormat="false" ht="15" hidden="false" customHeight="true" outlineLevel="0" collapsed="false">
      <c r="A42" s="115" t="n">
        <v>5</v>
      </c>
      <c r="B42" s="116" t="s">
        <v>480</v>
      </c>
      <c r="C42" s="117" t="n">
        <f aca="false">E42/1.2</f>
        <v>306913.75</v>
      </c>
      <c r="D42" s="117" t="n">
        <f aca="false">E42-C42</f>
        <v>61382.75</v>
      </c>
      <c r="E42" s="117" t="n">
        <v>368296.5</v>
      </c>
    </row>
    <row r="43" customFormat="false" ht="15" hidden="false" customHeight="true" outlineLevel="0" collapsed="false">
      <c r="A43" s="115" t="n">
        <v>6</v>
      </c>
      <c r="B43" s="116" t="s">
        <v>437</v>
      </c>
      <c r="C43" s="117" t="n">
        <f aca="false">E43/1.2</f>
        <v>16665</v>
      </c>
      <c r="D43" s="117" t="n">
        <f aca="false">E43-C43</f>
        <v>3333</v>
      </c>
      <c r="E43" s="117" t="n">
        <v>19998</v>
      </c>
    </row>
    <row r="44" customFormat="false" ht="15" hidden="false" customHeight="true" outlineLevel="0" collapsed="false">
      <c r="A44" s="121" t="s">
        <v>438</v>
      </c>
      <c r="B44" s="122" t="s">
        <v>439</v>
      </c>
      <c r="C44" s="123" t="n">
        <f aca="false">SUM(C38:C43)</f>
        <v>5960717.375</v>
      </c>
      <c r="D44" s="123" t="n">
        <f aca="false">SUM(D38:D43)</f>
        <v>1192143.475</v>
      </c>
      <c r="E44" s="123" t="n">
        <f aca="false">SUM(E38:E43)</f>
        <v>7152860.85</v>
      </c>
    </row>
    <row r="46" customFormat="false" ht="15" hidden="false" customHeight="true" outlineLevel="0" collapsed="false">
      <c r="A46" s="124" t="s">
        <v>481</v>
      </c>
      <c r="B46" s="124"/>
      <c r="C46" s="124"/>
      <c r="D46" s="124"/>
      <c r="E46" s="124"/>
    </row>
    <row r="47" customFormat="false" ht="31.5" hidden="false" customHeight="true" outlineLevel="0" collapsed="false">
      <c r="A47" s="125" t="s">
        <v>482</v>
      </c>
      <c r="B47" s="125"/>
      <c r="C47" s="125"/>
      <c r="D47" s="125"/>
      <c r="E47" s="125"/>
    </row>
    <row r="49" customFormat="false" ht="18" hidden="false" customHeight="true" outlineLevel="0" collapsed="false">
      <c r="A49" s="110" t="s">
        <v>441</v>
      </c>
      <c r="B49" s="110"/>
      <c r="C49" s="110"/>
      <c r="D49" s="110"/>
      <c r="E49" s="110"/>
    </row>
    <row r="50" customFormat="false" ht="31.5" hidden="false" customHeight="true" outlineLevel="0" collapsed="false">
      <c r="A50" s="125" t="s">
        <v>483</v>
      </c>
      <c r="B50" s="125"/>
      <c r="C50" s="125"/>
      <c r="D50" s="125"/>
      <c r="E50" s="125"/>
    </row>
    <row r="51" customFormat="false" ht="15" hidden="false" customHeight="true" outlineLevel="0" collapsed="false">
      <c r="A51" s="114" t="s">
        <v>426</v>
      </c>
      <c r="B51" s="114" t="s">
        <v>475</v>
      </c>
      <c r="C51" s="114" t="s">
        <v>430</v>
      </c>
      <c r="D51" s="114" t="s">
        <v>443</v>
      </c>
      <c r="E51" s="114" t="s">
        <v>444</v>
      </c>
    </row>
    <row r="52" customFormat="false" ht="15" hidden="false" customHeight="true" outlineLevel="0" collapsed="false">
      <c r="A52" s="118" t="n">
        <v>1</v>
      </c>
      <c r="B52" s="119" t="s">
        <v>476</v>
      </c>
      <c r="C52" s="120" t="n">
        <v>1789283</v>
      </c>
      <c r="D52" s="120" t="n">
        <f aca="false">C52*0.3</f>
        <v>536784.9</v>
      </c>
      <c r="E52" s="120" t="n">
        <f aca="false">C52*0.5</f>
        <v>894641.5</v>
      </c>
    </row>
    <row r="53" customFormat="false" ht="15" hidden="false" customHeight="true" outlineLevel="0" collapsed="false">
      <c r="A53" s="118" t="n">
        <v>2</v>
      </c>
      <c r="B53" s="119" t="s">
        <v>477</v>
      </c>
      <c r="C53" s="120" t="n">
        <v>4231161.6</v>
      </c>
      <c r="D53" s="120" t="n">
        <f aca="false">C53*0.3</f>
        <v>1269348.48</v>
      </c>
      <c r="E53" s="120" t="n">
        <f aca="false">C53*0.5</f>
        <v>2115580.8</v>
      </c>
    </row>
    <row r="54" customFormat="false" ht="15" hidden="false" customHeight="true" outlineLevel="0" collapsed="false">
      <c r="A54" s="115" t="n">
        <v>3</v>
      </c>
      <c r="B54" s="116" t="s">
        <v>478</v>
      </c>
      <c r="C54" s="117" t="n">
        <v>400813.99</v>
      </c>
      <c r="D54" s="117" t="n">
        <f aca="false">C54*0.3</f>
        <v>120244.197</v>
      </c>
      <c r="E54" s="117" t="n">
        <f aca="false">C54*0.5</f>
        <v>200406.995</v>
      </c>
    </row>
    <row r="55" customFormat="false" ht="15" hidden="false" customHeight="true" outlineLevel="0" collapsed="false">
      <c r="A55" s="115" t="n">
        <v>4</v>
      </c>
      <c r="B55" s="116" t="s">
        <v>479</v>
      </c>
      <c r="C55" s="117" t="n">
        <v>343307.76</v>
      </c>
      <c r="D55" s="117" t="n">
        <f aca="false">C55*0.3</f>
        <v>102992.328</v>
      </c>
      <c r="E55" s="117" t="n">
        <f aca="false">C55*0.5</f>
        <v>171653.88</v>
      </c>
    </row>
    <row r="56" customFormat="false" ht="15" hidden="false" customHeight="true" outlineLevel="0" collapsed="false">
      <c r="A56" s="115" t="n">
        <v>5</v>
      </c>
      <c r="B56" s="116" t="s">
        <v>480</v>
      </c>
      <c r="C56" s="117" t="n">
        <v>368296.5</v>
      </c>
      <c r="D56" s="117" t="n">
        <f aca="false">C56*0.3</f>
        <v>110488.95</v>
      </c>
      <c r="E56" s="117" t="n">
        <f aca="false">C56*0.5</f>
        <v>184148.25</v>
      </c>
    </row>
    <row r="57" customFormat="false" ht="15" hidden="false" customHeight="true" outlineLevel="0" collapsed="false">
      <c r="A57" s="115" t="n">
        <v>6</v>
      </c>
      <c r="B57" s="116" t="s">
        <v>437</v>
      </c>
      <c r="C57" s="117" t="n">
        <v>19998</v>
      </c>
      <c r="D57" s="117" t="n">
        <f aca="false">C57*0.3</f>
        <v>5999.4</v>
      </c>
      <c r="E57" s="117" t="n">
        <f aca="false">C57*0.5</f>
        <v>9999</v>
      </c>
    </row>
    <row r="59" customFormat="false" ht="27.75" hidden="false" customHeight="true" outlineLevel="0" collapsed="false">
      <c r="A59" s="125" t="s">
        <v>445</v>
      </c>
      <c r="B59" s="125"/>
      <c r="C59" s="125"/>
      <c r="D59" s="125"/>
      <c r="E59" s="125"/>
    </row>
    <row r="61" customFormat="false" ht="18" hidden="false" customHeight="true" outlineLevel="0" collapsed="false">
      <c r="A61" s="110" t="s">
        <v>446</v>
      </c>
      <c r="B61" s="110"/>
      <c r="C61" s="110"/>
      <c r="D61" s="110"/>
      <c r="E61" s="110"/>
    </row>
    <row r="62" customFormat="false" ht="15" hidden="false" customHeight="true" outlineLevel="0" collapsed="false">
      <c r="A62" s="103" t="s">
        <v>447</v>
      </c>
      <c r="B62" s="111" t="s">
        <v>484</v>
      </c>
    </row>
    <row r="63" customFormat="false" ht="15" hidden="false" customHeight="true" outlineLevel="0" collapsed="false">
      <c r="A63" s="103" t="s">
        <v>449</v>
      </c>
      <c r="B63" s="111" t="s">
        <v>450</v>
      </c>
    </row>
    <row r="64" customFormat="false" ht="15" hidden="false" customHeight="true" outlineLevel="0" collapsed="false">
      <c r="A64" s="103" t="s">
        <v>451</v>
      </c>
      <c r="B64" s="111" t="s">
        <v>452</v>
      </c>
    </row>
    <row r="65" customFormat="false" ht="15" hidden="false" customHeight="true" outlineLevel="0" collapsed="false">
      <c r="A65" s="103" t="s">
        <v>453</v>
      </c>
      <c r="B65" s="111" t="s">
        <v>454</v>
      </c>
    </row>
    <row r="66" customFormat="false" ht="15" hidden="false" customHeight="true" outlineLevel="0" collapsed="false">
      <c r="A66" s="103" t="s">
        <v>455</v>
      </c>
      <c r="B66" s="111" t="s">
        <v>485</v>
      </c>
    </row>
    <row r="67" customFormat="false" ht="15" hidden="false" customHeight="true" outlineLevel="0" collapsed="false">
      <c r="A67" s="103" t="s">
        <v>457</v>
      </c>
      <c r="B67" s="111" t="s">
        <v>458</v>
      </c>
    </row>
    <row r="68" customFormat="false" ht="21.75" hidden="false" customHeight="true" outlineLevel="0" collapsed="false">
      <c r="A68" s="103" t="s">
        <v>459</v>
      </c>
      <c r="B68" s="111" t="s">
        <v>460</v>
      </c>
    </row>
    <row r="69" customFormat="false" ht="15" hidden="false" customHeight="true" outlineLevel="0" collapsed="false">
      <c r="A69" s="103" t="s">
        <v>486</v>
      </c>
      <c r="B69" s="111" t="s">
        <v>487</v>
      </c>
    </row>
    <row r="70" customFormat="false" ht="21.75" hidden="false" customHeight="true" outlineLevel="0" collapsed="false">
      <c r="A70" s="103" t="s">
        <v>461</v>
      </c>
      <c r="B70" s="111" t="s">
        <v>488</v>
      </c>
    </row>
  </sheetData>
  <mergeCells count="11">
    <mergeCell ref="A4:E4"/>
    <mergeCell ref="A14:E14"/>
    <mergeCell ref="A30:E30"/>
    <mergeCell ref="A34:E34"/>
    <mergeCell ref="A36:E36"/>
    <mergeCell ref="A46:E46"/>
    <mergeCell ref="A47:E47"/>
    <mergeCell ref="A49:E49"/>
    <mergeCell ref="A50:E50"/>
    <mergeCell ref="A59:E59"/>
    <mergeCell ref="A61:E61"/>
  </mergeCells>
  <printOptions headings="false" gridLines="false" gridLinesSet="true" horizontalCentered="true" verticalCentered="false"/>
  <pageMargins left="0.5" right="0.5"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5" width="24.86"/>
    <col collapsed="false" customWidth="true" hidden="false" outlineLevel="0" max="2" min="2" style="5" width="41.86"/>
    <col collapsed="false" customWidth="true" hidden="false" outlineLevel="0" max="3" min="3" style="5" width="17.29"/>
    <col collapsed="false" customWidth="true" hidden="false" outlineLevel="0" max="4" min="4" style="5" width="24.57"/>
    <col collapsed="false" customWidth="true" hidden="false" outlineLevel="0" max="5" min="5" style="5" width="26.42"/>
    <col collapsed="false" customWidth="true" hidden="false" outlineLevel="0" max="6" min="6" style="5" width="24.57"/>
  </cols>
  <sheetData>
    <row r="1" customFormat="false" ht="18" hidden="false" customHeight="true" outlineLevel="0" collapsed="false">
      <c r="A1" s="126" t="s">
        <v>489</v>
      </c>
    </row>
    <row r="2" customFormat="false" ht="15" hidden="false" customHeight="true" outlineLevel="0" collapsed="false">
      <c r="A2" s="127" t="s">
        <v>490</v>
      </c>
    </row>
    <row r="4" customFormat="false" ht="15" hidden="false" customHeight="true" outlineLevel="0" collapsed="false">
      <c r="A4" s="128" t="s">
        <v>199</v>
      </c>
    </row>
    <row r="5" customFormat="false" ht="15" hidden="false" customHeight="true" outlineLevel="0" collapsed="false">
      <c r="A5" s="129" t="s">
        <v>491</v>
      </c>
      <c r="B5" s="130" t="s">
        <v>492</v>
      </c>
    </row>
    <row r="6" customFormat="false" ht="15" hidden="false" customHeight="true" outlineLevel="0" collapsed="false">
      <c r="A6" s="129" t="s">
        <v>200</v>
      </c>
      <c r="B6" s="130" t="s">
        <v>493</v>
      </c>
    </row>
    <row r="7" customFormat="false" ht="15" hidden="false" customHeight="true" outlineLevel="0" collapsed="false">
      <c r="A7" s="129" t="s">
        <v>209</v>
      </c>
      <c r="B7" s="130" t="s">
        <v>494</v>
      </c>
    </row>
    <row r="8" customFormat="false" ht="15" hidden="false" customHeight="true" outlineLevel="0" collapsed="false">
      <c r="A8" s="129" t="s">
        <v>387</v>
      </c>
      <c r="B8" s="130" t="s">
        <v>495</v>
      </c>
    </row>
    <row r="9" customFormat="false" ht="15" hidden="false" customHeight="true" outlineLevel="0" collapsed="false">
      <c r="A9" s="129" t="s">
        <v>496</v>
      </c>
      <c r="B9" s="130" t="s">
        <v>497</v>
      </c>
    </row>
    <row r="10" customFormat="false" ht="15" hidden="false" customHeight="true" outlineLevel="0" collapsed="false">
      <c r="A10" s="129" t="s">
        <v>395</v>
      </c>
      <c r="B10" s="130" t="s">
        <v>498</v>
      </c>
    </row>
    <row r="12" customFormat="false" ht="15" hidden="false" customHeight="true" outlineLevel="0" collapsed="false">
      <c r="A12" s="128" t="s">
        <v>397</v>
      </c>
    </row>
    <row r="13" customFormat="false" ht="15" hidden="false" customHeight="true" outlineLevel="0" collapsed="false">
      <c r="A13" s="129" t="s">
        <v>398</v>
      </c>
      <c r="B13" s="130" t="s">
        <v>499</v>
      </c>
    </row>
    <row r="14" customFormat="false" ht="15" hidden="false" customHeight="true" outlineLevel="0" collapsed="false">
      <c r="A14" s="129" t="s">
        <v>400</v>
      </c>
      <c r="B14" s="130" t="s">
        <v>500</v>
      </c>
    </row>
    <row r="15" customFormat="false" ht="15" hidden="false" customHeight="true" outlineLevel="0" collapsed="false">
      <c r="A15" s="129" t="s">
        <v>501</v>
      </c>
      <c r="B15" s="131" t="n">
        <v>1430000000</v>
      </c>
      <c r="C15" s="109" t="s">
        <v>502</v>
      </c>
    </row>
    <row r="16" customFormat="false" ht="15" hidden="false" customHeight="true" outlineLevel="0" collapsed="false">
      <c r="A16" s="129" t="s">
        <v>503</v>
      </c>
      <c r="B16" s="132" t="n">
        <v>2015086959.83</v>
      </c>
      <c r="C16" s="109" t="s">
        <v>504</v>
      </c>
    </row>
    <row r="17" customFormat="false" ht="15" hidden="false" customHeight="true" outlineLevel="0" collapsed="false">
      <c r="A17" s="129" t="s">
        <v>505</v>
      </c>
      <c r="B17" s="130" t="s">
        <v>506</v>
      </c>
    </row>
    <row r="18" customFormat="false" ht="15" hidden="false" customHeight="true" outlineLevel="0" collapsed="false">
      <c r="A18" s="129" t="s">
        <v>407</v>
      </c>
      <c r="B18" s="130" t="s">
        <v>507</v>
      </c>
    </row>
    <row r="19" customFormat="false" ht="15" hidden="false" customHeight="true" outlineLevel="0" collapsed="false">
      <c r="A19" s="129" t="s">
        <v>413</v>
      </c>
      <c r="B19" s="130" t="s">
        <v>508</v>
      </c>
    </row>
    <row r="21" customFormat="false" ht="15" hidden="false" customHeight="true" outlineLevel="0" collapsed="false">
      <c r="A21" s="128" t="s">
        <v>509</v>
      </c>
    </row>
    <row r="22" customFormat="false" ht="15" hidden="false" customHeight="true" outlineLevel="0" collapsed="false">
      <c r="A22" s="133" t="s">
        <v>510</v>
      </c>
      <c r="B22" s="133" t="s">
        <v>511</v>
      </c>
      <c r="C22" s="133" t="s">
        <v>512</v>
      </c>
      <c r="D22" s="133" t="s">
        <v>513</v>
      </c>
      <c r="E22" s="133" t="s">
        <v>514</v>
      </c>
      <c r="F22" s="133" t="s">
        <v>342</v>
      </c>
    </row>
    <row r="23" customFormat="false" ht="15" hidden="false" customHeight="true" outlineLevel="0" collapsed="false">
      <c r="A23" s="134" t="s">
        <v>515</v>
      </c>
      <c r="B23" s="134" t="n">
        <v>1</v>
      </c>
      <c r="C23" s="135" t="n">
        <v>1</v>
      </c>
      <c r="D23" s="134" t="s">
        <v>46</v>
      </c>
      <c r="E23" s="134" t="s">
        <v>46</v>
      </c>
      <c r="F23" s="134" t="s">
        <v>516</v>
      </c>
    </row>
    <row r="24" customFormat="false" ht="15" hidden="false" customHeight="true" outlineLevel="0" collapsed="false">
      <c r="A24" s="134" t="s">
        <v>517</v>
      </c>
      <c r="B24" s="134" t="n">
        <v>2</v>
      </c>
      <c r="C24" s="135" t="n">
        <v>0.7</v>
      </c>
      <c r="D24" s="135" t="n">
        <v>0.3</v>
      </c>
      <c r="E24" s="134" t="s">
        <v>46</v>
      </c>
      <c r="F24" s="134" t="s">
        <v>516</v>
      </c>
    </row>
    <row r="25" customFormat="false" ht="15" hidden="false" customHeight="true" outlineLevel="0" collapsed="false">
      <c r="A25" s="134" t="s">
        <v>518</v>
      </c>
      <c r="B25" s="134" t="n">
        <v>3</v>
      </c>
      <c r="C25" s="135" t="n">
        <v>0.55</v>
      </c>
      <c r="D25" s="135" t="n">
        <v>0.3</v>
      </c>
      <c r="E25" s="135" t="n">
        <v>0.15</v>
      </c>
      <c r="F25" s="134" t="s">
        <v>519</v>
      </c>
    </row>
    <row r="26" customFormat="false" ht="15" hidden="false" customHeight="true" outlineLevel="0" collapsed="false">
      <c r="A26" s="136" t="s">
        <v>520</v>
      </c>
    </row>
    <row r="28" customFormat="false" ht="15" hidden="false" customHeight="true" outlineLevel="0" collapsed="false">
      <c r="A28" s="137" t="s">
        <v>521</v>
      </c>
    </row>
    <row r="29" customFormat="false" ht="15" hidden="false" customHeight="true" outlineLevel="0" collapsed="false">
      <c r="A29" s="138" t="s">
        <v>426</v>
      </c>
      <c r="B29" s="139" t="s">
        <v>522</v>
      </c>
      <c r="C29" s="140" t="s">
        <v>523</v>
      </c>
      <c r="D29" s="140" t="s">
        <v>524</v>
      </c>
      <c r="E29" s="141" t="s">
        <v>525</v>
      </c>
    </row>
    <row r="30" customFormat="false" ht="15" hidden="false" customHeight="true" outlineLevel="0" collapsed="false">
      <c r="A30" s="142" t="n">
        <v>1</v>
      </c>
      <c r="B30" s="143" t="s">
        <v>526</v>
      </c>
      <c r="C30" s="144" t="n">
        <v>7348000</v>
      </c>
      <c r="D30" s="145" t="n">
        <v>121000000</v>
      </c>
      <c r="E30" s="146" t="n">
        <v>170507358.14</v>
      </c>
    </row>
    <row r="31" customFormat="false" ht="15" hidden="false" customHeight="true" outlineLevel="0" collapsed="false">
      <c r="A31" s="142" t="n">
        <v>2</v>
      </c>
      <c r="B31" s="143" t="s">
        <v>527</v>
      </c>
      <c r="C31" s="144" t="n">
        <v>16019000</v>
      </c>
      <c r="D31" s="145" t="n">
        <v>201740000</v>
      </c>
      <c r="E31" s="146" t="n">
        <v>284282268.03</v>
      </c>
    </row>
    <row r="32" customFormat="false" ht="15" hidden="false" customHeight="true" outlineLevel="0" collapsed="false">
      <c r="A32" s="142" t="n">
        <v>3</v>
      </c>
      <c r="B32" s="143" t="s">
        <v>528</v>
      </c>
      <c r="C32" s="144" t="n">
        <v>9590000</v>
      </c>
      <c r="D32" s="145" t="n">
        <v>188430000</v>
      </c>
      <c r="E32" s="146" t="n">
        <v>265526458.63</v>
      </c>
    </row>
    <row r="33" customFormat="false" ht="15" hidden="false" customHeight="true" outlineLevel="0" collapsed="false">
      <c r="A33" s="142" t="n">
        <v>4</v>
      </c>
      <c r="B33" s="143" t="s">
        <v>529</v>
      </c>
      <c r="C33" s="144" t="n">
        <v>9566000</v>
      </c>
      <c r="D33" s="145" t="n">
        <v>154880000</v>
      </c>
      <c r="E33" s="146" t="n">
        <v>218249418.42</v>
      </c>
    </row>
    <row r="34" customFormat="false" ht="15" hidden="false" customHeight="true" outlineLevel="0" collapsed="false">
      <c r="A34" s="142" t="n">
        <v>5</v>
      </c>
      <c r="B34" s="143" t="s">
        <v>530</v>
      </c>
      <c r="C34" s="144" t="n">
        <v>6491000</v>
      </c>
      <c r="D34" s="145" t="n">
        <v>121990000</v>
      </c>
      <c r="E34" s="146" t="n">
        <v>171902418.34</v>
      </c>
    </row>
    <row r="35" customFormat="false" ht="15" hidden="false" customHeight="true" outlineLevel="0" collapsed="false">
      <c r="A35" s="142" t="n">
        <v>6</v>
      </c>
      <c r="B35" s="143" t="s">
        <v>531</v>
      </c>
      <c r="C35" s="144" t="n">
        <v>5320000</v>
      </c>
      <c r="D35" s="145" t="n">
        <v>91740000</v>
      </c>
      <c r="E35" s="146" t="n">
        <v>129275578.81</v>
      </c>
    </row>
    <row r="36" customFormat="false" ht="15" hidden="false" customHeight="true" outlineLevel="0" collapsed="false">
      <c r="A36" s="142" t="n">
        <v>7</v>
      </c>
      <c r="B36" s="143" t="s">
        <v>532</v>
      </c>
      <c r="C36" s="144" t="n">
        <v>7596000</v>
      </c>
      <c r="D36" s="145" t="n">
        <v>197780000</v>
      </c>
      <c r="E36" s="146" t="n">
        <v>278702027.21</v>
      </c>
    </row>
    <row r="37" customFormat="false" ht="15" hidden="false" customHeight="true" outlineLevel="0" collapsed="false">
      <c r="A37" s="142" t="n">
        <v>8</v>
      </c>
      <c r="B37" s="143" t="s">
        <v>533</v>
      </c>
      <c r="C37" s="144" t="n">
        <v>5672000</v>
      </c>
      <c r="D37" s="145" t="n">
        <v>109340000</v>
      </c>
      <c r="E37" s="146" t="n">
        <v>154076649.08</v>
      </c>
    </row>
    <row r="38" customFormat="false" ht="15" hidden="false" customHeight="true" outlineLevel="0" collapsed="false">
      <c r="A38" s="142" t="n">
        <v>9</v>
      </c>
      <c r="B38" s="143" t="s">
        <v>534</v>
      </c>
      <c r="C38" s="144" t="n">
        <v>5434000</v>
      </c>
      <c r="D38" s="145" t="n">
        <v>99990000</v>
      </c>
      <c r="E38" s="146" t="n">
        <v>140901080.5</v>
      </c>
    </row>
    <row r="39" customFormat="false" ht="15" hidden="false" customHeight="true" outlineLevel="0" collapsed="false">
      <c r="A39" s="142" t="n">
        <v>10</v>
      </c>
      <c r="B39" s="143" t="s">
        <v>535</v>
      </c>
      <c r="C39" s="144" t="n">
        <v>6964000</v>
      </c>
      <c r="D39" s="145" t="n">
        <v>143110000</v>
      </c>
      <c r="E39" s="146" t="n">
        <v>201663702.67</v>
      </c>
    </row>
    <row r="40" customFormat="false" ht="15" hidden="false" customHeight="true" outlineLevel="0" collapsed="false">
      <c r="A40" s="147" t="s">
        <v>438</v>
      </c>
      <c r="B40" s="148" t="s">
        <v>439</v>
      </c>
      <c r="C40" s="149" t="n">
        <f aca="false">SUM(C30:C39)</f>
        <v>80000000</v>
      </c>
      <c r="D40" s="150" t="n">
        <f aca="false">SUM(D30:D39)</f>
        <v>1430000000</v>
      </c>
      <c r="E40" s="151" t="n">
        <f aca="false">SUM(E30:E39)</f>
        <v>2015086959.83</v>
      </c>
    </row>
    <row r="42" customFormat="false" ht="15" hidden="false" customHeight="true" outlineLevel="0" collapsed="false">
      <c r="A42" s="128" t="s">
        <v>441</v>
      </c>
    </row>
    <row r="43" customFormat="false" ht="15" hidden="false" customHeight="true" outlineLevel="0" collapsed="false">
      <c r="A43" s="138" t="s">
        <v>426</v>
      </c>
      <c r="B43" s="140" t="s">
        <v>536</v>
      </c>
      <c r="C43" s="140" t="s">
        <v>537</v>
      </c>
      <c r="D43" s="140" t="s">
        <v>538</v>
      </c>
      <c r="E43" s="140" t="s">
        <v>539</v>
      </c>
      <c r="F43" s="141" t="s">
        <v>540</v>
      </c>
    </row>
    <row r="44" customFormat="false" ht="15" hidden="false" customHeight="true" outlineLevel="0" collapsed="false">
      <c r="A44" s="142" t="n">
        <v>1</v>
      </c>
      <c r="B44" s="152" t="n">
        <v>18820000</v>
      </c>
      <c r="C44" s="152" t="n">
        <v>220000</v>
      </c>
      <c r="D44" s="152" t="n">
        <v>2201000</v>
      </c>
      <c r="E44" s="153" t="s">
        <v>541</v>
      </c>
      <c r="F44" s="154" t="n">
        <v>1793000</v>
      </c>
    </row>
    <row r="45" customFormat="false" ht="15" hidden="false" customHeight="true" outlineLevel="0" collapsed="false">
      <c r="A45" s="142" t="n">
        <v>2</v>
      </c>
      <c r="B45" s="152" t="n">
        <v>24660000</v>
      </c>
      <c r="C45" s="152" t="n">
        <v>288000</v>
      </c>
      <c r="D45" s="152" t="n">
        <v>2884000</v>
      </c>
      <c r="E45" s="153" t="s">
        <v>541</v>
      </c>
      <c r="F45" s="154" t="n">
        <v>2989000</v>
      </c>
    </row>
    <row r="46" customFormat="false" ht="15" hidden="false" customHeight="true" outlineLevel="0" collapsed="false">
      <c r="A46" s="142" t="n">
        <v>3</v>
      </c>
      <c r="B46" s="152" t="n">
        <v>23030000</v>
      </c>
      <c r="C46" s="152" t="n">
        <v>269000</v>
      </c>
      <c r="D46" s="152" t="n">
        <v>2694000</v>
      </c>
      <c r="E46" s="153" t="s">
        <v>541</v>
      </c>
      <c r="F46" s="154" t="n">
        <v>2792000</v>
      </c>
    </row>
    <row r="47" customFormat="false" ht="15" hidden="false" customHeight="true" outlineLevel="0" collapsed="false">
      <c r="A47" s="142" t="n">
        <v>4</v>
      </c>
      <c r="B47" s="152" t="n">
        <v>18930000</v>
      </c>
      <c r="C47" s="152" t="n">
        <v>221000</v>
      </c>
      <c r="D47" s="152" t="n">
        <v>2214000</v>
      </c>
      <c r="E47" s="153" t="s">
        <v>541</v>
      </c>
      <c r="F47" s="154" t="n">
        <v>2295000</v>
      </c>
    </row>
    <row r="48" customFormat="false" ht="15" hidden="false" customHeight="true" outlineLevel="0" collapsed="false">
      <c r="A48" s="142" t="n">
        <v>5</v>
      </c>
      <c r="B48" s="152" t="n">
        <v>18980000</v>
      </c>
      <c r="C48" s="152" t="n">
        <v>232000</v>
      </c>
      <c r="D48" s="152" t="n">
        <v>2316000</v>
      </c>
      <c r="E48" s="153" t="s">
        <v>541</v>
      </c>
      <c r="F48" s="154" t="n">
        <v>1807000</v>
      </c>
    </row>
    <row r="49" customFormat="false" ht="15" hidden="false" customHeight="true" outlineLevel="0" collapsed="false">
      <c r="A49" s="142" t="n">
        <v>6</v>
      </c>
      <c r="B49" s="152" t="n">
        <v>14270000</v>
      </c>
      <c r="C49" s="152" t="n">
        <v>174000</v>
      </c>
      <c r="D49" s="152" t="n">
        <v>1742000</v>
      </c>
      <c r="E49" s="153" t="s">
        <v>542</v>
      </c>
      <c r="F49" s="154" t="n">
        <v>1359000</v>
      </c>
    </row>
    <row r="50" customFormat="false" ht="15" hidden="false" customHeight="true" outlineLevel="0" collapsed="false">
      <c r="A50" s="142" t="n">
        <v>7</v>
      </c>
      <c r="B50" s="152" t="n">
        <v>24170000</v>
      </c>
      <c r="C50" s="152" t="n">
        <v>295000</v>
      </c>
      <c r="D50" s="152" t="n">
        <v>2950000</v>
      </c>
      <c r="E50" s="153" t="s">
        <v>541</v>
      </c>
      <c r="F50" s="154" t="n">
        <v>2930000</v>
      </c>
    </row>
    <row r="51" customFormat="false" ht="15" hidden="false" customHeight="true" outlineLevel="0" collapsed="false">
      <c r="A51" s="142" t="n">
        <v>8</v>
      </c>
      <c r="B51" s="152" t="n">
        <v>17010000</v>
      </c>
      <c r="C51" s="152" t="n">
        <v>200000</v>
      </c>
      <c r="D51" s="152" t="n">
        <v>2000000</v>
      </c>
      <c r="E51" s="153" t="s">
        <v>541</v>
      </c>
      <c r="F51" s="154" t="n">
        <v>1620000</v>
      </c>
    </row>
    <row r="52" customFormat="false" ht="15" hidden="false" customHeight="true" outlineLevel="0" collapsed="false">
      <c r="A52" s="142" t="n">
        <v>9</v>
      </c>
      <c r="B52" s="152" t="n">
        <v>15550000</v>
      </c>
      <c r="C52" s="152" t="n">
        <v>183000</v>
      </c>
      <c r="D52" s="152" t="n">
        <v>1829000</v>
      </c>
      <c r="E52" s="153" t="s">
        <v>541</v>
      </c>
      <c r="F52" s="154" t="n">
        <v>1481000</v>
      </c>
    </row>
    <row r="53" customFormat="false" ht="15" hidden="false" customHeight="true" outlineLevel="0" collapsed="false">
      <c r="A53" s="155" t="n">
        <v>10</v>
      </c>
      <c r="B53" s="156" t="n">
        <v>22260000</v>
      </c>
      <c r="C53" s="156" t="n">
        <v>262000</v>
      </c>
      <c r="D53" s="156" t="n">
        <v>2617000</v>
      </c>
      <c r="E53" s="157" t="s">
        <v>541</v>
      </c>
      <c r="F53" s="158" t="n">
        <v>2120000</v>
      </c>
    </row>
    <row r="55" customFormat="false" ht="15" hidden="false" customHeight="true" outlineLevel="0" collapsed="false">
      <c r="A55" s="128" t="s">
        <v>446</v>
      </c>
    </row>
    <row r="56" customFormat="false" ht="15" hidden="false" customHeight="true" outlineLevel="0" collapsed="false">
      <c r="A56" s="129" t="s">
        <v>543</v>
      </c>
      <c r="B56" s="130" t="s">
        <v>544</v>
      </c>
    </row>
    <row r="57" customFormat="false" ht="15" hidden="false" customHeight="true" outlineLevel="0" collapsed="false">
      <c r="A57" s="129" t="s">
        <v>545</v>
      </c>
      <c r="B57" s="130" t="s">
        <v>546</v>
      </c>
    </row>
    <row r="58" customFormat="false" ht="15" hidden="false" customHeight="true" outlineLevel="0" collapsed="false">
      <c r="A58" s="129" t="s">
        <v>547</v>
      </c>
      <c r="B58" s="130" t="s">
        <v>548</v>
      </c>
    </row>
    <row r="59" customFormat="false" ht="15" hidden="false" customHeight="true" outlineLevel="0" collapsed="false">
      <c r="A59" s="129" t="s">
        <v>549</v>
      </c>
      <c r="B59" s="130" t="s">
        <v>550</v>
      </c>
    </row>
    <row r="60" customFormat="false" ht="15" hidden="false" customHeight="true" outlineLevel="0" collapsed="false">
      <c r="A60" s="129" t="s">
        <v>551</v>
      </c>
      <c r="B60" s="130" t="s">
        <v>552</v>
      </c>
    </row>
    <row r="61" customFormat="false" ht="15" hidden="false" customHeight="true" outlineLevel="0" collapsed="false">
      <c r="A61" s="129" t="s">
        <v>553</v>
      </c>
      <c r="B61" s="130" t="s">
        <v>554</v>
      </c>
    </row>
    <row r="63" customFormat="false" ht="15" hidden="false" customHeight="true" outlineLevel="0" collapsed="false">
      <c r="A63" s="129" t="s">
        <v>461</v>
      </c>
      <c r="B63" s="159" t="s">
        <v>555</v>
      </c>
    </row>
  </sheetData>
  <hyperlinks>
    <hyperlink ref="B63" r:id="rId2" display="Consip — AQ Servizio Integrato Energia per le PAL (ID 2849), Determina a contrarre (v.1.9, 12/11/2025)"/>
  </hyperlinks>
  <printOptions headings="false" gridLines="false" gridLinesSet="true" horizontalCentered="true" verticalCentered="false"/>
  <pageMargins left="0.5" right="0.5"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30"/>
    <col collapsed="false" customWidth="true" hidden="false" outlineLevel="0" max="2" min="2" style="5" width="70"/>
  </cols>
  <sheetData>
    <row r="1" customFormat="false" ht="17.25" hidden="false" customHeight="true" outlineLevel="0" collapsed="false">
      <c r="A1" s="100" t="s">
        <v>556</v>
      </c>
      <c r="B1" s="100"/>
    </row>
    <row r="2" customFormat="false" ht="15" hidden="false" customHeight="true" outlineLevel="0" collapsed="false">
      <c r="A2" s="101" t="s">
        <v>557</v>
      </c>
      <c r="B2" s="101"/>
    </row>
    <row r="4" customFormat="false" ht="18" hidden="false" customHeight="true" outlineLevel="0" collapsed="false">
      <c r="A4" s="102" t="s">
        <v>199</v>
      </c>
      <c r="B4" s="102"/>
    </row>
    <row r="5" customFormat="false" ht="15" hidden="false" customHeight="true" outlineLevel="0" collapsed="false">
      <c r="A5" s="103" t="s">
        <v>200</v>
      </c>
      <c r="B5" s="104" t="s">
        <v>558</v>
      </c>
    </row>
    <row r="6" customFormat="false" ht="15" hidden="false" customHeight="true" outlineLevel="0" collapsed="false">
      <c r="A6" s="103" t="s">
        <v>132</v>
      </c>
      <c r="B6" s="104" t="s">
        <v>559</v>
      </c>
    </row>
    <row r="7" customFormat="false" ht="15" hidden="false" customHeight="true" outlineLevel="0" collapsed="false">
      <c r="A7" s="103" t="s">
        <v>209</v>
      </c>
      <c r="B7" s="104" t="s">
        <v>560</v>
      </c>
    </row>
    <row r="8" customFormat="false" ht="15" hidden="false" customHeight="true" outlineLevel="0" collapsed="false">
      <c r="A8" s="103" t="s">
        <v>561</v>
      </c>
      <c r="B8" s="104" t="s">
        <v>562</v>
      </c>
    </row>
    <row r="10" customFormat="false" ht="18" hidden="false" customHeight="true" outlineLevel="0" collapsed="false">
      <c r="A10" s="102" t="s">
        <v>563</v>
      </c>
      <c r="B10" s="102"/>
    </row>
    <row r="11" customFormat="false" ht="15" hidden="false" customHeight="true" outlineLevel="0" collapsed="false">
      <c r="A11" s="103" t="s">
        <v>564</v>
      </c>
      <c r="B11" s="105" t="n">
        <v>21665189</v>
      </c>
    </row>
    <row r="12" customFormat="false" ht="15" hidden="false" customHeight="true" outlineLevel="0" collapsed="false">
      <c r="A12" s="103" t="s">
        <v>339</v>
      </c>
      <c r="B12" s="104" t="s">
        <v>565</v>
      </c>
    </row>
    <row r="13" customFormat="false" ht="15" hidden="false" customHeight="true" outlineLevel="0" collapsed="false">
      <c r="A13" s="103" t="s">
        <v>343</v>
      </c>
      <c r="B13" s="104" t="s">
        <v>566</v>
      </c>
    </row>
    <row r="14" customFormat="false" ht="15" hidden="false" customHeight="true" outlineLevel="0" collapsed="false">
      <c r="A14" s="103" t="s">
        <v>567</v>
      </c>
      <c r="B14" s="104" t="s">
        <v>568</v>
      </c>
    </row>
    <row r="16" customFormat="false" ht="18" hidden="false" customHeight="true" outlineLevel="0" collapsed="false">
      <c r="A16" s="102" t="s">
        <v>569</v>
      </c>
      <c r="B16" s="102"/>
    </row>
    <row r="17" customFormat="false" ht="15" hidden="false" customHeight="true" outlineLevel="0" collapsed="false">
      <c r="A17" s="103" t="s">
        <v>342</v>
      </c>
      <c r="B17" s="104" t="n">
        <v>1</v>
      </c>
    </row>
    <row r="18" customFormat="false" ht="15" hidden="false" customHeight="true" outlineLevel="0" collapsed="false">
      <c r="A18" s="103" t="s">
        <v>570</v>
      </c>
      <c r="B18" s="104" t="n">
        <v>1</v>
      </c>
    </row>
    <row r="19" customFormat="false" ht="15" hidden="false" customHeight="true" outlineLevel="0" collapsed="false">
      <c r="A19" s="103" t="s">
        <v>571</v>
      </c>
      <c r="B19" s="104" t="n">
        <v>1</v>
      </c>
    </row>
    <row r="21" customFormat="false" ht="18" hidden="false" customHeight="true" outlineLevel="0" collapsed="false">
      <c r="A21" s="102" t="s">
        <v>345</v>
      </c>
      <c r="B21" s="102"/>
    </row>
    <row r="22" customFormat="false" ht="15" hidden="false" customHeight="true" outlineLevel="0" collapsed="false">
      <c r="A22" s="103" t="s">
        <v>346</v>
      </c>
      <c r="B22" s="104" t="s">
        <v>572</v>
      </c>
    </row>
    <row r="23" customFormat="false" ht="15" hidden="false" customHeight="true" outlineLevel="0" collapsed="false">
      <c r="A23" s="103" t="s">
        <v>573</v>
      </c>
      <c r="B23" s="104" t="s">
        <v>574</v>
      </c>
    </row>
    <row r="24" customFormat="false" ht="15" hidden="false" customHeight="true" outlineLevel="0" collapsed="false">
      <c r="A24" s="103" t="s">
        <v>575</v>
      </c>
      <c r="B24" s="104" t="s">
        <v>576</v>
      </c>
    </row>
    <row r="25" customFormat="false" ht="15" hidden="false" customHeight="true" outlineLevel="0" collapsed="false">
      <c r="A25" s="103" t="s">
        <v>352</v>
      </c>
      <c r="B25" s="104" t="s">
        <v>577</v>
      </c>
    </row>
    <row r="26" customFormat="false" ht="15" hidden="false" customHeight="true" outlineLevel="0" collapsed="false">
      <c r="A26" s="103" t="s">
        <v>164</v>
      </c>
      <c r="B26" s="104" t="s">
        <v>578</v>
      </c>
    </row>
    <row r="28" customFormat="false" ht="18" hidden="false" customHeight="true" outlineLevel="0" collapsed="false">
      <c r="A28" s="102" t="s">
        <v>579</v>
      </c>
      <c r="B28" s="102"/>
    </row>
    <row r="29" customFormat="false" ht="21.75" hidden="false" customHeight="true" outlineLevel="0" collapsed="false">
      <c r="A29" s="107" t="s">
        <v>580</v>
      </c>
      <c r="B29" s="107"/>
    </row>
    <row r="31" customFormat="false" ht="18" hidden="false" customHeight="true" outlineLevel="0" collapsed="false">
      <c r="A31" s="102" t="s">
        <v>282</v>
      </c>
      <c r="B31" s="102"/>
    </row>
    <row r="32" customFormat="false" ht="15" hidden="false" customHeight="true" outlineLevel="0" collapsed="false">
      <c r="A32" s="103" t="s">
        <v>581</v>
      </c>
      <c r="B32" s="104" t="s">
        <v>76</v>
      </c>
    </row>
    <row r="33" customFormat="false" ht="15" hidden="false" customHeight="true" outlineLevel="0" collapsed="false">
      <c r="A33" s="103" t="s">
        <v>582</v>
      </c>
      <c r="B33" s="104" t="s">
        <v>583</v>
      </c>
    </row>
  </sheetData>
  <mergeCells count="9">
    <mergeCell ref="A1:B1"/>
    <mergeCell ref="A2:B2"/>
    <mergeCell ref="A4:B4"/>
    <mergeCell ref="A10:B10"/>
    <mergeCell ref="A16:B16"/>
    <mergeCell ref="A21:B21"/>
    <mergeCell ref="A28:B28"/>
    <mergeCell ref="A29:B29"/>
    <mergeCell ref="A31:B31"/>
  </mergeCells>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30"/>
    <col collapsed="false" customWidth="true" hidden="false" outlineLevel="0" max="2" min="2" style="5" width="70"/>
  </cols>
  <sheetData>
    <row r="1" customFormat="false" ht="17.25" hidden="false" customHeight="true" outlineLevel="0" collapsed="false">
      <c r="A1" s="100" t="s">
        <v>584</v>
      </c>
      <c r="B1" s="100"/>
    </row>
    <row r="2" customFormat="false" ht="15" hidden="false" customHeight="true" outlineLevel="0" collapsed="false">
      <c r="A2" s="101" t="s">
        <v>557</v>
      </c>
      <c r="B2" s="101"/>
    </row>
    <row r="4" customFormat="false" ht="18" hidden="false" customHeight="true" outlineLevel="0" collapsed="false">
      <c r="A4" s="102" t="s">
        <v>199</v>
      </c>
      <c r="B4" s="102"/>
    </row>
    <row r="5" customFormat="false" ht="15" hidden="false" customHeight="true" outlineLevel="0" collapsed="false">
      <c r="A5" s="103" t="s">
        <v>200</v>
      </c>
      <c r="B5" s="104" t="s">
        <v>585</v>
      </c>
    </row>
    <row r="6" customFormat="false" ht="15" hidden="false" customHeight="true" outlineLevel="0" collapsed="false">
      <c r="A6" s="103" t="s">
        <v>132</v>
      </c>
      <c r="B6" s="104" t="s">
        <v>586</v>
      </c>
    </row>
    <row r="7" customFormat="false" ht="15" hidden="false" customHeight="true" outlineLevel="0" collapsed="false">
      <c r="A7" s="103" t="s">
        <v>209</v>
      </c>
      <c r="B7" s="104" t="s">
        <v>587</v>
      </c>
    </row>
    <row r="8" customFormat="false" ht="15" hidden="false" customHeight="true" outlineLevel="0" collapsed="false">
      <c r="A8" s="103" t="s">
        <v>561</v>
      </c>
      <c r="B8" s="104" t="s">
        <v>588</v>
      </c>
    </row>
    <row r="10" customFormat="false" ht="18" hidden="false" customHeight="true" outlineLevel="0" collapsed="false">
      <c r="A10" s="102" t="s">
        <v>563</v>
      </c>
      <c r="B10" s="102"/>
    </row>
    <row r="11" customFormat="false" ht="15" hidden="false" customHeight="true" outlineLevel="0" collapsed="false">
      <c r="A11" s="103" t="s">
        <v>564</v>
      </c>
      <c r="B11" s="105" t="n">
        <v>989218</v>
      </c>
    </row>
    <row r="12" customFormat="false" ht="15" hidden="false" customHeight="true" outlineLevel="0" collapsed="false">
      <c r="A12" s="103" t="s">
        <v>339</v>
      </c>
      <c r="B12" s="104" t="s">
        <v>589</v>
      </c>
    </row>
    <row r="13" customFormat="false" ht="15" hidden="false" customHeight="true" outlineLevel="0" collapsed="false">
      <c r="A13" s="103" t="s">
        <v>343</v>
      </c>
      <c r="B13" s="104" t="s">
        <v>566</v>
      </c>
    </row>
    <row r="14" customFormat="false" ht="15" hidden="false" customHeight="true" outlineLevel="0" collapsed="false">
      <c r="A14" s="103" t="s">
        <v>567</v>
      </c>
      <c r="B14" s="104" t="s">
        <v>590</v>
      </c>
    </row>
    <row r="16" customFormat="false" ht="18" hidden="false" customHeight="true" outlineLevel="0" collapsed="false">
      <c r="A16" s="102" t="s">
        <v>345</v>
      </c>
      <c r="B16" s="102"/>
    </row>
    <row r="17" customFormat="false" ht="15" hidden="false" customHeight="true" outlineLevel="0" collapsed="false">
      <c r="A17" s="103" t="s">
        <v>346</v>
      </c>
      <c r="B17" s="104" t="s">
        <v>591</v>
      </c>
    </row>
    <row r="18" customFormat="false" ht="15" hidden="false" customHeight="true" outlineLevel="0" collapsed="false">
      <c r="A18" s="103" t="s">
        <v>348</v>
      </c>
      <c r="B18" s="104" t="s">
        <v>592</v>
      </c>
    </row>
    <row r="19" customFormat="false" ht="15" hidden="false" customHeight="true" outlineLevel="0" collapsed="false">
      <c r="A19" s="103" t="s">
        <v>352</v>
      </c>
      <c r="B19" s="104" t="s">
        <v>593</v>
      </c>
    </row>
    <row r="21" customFormat="false" ht="18" hidden="false" customHeight="true" outlineLevel="0" collapsed="false">
      <c r="A21" s="102" t="s">
        <v>579</v>
      </c>
      <c r="B21" s="102"/>
    </row>
    <row r="22" customFormat="false" ht="15" hidden="false" customHeight="true" outlineLevel="0" collapsed="false">
      <c r="A22" s="107" t="s">
        <v>594</v>
      </c>
      <c r="B22" s="107"/>
    </row>
    <row r="24" customFormat="false" ht="18" hidden="false" customHeight="true" outlineLevel="0" collapsed="false">
      <c r="A24" s="102" t="s">
        <v>282</v>
      </c>
      <c r="B24" s="102"/>
    </row>
    <row r="25" customFormat="false" ht="15" hidden="false" customHeight="true" outlineLevel="0" collapsed="false">
      <c r="A25" s="103" t="s">
        <v>581</v>
      </c>
      <c r="B25" s="104" t="s">
        <v>81</v>
      </c>
    </row>
  </sheetData>
  <mergeCells count="8">
    <mergeCell ref="A1:B1"/>
    <mergeCell ref="A2:B2"/>
    <mergeCell ref="A4:B4"/>
    <mergeCell ref="A10:B10"/>
    <mergeCell ref="A16:B16"/>
    <mergeCell ref="A21:B21"/>
    <mergeCell ref="A22:B22"/>
    <mergeCell ref="A24:B24"/>
  </mergeCells>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30"/>
    <col collapsed="false" customWidth="true" hidden="false" outlineLevel="0" max="2" min="2" style="5" width="70"/>
  </cols>
  <sheetData>
    <row r="1" customFormat="false" ht="17.25" hidden="false" customHeight="true" outlineLevel="0" collapsed="false">
      <c r="A1" s="100" t="s">
        <v>595</v>
      </c>
      <c r="B1" s="100"/>
    </row>
    <row r="2" customFormat="false" ht="15" hidden="false" customHeight="true" outlineLevel="0" collapsed="false">
      <c r="A2" s="101" t="s">
        <v>596</v>
      </c>
      <c r="B2" s="101"/>
    </row>
    <row r="4" customFormat="false" ht="18" hidden="false" customHeight="true" outlineLevel="0" collapsed="false">
      <c r="A4" s="102" t="s">
        <v>199</v>
      </c>
      <c r="B4" s="102"/>
    </row>
    <row r="5" customFormat="false" ht="15" hidden="false" customHeight="true" outlineLevel="0" collapsed="false">
      <c r="A5" s="103" t="s">
        <v>200</v>
      </c>
      <c r="B5" s="104" t="s">
        <v>597</v>
      </c>
    </row>
    <row r="6" customFormat="false" ht="21.75" hidden="false" customHeight="true" outlineLevel="0" collapsed="false">
      <c r="A6" s="103" t="s">
        <v>132</v>
      </c>
      <c r="B6" s="104" t="s">
        <v>598</v>
      </c>
    </row>
    <row r="7" customFormat="false" ht="15" hidden="false" customHeight="true" outlineLevel="0" collapsed="false">
      <c r="A7" s="103" t="s">
        <v>387</v>
      </c>
      <c r="B7" s="104" t="s">
        <v>599</v>
      </c>
    </row>
    <row r="8" customFormat="false" ht="15" hidden="false" customHeight="true" outlineLevel="0" collapsed="false">
      <c r="A8" s="103" t="s">
        <v>600</v>
      </c>
      <c r="B8" s="104" t="s">
        <v>601</v>
      </c>
    </row>
    <row r="10" customFormat="false" ht="18" hidden="false" customHeight="true" outlineLevel="0" collapsed="false">
      <c r="A10" s="102" t="s">
        <v>602</v>
      </c>
      <c r="B10" s="102"/>
    </row>
    <row r="11" customFormat="false" ht="15" hidden="false" customHeight="true" outlineLevel="0" collapsed="false">
      <c r="A11" s="103" t="s">
        <v>603</v>
      </c>
      <c r="B11" s="104" t="s">
        <v>604</v>
      </c>
    </row>
    <row r="12" customFormat="false" ht="15" hidden="false" customHeight="true" outlineLevel="0" collapsed="false">
      <c r="A12" s="103" t="s">
        <v>605</v>
      </c>
      <c r="B12" s="104" t="s">
        <v>111</v>
      </c>
    </row>
    <row r="14" customFormat="false" ht="18" hidden="false" customHeight="true" outlineLevel="0" collapsed="false">
      <c r="A14" s="102" t="s">
        <v>606</v>
      </c>
      <c r="B14" s="102"/>
    </row>
    <row r="15" customFormat="false" ht="21.75" hidden="false" customHeight="true" outlineLevel="0" collapsed="false">
      <c r="A15" s="107" t="s">
        <v>607</v>
      </c>
      <c r="B15" s="107"/>
    </row>
    <row r="17" customFormat="false" ht="18" hidden="false" customHeight="true" outlineLevel="0" collapsed="false">
      <c r="A17" s="102" t="s">
        <v>282</v>
      </c>
      <c r="B17" s="102"/>
    </row>
    <row r="18" customFormat="false" ht="21.75" hidden="false" customHeight="true" outlineLevel="0" collapsed="false">
      <c r="A18" s="103" t="s">
        <v>608</v>
      </c>
      <c r="B18" s="104" t="s">
        <v>112</v>
      </c>
    </row>
    <row r="19" customFormat="false" ht="15" hidden="false" customHeight="true" outlineLevel="0" collapsed="false">
      <c r="A19" s="103" t="s">
        <v>609</v>
      </c>
      <c r="B19" s="104" t="s">
        <v>610</v>
      </c>
    </row>
    <row r="20" customFormat="false" ht="15" hidden="false" customHeight="true" outlineLevel="0" collapsed="false">
      <c r="A20" s="103" t="s">
        <v>611</v>
      </c>
      <c r="B20" s="104" t="s">
        <v>612</v>
      </c>
    </row>
    <row r="22" customFormat="false" ht="18" hidden="false" customHeight="true" outlineLevel="0" collapsed="false">
      <c r="A22" s="102" t="s">
        <v>358</v>
      </c>
      <c r="B22" s="102"/>
    </row>
    <row r="23" customFormat="false" ht="15" hidden="false" customHeight="true" outlineLevel="0" collapsed="false">
      <c r="A23" s="103" t="s">
        <v>359</v>
      </c>
      <c r="B23" s="104" t="s">
        <v>613</v>
      </c>
    </row>
  </sheetData>
  <mergeCells count="8">
    <mergeCell ref="A1:B1"/>
    <mergeCell ref="A2:B2"/>
    <mergeCell ref="A4:B4"/>
    <mergeCell ref="A10:B10"/>
    <mergeCell ref="A14:B14"/>
    <mergeCell ref="A15:B15"/>
    <mergeCell ref="A17:B17"/>
    <mergeCell ref="A22:B22"/>
  </mergeCells>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30"/>
    <col collapsed="false" customWidth="true" hidden="false" outlineLevel="0" max="2" min="2" style="5" width="70"/>
  </cols>
  <sheetData>
    <row r="1" customFormat="false" ht="17.25" hidden="false" customHeight="true" outlineLevel="0" collapsed="false">
      <c r="A1" s="100" t="s">
        <v>614</v>
      </c>
      <c r="B1" s="100"/>
    </row>
    <row r="2" customFormat="false" ht="15" hidden="false" customHeight="true" outlineLevel="0" collapsed="false">
      <c r="A2" s="101" t="s">
        <v>615</v>
      </c>
      <c r="B2" s="101"/>
    </row>
    <row r="4" customFormat="false" ht="18" hidden="false" customHeight="true" outlineLevel="0" collapsed="false">
      <c r="A4" s="102" t="s">
        <v>199</v>
      </c>
      <c r="B4" s="102"/>
    </row>
    <row r="5" customFormat="false" ht="15" hidden="false" customHeight="true" outlineLevel="0" collapsed="false">
      <c r="A5" s="103" t="s">
        <v>200</v>
      </c>
      <c r="B5" s="104" t="s">
        <v>616</v>
      </c>
    </row>
    <row r="6" customFormat="false" ht="15" hidden="false" customHeight="true" outlineLevel="0" collapsed="false">
      <c r="A6" s="103" t="s">
        <v>132</v>
      </c>
      <c r="B6" s="104" t="s">
        <v>617</v>
      </c>
    </row>
    <row r="7" customFormat="false" ht="15" hidden="false" customHeight="true" outlineLevel="0" collapsed="false">
      <c r="A7" s="103" t="s">
        <v>209</v>
      </c>
      <c r="B7" s="104" t="s">
        <v>618</v>
      </c>
    </row>
    <row r="8" customFormat="false" ht="15" hidden="false" customHeight="true" outlineLevel="0" collapsed="false">
      <c r="A8" s="103" t="s">
        <v>619</v>
      </c>
      <c r="B8" s="104" t="s">
        <v>620</v>
      </c>
    </row>
    <row r="9" customFormat="false" ht="15" hidden="false" customHeight="true" outlineLevel="0" collapsed="false">
      <c r="A9" s="103" t="s">
        <v>621</v>
      </c>
      <c r="B9" s="104" t="s">
        <v>622</v>
      </c>
    </row>
    <row r="10" customFormat="false" ht="15" hidden="false" customHeight="true" outlineLevel="0" collapsed="false">
      <c r="A10" s="103" t="s">
        <v>561</v>
      </c>
      <c r="B10" s="104" t="s">
        <v>623</v>
      </c>
    </row>
    <row r="11" customFormat="false" ht="15" hidden="false" customHeight="true" outlineLevel="0" collapsed="false">
      <c r="A11" s="103" t="s">
        <v>624</v>
      </c>
      <c r="B11" s="104" t="s">
        <v>625</v>
      </c>
    </row>
    <row r="12" customFormat="false" ht="15" hidden="false" customHeight="true" outlineLevel="0" collapsed="false">
      <c r="A12" s="103" t="s">
        <v>626</v>
      </c>
      <c r="B12" s="104" t="s">
        <v>627</v>
      </c>
    </row>
    <row r="14" customFormat="false" ht="18" hidden="false" customHeight="true" outlineLevel="0" collapsed="false">
      <c r="A14" s="102" t="s">
        <v>628</v>
      </c>
      <c r="B14" s="102"/>
    </row>
    <row r="15" customFormat="false" ht="15" hidden="false" customHeight="true" outlineLevel="0" collapsed="false">
      <c r="A15" s="103" t="s">
        <v>629</v>
      </c>
      <c r="B15" s="104" t="s">
        <v>630</v>
      </c>
    </row>
    <row r="16" customFormat="false" ht="15" hidden="false" customHeight="true" outlineLevel="0" collapsed="false">
      <c r="A16" s="103" t="s">
        <v>631</v>
      </c>
      <c r="B16" s="104" t="s">
        <v>632</v>
      </c>
    </row>
    <row r="17" customFormat="false" ht="15" hidden="false" customHeight="true" outlineLevel="0" collapsed="false">
      <c r="A17" s="103" t="s">
        <v>633</v>
      </c>
      <c r="B17" s="104" t="s">
        <v>634</v>
      </c>
    </row>
    <row r="19" customFormat="false" ht="18" hidden="false" customHeight="true" outlineLevel="0" collapsed="false">
      <c r="A19" s="102" t="s">
        <v>635</v>
      </c>
      <c r="B19" s="102"/>
    </row>
    <row r="20" customFormat="false" ht="15" hidden="false" customHeight="true" outlineLevel="0" collapsed="false">
      <c r="A20" s="103" t="s">
        <v>342</v>
      </c>
      <c r="B20" s="104" t="n">
        <v>6</v>
      </c>
    </row>
    <row r="21" customFormat="false" ht="15" hidden="false" customHeight="true" outlineLevel="0" collapsed="false">
      <c r="A21" s="103" t="s">
        <v>387</v>
      </c>
      <c r="B21" s="104" t="s">
        <v>636</v>
      </c>
    </row>
    <row r="22" customFormat="false" ht="15" hidden="false" customHeight="true" outlineLevel="0" collapsed="false">
      <c r="A22" s="103" t="s">
        <v>637</v>
      </c>
      <c r="B22" s="104" t="s">
        <v>638</v>
      </c>
    </row>
    <row r="23" customFormat="false" ht="15" hidden="false" customHeight="true" outlineLevel="0" collapsed="false">
      <c r="A23" s="103" t="s">
        <v>639</v>
      </c>
      <c r="B23" s="104" t="s">
        <v>640</v>
      </c>
    </row>
    <row r="25" customFormat="false" ht="18" hidden="false" customHeight="true" outlineLevel="0" collapsed="false">
      <c r="A25" s="102" t="s">
        <v>641</v>
      </c>
      <c r="B25" s="102"/>
    </row>
    <row r="26" customFormat="false" ht="15" hidden="false" customHeight="true" outlineLevel="0" collapsed="false">
      <c r="A26" s="103" t="s">
        <v>570</v>
      </c>
      <c r="B26" s="104" t="s">
        <v>642</v>
      </c>
    </row>
    <row r="27" customFormat="false" ht="15" hidden="false" customHeight="true" outlineLevel="0" collapsed="false">
      <c r="A27" s="103" t="s">
        <v>643</v>
      </c>
      <c r="B27" s="104" t="s">
        <v>644</v>
      </c>
    </row>
    <row r="28" customFormat="false" ht="15" hidden="false" customHeight="true" outlineLevel="0" collapsed="false">
      <c r="A28" s="103" t="s">
        <v>645</v>
      </c>
      <c r="B28" s="104" t="s">
        <v>646</v>
      </c>
    </row>
    <row r="30" customFormat="false" ht="18" hidden="false" customHeight="true" outlineLevel="0" collapsed="false">
      <c r="A30" s="102" t="s">
        <v>345</v>
      </c>
      <c r="B30" s="102"/>
    </row>
    <row r="31" customFormat="false" ht="15" hidden="false" customHeight="true" outlineLevel="0" collapsed="false">
      <c r="A31" s="103" t="s">
        <v>346</v>
      </c>
      <c r="B31" s="104" t="s">
        <v>647</v>
      </c>
    </row>
    <row r="32" customFormat="false" ht="15" hidden="false" customHeight="true" outlineLevel="0" collapsed="false">
      <c r="A32" s="103" t="s">
        <v>348</v>
      </c>
      <c r="B32" s="104" t="s">
        <v>648</v>
      </c>
    </row>
    <row r="34" customFormat="false" ht="18" hidden="false" customHeight="true" outlineLevel="0" collapsed="false">
      <c r="A34" s="102" t="s">
        <v>282</v>
      </c>
      <c r="B34" s="102"/>
    </row>
    <row r="35" customFormat="false" ht="15" hidden="false" customHeight="true" outlineLevel="0" collapsed="false">
      <c r="A35" s="103" t="s">
        <v>649</v>
      </c>
      <c r="B35" s="104" t="s">
        <v>650</v>
      </c>
    </row>
    <row r="36" customFormat="false" ht="15" hidden="false" customHeight="true" outlineLevel="0" collapsed="false">
      <c r="A36" s="103" t="s">
        <v>651</v>
      </c>
      <c r="B36" s="104" t="s">
        <v>652</v>
      </c>
    </row>
    <row r="37" customFormat="false" ht="15" hidden="false" customHeight="true" outlineLevel="0" collapsed="false">
      <c r="A37" s="103" t="s">
        <v>653</v>
      </c>
      <c r="B37" s="104" t="s">
        <v>654</v>
      </c>
    </row>
    <row r="38" customFormat="false" ht="15" hidden="false" customHeight="true" outlineLevel="0" collapsed="false">
      <c r="A38" s="103" t="s">
        <v>655</v>
      </c>
      <c r="B38" s="104" t="s">
        <v>656</v>
      </c>
    </row>
    <row r="40" customFormat="false" ht="18" hidden="false" customHeight="true" outlineLevel="0" collapsed="false">
      <c r="A40" s="102" t="s">
        <v>579</v>
      </c>
      <c r="B40" s="102"/>
    </row>
    <row r="41" customFormat="false" ht="15" hidden="false" customHeight="true" outlineLevel="0" collapsed="false">
      <c r="A41" s="107" t="s">
        <v>657</v>
      </c>
      <c r="B41" s="107"/>
    </row>
  </sheetData>
  <mergeCells count="10">
    <mergeCell ref="A1:B1"/>
    <mergeCell ref="A2:B2"/>
    <mergeCell ref="A4:B4"/>
    <mergeCell ref="A14:B14"/>
    <mergeCell ref="A19:B19"/>
    <mergeCell ref="A25:B25"/>
    <mergeCell ref="A30:B30"/>
    <mergeCell ref="A34:B34"/>
    <mergeCell ref="A40:B40"/>
    <mergeCell ref="A41:B41"/>
  </mergeCells>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30"/>
    <col collapsed="false" customWidth="true" hidden="false" outlineLevel="0" max="2" min="2" style="5" width="70"/>
  </cols>
  <sheetData>
    <row r="1" customFormat="false" ht="17.25" hidden="false" customHeight="true" outlineLevel="0" collapsed="false">
      <c r="A1" s="100" t="s">
        <v>658</v>
      </c>
      <c r="B1" s="100"/>
    </row>
    <row r="2" customFormat="false" ht="15" hidden="false" customHeight="true" outlineLevel="0" collapsed="false">
      <c r="A2" s="101" t="s">
        <v>659</v>
      </c>
      <c r="B2" s="101"/>
    </row>
    <row r="4" customFormat="false" ht="18" hidden="false" customHeight="true" outlineLevel="0" collapsed="false">
      <c r="A4" s="102" t="s">
        <v>199</v>
      </c>
      <c r="B4" s="102"/>
    </row>
    <row r="5" customFormat="false" ht="15" hidden="false" customHeight="true" outlineLevel="0" collapsed="false">
      <c r="A5" s="103" t="s">
        <v>200</v>
      </c>
      <c r="B5" s="104" t="s">
        <v>660</v>
      </c>
    </row>
    <row r="6" customFormat="false" ht="15" hidden="false" customHeight="true" outlineLevel="0" collapsed="false">
      <c r="A6" s="103" t="s">
        <v>132</v>
      </c>
      <c r="B6" s="104" t="s">
        <v>661</v>
      </c>
    </row>
    <row r="7" customFormat="false" ht="15" hidden="false" customHeight="true" outlineLevel="0" collapsed="false">
      <c r="A7" s="103" t="s">
        <v>209</v>
      </c>
      <c r="B7" s="104" t="s">
        <v>662</v>
      </c>
    </row>
    <row r="8" customFormat="false" ht="15" hidden="false" customHeight="true" outlineLevel="0" collapsed="false">
      <c r="A8" s="103" t="s">
        <v>663</v>
      </c>
      <c r="B8" s="104" t="s">
        <v>664</v>
      </c>
    </row>
    <row r="10" customFormat="false" ht="18" hidden="false" customHeight="true" outlineLevel="0" collapsed="false">
      <c r="A10" s="102" t="s">
        <v>665</v>
      </c>
      <c r="B10" s="102"/>
    </row>
    <row r="11" customFormat="false" ht="15" hidden="false" customHeight="true" outlineLevel="0" collapsed="false">
      <c r="A11" s="103" t="s">
        <v>605</v>
      </c>
      <c r="B11" s="104" t="n">
        <v>10</v>
      </c>
    </row>
    <row r="12" customFormat="false" ht="15" hidden="false" customHeight="true" outlineLevel="0" collapsed="false">
      <c r="A12" s="103" t="s">
        <v>564</v>
      </c>
      <c r="B12" s="104" t="s">
        <v>666</v>
      </c>
    </row>
    <row r="13" customFormat="false" ht="15" hidden="false" customHeight="true" outlineLevel="0" collapsed="false">
      <c r="A13" s="103" t="s">
        <v>387</v>
      </c>
      <c r="B13" s="104" t="s">
        <v>667</v>
      </c>
    </row>
    <row r="15" customFormat="false" ht="18" hidden="false" customHeight="true" outlineLevel="0" collapsed="false">
      <c r="A15" s="102" t="s">
        <v>345</v>
      </c>
      <c r="B15" s="102"/>
    </row>
    <row r="16" customFormat="false" ht="15" hidden="false" customHeight="true" outlineLevel="0" collapsed="false">
      <c r="A16" s="103" t="s">
        <v>346</v>
      </c>
      <c r="B16" s="104" t="s">
        <v>647</v>
      </c>
    </row>
    <row r="17" customFormat="false" ht="15" hidden="false" customHeight="true" outlineLevel="0" collapsed="false">
      <c r="A17" s="103" t="s">
        <v>348</v>
      </c>
      <c r="B17" s="104" t="s">
        <v>648</v>
      </c>
    </row>
    <row r="19" customFormat="false" ht="18" hidden="false" customHeight="true" outlineLevel="0" collapsed="false">
      <c r="A19" s="102" t="s">
        <v>606</v>
      </c>
      <c r="B19" s="102"/>
    </row>
    <row r="20" customFormat="false" ht="21.75" hidden="false" customHeight="true" outlineLevel="0" collapsed="false">
      <c r="A20" s="107" t="s">
        <v>668</v>
      </c>
      <c r="B20" s="107"/>
    </row>
    <row r="22" customFormat="false" ht="18" hidden="false" customHeight="true" outlineLevel="0" collapsed="false">
      <c r="A22" s="102" t="s">
        <v>282</v>
      </c>
      <c r="B22" s="102"/>
    </row>
    <row r="23" customFormat="false" ht="15" hidden="false" customHeight="true" outlineLevel="0" collapsed="false">
      <c r="A23" s="103" t="s">
        <v>669</v>
      </c>
      <c r="B23" s="104" t="s">
        <v>670</v>
      </c>
    </row>
    <row r="24" customFormat="false" ht="21.75" hidden="false" customHeight="true" outlineLevel="0" collapsed="false">
      <c r="A24" s="103" t="s">
        <v>671</v>
      </c>
      <c r="B24" s="104" t="s">
        <v>672</v>
      </c>
    </row>
    <row r="25" customFormat="false" ht="15" hidden="false" customHeight="true" outlineLevel="0" collapsed="false">
      <c r="A25" s="103" t="s">
        <v>673</v>
      </c>
      <c r="B25" s="104" t="s">
        <v>674</v>
      </c>
    </row>
    <row r="27" customFormat="false" ht="18" hidden="false" customHeight="true" outlineLevel="0" collapsed="false">
      <c r="A27" s="102" t="s">
        <v>358</v>
      </c>
      <c r="B27" s="102"/>
    </row>
    <row r="28" customFormat="false" ht="21.75" hidden="false" customHeight="true" outlineLevel="0" collapsed="false">
      <c r="A28" s="103" t="s">
        <v>359</v>
      </c>
      <c r="B28" s="104" t="s">
        <v>675</v>
      </c>
    </row>
    <row r="30" customFormat="false" ht="21.75" hidden="false" customHeight="true" outlineLevel="0" collapsed="false">
      <c r="A30" s="160" t="s">
        <v>676</v>
      </c>
      <c r="B30" s="160"/>
    </row>
    <row r="31" customFormat="false" ht="39.75" hidden="false" customHeight="true" outlineLevel="0" collapsed="false">
      <c r="A31" s="161" t="s">
        <v>677</v>
      </c>
      <c r="B31" s="104" t="s">
        <v>678</v>
      </c>
    </row>
    <row r="32" customFormat="false" ht="39.75" hidden="false" customHeight="true" outlineLevel="0" collapsed="false">
      <c r="A32" s="161" t="s">
        <v>679</v>
      </c>
      <c r="B32" s="104" t="s">
        <v>680</v>
      </c>
    </row>
    <row r="33" customFormat="false" ht="39.75" hidden="false" customHeight="true" outlineLevel="0" collapsed="false">
      <c r="A33" s="161" t="s">
        <v>681</v>
      </c>
      <c r="B33" s="104" t="s">
        <v>682</v>
      </c>
    </row>
    <row r="34" customFormat="false" ht="39.75" hidden="false" customHeight="true" outlineLevel="0" collapsed="false">
      <c r="A34" s="161" t="s">
        <v>683</v>
      </c>
      <c r="B34" s="104" t="s">
        <v>684</v>
      </c>
    </row>
    <row r="35" customFormat="false" ht="39.75" hidden="false" customHeight="true" outlineLevel="0" collapsed="false">
      <c r="A35" s="161" t="s">
        <v>685</v>
      </c>
      <c r="B35" s="104" t="s">
        <v>686</v>
      </c>
    </row>
  </sheetData>
  <mergeCells count="10">
    <mergeCell ref="A1:B1"/>
    <mergeCell ref="A2:B2"/>
    <mergeCell ref="A4:B4"/>
    <mergeCell ref="A10:B10"/>
    <mergeCell ref="A15:B15"/>
    <mergeCell ref="A19:B19"/>
    <mergeCell ref="A20:B20"/>
    <mergeCell ref="A22:B22"/>
    <mergeCell ref="A27:B27"/>
    <mergeCell ref="A30:B30"/>
  </mergeCells>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30"/>
    <col collapsed="false" customWidth="true" hidden="false" outlineLevel="0" max="2" min="2" style="5" width="70"/>
  </cols>
  <sheetData>
    <row r="1" customFormat="false" ht="17.25" hidden="false" customHeight="true" outlineLevel="0" collapsed="false">
      <c r="A1" s="100" t="s">
        <v>687</v>
      </c>
      <c r="B1" s="100"/>
    </row>
    <row r="2" customFormat="false" ht="15" hidden="false" customHeight="true" outlineLevel="0" collapsed="false">
      <c r="A2" s="101" t="s">
        <v>688</v>
      </c>
      <c r="B2" s="101"/>
    </row>
    <row r="4" customFormat="false" ht="18" hidden="false" customHeight="true" outlineLevel="0" collapsed="false">
      <c r="A4" s="102" t="s">
        <v>199</v>
      </c>
      <c r="B4" s="102"/>
    </row>
    <row r="5" customFormat="false" ht="15" hidden="false" customHeight="true" outlineLevel="0" collapsed="false">
      <c r="A5" s="103" t="s">
        <v>200</v>
      </c>
      <c r="B5" s="104" t="s">
        <v>689</v>
      </c>
    </row>
    <row r="6" customFormat="false" ht="21.75" hidden="false" customHeight="true" outlineLevel="0" collapsed="false">
      <c r="A6" s="103" t="s">
        <v>690</v>
      </c>
      <c r="B6" s="104" t="s">
        <v>691</v>
      </c>
    </row>
    <row r="7" customFormat="false" ht="21.75" hidden="false" customHeight="true" outlineLevel="0" collapsed="false">
      <c r="A7" s="103" t="s">
        <v>132</v>
      </c>
      <c r="B7" s="162" t="s">
        <v>692</v>
      </c>
    </row>
    <row r="8" customFormat="false" ht="15" hidden="false" customHeight="true" outlineLevel="0" collapsed="false">
      <c r="A8" s="103" t="s">
        <v>209</v>
      </c>
      <c r="B8" s="104" t="s">
        <v>693</v>
      </c>
    </row>
    <row r="9" customFormat="false" ht="15" hidden="false" customHeight="true" outlineLevel="0" collapsed="false">
      <c r="A9" s="103" t="s">
        <v>619</v>
      </c>
      <c r="B9" s="104" t="s">
        <v>336</v>
      </c>
    </row>
    <row r="10" customFormat="false" ht="15" hidden="false" customHeight="true" outlineLevel="0" collapsed="false">
      <c r="A10" s="103" t="s">
        <v>694</v>
      </c>
      <c r="B10" s="104" t="s">
        <v>695</v>
      </c>
    </row>
    <row r="12" customFormat="false" ht="18" hidden="false" customHeight="true" outlineLevel="0" collapsed="false">
      <c r="A12" s="102" t="s">
        <v>696</v>
      </c>
      <c r="B12" s="102"/>
    </row>
    <row r="13" customFormat="false" ht="21.75" hidden="false" customHeight="true" outlineLevel="0" collapsed="false">
      <c r="A13" s="107" t="s">
        <v>697</v>
      </c>
      <c r="B13" s="107"/>
    </row>
    <row r="15" customFormat="false" ht="18" hidden="false" customHeight="true" outlineLevel="0" collapsed="false">
      <c r="A15" s="102" t="s">
        <v>698</v>
      </c>
      <c r="B15" s="102"/>
    </row>
    <row r="16" customFormat="false" ht="15" hidden="false" customHeight="true" outlineLevel="0" collapsed="false">
      <c r="A16" s="103" t="s">
        <v>699</v>
      </c>
      <c r="B16" s="104" t="n">
        <v>178</v>
      </c>
    </row>
    <row r="17" customFormat="false" ht="15" hidden="false" customHeight="true" outlineLevel="0" collapsed="false">
      <c r="A17" s="103" t="s">
        <v>700</v>
      </c>
      <c r="B17" s="104" t="n">
        <v>16</v>
      </c>
    </row>
    <row r="18" customFormat="false" ht="15" hidden="false" customHeight="true" outlineLevel="0" collapsed="false">
      <c r="A18" s="103" t="s">
        <v>701</v>
      </c>
      <c r="B18" s="104" t="s">
        <v>702</v>
      </c>
    </row>
    <row r="20" customFormat="false" ht="18" hidden="false" customHeight="true" outlineLevel="0" collapsed="false">
      <c r="A20" s="102" t="s">
        <v>225</v>
      </c>
      <c r="B20" s="102"/>
    </row>
    <row r="21" customFormat="false" ht="15" hidden="false" customHeight="true" outlineLevel="0" collapsed="false">
      <c r="A21" s="103" t="s">
        <v>703</v>
      </c>
      <c r="B21" s="104" t="s">
        <v>704</v>
      </c>
    </row>
    <row r="22" customFormat="false" ht="15" hidden="false" customHeight="true" outlineLevel="0" collapsed="false">
      <c r="A22" s="103" t="s">
        <v>705</v>
      </c>
      <c r="B22" s="104" t="s">
        <v>706</v>
      </c>
    </row>
    <row r="23" customFormat="false" ht="15" hidden="false" customHeight="true" outlineLevel="0" collapsed="false">
      <c r="A23" s="103" t="s">
        <v>707</v>
      </c>
      <c r="B23" s="104" t="s">
        <v>708</v>
      </c>
    </row>
    <row r="24" customFormat="false" ht="15" hidden="false" customHeight="true" outlineLevel="0" collapsed="false">
      <c r="A24" s="103" t="s">
        <v>709</v>
      </c>
      <c r="B24" s="104" t="s">
        <v>710</v>
      </c>
    </row>
    <row r="25" customFormat="false" ht="15" hidden="false" customHeight="true" outlineLevel="0" collapsed="false">
      <c r="A25" s="103" t="s">
        <v>711</v>
      </c>
      <c r="B25" s="104" t="s">
        <v>712</v>
      </c>
    </row>
    <row r="26" customFormat="false" ht="15" hidden="false" customHeight="true" outlineLevel="0" collapsed="false">
      <c r="A26" s="103" t="s">
        <v>713</v>
      </c>
      <c r="B26" s="104" t="s">
        <v>714</v>
      </c>
    </row>
    <row r="28" customFormat="false" ht="18" hidden="false" customHeight="true" outlineLevel="0" collapsed="false">
      <c r="A28" s="102" t="s">
        <v>715</v>
      </c>
      <c r="B28" s="102"/>
    </row>
    <row r="29" customFormat="false" ht="42.75" hidden="false" customHeight="true" outlineLevel="0" collapsed="false">
      <c r="A29" s="107" t="s">
        <v>716</v>
      </c>
      <c r="B29" s="107"/>
    </row>
    <row r="31" customFormat="false" ht="18" hidden="false" customHeight="true" outlineLevel="0" collapsed="false">
      <c r="A31" s="102" t="s">
        <v>345</v>
      </c>
      <c r="B31" s="102"/>
    </row>
    <row r="32" customFormat="false" ht="15" hidden="false" customHeight="true" outlineLevel="0" collapsed="false">
      <c r="A32" s="103" t="s">
        <v>717</v>
      </c>
      <c r="B32" s="104" t="s">
        <v>718</v>
      </c>
    </row>
    <row r="33" customFormat="false" ht="15" hidden="false" customHeight="true" outlineLevel="0" collapsed="false">
      <c r="A33" s="103" t="s">
        <v>719</v>
      </c>
      <c r="B33" s="104" t="s">
        <v>720</v>
      </c>
    </row>
    <row r="35" customFormat="false" ht="18" hidden="false" customHeight="true" outlineLevel="0" collapsed="false">
      <c r="A35" s="102" t="s">
        <v>721</v>
      </c>
      <c r="B35" s="102"/>
    </row>
    <row r="36" customFormat="false" ht="32.25" hidden="false" customHeight="true" outlineLevel="0" collapsed="false">
      <c r="A36" s="107" t="s">
        <v>722</v>
      </c>
      <c r="B36" s="107"/>
    </row>
    <row r="38" customFormat="false" ht="18" hidden="false" customHeight="true" outlineLevel="0" collapsed="false">
      <c r="A38" s="102" t="s">
        <v>723</v>
      </c>
      <c r="B38" s="102"/>
    </row>
    <row r="39" customFormat="false" ht="15" hidden="false" customHeight="true" outlineLevel="0" collapsed="false">
      <c r="A39" s="103" t="s">
        <v>724</v>
      </c>
      <c r="B39" s="104" t="s">
        <v>725</v>
      </c>
    </row>
    <row r="40" customFormat="false" ht="15" hidden="false" customHeight="true" outlineLevel="0" collapsed="false">
      <c r="A40" s="103" t="s">
        <v>726</v>
      </c>
      <c r="B40" s="104" t="s">
        <v>727</v>
      </c>
    </row>
    <row r="42" customFormat="false" ht="18" hidden="false" customHeight="true" outlineLevel="0" collapsed="false">
      <c r="A42" s="102" t="s">
        <v>282</v>
      </c>
      <c r="B42" s="102"/>
    </row>
    <row r="43" customFormat="false" ht="21.75" hidden="false" customHeight="true" outlineLevel="0" collapsed="false">
      <c r="A43" s="103" t="s">
        <v>728</v>
      </c>
      <c r="B43" s="104" t="s">
        <v>129</v>
      </c>
    </row>
    <row r="44" customFormat="false" ht="21.75" hidden="false" customHeight="true" outlineLevel="0" collapsed="false">
      <c r="A44" s="103" t="s">
        <v>729</v>
      </c>
      <c r="B44" s="104" t="s">
        <v>730</v>
      </c>
    </row>
    <row r="45" customFormat="false" ht="21.75" hidden="false" customHeight="true" outlineLevel="0" collapsed="false">
      <c r="A45" s="103" t="s">
        <v>731</v>
      </c>
      <c r="B45" s="104" t="s">
        <v>732</v>
      </c>
    </row>
    <row r="46" customFormat="false" ht="15" hidden="false" customHeight="true" outlineLevel="0" collapsed="false">
      <c r="A46" s="103" t="s">
        <v>733</v>
      </c>
      <c r="B46" s="104" t="s">
        <v>734</v>
      </c>
    </row>
    <row r="48" customFormat="false" ht="18" hidden="false" customHeight="true" outlineLevel="0" collapsed="false">
      <c r="A48" s="106" t="s">
        <v>735</v>
      </c>
      <c r="B48" s="106"/>
    </row>
    <row r="49" customFormat="false" ht="32.25" hidden="false" customHeight="true" outlineLevel="0" collapsed="false">
      <c r="A49" s="103" t="s">
        <v>736</v>
      </c>
      <c r="B49" s="104" t="s">
        <v>737</v>
      </c>
    </row>
    <row r="50" customFormat="false" ht="15" hidden="false" customHeight="true" outlineLevel="0" collapsed="false">
      <c r="A50" s="103" t="s">
        <v>738</v>
      </c>
      <c r="B50" s="104" t="s">
        <v>739</v>
      </c>
    </row>
    <row r="51" customFormat="false" ht="15" hidden="false" customHeight="true" outlineLevel="0" collapsed="false">
      <c r="A51" s="103" t="s">
        <v>740</v>
      </c>
      <c r="B51" s="104" t="s">
        <v>741</v>
      </c>
    </row>
    <row r="52" customFormat="false" ht="15" hidden="false" customHeight="true" outlineLevel="0" collapsed="false">
      <c r="A52" s="103" t="s">
        <v>742</v>
      </c>
      <c r="B52" s="104" t="s">
        <v>743</v>
      </c>
    </row>
    <row r="53" customFormat="false" ht="32.25" hidden="false" customHeight="true" outlineLevel="0" collapsed="false">
      <c r="A53" s="103" t="s">
        <v>744</v>
      </c>
      <c r="B53" s="104" t="s">
        <v>745</v>
      </c>
    </row>
    <row r="54" customFormat="false" ht="21.75" hidden="false" customHeight="true" outlineLevel="0" collapsed="false">
      <c r="A54" s="103" t="s">
        <v>746</v>
      </c>
      <c r="B54" s="104" t="s">
        <v>747</v>
      </c>
    </row>
    <row r="55" customFormat="false" ht="15" hidden="false" customHeight="true" outlineLevel="0" collapsed="false">
      <c r="A55" s="103" t="s">
        <v>748</v>
      </c>
      <c r="B55" s="104" t="s">
        <v>749</v>
      </c>
    </row>
    <row r="56" customFormat="false" ht="32.25" hidden="false" customHeight="true" outlineLevel="0" collapsed="false">
      <c r="A56" s="103" t="s">
        <v>379</v>
      </c>
      <c r="B56" s="104" t="s">
        <v>750</v>
      </c>
    </row>
  </sheetData>
  <mergeCells count="15">
    <mergeCell ref="A1:B1"/>
    <mergeCell ref="A2:B2"/>
    <mergeCell ref="A4:B4"/>
    <mergeCell ref="A12:B12"/>
    <mergeCell ref="A13:B13"/>
    <mergeCell ref="A15:B15"/>
    <mergeCell ref="A20:B20"/>
    <mergeCell ref="A28:B28"/>
    <mergeCell ref="A29:B29"/>
    <mergeCell ref="A31:B31"/>
    <mergeCell ref="A35:B35"/>
    <mergeCell ref="A36:B36"/>
    <mergeCell ref="A38:B38"/>
    <mergeCell ref="A42:B42"/>
    <mergeCell ref="A48:B48"/>
  </mergeCells>
  <printOptions headings="false" gridLines="false" gridLinesSet="true" horizontalCentered="false" verticalCentered="false"/>
  <pageMargins left="0.4" right="0.4"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5" width="22"/>
    <col collapsed="false" customWidth="true" hidden="false" outlineLevel="0" max="2" min="2" style="5" width="32"/>
    <col collapsed="false" customWidth="true" hidden="false" outlineLevel="0" max="4" min="3" style="5" width="22"/>
    <col collapsed="false" customWidth="true" hidden="false" outlineLevel="0" max="5" min="5" style="5" width="28"/>
  </cols>
  <sheetData>
    <row r="1" customFormat="false" ht="17.25" hidden="false" customHeight="true" outlineLevel="0" collapsed="false">
      <c r="A1" s="163" t="s">
        <v>751</v>
      </c>
      <c r="B1" s="163"/>
      <c r="C1" s="163"/>
      <c r="D1" s="163"/>
      <c r="E1" s="163"/>
    </row>
    <row r="2" customFormat="false" ht="15" hidden="false" customHeight="true" outlineLevel="0" collapsed="false">
      <c r="A2" s="164" t="s">
        <v>752</v>
      </c>
      <c r="B2" s="164"/>
      <c r="C2" s="164"/>
      <c r="D2" s="164"/>
      <c r="E2" s="164"/>
    </row>
    <row r="4" customFormat="false" ht="18" hidden="false" customHeight="true" outlineLevel="0" collapsed="false">
      <c r="A4" s="110" t="s">
        <v>753</v>
      </c>
      <c r="B4" s="110"/>
      <c r="C4" s="110"/>
      <c r="D4" s="110"/>
      <c r="E4" s="110"/>
    </row>
    <row r="5" customFormat="false" ht="60" hidden="false" customHeight="true" outlineLevel="0" collapsed="false">
      <c r="A5" s="107" t="s">
        <v>754</v>
      </c>
      <c r="B5" s="107"/>
      <c r="C5" s="107"/>
      <c r="D5" s="107"/>
      <c r="E5" s="107"/>
    </row>
    <row r="7" customFormat="false" ht="18" hidden="false" customHeight="true" outlineLevel="0" collapsed="false">
      <c r="A7" s="110" t="s">
        <v>755</v>
      </c>
      <c r="B7" s="110"/>
      <c r="C7" s="110"/>
      <c r="D7" s="110"/>
      <c r="E7" s="110"/>
    </row>
    <row r="8" customFormat="false" ht="27.75" hidden="false" customHeight="true" outlineLevel="0" collapsed="false">
      <c r="A8" s="114" t="s">
        <v>756</v>
      </c>
      <c r="B8" s="114" t="s">
        <v>757</v>
      </c>
      <c r="C8" s="114" t="s">
        <v>758</v>
      </c>
      <c r="D8" s="114" t="s">
        <v>759</v>
      </c>
      <c r="E8" s="114" t="s">
        <v>164</v>
      </c>
    </row>
    <row r="9" customFormat="false" ht="31.5" hidden="false" customHeight="true" outlineLevel="0" collapsed="false">
      <c r="A9" s="104" t="s">
        <v>760</v>
      </c>
      <c r="B9" s="104" t="s">
        <v>761</v>
      </c>
      <c r="C9" s="104" t="s">
        <v>762</v>
      </c>
      <c r="D9" s="104" t="s">
        <v>763</v>
      </c>
      <c r="E9" s="104" t="s">
        <v>764</v>
      </c>
    </row>
    <row r="10" customFormat="false" ht="31.5" hidden="false" customHeight="true" outlineLevel="0" collapsed="false">
      <c r="A10" s="104" t="s">
        <v>765</v>
      </c>
      <c r="B10" s="104" t="s">
        <v>766</v>
      </c>
      <c r="C10" s="104" t="s">
        <v>762</v>
      </c>
      <c r="D10" s="104" t="s">
        <v>767</v>
      </c>
      <c r="E10" s="104" t="s">
        <v>768</v>
      </c>
    </row>
    <row r="11" customFormat="false" ht="31.5" hidden="false" customHeight="true" outlineLevel="0" collapsed="false">
      <c r="A11" s="104" t="s">
        <v>769</v>
      </c>
      <c r="B11" s="104" t="s">
        <v>770</v>
      </c>
      <c r="C11" s="104" t="s">
        <v>771</v>
      </c>
      <c r="D11" s="104" t="s">
        <v>566</v>
      </c>
      <c r="E11" s="104" t="s">
        <v>772</v>
      </c>
    </row>
    <row r="12" customFormat="false" ht="31.5" hidden="false" customHeight="true" outlineLevel="0" collapsed="false">
      <c r="A12" s="104" t="s">
        <v>773</v>
      </c>
      <c r="B12" s="104" t="s">
        <v>774</v>
      </c>
      <c r="C12" s="104" t="s">
        <v>771</v>
      </c>
      <c r="D12" s="104" t="s">
        <v>566</v>
      </c>
      <c r="E12" s="104" t="s">
        <v>775</v>
      </c>
    </row>
    <row r="13" customFormat="false" ht="31.5" hidden="false" customHeight="true" outlineLevel="0" collapsed="false">
      <c r="A13" s="104" t="s">
        <v>776</v>
      </c>
      <c r="B13" s="104" t="s">
        <v>777</v>
      </c>
      <c r="C13" s="104" t="s">
        <v>771</v>
      </c>
      <c r="D13" s="104" t="s">
        <v>566</v>
      </c>
      <c r="E13" s="104" t="s">
        <v>778</v>
      </c>
    </row>
    <row r="14" customFormat="false" ht="31.5" hidden="false" customHeight="true" outlineLevel="0" collapsed="false">
      <c r="A14" s="104" t="s">
        <v>779</v>
      </c>
      <c r="B14" s="104" t="s">
        <v>780</v>
      </c>
      <c r="C14" s="104" t="s">
        <v>762</v>
      </c>
      <c r="D14" s="104" t="s">
        <v>781</v>
      </c>
      <c r="E14" s="104" t="s">
        <v>782</v>
      </c>
    </row>
    <row r="15" customFormat="false" ht="31.5" hidden="false" customHeight="true" outlineLevel="0" collapsed="false">
      <c r="A15" s="104" t="s">
        <v>783</v>
      </c>
      <c r="B15" s="104" t="s">
        <v>784</v>
      </c>
      <c r="C15" s="104" t="s">
        <v>762</v>
      </c>
      <c r="D15" s="104" t="s">
        <v>785</v>
      </c>
      <c r="E15" s="104" t="s">
        <v>786</v>
      </c>
    </row>
    <row r="17" customFormat="false" ht="18" hidden="false" customHeight="true" outlineLevel="0" collapsed="false">
      <c r="A17" s="110" t="s">
        <v>787</v>
      </c>
      <c r="B17" s="110"/>
      <c r="C17" s="110"/>
      <c r="D17" s="110"/>
      <c r="E17" s="110"/>
    </row>
    <row r="18" customFormat="false" ht="18" hidden="false" customHeight="true" outlineLevel="0" collapsed="false">
      <c r="A18" s="165" t="s">
        <v>788</v>
      </c>
      <c r="B18" s="165"/>
      <c r="C18" s="165"/>
      <c r="D18" s="165"/>
      <c r="E18" s="165"/>
    </row>
    <row r="19" customFormat="false" ht="63.75" hidden="false" customHeight="true" outlineLevel="0" collapsed="false">
      <c r="A19" s="107" t="s">
        <v>789</v>
      </c>
      <c r="B19" s="107"/>
      <c r="C19" s="107"/>
      <c r="D19" s="107"/>
      <c r="E19" s="107"/>
    </row>
    <row r="20" customFormat="false" ht="18" hidden="false" customHeight="true" outlineLevel="0" collapsed="false">
      <c r="A20" s="165" t="s">
        <v>790</v>
      </c>
      <c r="B20" s="165"/>
      <c r="C20" s="165"/>
      <c r="D20" s="165"/>
      <c r="E20" s="165"/>
    </row>
    <row r="21" customFormat="false" ht="63.75" hidden="false" customHeight="true" outlineLevel="0" collapsed="false">
      <c r="A21" s="107" t="s">
        <v>791</v>
      </c>
      <c r="B21" s="107"/>
      <c r="C21" s="107"/>
      <c r="D21" s="107"/>
      <c r="E21" s="107"/>
    </row>
    <row r="22" customFormat="false" ht="18" hidden="false" customHeight="true" outlineLevel="0" collapsed="false">
      <c r="A22" s="165" t="s">
        <v>792</v>
      </c>
      <c r="B22" s="165"/>
      <c r="C22" s="165"/>
      <c r="D22" s="165"/>
      <c r="E22" s="165"/>
    </row>
    <row r="23" customFormat="false" ht="72" hidden="false" customHeight="true" outlineLevel="0" collapsed="false">
      <c r="A23" s="107" t="s">
        <v>793</v>
      </c>
      <c r="B23" s="107"/>
      <c r="C23" s="107"/>
      <c r="D23" s="107"/>
      <c r="E23" s="107"/>
    </row>
    <row r="25" customFormat="false" ht="18" hidden="false" customHeight="true" outlineLevel="0" collapsed="false">
      <c r="A25" s="110" t="s">
        <v>794</v>
      </c>
      <c r="B25" s="110"/>
      <c r="C25" s="110"/>
      <c r="D25" s="110"/>
      <c r="E25" s="110"/>
    </row>
    <row r="26" customFormat="false" ht="27.75" hidden="false" customHeight="true" outlineLevel="0" collapsed="false">
      <c r="A26" s="114" t="s">
        <v>795</v>
      </c>
      <c r="B26" s="114" t="s">
        <v>796</v>
      </c>
      <c r="C26" s="114" t="s">
        <v>797</v>
      </c>
      <c r="D26" s="114" t="s">
        <v>798</v>
      </c>
      <c r="E26" s="114" t="s">
        <v>799</v>
      </c>
    </row>
    <row r="27" customFormat="false" ht="21.75" hidden="false" customHeight="true" outlineLevel="0" collapsed="false">
      <c r="A27" s="104" t="s">
        <v>800</v>
      </c>
      <c r="B27" s="104" t="s">
        <v>762</v>
      </c>
      <c r="C27" s="104" t="s">
        <v>762</v>
      </c>
      <c r="D27" s="104" t="s">
        <v>801</v>
      </c>
      <c r="E27" s="104" t="s">
        <v>802</v>
      </c>
    </row>
    <row r="28" customFormat="false" ht="21.75" hidden="false" customHeight="true" outlineLevel="0" collapsed="false">
      <c r="A28" s="104" t="s">
        <v>803</v>
      </c>
      <c r="B28" s="104" t="s">
        <v>762</v>
      </c>
      <c r="C28" s="104" t="s">
        <v>804</v>
      </c>
      <c r="D28" s="104" t="s">
        <v>762</v>
      </c>
      <c r="E28" s="104" t="s">
        <v>805</v>
      </c>
    </row>
    <row r="29" customFormat="false" ht="21.75" hidden="false" customHeight="true" outlineLevel="0" collapsed="false">
      <c r="A29" s="104" t="s">
        <v>806</v>
      </c>
      <c r="B29" s="104" t="s">
        <v>807</v>
      </c>
      <c r="C29" s="104" t="s">
        <v>808</v>
      </c>
      <c r="D29" s="104" t="s">
        <v>809</v>
      </c>
      <c r="E29" s="104" t="s">
        <v>810</v>
      </c>
    </row>
    <row r="30" customFormat="false" ht="21.75" hidden="false" customHeight="true" outlineLevel="0" collapsed="false">
      <c r="A30" s="104" t="s">
        <v>811</v>
      </c>
      <c r="B30" s="104" t="s">
        <v>812</v>
      </c>
      <c r="C30" s="104" t="s">
        <v>813</v>
      </c>
      <c r="D30" s="104" t="s">
        <v>814</v>
      </c>
      <c r="E30" s="104" t="s">
        <v>815</v>
      </c>
    </row>
    <row r="31" customFormat="false" ht="21.75" hidden="false" customHeight="true" outlineLevel="0" collapsed="false">
      <c r="A31" s="104" t="s">
        <v>816</v>
      </c>
      <c r="B31" s="104" t="s">
        <v>817</v>
      </c>
      <c r="C31" s="104" t="s">
        <v>566</v>
      </c>
      <c r="D31" s="104" t="s">
        <v>818</v>
      </c>
      <c r="E31" s="104" t="s">
        <v>815</v>
      </c>
    </row>
    <row r="32" customFormat="false" ht="21.75" hidden="false" customHeight="true" outlineLevel="0" collapsed="false">
      <c r="A32" s="104" t="s">
        <v>819</v>
      </c>
      <c r="B32" s="104" t="s">
        <v>820</v>
      </c>
      <c r="C32" s="104" t="s">
        <v>821</v>
      </c>
      <c r="D32" s="104" t="s">
        <v>822</v>
      </c>
      <c r="E32" s="104" t="s">
        <v>805</v>
      </c>
    </row>
    <row r="33" customFormat="false" ht="21.75" hidden="false" customHeight="true" outlineLevel="0" collapsed="false">
      <c r="A33" s="166" t="s">
        <v>823</v>
      </c>
      <c r="B33" s="166" t="s">
        <v>824</v>
      </c>
      <c r="C33" s="166" t="s">
        <v>824</v>
      </c>
      <c r="D33" s="166" t="s">
        <v>825</v>
      </c>
      <c r="E33" s="166" t="s">
        <v>826</v>
      </c>
    </row>
    <row r="34" customFormat="false" ht="21.75" hidden="false" customHeight="true" outlineLevel="0" collapsed="false">
      <c r="A34" s="104" t="s">
        <v>827</v>
      </c>
      <c r="B34" s="104" t="s">
        <v>828</v>
      </c>
      <c r="C34" s="104" t="s">
        <v>829</v>
      </c>
      <c r="D34" s="104" t="s">
        <v>830</v>
      </c>
      <c r="E34" s="104" t="s">
        <v>815</v>
      </c>
    </row>
    <row r="36" customFormat="false" ht="18" hidden="false" customHeight="true" outlineLevel="0" collapsed="false">
      <c r="A36" s="110" t="s">
        <v>831</v>
      </c>
      <c r="B36" s="110"/>
      <c r="C36" s="110"/>
      <c r="D36" s="110"/>
      <c r="E36" s="110"/>
    </row>
    <row r="37" customFormat="false" ht="63.75" hidden="false" customHeight="true" outlineLevel="0" collapsed="false">
      <c r="A37" s="107" t="s">
        <v>832</v>
      </c>
      <c r="B37" s="107"/>
      <c r="C37" s="107"/>
      <c r="D37" s="107"/>
      <c r="E37" s="107"/>
    </row>
    <row r="38" customFormat="false" ht="18" hidden="false" customHeight="true" outlineLevel="0" collapsed="false">
      <c r="A38" s="165" t="s">
        <v>833</v>
      </c>
      <c r="B38" s="165"/>
      <c r="C38" s="165"/>
      <c r="D38" s="165"/>
      <c r="E38" s="165"/>
    </row>
    <row r="39" customFormat="false" ht="27.75" hidden="false" customHeight="true" outlineLevel="0" collapsed="false">
      <c r="A39" s="114" t="s">
        <v>834</v>
      </c>
      <c r="B39" s="114" t="s">
        <v>835</v>
      </c>
      <c r="C39" s="114" t="s">
        <v>836</v>
      </c>
      <c r="D39" s="114" t="s">
        <v>758</v>
      </c>
      <c r="E39" s="114" t="s">
        <v>837</v>
      </c>
    </row>
    <row r="40" customFormat="false" ht="25.5" hidden="false" customHeight="true" outlineLevel="0" collapsed="false">
      <c r="A40" s="104" t="s">
        <v>838</v>
      </c>
      <c r="B40" s="104" t="s">
        <v>839</v>
      </c>
      <c r="C40" s="104" t="s">
        <v>840</v>
      </c>
      <c r="D40" s="104" t="s">
        <v>762</v>
      </c>
      <c r="E40" s="104" t="s">
        <v>841</v>
      </c>
    </row>
    <row r="41" customFormat="false" ht="25.5" hidden="false" customHeight="true" outlineLevel="0" collapsed="false">
      <c r="A41" s="104" t="s">
        <v>810</v>
      </c>
      <c r="B41" s="104" t="s">
        <v>842</v>
      </c>
      <c r="C41" s="104" t="s">
        <v>840</v>
      </c>
      <c r="D41" s="104" t="s">
        <v>762</v>
      </c>
      <c r="E41" s="104" t="s">
        <v>843</v>
      </c>
    </row>
    <row r="42" customFormat="false" ht="25.5" hidden="false" customHeight="true" outlineLevel="0" collapsed="false">
      <c r="A42" s="104" t="s">
        <v>826</v>
      </c>
      <c r="B42" s="104" t="s">
        <v>844</v>
      </c>
      <c r="C42" s="104" t="s">
        <v>840</v>
      </c>
      <c r="D42" s="104" t="s">
        <v>762</v>
      </c>
      <c r="E42" s="104" t="s">
        <v>845</v>
      </c>
    </row>
    <row r="43" customFormat="false" ht="25.5" hidden="false" customHeight="true" outlineLevel="0" collapsed="false">
      <c r="A43" s="104" t="s">
        <v>846</v>
      </c>
      <c r="B43" s="104" t="s">
        <v>847</v>
      </c>
      <c r="C43" s="104" t="s">
        <v>848</v>
      </c>
      <c r="D43" s="104" t="s">
        <v>762</v>
      </c>
      <c r="E43" s="104" t="s">
        <v>849</v>
      </c>
    </row>
    <row r="45" customFormat="false" ht="18" hidden="false" customHeight="true" outlineLevel="0" collapsed="false">
      <c r="A45" s="165" t="s">
        <v>850</v>
      </c>
      <c r="B45" s="165"/>
      <c r="C45" s="165"/>
      <c r="D45" s="165"/>
      <c r="E45" s="165"/>
    </row>
    <row r="46" customFormat="false" ht="27.75" hidden="false" customHeight="true" outlineLevel="0" collapsed="false">
      <c r="A46" s="114" t="s">
        <v>834</v>
      </c>
      <c r="B46" s="114" t="s">
        <v>835</v>
      </c>
      <c r="C46" s="114" t="s">
        <v>836</v>
      </c>
      <c r="D46" s="114" t="s">
        <v>851</v>
      </c>
      <c r="E46" s="114" t="s">
        <v>164</v>
      </c>
    </row>
    <row r="47" customFormat="false" ht="27.75" hidden="false" customHeight="true" outlineLevel="0" collapsed="false">
      <c r="A47" s="104" t="s">
        <v>838</v>
      </c>
      <c r="B47" s="104" t="s">
        <v>852</v>
      </c>
      <c r="C47" s="104" t="s">
        <v>853</v>
      </c>
      <c r="D47" s="104" t="s">
        <v>854</v>
      </c>
      <c r="E47" s="104" t="s">
        <v>855</v>
      </c>
    </row>
    <row r="48" customFormat="false" ht="27.75" hidden="false" customHeight="true" outlineLevel="0" collapsed="false">
      <c r="A48" s="104" t="s">
        <v>810</v>
      </c>
      <c r="B48" s="104" t="s">
        <v>856</v>
      </c>
      <c r="C48" s="104" t="s">
        <v>848</v>
      </c>
      <c r="D48" s="104" t="s">
        <v>854</v>
      </c>
      <c r="E48" s="104" t="s">
        <v>857</v>
      </c>
    </row>
    <row r="49" customFormat="false" ht="27.75" hidden="false" customHeight="true" outlineLevel="0" collapsed="false">
      <c r="A49" s="104" t="s">
        <v>826</v>
      </c>
      <c r="B49" s="104" t="s">
        <v>858</v>
      </c>
      <c r="C49" s="104" t="s">
        <v>859</v>
      </c>
      <c r="D49" s="104" t="s">
        <v>860</v>
      </c>
      <c r="E49" s="104" t="s">
        <v>861</v>
      </c>
    </row>
    <row r="50" customFormat="false" ht="27.75" hidden="false" customHeight="true" outlineLevel="0" collapsed="false">
      <c r="A50" s="104" t="s">
        <v>846</v>
      </c>
      <c r="B50" s="104" t="s">
        <v>862</v>
      </c>
      <c r="C50" s="104" t="s">
        <v>853</v>
      </c>
      <c r="D50" s="104" t="s">
        <v>863</v>
      </c>
      <c r="E50" s="104" t="s">
        <v>864</v>
      </c>
    </row>
    <row r="51" customFormat="false" ht="27.75" hidden="false" customHeight="true" outlineLevel="0" collapsed="false">
      <c r="A51" s="104" t="s">
        <v>865</v>
      </c>
      <c r="B51" s="104" t="s">
        <v>866</v>
      </c>
      <c r="C51" s="104" t="s">
        <v>867</v>
      </c>
      <c r="D51" s="104" t="s">
        <v>854</v>
      </c>
      <c r="E51" s="104" t="s">
        <v>868</v>
      </c>
    </row>
    <row r="53" customFormat="false" ht="18" hidden="false" customHeight="true" outlineLevel="0" collapsed="false">
      <c r="A53" s="110" t="s">
        <v>869</v>
      </c>
      <c r="B53" s="110"/>
      <c r="C53" s="110"/>
      <c r="D53" s="110"/>
      <c r="E53" s="110"/>
    </row>
    <row r="54" customFormat="false" ht="27.75" hidden="false" customHeight="true" outlineLevel="0" collapsed="false">
      <c r="A54" s="114" t="s">
        <v>870</v>
      </c>
      <c r="B54" s="114" t="s">
        <v>871</v>
      </c>
      <c r="C54" s="114" t="s">
        <v>872</v>
      </c>
      <c r="D54" s="114" t="s">
        <v>873</v>
      </c>
      <c r="E54" s="114" t="s">
        <v>874</v>
      </c>
    </row>
    <row r="55" customFormat="false" ht="36" hidden="false" customHeight="true" outlineLevel="0" collapsed="false">
      <c r="A55" s="104" t="s">
        <v>875</v>
      </c>
      <c r="B55" s="104" t="s">
        <v>876</v>
      </c>
      <c r="C55" s="104" t="s">
        <v>877</v>
      </c>
      <c r="D55" s="104" t="s">
        <v>878</v>
      </c>
      <c r="E55" s="104" t="s">
        <v>879</v>
      </c>
    </row>
    <row r="56" customFormat="false" ht="36" hidden="false" customHeight="true" outlineLevel="0" collapsed="false">
      <c r="A56" s="104" t="s">
        <v>880</v>
      </c>
      <c r="B56" s="104" t="s">
        <v>881</v>
      </c>
      <c r="C56" s="104" t="s">
        <v>882</v>
      </c>
      <c r="D56" s="104" t="s">
        <v>883</v>
      </c>
      <c r="E56" s="104" t="s">
        <v>879</v>
      </c>
    </row>
    <row r="57" customFormat="false" ht="36" hidden="false" customHeight="true" outlineLevel="0" collapsed="false">
      <c r="A57" s="104" t="s">
        <v>884</v>
      </c>
      <c r="B57" s="104" t="s">
        <v>885</v>
      </c>
      <c r="C57" s="104" t="s">
        <v>886</v>
      </c>
      <c r="D57" s="104" t="s">
        <v>887</v>
      </c>
      <c r="E57" s="104" t="s">
        <v>879</v>
      </c>
    </row>
    <row r="58" customFormat="false" ht="36" hidden="false" customHeight="true" outlineLevel="0" collapsed="false">
      <c r="A58" s="104" t="s">
        <v>888</v>
      </c>
      <c r="B58" s="104" t="s">
        <v>889</v>
      </c>
      <c r="C58" s="104" t="s">
        <v>890</v>
      </c>
      <c r="D58" s="104" t="s">
        <v>891</v>
      </c>
      <c r="E58" s="104" t="s">
        <v>809</v>
      </c>
    </row>
    <row r="59" customFormat="false" ht="36" hidden="false" customHeight="true" outlineLevel="0" collapsed="false">
      <c r="A59" s="104" t="s">
        <v>892</v>
      </c>
      <c r="B59" s="104" t="s">
        <v>893</v>
      </c>
      <c r="C59" s="104" t="s">
        <v>46</v>
      </c>
      <c r="D59" s="104" t="s">
        <v>894</v>
      </c>
      <c r="E59" s="104" t="s">
        <v>879</v>
      </c>
    </row>
  </sheetData>
  <mergeCells count="18">
    <mergeCell ref="A1:E1"/>
    <mergeCell ref="A2:E2"/>
    <mergeCell ref="A4:E4"/>
    <mergeCell ref="A5:E5"/>
    <mergeCell ref="A7:E7"/>
    <mergeCell ref="A17:E17"/>
    <mergeCell ref="A18:E18"/>
    <mergeCell ref="A19:E19"/>
    <mergeCell ref="A20:E20"/>
    <mergeCell ref="A21:E21"/>
    <mergeCell ref="A22:E22"/>
    <mergeCell ref="A23:E23"/>
    <mergeCell ref="A25:E25"/>
    <mergeCell ref="A36:E36"/>
    <mergeCell ref="A37:E37"/>
    <mergeCell ref="A38:E38"/>
    <mergeCell ref="A45:E45"/>
    <mergeCell ref="A53:E53"/>
  </mergeCells>
  <printOptions headings="false" gridLines="false" gridLinesSet="true" horizontalCentered="true" verticalCentered="false"/>
  <pageMargins left="0.5" right="0.5" top="0.5" bottom="0.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0"/>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F19" activeCellId="0" sqref="F19"/>
    </sheetView>
  </sheetViews>
  <sheetFormatPr defaultColWidth="8.71484375" defaultRowHeight="15" zeroHeight="false" outlineLevelRow="0" outlineLevelCol="0"/>
  <cols>
    <col collapsed="false" customWidth="true" hidden="false" outlineLevel="0" max="1" min="1" style="5" width="6"/>
    <col collapsed="false" customWidth="true" hidden="false" outlineLevel="0" max="2" min="2" style="5" width="24"/>
    <col collapsed="false" customWidth="true" hidden="false" outlineLevel="0" max="3" min="3" style="5" width="30"/>
    <col collapsed="false" customWidth="true" hidden="false" outlineLevel="0" max="4" min="4" style="5" width="18"/>
    <col collapsed="false" customWidth="true" hidden="false" outlineLevel="0" max="5" min="5" style="5" width="38"/>
    <col collapsed="false" customWidth="true" hidden="false" outlineLevel="0" max="6" min="6" style="5" width="36"/>
  </cols>
  <sheetData>
    <row r="1" customFormat="false" ht="17.25" hidden="false" customHeight="true" outlineLevel="0" collapsed="false">
      <c r="A1" s="163" t="s">
        <v>895</v>
      </c>
      <c r="B1" s="163"/>
      <c r="C1" s="163"/>
      <c r="D1" s="163"/>
      <c r="E1" s="163"/>
      <c r="F1" s="163"/>
    </row>
    <row r="2" customFormat="false" ht="15" hidden="false" customHeight="true" outlineLevel="0" collapsed="false">
      <c r="A2" s="164" t="s">
        <v>896</v>
      </c>
      <c r="B2" s="164"/>
      <c r="C2" s="164"/>
      <c r="D2" s="164"/>
      <c r="E2" s="164"/>
      <c r="F2" s="164"/>
    </row>
    <row r="4" customFormat="false" ht="18" hidden="false" customHeight="true" outlineLevel="0" collapsed="false">
      <c r="A4" s="110" t="s">
        <v>897</v>
      </c>
      <c r="B4" s="110"/>
      <c r="C4" s="110"/>
      <c r="D4" s="110"/>
      <c r="E4" s="110"/>
      <c r="F4" s="110"/>
    </row>
    <row r="5" customFormat="false" ht="15" hidden="false" customHeight="true" outlineLevel="0" collapsed="false">
      <c r="A5" s="167"/>
      <c r="B5" s="101" t="s">
        <v>898</v>
      </c>
      <c r="C5" s="101"/>
      <c r="D5" s="101"/>
      <c r="E5" s="101"/>
      <c r="F5" s="101"/>
    </row>
    <row r="6" customFormat="false" ht="15" hidden="false" customHeight="true" outlineLevel="0" collapsed="false">
      <c r="A6" s="168"/>
      <c r="B6" s="101" t="s">
        <v>899</v>
      </c>
      <c r="C6" s="101"/>
      <c r="D6" s="101"/>
      <c r="E6" s="101"/>
      <c r="F6" s="101"/>
    </row>
    <row r="7" customFormat="false" ht="15" hidden="false" customHeight="true" outlineLevel="0" collapsed="false">
      <c r="A7" s="169"/>
      <c r="B7" s="101" t="s">
        <v>900</v>
      </c>
      <c r="C7" s="101"/>
      <c r="D7" s="101"/>
      <c r="E7" s="101"/>
      <c r="F7" s="101"/>
    </row>
    <row r="9" customFormat="false" ht="21.75" hidden="false" customHeight="true" outlineLevel="0" collapsed="false">
      <c r="A9" s="170" t="s">
        <v>901</v>
      </c>
      <c r="B9" s="170"/>
      <c r="C9" s="170"/>
      <c r="D9" s="170"/>
      <c r="E9" s="170"/>
      <c r="F9" s="170"/>
    </row>
    <row r="10" customFormat="false" ht="30" hidden="false" customHeight="true" outlineLevel="0" collapsed="false">
      <c r="A10" s="171" t="s">
        <v>902</v>
      </c>
      <c r="B10" s="171" t="s">
        <v>145</v>
      </c>
      <c r="C10" s="171" t="s">
        <v>903</v>
      </c>
      <c r="D10" s="171" t="s">
        <v>132</v>
      </c>
      <c r="E10" s="171" t="s">
        <v>904</v>
      </c>
      <c r="F10" s="171" t="s">
        <v>567</v>
      </c>
    </row>
    <row r="11" customFormat="false" ht="30" hidden="false" customHeight="true" outlineLevel="0" collapsed="false">
      <c r="A11" s="5" t="n">
        <v>15</v>
      </c>
      <c r="B11" s="5" t="s">
        <v>63</v>
      </c>
      <c r="C11" s="5" t="s">
        <v>905</v>
      </c>
      <c r="D11" s="172" t="s">
        <v>906</v>
      </c>
      <c r="E11" s="5" t="s">
        <v>907</v>
      </c>
      <c r="F11" s="172" t="s">
        <v>908</v>
      </c>
    </row>
    <row r="12" customFormat="false" ht="30" hidden="false" customHeight="true" outlineLevel="0" collapsed="false">
      <c r="A12" s="5" t="n">
        <v>16</v>
      </c>
      <c r="B12" s="5" t="s">
        <v>151</v>
      </c>
      <c r="C12" s="5" t="s">
        <v>909</v>
      </c>
      <c r="D12" s="172" t="s">
        <v>906</v>
      </c>
      <c r="E12" s="5" t="s">
        <v>910</v>
      </c>
      <c r="F12" s="172" t="s">
        <v>911</v>
      </c>
    </row>
    <row r="13" customFormat="false" ht="30" hidden="false" customHeight="true" outlineLevel="0" collapsed="false"/>
    <row r="14" customFormat="false" ht="15" hidden="false" customHeight="true" outlineLevel="0" collapsed="false">
      <c r="A14" s="128" t="s">
        <v>912</v>
      </c>
    </row>
    <row r="15" customFormat="false" ht="18" hidden="false" customHeight="true" outlineLevel="0" collapsed="false">
      <c r="A15" s="173" t="s">
        <v>902</v>
      </c>
      <c r="B15" s="173"/>
      <c r="C15" s="173"/>
      <c r="D15" s="173"/>
      <c r="E15" s="173"/>
      <c r="F15" s="173"/>
    </row>
    <row r="16" customFormat="false" ht="30" hidden="false" customHeight="true" outlineLevel="0" collapsed="false">
      <c r="A16" s="174" t="n">
        <v>8</v>
      </c>
      <c r="B16" s="174" t="s">
        <v>47</v>
      </c>
      <c r="C16" s="174" t="s">
        <v>913</v>
      </c>
      <c r="D16" s="174" t="s">
        <v>914</v>
      </c>
      <c r="E16" s="174" t="s">
        <v>915</v>
      </c>
      <c r="F16" s="174" t="s">
        <v>916</v>
      </c>
    </row>
    <row r="17" customFormat="false" ht="42" hidden="false" customHeight="true" outlineLevel="0" collapsed="false">
      <c r="A17" s="174" t="n">
        <v>9</v>
      </c>
      <c r="B17" s="174" t="s">
        <v>47</v>
      </c>
      <c r="C17" s="174" t="s">
        <v>917</v>
      </c>
      <c r="D17" s="174" t="s">
        <v>914</v>
      </c>
      <c r="E17" s="175" t="s">
        <v>918</v>
      </c>
      <c r="F17" s="174" t="s">
        <v>919</v>
      </c>
    </row>
    <row r="18" customFormat="false" ht="42" hidden="false" customHeight="true" outlineLevel="0" collapsed="false">
      <c r="A18" s="174" t="n">
        <v>10</v>
      </c>
      <c r="B18" s="174" t="s">
        <v>63</v>
      </c>
      <c r="C18" s="174" t="s">
        <v>920</v>
      </c>
      <c r="D18" s="174" t="s">
        <v>914</v>
      </c>
      <c r="E18" s="175" t="s">
        <v>921</v>
      </c>
      <c r="F18" s="174" t="s">
        <v>922</v>
      </c>
    </row>
    <row r="19" customFormat="false" ht="42" hidden="false" customHeight="true" outlineLevel="0" collapsed="false">
      <c r="E19" s="5" t="s">
        <v>923</v>
      </c>
    </row>
    <row r="20" customFormat="false" ht="42" hidden="false" customHeight="true" outlineLevel="0" collapsed="false">
      <c r="A20" s="128" t="s">
        <v>924</v>
      </c>
      <c r="E20" s="5" t="s">
        <v>650</v>
      </c>
    </row>
    <row r="21" customFormat="false" ht="42" hidden="false" customHeight="true" outlineLevel="0" collapsed="false">
      <c r="A21" s="114" t="s">
        <v>902</v>
      </c>
      <c r="B21" s="114" t="s">
        <v>145</v>
      </c>
      <c r="C21" s="114" t="s">
        <v>903</v>
      </c>
      <c r="D21" s="114" t="s">
        <v>132</v>
      </c>
      <c r="E21" s="114" t="s">
        <v>925</v>
      </c>
      <c r="F21" s="114" t="s">
        <v>164</v>
      </c>
    </row>
    <row r="22" customFormat="false" ht="42" hidden="false" customHeight="true" outlineLevel="0" collapsed="false">
      <c r="A22" s="118" t="n">
        <v>15</v>
      </c>
      <c r="B22" s="176" t="s">
        <v>63</v>
      </c>
      <c r="C22" s="176" t="s">
        <v>926</v>
      </c>
      <c r="D22" s="177" t="s">
        <v>906</v>
      </c>
      <c r="E22" s="178" t="s">
        <v>927</v>
      </c>
      <c r="F22" s="176" t="s">
        <v>928</v>
      </c>
    </row>
    <row r="23" customFormat="false" ht="42" hidden="false" customHeight="true" outlineLevel="0" collapsed="false">
      <c r="A23" s="179" t="n">
        <v>15</v>
      </c>
      <c r="B23" s="174" t="s">
        <v>63</v>
      </c>
      <c r="C23" s="174" t="s">
        <v>929</v>
      </c>
      <c r="D23" s="174" t="s">
        <v>914</v>
      </c>
      <c r="E23" s="180" t="s">
        <v>930</v>
      </c>
      <c r="F23" s="174" t="s">
        <v>931</v>
      </c>
    </row>
    <row r="24" customFormat="false" ht="32.25" hidden="false" customHeight="true" outlineLevel="0" collapsed="false">
      <c r="A24" s="118" t="n">
        <v>18</v>
      </c>
      <c r="B24" s="176" t="s">
        <v>63</v>
      </c>
      <c r="C24" s="176" t="s">
        <v>932</v>
      </c>
      <c r="D24" s="176" t="s">
        <v>933</v>
      </c>
      <c r="E24" s="178" t="s">
        <v>934</v>
      </c>
      <c r="F24" s="176" t="s">
        <v>935</v>
      </c>
    </row>
    <row r="25" customFormat="false" ht="18" hidden="false" customHeight="true" outlineLevel="0" collapsed="false">
      <c r="A25" s="181" t="n">
        <v>19</v>
      </c>
      <c r="B25" s="181"/>
      <c r="C25" s="181"/>
      <c r="D25" s="181"/>
      <c r="E25" s="181"/>
      <c r="F25" s="181"/>
    </row>
    <row r="26" customFormat="false" ht="30" hidden="false" customHeight="true" outlineLevel="0" collapsed="false">
      <c r="A26" s="118" t="n">
        <v>16</v>
      </c>
      <c r="B26" s="176" t="s">
        <v>151</v>
      </c>
      <c r="C26" s="176" t="s">
        <v>936</v>
      </c>
      <c r="D26" s="177" t="s">
        <v>906</v>
      </c>
      <c r="E26" s="178" t="s">
        <v>937</v>
      </c>
      <c r="F26" s="176" t="s">
        <v>938</v>
      </c>
    </row>
    <row r="27" customFormat="false" ht="36" hidden="false" customHeight="true" outlineLevel="0" collapsed="false">
      <c r="A27" s="182" t="n">
        <v>5</v>
      </c>
      <c r="B27" s="183" t="s">
        <v>939</v>
      </c>
      <c r="C27" s="183" t="s">
        <v>940</v>
      </c>
      <c r="D27" s="183" t="s">
        <v>941</v>
      </c>
      <c r="E27" s="184" t="s">
        <v>942</v>
      </c>
      <c r="F27" s="183" t="s">
        <v>943</v>
      </c>
    </row>
    <row r="28" customFormat="false" ht="36" hidden="false" customHeight="true" outlineLevel="0" collapsed="false">
      <c r="A28" s="118" t="n">
        <v>20</v>
      </c>
      <c r="B28" s="176" t="s">
        <v>944</v>
      </c>
      <c r="C28" s="176" t="s">
        <v>945</v>
      </c>
      <c r="D28" s="176" t="s">
        <v>946</v>
      </c>
      <c r="E28" s="178" t="s">
        <v>947</v>
      </c>
      <c r="F28" s="176" t="s">
        <v>948</v>
      </c>
    </row>
    <row r="30" customFormat="false" ht="18" hidden="false" customHeight="true" outlineLevel="0" collapsed="false">
      <c r="A30" s="110" t="s">
        <v>949</v>
      </c>
      <c r="B30" s="110"/>
      <c r="C30" s="110"/>
      <c r="D30" s="110"/>
      <c r="E30" s="110"/>
      <c r="F30" s="110"/>
    </row>
    <row r="31" customFormat="false" ht="30" hidden="false" customHeight="true" outlineLevel="0" collapsed="false">
      <c r="A31" s="114" t="s">
        <v>902</v>
      </c>
      <c r="B31" s="114" t="s">
        <v>145</v>
      </c>
      <c r="C31" s="114" t="s">
        <v>903</v>
      </c>
      <c r="D31" s="114" t="s">
        <v>132</v>
      </c>
      <c r="E31" s="114" t="s">
        <v>925</v>
      </c>
      <c r="F31" s="114" t="s">
        <v>164</v>
      </c>
    </row>
    <row r="32" customFormat="false" ht="48" hidden="false" customHeight="true" outlineLevel="0" collapsed="false">
      <c r="A32" s="179" t="n">
        <v>12</v>
      </c>
      <c r="B32" s="174" t="s">
        <v>71</v>
      </c>
      <c r="C32" s="174" t="s">
        <v>950</v>
      </c>
      <c r="D32" s="174" t="s">
        <v>951</v>
      </c>
      <c r="E32" s="180" t="s">
        <v>952</v>
      </c>
      <c r="F32" s="174" t="s">
        <v>953</v>
      </c>
    </row>
    <row r="33" customFormat="false" ht="21.75" hidden="false" customHeight="true" outlineLevel="0" collapsed="false">
      <c r="A33" s="179" t="n">
        <v>13</v>
      </c>
      <c r="B33" s="174" t="s">
        <v>71</v>
      </c>
      <c r="C33" s="174" t="s">
        <v>954</v>
      </c>
      <c r="D33" s="174" t="s">
        <v>951</v>
      </c>
      <c r="E33" s="180" t="s">
        <v>955</v>
      </c>
      <c r="F33" s="174" t="s">
        <v>956</v>
      </c>
    </row>
    <row r="34" customFormat="false" ht="18" hidden="false" customHeight="true" outlineLevel="0" collapsed="false">
      <c r="A34" s="78"/>
      <c r="B34" s="78"/>
      <c r="C34" s="78"/>
      <c r="D34" s="78"/>
      <c r="E34" s="78"/>
      <c r="F34" s="78"/>
    </row>
    <row r="35" customFormat="false" ht="60" hidden="false" customHeight="true" outlineLevel="0" collapsed="false">
      <c r="A35" s="110" t="s">
        <v>957</v>
      </c>
      <c r="B35" s="110"/>
      <c r="C35" s="110"/>
      <c r="D35" s="110"/>
      <c r="E35" s="110"/>
      <c r="F35" s="110"/>
    </row>
    <row r="36" customFormat="false" ht="15" hidden="false" customHeight="true" outlineLevel="0" collapsed="false">
      <c r="A36" s="114" t="s">
        <v>902</v>
      </c>
      <c r="B36" s="114" t="s">
        <v>145</v>
      </c>
      <c r="C36" s="114" t="s">
        <v>903</v>
      </c>
      <c r="D36" s="114" t="s">
        <v>132</v>
      </c>
      <c r="E36" s="114" t="s">
        <v>958</v>
      </c>
      <c r="F36" s="114" t="s">
        <v>164</v>
      </c>
    </row>
    <row r="37" customFormat="false" ht="53.25" hidden="false" customHeight="true" outlineLevel="0" collapsed="false">
      <c r="A37" s="118" t="n">
        <v>7</v>
      </c>
      <c r="B37" s="176" t="s">
        <v>959</v>
      </c>
      <c r="C37" s="176" t="s">
        <v>960</v>
      </c>
      <c r="D37" s="176" t="s">
        <v>961</v>
      </c>
      <c r="E37" s="178" t="s">
        <v>962</v>
      </c>
      <c r="F37" s="176" t="s">
        <v>963</v>
      </c>
    </row>
    <row r="39" customFormat="false" ht="15" hidden="false" customHeight="true" outlineLevel="0" collapsed="false">
      <c r="A39" s="128" t="s">
        <v>964</v>
      </c>
    </row>
    <row r="40" customFormat="false" ht="867.75" hidden="false" customHeight="true" outlineLevel="0" collapsed="false">
      <c r="A40" s="185" t="s">
        <v>965</v>
      </c>
    </row>
  </sheetData>
  <mergeCells count="12">
    <mergeCell ref="A1:F1"/>
    <mergeCell ref="A2:F2"/>
    <mergeCell ref="A4:F4"/>
    <mergeCell ref="B5:F5"/>
    <mergeCell ref="B6:F6"/>
    <mergeCell ref="B7:F7"/>
    <mergeCell ref="A9:F9"/>
    <mergeCell ref="A15:F15"/>
    <mergeCell ref="A25:F25"/>
    <mergeCell ref="A30:F30"/>
    <mergeCell ref="A34:F34"/>
    <mergeCell ref="A35:F35"/>
  </mergeCells>
  <hyperlinks>
    <hyperlink ref="E17" r:id="rId1" display="Foglio &quot;ARIA_2026_410&quot; — Manutenzione Imp. Idrici Sanità (GUUE 276431-2026)"/>
    <hyperlink ref="E18" r:id="rId2" display="Foglio &quot;Consip ID 2849&quot; — AQ SIE PAL (GUUE S 051 del 13/03/2026)"/>
    <hyperlink ref="E19" r:id="rId3" display="https://www.consip.it/notizie-avvisi/pubblicata-la-consultazione-del-mercato-per-laffidamento-del-servizio-integrato-energia-per-le-pubbliche-amministrazioni-centrali-sie-pac"/>
    <hyperlink ref="E20" r:id="rId4" display="https://www.azero.veneto.it/bandi-di-gara-fornitori"/>
    <hyperlink ref="E21" r:id="rId5" display="Link diretto"/>
    <hyperlink ref="E22" r:id="rId6" display="Consip ID 2950 — AQ MIES Ed. 2 (bando pubblicato 28/08/2026, offerte 30/09/2026 h.16)"/>
    <hyperlink ref="E23" r:id="rId7" display="Consip ID 2635 — AQ MIES ed. 1 (PRECEDENTE — riferimento)"/>
    <hyperlink ref="E27" r:id="rId8" display="Comune Milano — Avviso DD 2213 del 24/03/2025 (S.Siro: rogito 05/11/2025)"/>
    <hyperlink ref="E28" r:id="rId9" display="Giustizia.it — Avviso PPP Energia DAP (SBG1416417 + Linee guida 30/03/2025)"/>
    <hyperlink ref="E32" r:id="rId10" display="Sintel ID 219510451 — ASP Pavia EPC (procedura aperta, scad. 22/06/2026)"/>
  </hyperlinks>
  <printOptions headings="false" gridLines="false" gridLinesSet="true" horizontalCentered="true" verticalCentered="false"/>
  <pageMargins left="0.4" right="0.4" top="0.4" bottom="0.4"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 width="34"/>
    <col collapsed="false" customWidth="true" hidden="false" outlineLevel="0" max="2" min="2" style="5" width="88"/>
  </cols>
  <sheetData>
    <row r="1" customFormat="false" ht="21.75" hidden="false" customHeight="true" outlineLevel="0" collapsed="false">
      <c r="A1" s="160" t="s">
        <v>966</v>
      </c>
      <c r="B1" s="160"/>
    </row>
    <row r="3" customFormat="false" ht="15" hidden="false" customHeight="true" outlineLevel="0" collapsed="false">
      <c r="A3" s="161" t="s">
        <v>967</v>
      </c>
      <c r="B3" s="104" t="s">
        <v>968</v>
      </c>
    </row>
    <row r="4" customFormat="false" ht="15" hidden="false" customHeight="true" outlineLevel="0" collapsed="false">
      <c r="A4" s="161" t="s">
        <v>132</v>
      </c>
      <c r="B4" s="162" t="s">
        <v>969</v>
      </c>
    </row>
    <row r="6" customFormat="false" ht="21.75" hidden="false" customHeight="true" outlineLevel="0" collapsed="false">
      <c r="A6" s="85" t="s">
        <v>199</v>
      </c>
      <c r="B6" s="85"/>
    </row>
    <row r="7" customFormat="false" ht="15" hidden="false" customHeight="true" outlineLevel="0" collapsed="false">
      <c r="A7" s="161" t="s">
        <v>970</v>
      </c>
      <c r="B7" s="104" t="s">
        <v>971</v>
      </c>
    </row>
    <row r="8" customFormat="false" ht="21.75" hidden="false" customHeight="true" outlineLevel="0" collapsed="false">
      <c r="A8" s="161" t="s">
        <v>972</v>
      </c>
      <c r="B8" s="104" t="s">
        <v>973</v>
      </c>
    </row>
    <row r="9" customFormat="false" ht="15" hidden="false" customHeight="true" outlineLevel="0" collapsed="false">
      <c r="A9" s="161" t="s">
        <v>974</v>
      </c>
      <c r="B9" s="104" t="s">
        <v>975</v>
      </c>
    </row>
    <row r="10" customFormat="false" ht="15" hidden="false" customHeight="true" outlineLevel="0" collapsed="false">
      <c r="A10" s="161" t="s">
        <v>976</v>
      </c>
      <c r="B10" s="104" t="s">
        <v>977</v>
      </c>
    </row>
    <row r="11" customFormat="false" ht="15" hidden="false" customHeight="true" outlineLevel="0" collapsed="false">
      <c r="A11" s="161" t="s">
        <v>978</v>
      </c>
      <c r="B11" s="104" t="s">
        <v>979</v>
      </c>
    </row>
    <row r="12" customFormat="false" ht="15" hidden="false" customHeight="true" outlineLevel="0" collapsed="false">
      <c r="A12" s="161" t="s">
        <v>980</v>
      </c>
      <c r="B12" s="104" t="s">
        <v>981</v>
      </c>
    </row>
    <row r="13" customFormat="false" ht="15" hidden="false" customHeight="true" outlineLevel="0" collapsed="false">
      <c r="A13" s="161" t="s">
        <v>982</v>
      </c>
      <c r="B13" s="104" t="s">
        <v>983</v>
      </c>
    </row>
    <row r="14" customFormat="false" ht="15" hidden="false" customHeight="true" outlineLevel="0" collapsed="false">
      <c r="A14" s="161" t="s">
        <v>984</v>
      </c>
      <c r="B14" s="104" t="s">
        <v>544</v>
      </c>
    </row>
    <row r="15" customFormat="false" ht="15" hidden="false" customHeight="true" outlineLevel="0" collapsed="false">
      <c r="A15" s="161" t="s">
        <v>985</v>
      </c>
      <c r="B15" s="104" t="s">
        <v>986</v>
      </c>
    </row>
    <row r="16" customFormat="false" ht="15" hidden="false" customHeight="true" outlineLevel="0" collapsed="false">
      <c r="A16" s="161" t="s">
        <v>987</v>
      </c>
      <c r="B16" s="104" t="s">
        <v>988</v>
      </c>
    </row>
    <row r="17" customFormat="false" ht="15" hidden="false" customHeight="true" outlineLevel="0" collapsed="false">
      <c r="A17" s="161" t="s">
        <v>989</v>
      </c>
      <c r="B17" s="104" t="s">
        <v>990</v>
      </c>
    </row>
    <row r="19" customFormat="false" ht="21.75" hidden="false" customHeight="true" outlineLevel="0" collapsed="false">
      <c r="A19" s="85" t="s">
        <v>991</v>
      </c>
      <c r="B19" s="85"/>
    </row>
    <row r="20" customFormat="false" ht="15" hidden="false" customHeight="true" outlineLevel="0" collapsed="false">
      <c r="A20" s="161" t="s">
        <v>992</v>
      </c>
      <c r="B20" s="104" t="s">
        <v>993</v>
      </c>
    </row>
    <row r="21" customFormat="false" ht="15" hidden="false" customHeight="true" outlineLevel="0" collapsed="false">
      <c r="A21" s="161" t="s">
        <v>994</v>
      </c>
      <c r="B21" s="104" t="s">
        <v>995</v>
      </c>
    </row>
    <row r="22" customFormat="false" ht="15" hidden="false" customHeight="true" outlineLevel="0" collapsed="false">
      <c r="A22" s="161" t="s">
        <v>996</v>
      </c>
      <c r="B22" s="162" t="s">
        <v>997</v>
      </c>
    </row>
    <row r="23" customFormat="false" ht="15" hidden="false" customHeight="true" outlineLevel="0" collapsed="false">
      <c r="A23" s="161" t="s">
        <v>998</v>
      </c>
      <c r="B23" s="162" t="s">
        <v>999</v>
      </c>
    </row>
    <row r="24" customFormat="false" ht="15" hidden="false" customHeight="true" outlineLevel="0" collapsed="false">
      <c r="A24" s="161" t="s">
        <v>1000</v>
      </c>
      <c r="B24" s="104" t="s">
        <v>1001</v>
      </c>
    </row>
    <row r="25" customFormat="false" ht="15" hidden="false" customHeight="true" outlineLevel="0" collapsed="false">
      <c r="A25" s="161" t="s">
        <v>1002</v>
      </c>
      <c r="B25" s="104" t="s">
        <v>1003</v>
      </c>
    </row>
    <row r="27" customFormat="false" ht="21.75" hidden="false" customHeight="true" outlineLevel="0" collapsed="false">
      <c r="A27" s="85" t="s">
        <v>1004</v>
      </c>
      <c r="B27" s="85"/>
    </row>
    <row r="28" customFormat="false" ht="15" hidden="false" customHeight="true" outlineLevel="0" collapsed="false">
      <c r="A28" s="161" t="s">
        <v>1005</v>
      </c>
      <c r="B28" s="104" t="s">
        <v>1006</v>
      </c>
    </row>
    <row r="29" customFormat="false" ht="15" hidden="false" customHeight="true" outlineLevel="0" collapsed="false">
      <c r="A29" s="161" t="s">
        <v>1007</v>
      </c>
      <c r="B29" s="104" t="s">
        <v>1008</v>
      </c>
    </row>
    <row r="30" customFormat="false" ht="15" hidden="false" customHeight="true" outlineLevel="0" collapsed="false">
      <c r="A30" s="161" t="s">
        <v>1009</v>
      </c>
      <c r="B30" s="104" t="s">
        <v>1010</v>
      </c>
    </row>
    <row r="31" customFormat="false" ht="15" hidden="false" customHeight="true" outlineLevel="0" collapsed="false">
      <c r="A31" s="161" t="s">
        <v>1011</v>
      </c>
      <c r="B31" s="104" t="s">
        <v>1012</v>
      </c>
    </row>
    <row r="32" customFormat="false" ht="15" hidden="false" customHeight="true" outlineLevel="0" collapsed="false">
      <c r="A32" s="161" t="s">
        <v>1013</v>
      </c>
      <c r="B32" s="104" t="s">
        <v>1014</v>
      </c>
    </row>
    <row r="33" customFormat="false" ht="15" hidden="false" customHeight="true" outlineLevel="0" collapsed="false">
      <c r="A33" s="161" t="s">
        <v>395</v>
      </c>
      <c r="B33" s="104" t="s">
        <v>1015</v>
      </c>
    </row>
    <row r="34" customFormat="false" ht="15" hidden="false" customHeight="true" outlineLevel="0" collapsed="false">
      <c r="A34" s="161" t="s">
        <v>1016</v>
      </c>
      <c r="B34" s="104" t="s">
        <v>1017</v>
      </c>
    </row>
    <row r="36" customFormat="false" ht="21.75" hidden="false" customHeight="true" outlineLevel="0" collapsed="false">
      <c r="A36" s="85" t="s">
        <v>1018</v>
      </c>
      <c r="B36" s="85"/>
    </row>
    <row r="37" customFormat="false" ht="60" hidden="false" customHeight="true" outlineLevel="0" collapsed="false">
      <c r="A37" s="161" t="s">
        <v>1019</v>
      </c>
      <c r="B37" s="104" t="s">
        <v>1020</v>
      </c>
    </row>
    <row r="38" customFormat="false" ht="60" hidden="false" customHeight="true" outlineLevel="0" collapsed="false">
      <c r="A38" s="161" t="s">
        <v>1021</v>
      </c>
      <c r="B38" s="104" t="s">
        <v>1022</v>
      </c>
    </row>
    <row r="39" customFormat="false" ht="60" hidden="false" customHeight="true" outlineLevel="0" collapsed="false">
      <c r="A39" s="161" t="s">
        <v>1023</v>
      </c>
      <c r="B39" s="104" t="s">
        <v>1024</v>
      </c>
    </row>
    <row r="40" customFormat="false" ht="60" hidden="false" customHeight="true" outlineLevel="0" collapsed="false">
      <c r="A40" s="161" t="s">
        <v>1025</v>
      </c>
      <c r="B40" s="104" t="s">
        <v>1026</v>
      </c>
    </row>
    <row r="41" customFormat="false" ht="60" hidden="false" customHeight="true" outlineLevel="0" collapsed="false">
      <c r="A41" s="161" t="s">
        <v>1027</v>
      </c>
      <c r="B41" s="104" t="s">
        <v>1028</v>
      </c>
    </row>
    <row r="43" customFormat="false" ht="21.75" hidden="false" customHeight="true" outlineLevel="0" collapsed="false">
      <c r="A43" s="85" t="s">
        <v>1029</v>
      </c>
      <c r="B43" s="85"/>
    </row>
    <row r="44" customFormat="false" ht="15" hidden="false" customHeight="true" outlineLevel="0" collapsed="false">
      <c r="A44" s="161" t="s">
        <v>1030</v>
      </c>
      <c r="B44" s="104" t="s">
        <v>1031</v>
      </c>
    </row>
    <row r="45" customFormat="false" ht="15" hidden="false" customHeight="true" outlineLevel="0" collapsed="false">
      <c r="A45" s="161" t="s">
        <v>1032</v>
      </c>
      <c r="B45" s="104" t="s">
        <v>1033</v>
      </c>
    </row>
    <row r="46" customFormat="false" ht="15" hidden="false" customHeight="true" outlineLevel="0" collapsed="false">
      <c r="A46" s="161" t="s">
        <v>1034</v>
      </c>
      <c r="B46" s="104" t="s">
        <v>1035</v>
      </c>
    </row>
    <row r="47" customFormat="false" ht="15" hidden="false" customHeight="true" outlineLevel="0" collapsed="false">
      <c r="A47" s="161" t="s">
        <v>1036</v>
      </c>
      <c r="B47" s="104" t="s">
        <v>1037</v>
      </c>
    </row>
    <row r="48" customFormat="false" ht="15" hidden="false" customHeight="true" outlineLevel="0" collapsed="false">
      <c r="A48" s="161" t="s">
        <v>1038</v>
      </c>
      <c r="B48" s="104" t="s">
        <v>1039</v>
      </c>
    </row>
    <row r="49" customFormat="false" ht="15" hidden="false" customHeight="true" outlineLevel="0" collapsed="false">
      <c r="A49" s="161" t="s">
        <v>1040</v>
      </c>
      <c r="B49" s="104" t="s">
        <v>1041</v>
      </c>
    </row>
    <row r="51" customFormat="false" ht="21.75" hidden="false" customHeight="true" outlineLevel="0" collapsed="false">
      <c r="A51" s="85" t="s">
        <v>1042</v>
      </c>
      <c r="B51" s="85"/>
    </row>
    <row r="52" customFormat="false" ht="15" hidden="false" customHeight="true" outlineLevel="0" collapsed="false">
      <c r="A52" s="161" t="s">
        <v>637</v>
      </c>
      <c r="B52" s="104" t="s">
        <v>1043</v>
      </c>
    </row>
    <row r="53" customFormat="false" ht="15" hidden="false" customHeight="true" outlineLevel="0" collapsed="false">
      <c r="A53" s="161" t="s">
        <v>1044</v>
      </c>
      <c r="B53" s="104" t="s">
        <v>1045</v>
      </c>
    </row>
    <row r="54" customFormat="false" ht="15" hidden="false" customHeight="true" outlineLevel="0" collapsed="false">
      <c r="A54" s="161" t="s">
        <v>389</v>
      </c>
      <c r="B54" s="104" t="s">
        <v>1046</v>
      </c>
    </row>
    <row r="55" customFormat="false" ht="15" hidden="false" customHeight="true" outlineLevel="0" collapsed="false">
      <c r="A55" s="161" t="s">
        <v>1047</v>
      </c>
      <c r="B55" s="104" t="s">
        <v>1048</v>
      </c>
    </row>
    <row r="57" customFormat="false" ht="21.75" hidden="false" customHeight="true" outlineLevel="0" collapsed="false">
      <c r="A57" s="85" t="s">
        <v>1049</v>
      </c>
      <c r="B57" s="85"/>
    </row>
    <row r="58" customFormat="false" ht="15" hidden="false" customHeight="true" outlineLevel="0" collapsed="false">
      <c r="A58" s="161" t="s">
        <v>1050</v>
      </c>
      <c r="B58" s="104" t="s">
        <v>1051</v>
      </c>
    </row>
    <row r="59" customFormat="false" ht="15" hidden="false" customHeight="true" outlineLevel="0" collapsed="false">
      <c r="A59" s="161" t="s">
        <v>1052</v>
      </c>
      <c r="B59" s="104" t="s">
        <v>1053</v>
      </c>
    </row>
    <row r="60" customFormat="false" ht="15" hidden="false" customHeight="true" outlineLevel="0" collapsed="false">
      <c r="A60" s="161" t="s">
        <v>1054</v>
      </c>
      <c r="B60" s="104" t="s">
        <v>1055</v>
      </c>
    </row>
    <row r="61" customFormat="false" ht="15" hidden="false" customHeight="true" outlineLevel="0" collapsed="false">
      <c r="A61" s="161" t="s">
        <v>1056</v>
      </c>
      <c r="B61" s="104" t="s">
        <v>1057</v>
      </c>
    </row>
    <row r="62" customFormat="false" ht="15" hidden="false" customHeight="true" outlineLevel="0" collapsed="false">
      <c r="A62" s="161" t="s">
        <v>1032</v>
      </c>
      <c r="B62" s="104" t="s">
        <v>1058</v>
      </c>
    </row>
    <row r="64" customFormat="false" ht="21.75" hidden="false" customHeight="true" outlineLevel="0" collapsed="false">
      <c r="A64" s="85" t="s">
        <v>1059</v>
      </c>
      <c r="B64" s="85"/>
    </row>
    <row r="65" customFormat="false" ht="39.75" hidden="false" customHeight="true" outlineLevel="0" collapsed="false">
      <c r="A65" s="161" t="s">
        <v>1060</v>
      </c>
      <c r="B65" s="104" t="s">
        <v>1061</v>
      </c>
    </row>
    <row r="66" customFormat="false" ht="39.75" hidden="false" customHeight="true" outlineLevel="0" collapsed="false">
      <c r="A66" s="161" t="s">
        <v>1062</v>
      </c>
      <c r="B66" s="104" t="s">
        <v>1063</v>
      </c>
    </row>
    <row r="68" customFormat="false" ht="21.75" hidden="false" customHeight="true" outlineLevel="0" collapsed="false">
      <c r="A68" s="85" t="s">
        <v>1064</v>
      </c>
      <c r="B68" s="85"/>
    </row>
    <row r="69" customFormat="false" ht="15" hidden="false" customHeight="true" outlineLevel="0" collapsed="false">
      <c r="A69" s="161" t="s">
        <v>1065</v>
      </c>
      <c r="B69" s="104" t="s">
        <v>1066</v>
      </c>
    </row>
    <row r="70" customFormat="false" ht="15" hidden="false" customHeight="true" outlineLevel="0" collapsed="false">
      <c r="A70" s="161" t="s">
        <v>1065</v>
      </c>
      <c r="B70" s="104" t="s">
        <v>1067</v>
      </c>
    </row>
    <row r="71" customFormat="false" ht="15" hidden="false" customHeight="true" outlineLevel="0" collapsed="false">
      <c r="A71" s="161" t="s">
        <v>1065</v>
      </c>
      <c r="B71" s="104" t="s">
        <v>1068</v>
      </c>
    </row>
    <row r="72" customFormat="false" ht="15" hidden="false" customHeight="true" outlineLevel="0" collapsed="false">
      <c r="A72" s="161" t="s">
        <v>1065</v>
      </c>
      <c r="B72" s="104" t="s">
        <v>1069</v>
      </c>
    </row>
    <row r="73" customFormat="false" ht="15" hidden="false" customHeight="true" outlineLevel="0" collapsed="false">
      <c r="A73" s="161" t="s">
        <v>1065</v>
      </c>
      <c r="B73" s="104" t="s">
        <v>1070</v>
      </c>
    </row>
    <row r="74" customFormat="false" ht="15" hidden="false" customHeight="true" outlineLevel="0" collapsed="false">
      <c r="A74" s="161" t="s">
        <v>1065</v>
      </c>
      <c r="B74" s="104" t="s">
        <v>1071</v>
      </c>
    </row>
    <row r="75" customFormat="false" ht="15" hidden="false" customHeight="true" outlineLevel="0" collapsed="false">
      <c r="A75" s="161" t="s">
        <v>1065</v>
      </c>
      <c r="B75" s="104" t="s">
        <v>1072</v>
      </c>
    </row>
    <row r="77" customFormat="false" ht="21.75" hidden="false" customHeight="true" outlineLevel="0" collapsed="false">
      <c r="A77" s="85" t="s">
        <v>14</v>
      </c>
      <c r="B77" s="85"/>
    </row>
    <row r="78" customFormat="false" ht="15" hidden="false" customHeight="true" outlineLevel="0" collapsed="false">
      <c r="A78" s="161" t="s">
        <v>1073</v>
      </c>
      <c r="B78" s="104" t="s">
        <v>1074</v>
      </c>
    </row>
    <row r="79" customFormat="false" ht="15" hidden="false" customHeight="true" outlineLevel="0" collapsed="false">
      <c r="A79" s="161" t="s">
        <v>1075</v>
      </c>
      <c r="B79" s="104" t="s">
        <v>1076</v>
      </c>
    </row>
    <row r="80" customFormat="false" ht="15" hidden="false" customHeight="true" outlineLevel="0" collapsed="false">
      <c r="A80" s="161" t="s">
        <v>1077</v>
      </c>
      <c r="B80" s="104" t="s">
        <v>1078</v>
      </c>
    </row>
  </sheetData>
  <mergeCells count="11">
    <mergeCell ref="A1:B1"/>
    <mergeCell ref="A6:B6"/>
    <mergeCell ref="A19:B19"/>
    <mergeCell ref="A27:B27"/>
    <mergeCell ref="A36:B36"/>
    <mergeCell ref="A43:B43"/>
    <mergeCell ref="A51:B51"/>
    <mergeCell ref="A57:B57"/>
    <mergeCell ref="A64:B64"/>
    <mergeCell ref="A68:B68"/>
    <mergeCell ref="A77:B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 width="34"/>
    <col collapsed="false" customWidth="true" hidden="false" outlineLevel="0" max="2" min="2" style="5" width="88"/>
  </cols>
  <sheetData>
    <row r="1" customFormat="false" ht="21.75" hidden="false" customHeight="true" outlineLevel="0" collapsed="false">
      <c r="A1" s="160" t="s">
        <v>1079</v>
      </c>
      <c r="B1" s="160"/>
    </row>
    <row r="3" customFormat="false" ht="15" hidden="false" customHeight="true" outlineLevel="0" collapsed="false">
      <c r="A3" s="161" t="s">
        <v>967</v>
      </c>
      <c r="B3" s="104" t="s">
        <v>968</v>
      </c>
    </row>
    <row r="4" customFormat="false" ht="15" hidden="false" customHeight="true" outlineLevel="0" collapsed="false">
      <c r="A4" s="161" t="s">
        <v>132</v>
      </c>
      <c r="B4" s="162" t="s">
        <v>1080</v>
      </c>
    </row>
    <row r="6" customFormat="false" ht="21.75" hidden="false" customHeight="true" outlineLevel="0" collapsed="false">
      <c r="A6" s="85" t="s">
        <v>199</v>
      </c>
      <c r="B6" s="85"/>
    </row>
    <row r="7" customFormat="false" ht="15" hidden="false" customHeight="true" outlineLevel="0" collapsed="false">
      <c r="A7" s="161" t="s">
        <v>970</v>
      </c>
      <c r="B7" s="104" t="s">
        <v>1081</v>
      </c>
    </row>
    <row r="8" customFormat="false" ht="21.75" hidden="false" customHeight="true" outlineLevel="0" collapsed="false">
      <c r="A8" s="161" t="s">
        <v>972</v>
      </c>
      <c r="B8" s="104" t="s">
        <v>1082</v>
      </c>
    </row>
    <row r="9" customFormat="false" ht="15" hidden="false" customHeight="true" outlineLevel="0" collapsed="false">
      <c r="A9" s="161" t="s">
        <v>1083</v>
      </c>
      <c r="B9" s="104" t="s">
        <v>1084</v>
      </c>
    </row>
    <row r="10" customFormat="false" ht="15" hidden="false" customHeight="true" outlineLevel="0" collapsed="false">
      <c r="A10" s="161" t="s">
        <v>1085</v>
      </c>
      <c r="B10" s="104" t="s">
        <v>1086</v>
      </c>
    </row>
    <row r="11" customFormat="false" ht="15" hidden="false" customHeight="true" outlineLevel="0" collapsed="false">
      <c r="A11" s="161" t="s">
        <v>1087</v>
      </c>
      <c r="B11" s="104" t="s">
        <v>1088</v>
      </c>
    </row>
    <row r="12" customFormat="false" ht="15" hidden="false" customHeight="true" outlineLevel="0" collapsed="false">
      <c r="A12" s="161" t="s">
        <v>447</v>
      </c>
      <c r="B12" s="104" t="s">
        <v>1089</v>
      </c>
    </row>
    <row r="13" customFormat="false" ht="15" hidden="false" customHeight="true" outlineLevel="0" collapsed="false">
      <c r="A13" s="161" t="s">
        <v>1090</v>
      </c>
      <c r="B13" s="104" t="s">
        <v>1091</v>
      </c>
    </row>
    <row r="14" customFormat="false" ht="15" hidden="false" customHeight="true" outlineLevel="0" collapsed="false">
      <c r="A14" s="161" t="s">
        <v>987</v>
      </c>
      <c r="B14" s="104" t="s">
        <v>1092</v>
      </c>
    </row>
    <row r="15" customFormat="false" ht="15" hidden="false" customHeight="true" outlineLevel="0" collapsed="false">
      <c r="A15" s="161" t="s">
        <v>1093</v>
      </c>
      <c r="B15" s="104" t="s">
        <v>1094</v>
      </c>
    </row>
    <row r="16" customFormat="false" ht="15" hidden="false" customHeight="true" outlineLevel="0" collapsed="false">
      <c r="A16" s="161" t="s">
        <v>989</v>
      </c>
      <c r="B16" s="104" t="s">
        <v>1095</v>
      </c>
    </row>
    <row r="17" customFormat="false" ht="15" hidden="false" customHeight="true" outlineLevel="0" collapsed="false">
      <c r="A17" s="161" t="s">
        <v>1096</v>
      </c>
      <c r="B17" s="104" t="s">
        <v>1097</v>
      </c>
    </row>
    <row r="19" customFormat="false" ht="21.75" hidden="false" customHeight="true" outlineLevel="0" collapsed="false">
      <c r="A19" s="85" t="s">
        <v>991</v>
      </c>
      <c r="B19" s="85"/>
    </row>
    <row r="20" customFormat="false" ht="15" hidden="false" customHeight="true" outlineLevel="0" collapsed="false">
      <c r="A20" s="161" t="s">
        <v>1098</v>
      </c>
      <c r="B20" s="104" t="s">
        <v>1099</v>
      </c>
    </row>
    <row r="21" customFormat="false" ht="15" hidden="false" customHeight="true" outlineLevel="0" collapsed="false">
      <c r="A21" s="161" t="s">
        <v>996</v>
      </c>
      <c r="B21" s="162" t="s">
        <v>1100</v>
      </c>
    </row>
    <row r="22" customFormat="false" ht="15" hidden="false" customHeight="true" outlineLevel="0" collapsed="false">
      <c r="A22" s="161" t="s">
        <v>1101</v>
      </c>
      <c r="B22" s="104" t="s">
        <v>410</v>
      </c>
    </row>
    <row r="23" customFormat="false" ht="15" hidden="false" customHeight="true" outlineLevel="0" collapsed="false">
      <c r="A23" s="161" t="s">
        <v>1102</v>
      </c>
      <c r="B23" s="162" t="s">
        <v>1103</v>
      </c>
    </row>
    <row r="25" customFormat="false" ht="21.75" hidden="false" customHeight="true" outlineLevel="0" collapsed="false">
      <c r="A25" s="85" t="s">
        <v>1004</v>
      </c>
      <c r="B25" s="85"/>
    </row>
    <row r="26" customFormat="false" ht="15" hidden="false" customHeight="true" outlineLevel="0" collapsed="false">
      <c r="A26" s="161" t="s">
        <v>1104</v>
      </c>
      <c r="B26" s="104" t="s">
        <v>1105</v>
      </c>
    </row>
    <row r="27" customFormat="false" ht="15" hidden="false" customHeight="true" outlineLevel="0" collapsed="false">
      <c r="A27" s="161" t="s">
        <v>1016</v>
      </c>
      <c r="B27" s="104" t="s">
        <v>1106</v>
      </c>
    </row>
    <row r="28" customFormat="false" ht="15" hidden="false" customHeight="true" outlineLevel="0" collapsed="false">
      <c r="A28" s="161" t="s">
        <v>1107</v>
      </c>
      <c r="B28" s="104" t="s">
        <v>1108</v>
      </c>
    </row>
    <row r="29" customFormat="false" ht="15" hidden="false" customHeight="true" outlineLevel="0" collapsed="false">
      <c r="A29" s="161" t="s">
        <v>1109</v>
      </c>
      <c r="B29" s="104" t="s">
        <v>1110</v>
      </c>
    </row>
    <row r="30" customFormat="false" ht="15" hidden="false" customHeight="true" outlineLevel="0" collapsed="false">
      <c r="A30" s="161" t="s">
        <v>1111</v>
      </c>
      <c r="B30" s="104" t="s">
        <v>1112</v>
      </c>
    </row>
    <row r="31" customFormat="false" ht="15" hidden="false" customHeight="true" outlineLevel="0" collapsed="false">
      <c r="A31" s="161" t="s">
        <v>1113</v>
      </c>
      <c r="B31" s="104" t="s">
        <v>1114</v>
      </c>
    </row>
    <row r="32" customFormat="false" ht="15" hidden="false" customHeight="true" outlineLevel="0" collapsed="false">
      <c r="A32" s="161" t="s">
        <v>1115</v>
      </c>
      <c r="B32" s="104" t="s">
        <v>1116</v>
      </c>
    </row>
    <row r="33" customFormat="false" ht="15" hidden="false" customHeight="true" outlineLevel="0" collapsed="false">
      <c r="A33" s="161" t="s">
        <v>1117</v>
      </c>
      <c r="B33" s="104" t="s">
        <v>1118</v>
      </c>
    </row>
    <row r="34" customFormat="false" ht="15" hidden="false" customHeight="true" outlineLevel="0" collapsed="false">
      <c r="A34" s="161" t="s">
        <v>395</v>
      </c>
      <c r="B34" s="104" t="s">
        <v>1119</v>
      </c>
    </row>
    <row r="36" customFormat="false" ht="21.75" hidden="false" customHeight="true" outlineLevel="0" collapsed="false">
      <c r="A36" s="85" t="s">
        <v>1120</v>
      </c>
      <c r="B36" s="85"/>
    </row>
    <row r="37" customFormat="false" ht="42" hidden="false" customHeight="true" outlineLevel="0" collapsed="false">
      <c r="A37" s="161" t="s">
        <v>1019</v>
      </c>
      <c r="B37" s="104" t="s">
        <v>1121</v>
      </c>
    </row>
    <row r="38" customFormat="false" ht="42" hidden="false" customHeight="true" outlineLevel="0" collapsed="false">
      <c r="A38" s="161" t="s">
        <v>1021</v>
      </c>
      <c r="B38" s="104" t="s">
        <v>1122</v>
      </c>
    </row>
    <row r="39" customFormat="false" ht="42" hidden="false" customHeight="true" outlineLevel="0" collapsed="false">
      <c r="A39" s="161" t="s">
        <v>1023</v>
      </c>
      <c r="B39" s="104" t="s">
        <v>1123</v>
      </c>
    </row>
    <row r="40" customFormat="false" ht="42" hidden="false" customHeight="true" outlineLevel="0" collapsed="false">
      <c r="A40" s="161" t="s">
        <v>1025</v>
      </c>
      <c r="B40" s="104" t="s">
        <v>1124</v>
      </c>
    </row>
    <row r="41" customFormat="false" ht="42" hidden="false" customHeight="true" outlineLevel="0" collapsed="false">
      <c r="A41" s="161" t="s">
        <v>1027</v>
      </c>
      <c r="B41" s="104" t="s">
        <v>1125</v>
      </c>
    </row>
    <row r="42" customFormat="false" ht="42" hidden="false" customHeight="true" outlineLevel="0" collapsed="false">
      <c r="A42" s="161" t="s">
        <v>1126</v>
      </c>
      <c r="B42" s="104" t="s">
        <v>1127</v>
      </c>
    </row>
    <row r="43" customFormat="false" ht="42" hidden="false" customHeight="true" outlineLevel="0" collapsed="false">
      <c r="A43" s="161" t="s">
        <v>1128</v>
      </c>
      <c r="B43" s="104" t="s">
        <v>1129</v>
      </c>
    </row>
    <row r="44" customFormat="false" ht="42" hidden="false" customHeight="true" outlineLevel="0" collapsed="false">
      <c r="A44" s="161" t="s">
        <v>1130</v>
      </c>
      <c r="B44" s="104" t="s">
        <v>1131</v>
      </c>
    </row>
    <row r="45" customFormat="false" ht="42" hidden="false" customHeight="true" outlineLevel="0" collapsed="false">
      <c r="A45" s="161" t="s">
        <v>1132</v>
      </c>
      <c r="B45" s="104" t="s">
        <v>1133</v>
      </c>
    </row>
    <row r="46" customFormat="false" ht="42" hidden="false" customHeight="true" outlineLevel="0" collapsed="false">
      <c r="A46" s="161" t="s">
        <v>1134</v>
      </c>
      <c r="B46" s="104" t="s">
        <v>1135</v>
      </c>
    </row>
    <row r="48" customFormat="false" ht="21.75" hidden="false" customHeight="true" outlineLevel="0" collapsed="false">
      <c r="A48" s="85" t="s">
        <v>8</v>
      </c>
      <c r="B48" s="85"/>
    </row>
    <row r="49" customFormat="false" ht="15" hidden="false" customHeight="true" outlineLevel="0" collapsed="false">
      <c r="A49" s="161" t="s">
        <v>1136</v>
      </c>
      <c r="B49" s="104" t="s">
        <v>1137</v>
      </c>
    </row>
    <row r="50" customFormat="false" ht="15" hidden="false" customHeight="true" outlineLevel="0" collapsed="false">
      <c r="A50" s="161" t="s">
        <v>1138</v>
      </c>
      <c r="B50" s="104" t="s">
        <v>1139</v>
      </c>
    </row>
    <row r="51" customFormat="false" ht="15" hidden="false" customHeight="true" outlineLevel="0" collapsed="false">
      <c r="A51" s="161" t="s">
        <v>1140</v>
      </c>
      <c r="B51" s="104" t="s">
        <v>1141</v>
      </c>
    </row>
    <row r="53" customFormat="false" ht="21.75" hidden="false" customHeight="true" outlineLevel="0" collapsed="false">
      <c r="A53" s="85" t="s">
        <v>1042</v>
      </c>
      <c r="B53" s="85"/>
    </row>
    <row r="54" customFormat="false" ht="42" hidden="false" customHeight="true" outlineLevel="0" collapsed="false">
      <c r="A54" s="161" t="s">
        <v>637</v>
      </c>
      <c r="B54" s="104" t="s">
        <v>1142</v>
      </c>
    </row>
    <row r="55" customFormat="false" ht="42" hidden="false" customHeight="true" outlineLevel="0" collapsed="false">
      <c r="A55" s="161" t="s">
        <v>1143</v>
      </c>
      <c r="B55" s="104" t="s">
        <v>1144</v>
      </c>
    </row>
    <row r="56" customFormat="false" ht="42" hidden="false" customHeight="true" outlineLevel="0" collapsed="false">
      <c r="A56" s="161" t="s">
        <v>1145</v>
      </c>
      <c r="B56" s="104" t="s">
        <v>1146</v>
      </c>
    </row>
    <row r="57" customFormat="false" ht="42" hidden="false" customHeight="true" outlineLevel="0" collapsed="false">
      <c r="A57" s="161" t="s">
        <v>1147</v>
      </c>
      <c r="B57" s="104" t="s">
        <v>1148</v>
      </c>
    </row>
    <row r="59" customFormat="false" ht="21.75" hidden="false" customHeight="true" outlineLevel="0" collapsed="false">
      <c r="A59" s="85" t="s">
        <v>1149</v>
      </c>
      <c r="B59" s="85"/>
    </row>
    <row r="60" customFormat="false" ht="42" hidden="false" customHeight="true" outlineLevel="0" collapsed="false">
      <c r="A60" s="161" t="s">
        <v>1150</v>
      </c>
      <c r="B60" s="104" t="s">
        <v>1151</v>
      </c>
    </row>
    <row r="61" customFormat="false" ht="42" hidden="false" customHeight="true" outlineLevel="0" collapsed="false">
      <c r="A61" s="161" t="s">
        <v>1152</v>
      </c>
      <c r="B61" s="104" t="s">
        <v>1153</v>
      </c>
    </row>
    <row r="62" customFormat="false" ht="42" hidden="false" customHeight="true" outlineLevel="0" collapsed="false">
      <c r="A62" s="161" t="s">
        <v>1154</v>
      </c>
      <c r="B62" s="104" t="s">
        <v>1155</v>
      </c>
    </row>
    <row r="63" customFormat="false" ht="42" hidden="false" customHeight="true" outlineLevel="0" collapsed="false">
      <c r="A63" s="161" t="s">
        <v>1156</v>
      </c>
      <c r="B63" s="104" t="s">
        <v>1157</v>
      </c>
    </row>
    <row r="64" customFormat="false" ht="42" hidden="false" customHeight="true" outlineLevel="0" collapsed="false">
      <c r="A64" s="161" t="s">
        <v>1158</v>
      </c>
      <c r="B64" s="104" t="s">
        <v>1159</v>
      </c>
    </row>
    <row r="65" customFormat="false" ht="42" hidden="false" customHeight="true" outlineLevel="0" collapsed="false">
      <c r="A65" s="161" t="s">
        <v>1160</v>
      </c>
      <c r="B65" s="104" t="s">
        <v>1161</v>
      </c>
    </row>
    <row r="66" customFormat="false" ht="42" hidden="false" customHeight="true" outlineLevel="0" collapsed="false">
      <c r="A66" s="161" t="s">
        <v>1162</v>
      </c>
      <c r="B66" s="104" t="s">
        <v>1163</v>
      </c>
    </row>
    <row r="67" customFormat="false" ht="42" hidden="false" customHeight="true" outlineLevel="0" collapsed="false">
      <c r="A67" s="161" t="s">
        <v>1164</v>
      </c>
      <c r="B67" s="104" t="s">
        <v>1165</v>
      </c>
    </row>
    <row r="69" customFormat="false" ht="21.75" hidden="false" customHeight="true" outlineLevel="0" collapsed="false">
      <c r="A69" s="85" t="s">
        <v>1166</v>
      </c>
      <c r="B69" s="85"/>
    </row>
    <row r="70" customFormat="false" ht="15" hidden="false" customHeight="true" outlineLevel="0" collapsed="false">
      <c r="A70" s="161" t="s">
        <v>1167</v>
      </c>
      <c r="B70" s="104" t="s">
        <v>1168</v>
      </c>
    </row>
    <row r="71" customFormat="false" ht="15" hidden="false" customHeight="true" outlineLevel="0" collapsed="false">
      <c r="A71" s="161" t="s">
        <v>1169</v>
      </c>
      <c r="B71" s="104" t="s">
        <v>1170</v>
      </c>
    </row>
    <row r="72" customFormat="false" ht="15" hidden="false" customHeight="true" outlineLevel="0" collapsed="false">
      <c r="A72" s="161" t="s">
        <v>1171</v>
      </c>
      <c r="B72" s="104" t="s">
        <v>1172</v>
      </c>
    </row>
    <row r="73" customFormat="false" ht="15" hidden="false" customHeight="true" outlineLevel="0" collapsed="false">
      <c r="A73" s="161" t="s">
        <v>1173</v>
      </c>
      <c r="B73" s="104" t="s">
        <v>1174</v>
      </c>
    </row>
    <row r="75" customFormat="false" ht="21.75" hidden="false" customHeight="true" outlineLevel="0" collapsed="false">
      <c r="A75" s="85" t="s">
        <v>1175</v>
      </c>
      <c r="B75" s="85"/>
    </row>
    <row r="76" customFormat="false" ht="60" hidden="false" customHeight="true" outlineLevel="0" collapsed="false">
      <c r="A76" s="161" t="s">
        <v>1176</v>
      </c>
      <c r="B76" s="104" t="s">
        <v>1177</v>
      </c>
    </row>
    <row r="77" customFormat="false" ht="60" hidden="false" customHeight="true" outlineLevel="0" collapsed="false">
      <c r="A77" s="161" t="s">
        <v>1178</v>
      </c>
      <c r="B77" s="104" t="s">
        <v>1179</v>
      </c>
    </row>
    <row r="78" customFormat="false" ht="60" hidden="false" customHeight="true" outlineLevel="0" collapsed="false">
      <c r="A78" s="161" t="s">
        <v>1180</v>
      </c>
      <c r="B78" s="104" t="s">
        <v>1181</v>
      </c>
    </row>
    <row r="80" customFormat="false" ht="21.75" hidden="false" customHeight="true" outlineLevel="0" collapsed="false">
      <c r="A80" s="85" t="s">
        <v>1059</v>
      </c>
      <c r="B80" s="85"/>
    </row>
    <row r="81" customFormat="false" ht="42" hidden="false" customHeight="true" outlineLevel="0" collapsed="false">
      <c r="A81" s="161" t="s">
        <v>1182</v>
      </c>
      <c r="B81" s="104" t="s">
        <v>1183</v>
      </c>
    </row>
    <row r="82" customFormat="false" ht="42" hidden="false" customHeight="true" outlineLevel="0" collapsed="false">
      <c r="A82" s="161" t="s">
        <v>1184</v>
      </c>
      <c r="B82" s="104" t="s">
        <v>1185</v>
      </c>
    </row>
    <row r="83" customFormat="false" ht="42" hidden="false" customHeight="true" outlineLevel="0" collapsed="false">
      <c r="A83" s="161" t="s">
        <v>1186</v>
      </c>
      <c r="B83" s="104" t="s">
        <v>1187</v>
      </c>
    </row>
    <row r="85" customFormat="false" ht="21.75" hidden="false" customHeight="true" outlineLevel="0" collapsed="false">
      <c r="A85" s="85" t="s">
        <v>1188</v>
      </c>
      <c r="B85" s="85"/>
    </row>
    <row r="86" customFormat="false" ht="15" hidden="false" customHeight="true" outlineLevel="0" collapsed="false">
      <c r="A86" s="161" t="s">
        <v>1065</v>
      </c>
      <c r="B86" s="104" t="s">
        <v>1189</v>
      </c>
    </row>
    <row r="87" customFormat="false" ht="15" hidden="false" customHeight="true" outlineLevel="0" collapsed="false">
      <c r="A87" s="161" t="s">
        <v>1065</v>
      </c>
      <c r="B87" s="104" t="s">
        <v>1190</v>
      </c>
    </row>
    <row r="88" customFormat="false" ht="15" hidden="false" customHeight="true" outlineLevel="0" collapsed="false">
      <c r="A88" s="161" t="s">
        <v>1065</v>
      </c>
      <c r="B88" s="104" t="s">
        <v>1191</v>
      </c>
    </row>
    <row r="89" customFormat="false" ht="15" hidden="false" customHeight="true" outlineLevel="0" collapsed="false">
      <c r="A89" s="161" t="s">
        <v>1065</v>
      </c>
      <c r="B89" s="104" t="s">
        <v>1192</v>
      </c>
    </row>
    <row r="90" customFormat="false" ht="15" hidden="false" customHeight="true" outlineLevel="0" collapsed="false">
      <c r="A90" s="161" t="s">
        <v>1065</v>
      </c>
      <c r="B90" s="104" t="s">
        <v>1193</v>
      </c>
    </row>
    <row r="91" customFormat="false" ht="15" hidden="false" customHeight="true" outlineLevel="0" collapsed="false">
      <c r="A91" s="161" t="s">
        <v>1065</v>
      </c>
      <c r="B91" s="104" t="s">
        <v>1194</v>
      </c>
    </row>
    <row r="92" customFormat="false" ht="15" hidden="false" customHeight="true" outlineLevel="0" collapsed="false">
      <c r="A92" s="161" t="s">
        <v>1065</v>
      </c>
      <c r="B92" s="104" t="s">
        <v>1195</v>
      </c>
    </row>
    <row r="93" customFormat="false" ht="15" hidden="false" customHeight="true" outlineLevel="0" collapsed="false">
      <c r="A93" s="161" t="s">
        <v>1065</v>
      </c>
      <c r="B93" s="104" t="s">
        <v>1196</v>
      </c>
    </row>
    <row r="94" customFormat="false" ht="15" hidden="false" customHeight="true" outlineLevel="0" collapsed="false">
      <c r="A94" s="161" t="s">
        <v>1065</v>
      </c>
      <c r="B94" s="104" t="s">
        <v>1197</v>
      </c>
    </row>
    <row r="95" customFormat="false" ht="15" hidden="false" customHeight="true" outlineLevel="0" collapsed="false">
      <c r="A95" s="161" t="s">
        <v>1065</v>
      </c>
      <c r="B95" s="104" t="s">
        <v>1198</v>
      </c>
    </row>
    <row r="96" customFormat="false" ht="15" hidden="false" customHeight="true" outlineLevel="0" collapsed="false">
      <c r="A96" s="161" t="s">
        <v>1065</v>
      </c>
      <c r="B96" s="104" t="s">
        <v>1199</v>
      </c>
    </row>
    <row r="97" customFormat="false" ht="15" hidden="false" customHeight="true" outlineLevel="0" collapsed="false">
      <c r="A97" s="161" t="s">
        <v>1065</v>
      </c>
      <c r="B97" s="104" t="s">
        <v>1200</v>
      </c>
    </row>
    <row r="99" customFormat="false" ht="21.75" hidden="false" customHeight="true" outlineLevel="0" collapsed="false">
      <c r="A99" s="85" t="s">
        <v>14</v>
      </c>
      <c r="B99" s="85"/>
    </row>
    <row r="100" customFormat="false" ht="15" hidden="false" customHeight="true" outlineLevel="0" collapsed="false">
      <c r="A100" s="161" t="s">
        <v>1201</v>
      </c>
      <c r="B100" s="104" t="s">
        <v>670</v>
      </c>
    </row>
    <row r="101" customFormat="false" ht="15" hidden="false" customHeight="true" outlineLevel="0" collapsed="false">
      <c r="A101" s="161" t="s">
        <v>1202</v>
      </c>
      <c r="B101" s="104" t="s">
        <v>1203</v>
      </c>
    </row>
    <row r="102" customFormat="false" ht="15" hidden="false" customHeight="true" outlineLevel="0" collapsed="false">
      <c r="A102" s="161" t="s">
        <v>1077</v>
      </c>
      <c r="B102" s="104" t="s">
        <v>1204</v>
      </c>
    </row>
  </sheetData>
  <mergeCells count="13">
    <mergeCell ref="A1:B1"/>
    <mergeCell ref="A6:B6"/>
    <mergeCell ref="A19:B19"/>
    <mergeCell ref="A25:B25"/>
    <mergeCell ref="A36:B36"/>
    <mergeCell ref="A48:B48"/>
    <mergeCell ref="A53:B53"/>
    <mergeCell ref="A59:B59"/>
    <mergeCell ref="A69:B69"/>
    <mergeCell ref="A75:B75"/>
    <mergeCell ref="A80:B80"/>
    <mergeCell ref="A85:B85"/>
    <mergeCell ref="A99:B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2026-06-11T14:40:40Z</dcterms:created>
  <dc:creator>openpyxl</dc:creator>
  <dc:description/>
  <dc:language>en-US</dc:language>
  <cp:lastModifiedBy>owner</cp:lastModifiedBy>
  <cp:lastPrinted>2026-06-19T09:32:54Z</cp:lastPrinted>
  <dcterms:modified xsi:type="dcterms:W3CDTF">2026-09-10T15:23:13Z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