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resources.deloitte.com/personal/giacosta_deloitte_it/Documents/Documents/Lazio/Multiservizio 2025/Documenti 17 giugno 2026/Allegati amministrativi/"/>
    </mc:Choice>
  </mc:AlternateContent>
  <xr:revisionPtr revIDLastSave="893" documentId="11_F25DC773A252ABDACC1048CE61DC440E5ADE58EC" xr6:coauthVersionLast="47" xr6:coauthVersionMax="47" xr10:uidLastSave="{D09DA3CB-3211-4642-ADCD-9C19C86CB2FC}"/>
  <bookViews>
    <workbookView xWindow="-110" yWindow="-110" windowWidth="19420" windowHeight="11500" xr2:uid="{00000000-000D-0000-FFFF-FFFF00000000}"/>
  </bookViews>
  <sheets>
    <sheet name="ASL RM1" sheetId="13" r:id="rId1"/>
    <sheet name="ASL RM2" sheetId="9" r:id="rId2"/>
    <sheet name="ASL RM3" sheetId="10" r:id="rId3"/>
    <sheet name="ASL RM4" sheetId="5" r:id="rId4"/>
    <sheet name="ASL RM5" sheetId="3" r:id="rId5"/>
    <sheet name="ASL RM6" sheetId="2" r:id="rId6"/>
    <sheet name="ASL LT" sheetId="15" r:id="rId7"/>
    <sheet name="ASL RI" sheetId="11" r:id="rId8"/>
    <sheet name="ASL FR" sheetId="7" r:id="rId9"/>
    <sheet name="AO S.GIOVANNI" sheetId="12" r:id="rId10"/>
    <sheet name="AO S.ANDREA" sheetId="8" r:id="rId11"/>
    <sheet name="PTV" sheetId="14" r:id="rId12"/>
  </sheets>
  <externalReferences>
    <externalReference r:id="rId13"/>
  </externalReferences>
  <definedNames>
    <definedName name="_xlnm._FilterDatabase" localSheetId="10" hidden="1">'AO S.ANDREA'!$A$2:$AF$41</definedName>
    <definedName name="_xlnm._FilterDatabase" localSheetId="9" hidden="1">'AO S.GIOVANNI'!$A$2:$AJ$50</definedName>
    <definedName name="_xlnm._FilterDatabase" localSheetId="8" hidden="1">'ASL FR'!$A$2:$AJ$79</definedName>
    <definedName name="_xlnm._FilterDatabase" localSheetId="6" hidden="1">'ASL LT'!$A$2:$AJ$2</definedName>
    <definedName name="_xlnm._FilterDatabase" localSheetId="7" hidden="1">'ASL RI'!$A$2:$S$48</definedName>
    <definedName name="_xlnm._FilterDatabase" localSheetId="0" hidden="1">'ASL RM1'!$A$2:$AM$82</definedName>
    <definedName name="_xlnm._FilterDatabase" localSheetId="1" hidden="1">'ASL RM2'!$A$2:$N$94</definedName>
    <definedName name="_xlnm._FilterDatabase" localSheetId="2" hidden="1">'ASL RM3'!$A$2:$AK$33</definedName>
    <definedName name="_xlnm._FilterDatabase" localSheetId="3" hidden="1">'ASL RM4'!$A$2:$M$31</definedName>
    <definedName name="_xlnm._FilterDatabase" localSheetId="4" hidden="1">'ASL RM5'!$A$2:$AI$59</definedName>
    <definedName name="_xlnm._FilterDatabase" localSheetId="5" hidden="1">'ASL RM6'!$A$2:$AG$72</definedName>
    <definedName name="_xlnm._FilterDatabase" localSheetId="11" hidden="1">PTV!$A$2:$M$53</definedName>
    <definedName name="_xlnm.Print_Area" localSheetId="6">'ASL LT'!$A$1:$N$33</definedName>
    <definedName name="_xlnm.Print_Area" localSheetId="7">'ASL RI'!$A$1:$O$48</definedName>
    <definedName name="_xlnm.Print_Area" localSheetId="0">'ASL RM1'!$A$1:$P$85</definedName>
    <definedName name="_xlnm.Print_Area" localSheetId="2">'ASL RM3'!$A$1:$N$33</definedName>
    <definedName name="_xlnm.Print_Area" localSheetId="5">'ASL RM6'!$A$1:$N$72</definedName>
    <definedName name="_xlnm.Print_Area" localSheetId="11">PTV!$A$1:$M$53</definedName>
    <definedName name="Scelta">[1]Sheet1!$A$2:$A$3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5" l="1"/>
  <c r="G51" i="15"/>
  <c r="K29" i="10"/>
  <c r="K16" i="10"/>
  <c r="K5" i="10"/>
  <c r="K3" i="10"/>
  <c r="K6" i="9" l="1"/>
  <c r="H27" i="5" l="1"/>
  <c r="H26" i="5"/>
  <c r="H25" i="5"/>
  <c r="H24" i="5"/>
  <c r="H23" i="5"/>
  <c r="H22" i="5"/>
  <c r="H21" i="5"/>
  <c r="H17" i="5"/>
  <c r="H16" i="5"/>
  <c r="H15" i="5"/>
  <c r="H12" i="5"/>
  <c r="H11" i="5"/>
  <c r="H10" i="5"/>
  <c r="H9" i="5"/>
  <c r="H8" i="5"/>
  <c r="H6" i="5"/>
  <c r="H5" i="5"/>
  <c r="H3" i="5"/>
</calcChain>
</file>

<file path=xl/sharedStrings.xml><?xml version="1.0" encoding="utf-8"?>
<sst xmlns="http://schemas.openxmlformats.org/spreadsheetml/2006/main" count="6202" uniqueCount="417">
  <si>
    <t>ASL ROMA 1</t>
  </si>
  <si>
    <t>Ditta/aggiudicatario</t>
  </si>
  <si>
    <t>Nome della struttura/presidio nel quale è impiegato il personale</t>
  </si>
  <si>
    <t>CCNL di riferimento</t>
  </si>
  <si>
    <t>Mansione
(Attività svolta)</t>
  </si>
  <si>
    <t>Livello</t>
  </si>
  <si>
    <t>Tipologia contratto</t>
  </si>
  <si>
    <t>Ore settimanali di impiego</t>
  </si>
  <si>
    <t>Anzianità lavorativa 
(in mesi)</t>
  </si>
  <si>
    <t>Data assunzIone</t>
  </si>
  <si>
    <t>Numero scatti di anzianità</t>
  </si>
  <si>
    <t>Super minimo</t>
  </si>
  <si>
    <t>Importo super minimo</t>
  </si>
  <si>
    <t>Benefit</t>
  </si>
  <si>
    <t>Importo benefit</t>
  </si>
  <si>
    <t xml:space="preserve">Soggetto svantaggiato </t>
  </si>
  <si>
    <t>Note</t>
  </si>
  <si>
    <t>S.A.C.C.I.R. SpA</t>
  </si>
  <si>
    <t>Ospedale San Filippo Neri</t>
  </si>
  <si>
    <t>Industria Metalmeccanica</t>
  </si>
  <si>
    <t>TURNISTA</t>
  </si>
  <si>
    <t>C2</t>
  </si>
  <si>
    <t>T.I.</t>
  </si>
  <si>
    <t>SI</t>
  </si>
  <si>
    <t>NO</t>
  </si>
  <si>
    <t>Ospedale Oftalmico</t>
  </si>
  <si>
    <t>TERMOIDRAULICO</t>
  </si>
  <si>
    <t>Ospedale S. Spirito</t>
  </si>
  <si>
    <t>C3</t>
  </si>
  <si>
    <t>MANUTENTORE GENERICO</t>
  </si>
  <si>
    <t>B1</t>
  </si>
  <si>
    <t>C1</t>
  </si>
  <si>
    <t>T.D.</t>
  </si>
  <si>
    <t>Apprendistato</t>
  </si>
  <si>
    <t>ELETTRICISTA</t>
  </si>
  <si>
    <t>FRIGORISTA</t>
  </si>
  <si>
    <t>D2</t>
  </si>
  <si>
    <t>IMPIEGATO TECNICO</t>
  </si>
  <si>
    <t>B2</t>
  </si>
  <si>
    <t>Ospedale N.R.M.</t>
  </si>
  <si>
    <t>Controllata Saccir</t>
  </si>
  <si>
    <t>EDILE</t>
  </si>
  <si>
    <t>D1</t>
  </si>
  <si>
    <t xml:space="preserve">Apprendistato </t>
  </si>
  <si>
    <t>Edilizia Industria</t>
  </si>
  <si>
    <t>ASL ROMA 2</t>
  </si>
  <si>
    <t>Data assunzone</t>
  </si>
  <si>
    <t>Benefit (buoni pasto)</t>
  </si>
  <si>
    <t>Benefit (Welfare Aziendale annuo-rif.erogaz. 2025)</t>
  </si>
  <si>
    <t>Soggetto svantaggiato</t>
  </si>
  <si>
    <t>Guerrato S.p.A.</t>
  </si>
  <si>
    <t xml:space="preserve">P.O. Pertini e Presidi ext </t>
  </si>
  <si>
    <t>Impiegato Tecnico</t>
  </si>
  <si>
    <t>Indeterminato</t>
  </si>
  <si>
    <t>Buoni pasto 6,20 gg. &gt;6 ore</t>
  </si>
  <si>
    <t>Impiegato Amministrativo</t>
  </si>
  <si>
    <t>Buoni pasto 7,00 gg. &gt;6 ore</t>
  </si>
  <si>
    <t>Manutentore Termoidraulico - Conduttore</t>
  </si>
  <si>
    <t xml:space="preserve">Manutentore Termoidraulico </t>
  </si>
  <si>
    <t>Manutentore Termoidraulico</t>
  </si>
  <si>
    <t>Manutentore Elettricista</t>
  </si>
  <si>
    <t>Impiegato Tecnico - Referente di Commessa</t>
  </si>
  <si>
    <t>Manutentore Termoidraulico - Frigorista</t>
  </si>
  <si>
    <t>Mnutentore Elettricista</t>
  </si>
  <si>
    <t>Manutentore Elettricista - Frigorista</t>
  </si>
  <si>
    <t>Manutentore Eletricista - Strumentista</t>
  </si>
  <si>
    <t>SIRAM</t>
  </si>
  <si>
    <t>CTO</t>
  </si>
  <si>
    <t>Metalmeccanico</t>
  </si>
  <si>
    <t>Elettricista</t>
  </si>
  <si>
    <t>-</t>
  </si>
  <si>
    <t>Conduttore generatori di vapore</t>
  </si>
  <si>
    <t>Caposquadra  Termotecnico</t>
  </si>
  <si>
    <t>Generico</t>
  </si>
  <si>
    <t>Manutentore Termotecnico</t>
  </si>
  <si>
    <t>Project manager</t>
  </si>
  <si>
    <t>SI-AUTO</t>
  </si>
  <si>
    <t>Impiegato</t>
  </si>
  <si>
    <t>Idraulico</t>
  </si>
  <si>
    <t>Assistente Tecnico</t>
  </si>
  <si>
    <t>CTO / Presidi</t>
  </si>
  <si>
    <t>Contract Coordinator</t>
  </si>
  <si>
    <t>B3</t>
  </si>
  <si>
    <t>OSE</t>
  </si>
  <si>
    <t>Segreteria Tecnica</t>
  </si>
  <si>
    <t>Elettricista Turnista</t>
  </si>
  <si>
    <t>Termoidraulico</t>
  </si>
  <si>
    <t>Frigorista</t>
  </si>
  <si>
    <t>Presidi</t>
  </si>
  <si>
    <t>Elettricista / Frigorista</t>
  </si>
  <si>
    <t>Sede Centrale</t>
  </si>
  <si>
    <t>Sistema Informativo</t>
  </si>
  <si>
    <t>indeterminato</t>
  </si>
  <si>
    <t>Adempimenti Normativi di Commessa</t>
  </si>
  <si>
    <t>ASL ROMA 3</t>
  </si>
  <si>
    <t xml:space="preserve">Tipologia contratto </t>
  </si>
  <si>
    <t>Soggetto svantaggiato 
(SI-NO)</t>
  </si>
  <si>
    <t xml:space="preserve">GETEC ITALIA SPA </t>
  </si>
  <si>
    <t xml:space="preserve">OSPEDALE GRASSI-PRESIDI </t>
  </si>
  <si>
    <t>Caposervizio Termoidraulico</t>
  </si>
  <si>
    <t xml:space="preserve">INDETERMINATO </t>
  </si>
  <si>
    <t>dipendente sopra i 50 anni</t>
  </si>
  <si>
    <t>Tecnico MEC</t>
  </si>
  <si>
    <t>OSPEDALE GRASSI</t>
  </si>
  <si>
    <t xml:space="preserve">Tecnico MEC - TURNISTA </t>
  </si>
  <si>
    <t>Tecnico IDR</t>
  </si>
  <si>
    <t xml:space="preserve">DETERMINATO </t>
  </si>
  <si>
    <t xml:space="preserve">Caposervizio Elettrico </t>
  </si>
  <si>
    <t xml:space="preserve">Tecnico ELE </t>
  </si>
  <si>
    <t xml:space="preserve">Tecnico ELE - TURNISTA </t>
  </si>
  <si>
    <t xml:space="preserve">ASSISTENTE TECNICO DI COMMESSA </t>
  </si>
  <si>
    <t xml:space="preserve">RESPONSABILE DI COMMESSA </t>
  </si>
  <si>
    <t xml:space="preserve">SEGRETERIA </t>
  </si>
  <si>
    <t>Manutentore Termo Idraulico</t>
  </si>
  <si>
    <t xml:space="preserve">ASL ROMA 4 </t>
  </si>
  <si>
    <t xml:space="preserve">Anzianità lavorativa </t>
  </si>
  <si>
    <t xml:space="preserve">GETEC ITALIA S.P.A </t>
  </si>
  <si>
    <t>CAPENA</t>
  </si>
  <si>
    <t xml:space="preserve">METALMECCANICO INDUSTRIA </t>
  </si>
  <si>
    <t>INTEDERMINATO</t>
  </si>
  <si>
    <t>OSPEDALE CIVITAVECCHIA</t>
  </si>
  <si>
    <t xml:space="preserve">ELETTRICISTA </t>
  </si>
  <si>
    <t xml:space="preserve">OSPEDALE  BRACCIANO </t>
  </si>
  <si>
    <t>TEMOIDRAULICO</t>
  </si>
  <si>
    <t>DETERMINATO</t>
  </si>
  <si>
    <t xml:space="preserve">OSPEDALE CIVITAVECCHIA </t>
  </si>
  <si>
    <t>ASSISTENTEDI COMMESSA</t>
  </si>
  <si>
    <t>LADISPOLI</t>
  </si>
  <si>
    <t xml:space="preserve">TELECONTROLLISTA/ELETTRICISTA </t>
  </si>
  <si>
    <t>ELETTRCISTA /CAPOTECNICO</t>
  </si>
  <si>
    <t>ASSISTENTE TECNICO</t>
  </si>
  <si>
    <t xml:space="preserve">TERMOIDRAUILCO </t>
  </si>
  <si>
    <t>SEGRETERIA</t>
  </si>
  <si>
    <t>TERMOIDRAULICO/CAPOTECNICO</t>
  </si>
  <si>
    <t>RESPONSABILE DI COMMESSA</t>
  </si>
  <si>
    <t xml:space="preserve">ASL ROMA 5 </t>
  </si>
  <si>
    <t>Importo Lordo mensile Scatti di anzianità</t>
  </si>
  <si>
    <t>Benefit (Buoni Pasto)</t>
  </si>
  <si>
    <t>Soggetto Svantaggiato</t>
  </si>
  <si>
    <t>ASL ROMA 5 - PO Palestrina</t>
  </si>
  <si>
    <t>LIVELLO D2 (ex 3^)</t>
  </si>
  <si>
    <t>ASL ROMA 5 - PO Tivoli</t>
  </si>
  <si>
    <t>ASL ROMA 5 - PO Colleferro</t>
  </si>
  <si>
    <t>LIVELLO C3 (ex 5^)</t>
  </si>
  <si>
    <t>ASL ROMA 5 - PO Monterotondo</t>
  </si>
  <si>
    <t>ASL ROMA 5 - PO Subiaco</t>
  </si>
  <si>
    <t>LIVELLO C2 (ex 4^)</t>
  </si>
  <si>
    <t>ASL ROMA 5 - CDS Palombara</t>
  </si>
  <si>
    <t>ASL ROMA 5 - PO  Tivoli</t>
  </si>
  <si>
    <t>ASL ROMA 5 -PO Palestrina</t>
  </si>
  <si>
    <t>LIVELLO B2 (ex 6^)</t>
  </si>
  <si>
    <t>ASL ROMA 5 - Ufficio Commessa</t>
  </si>
  <si>
    <t xml:space="preserve">ASL ROMA 5 - Ufficio </t>
  </si>
  <si>
    <t>ASL ROMA 6</t>
  </si>
  <si>
    <t>Siram Veolia spa (aggiudicatario)</t>
  </si>
  <si>
    <t>PO S. Sebastiano - Frascati</t>
  </si>
  <si>
    <t>Termoidraulico/Frigorista</t>
  </si>
  <si>
    <t>n.d.</t>
  </si>
  <si>
    <t>No</t>
  </si>
  <si>
    <t>Si</t>
  </si>
  <si>
    <t>Mit Group srl (subapaltatrice)</t>
  </si>
  <si>
    <t>PO S. Sebastiano - Frascati - Personale in Subappalto</t>
  </si>
  <si>
    <t>determinato</t>
  </si>
  <si>
    <t>10 mesi</t>
  </si>
  <si>
    <t>no</t>
  </si>
  <si>
    <t>0,165/l'ora</t>
  </si>
  <si>
    <t>turnista h24</t>
  </si>
  <si>
    <t>installatore di impianti</t>
  </si>
  <si>
    <t>0,001/l'ora</t>
  </si>
  <si>
    <t>P.O. Velletri</t>
  </si>
  <si>
    <t>O.O.R.R. Anzio e Nettuno e Villa Albani</t>
  </si>
  <si>
    <t>Elettrica VS (subapaltatrice)</t>
  </si>
  <si>
    <t>O.O.R.R. Anzio e Nettuno e Villa Albani - Personale in subappalto</t>
  </si>
  <si>
    <t>11/14/2018</t>
  </si>
  <si>
    <t>2/27/2019</t>
  </si>
  <si>
    <t>11/20/2007</t>
  </si>
  <si>
    <t>Ospedale dei Castelli</t>
  </si>
  <si>
    <t>Manutentore Polivalente</t>
  </si>
  <si>
    <t>Conduttore</t>
  </si>
  <si>
    <t>Ospedale dei Castelli - Personale in Subappalto</t>
  </si>
  <si>
    <t>turnisti h24</t>
  </si>
  <si>
    <t>3/28/2024</t>
  </si>
  <si>
    <t>Micor srl (aggiudicatario)</t>
  </si>
  <si>
    <t>P.O. Marino + Area 1-2 - Personale MICOR</t>
  </si>
  <si>
    <t>turnisti h12</t>
  </si>
  <si>
    <t>Termoidraulici</t>
  </si>
  <si>
    <t>Presidi Esterni Area 1-2-3</t>
  </si>
  <si>
    <t>Edile</t>
  </si>
  <si>
    <t>Frigorista/Elettricista</t>
  </si>
  <si>
    <t>Sede Operativa</t>
  </si>
  <si>
    <t>Referente Locale Siti Asl Roma 6</t>
  </si>
  <si>
    <t>Referente Locale sito Ospedale dei Castelli</t>
  </si>
  <si>
    <t>Referente contabilità lavori extra canone</t>
  </si>
  <si>
    <t>Referente Locale Siti Micor -Po Marino + Area 1-2</t>
  </si>
  <si>
    <t xml:space="preserve">Segreteria tecnica </t>
  </si>
  <si>
    <t>Staff Tecnico - Energy</t>
  </si>
  <si>
    <t xml:space="preserve">Sistema Informativo </t>
  </si>
  <si>
    <t>Lavori di Riqualificazione ed extracanone</t>
  </si>
  <si>
    <t>Attività di Manutenzione Ordinaria</t>
  </si>
  <si>
    <t>ASL LATINA</t>
  </si>
  <si>
    <t>Mugnai S.p.A.</t>
  </si>
  <si>
    <t>Latina</t>
  </si>
  <si>
    <t>C011</t>
  </si>
  <si>
    <t>Impiegato amministrativo</t>
  </si>
  <si>
    <t>T.I. Part-time 77,50%</t>
  </si>
  <si>
    <t>Operaio frigorista</t>
  </si>
  <si>
    <t>Operaio manutentore</t>
  </si>
  <si>
    <t>Operaio conduttore</t>
  </si>
  <si>
    <t>Op.conduttore turnista</t>
  </si>
  <si>
    <t>Formia</t>
  </si>
  <si>
    <t>Operaio idraulico</t>
  </si>
  <si>
    <t>Terracina</t>
  </si>
  <si>
    <t>Operaio termoidraulico</t>
  </si>
  <si>
    <t>Fondi</t>
  </si>
  <si>
    <t>Perm. Assistenza L. 104</t>
  </si>
  <si>
    <t>Operaio elettricista</t>
  </si>
  <si>
    <t>Permessi Legge 104</t>
  </si>
  <si>
    <t>Impiegato tecnico</t>
  </si>
  <si>
    <t>Perm.Assistenza L. 104</t>
  </si>
  <si>
    <t>Apprendista elettricista</t>
  </si>
  <si>
    <t>Capo commessa</t>
  </si>
  <si>
    <t>A1</t>
  </si>
  <si>
    <t>Autoveicolo</t>
  </si>
  <si>
    <t>Operaio elettromeccanico</t>
  </si>
  <si>
    <t>Capo squadra</t>
  </si>
  <si>
    <t xml:space="preserve"> </t>
  </si>
  <si>
    <t xml:space="preserve">ORE ANNUALI di impiego </t>
  </si>
  <si>
    <t>AIR CLIMA  SRL</t>
  </si>
  <si>
    <t>P.O. TERRACINA</t>
  </si>
  <si>
    <t>METALMECCANICA P.M. IMPRESA</t>
  </si>
  <si>
    <t>P.O. FORMIA</t>
  </si>
  <si>
    <t>OPERAIO</t>
  </si>
  <si>
    <t>P.O. LATINA</t>
  </si>
  <si>
    <t>P.O. SUD</t>
  </si>
  <si>
    <t>TRS IMPIANTI SRL</t>
  </si>
  <si>
    <t>P.O. NORD/SUD</t>
  </si>
  <si>
    <t>OPERAIO QUALIFICATO</t>
  </si>
  <si>
    <t>GENERAL WORKS  SRL</t>
  </si>
  <si>
    <t>AUSL LATINA</t>
  </si>
  <si>
    <t>METALMECCANICA ARTIGIANATO</t>
  </si>
  <si>
    <t>2B</t>
  </si>
  <si>
    <t>100 MESI</t>
  </si>
  <si>
    <t>173,00 MENSILE</t>
  </si>
  <si>
    <t>1.000,00 ANNO</t>
  </si>
  <si>
    <t>34 MESI</t>
  </si>
  <si>
    <t>500,00 MENSILE</t>
  </si>
  <si>
    <t>IDECO SRL</t>
  </si>
  <si>
    <t>METALMECCANICO</t>
  </si>
  <si>
    <t>MANUTENTORE</t>
  </si>
  <si>
    <t>INDETERMINATO</t>
  </si>
  <si>
    <t>TECNOGRUPPI SRL</t>
  </si>
  <si>
    <t>METAL MECCANICI ARTIGIANI</t>
  </si>
  <si>
    <t>OPERAIO SPECIALIZZATO</t>
  </si>
  <si>
    <t>V</t>
  </si>
  <si>
    <t>II</t>
  </si>
  <si>
    <t xml:space="preserve">DRACIDE SRL </t>
  </si>
  <si>
    <t>ASL - LATINA</t>
  </si>
  <si>
    <t xml:space="preserve">OP. SPECIALIZZATO </t>
  </si>
  <si>
    <t>OP. ELETTROTECNICO</t>
  </si>
  <si>
    <t>PIRAMIDE SERVIZI SRL</t>
  </si>
  <si>
    <t>EDILIZIA (Pmi)</t>
  </si>
  <si>
    <t>Sanificazione/Ass. edile/Pulizie</t>
  </si>
  <si>
    <t>METALMECCANICA (Pmi)</t>
  </si>
  <si>
    <t>3B</t>
  </si>
  <si>
    <t>NETTEZZA URBANA (Az. Private)</t>
  </si>
  <si>
    <t>Autospurgo/depurazione</t>
  </si>
  <si>
    <t>1B</t>
  </si>
  <si>
    <t>Molajoni Antincendi srl</t>
  </si>
  <si>
    <t>Manut. Estintori</t>
  </si>
  <si>
    <t>Tempo Indeterminato</t>
  </si>
  <si>
    <t>19 mesi</t>
  </si>
  <si>
    <t>102 mesi</t>
  </si>
  <si>
    <t>Eletr. Manut. Di impianti</t>
  </si>
  <si>
    <t>93 mesi</t>
  </si>
  <si>
    <t>Appr. Manutentore</t>
  </si>
  <si>
    <t>6 mesi</t>
  </si>
  <si>
    <t>Addetto Manutenzioni</t>
  </si>
  <si>
    <t>12 mesi</t>
  </si>
  <si>
    <t>Addetto Antincendio</t>
  </si>
  <si>
    <t>24 mesi</t>
  </si>
  <si>
    <t>15 mesi</t>
  </si>
  <si>
    <t>Marrocco Elevators srl</t>
  </si>
  <si>
    <t>METALMECCANICA PICCOLA INDUSTRIA</t>
  </si>
  <si>
    <t>ASCENSORISTA</t>
  </si>
  <si>
    <t>SIRTA SRL</t>
  </si>
  <si>
    <t>METALMECCANICO PMI</t>
  </si>
  <si>
    <t>operaio</t>
  </si>
  <si>
    <t>IV LIV. METALMECCANICO</t>
  </si>
  <si>
    <t>INDETERMIANTO</t>
  </si>
  <si>
    <t>III LIV. METALMECCANICO</t>
  </si>
  <si>
    <t>ASL RIETI</t>
  </si>
  <si>
    <t>P.O. Rieti</t>
  </si>
  <si>
    <t>01/02/2020</t>
  </si>
  <si>
    <t>Poggio Mirteto</t>
  </si>
  <si>
    <t>04/02/2020</t>
  </si>
  <si>
    <t>Ufficio Call-Center</t>
  </si>
  <si>
    <t>Addetto Call Center</t>
  </si>
  <si>
    <t>part-time indeterminato</t>
  </si>
  <si>
    <t>28/03/2022</t>
  </si>
  <si>
    <t>NO - buoni pasto</t>
  </si>
  <si>
    <t>Ufficio -Polo Tecnologico</t>
  </si>
  <si>
    <t>Impiegato Tecnico - Referente Locale</t>
  </si>
  <si>
    <t>11/09/2019</t>
  </si>
  <si>
    <t>Magliano Sabina</t>
  </si>
  <si>
    <t>02/01/2023</t>
  </si>
  <si>
    <t>01/07/2021</t>
  </si>
  <si>
    <t>Addetto call-center</t>
  </si>
  <si>
    <t>CIANA SRL (Subappalto Guerrato S.p.A.)</t>
  </si>
  <si>
    <t>P.O. Rieti - Depuratore</t>
  </si>
  <si>
    <t>Commercio</t>
  </si>
  <si>
    <t xml:space="preserve">Operaio specializzato - in Presidio Fisso </t>
  </si>
  <si>
    <t>PRESIDIO FISSO</t>
  </si>
  <si>
    <t xml:space="preserve">Addetto alle bonifiche </t>
  </si>
  <si>
    <t>PRESIDIO IN SOSTITUZIONE</t>
  </si>
  <si>
    <t>Spurgatore</t>
  </si>
  <si>
    <t>ATTIVITA' DI AUTOSPURGO</t>
  </si>
  <si>
    <t>Riparatore e Manutentore Impianti</t>
  </si>
  <si>
    <t>ASL FROSINONE</t>
  </si>
  <si>
    <t>TECKAL SPA</t>
  </si>
  <si>
    <t>P.O.CASSINO</t>
  </si>
  <si>
    <t>Multiservizi (codice CNEL K511)</t>
  </si>
  <si>
    <t>PLUMBER</t>
  </si>
  <si>
    <t>RESPONSABILE POLO B - FROSINONE</t>
  </si>
  <si>
    <t>BUILDING MANAGER</t>
  </si>
  <si>
    <t>ITINERANTE POLO A - ALATRI</t>
  </si>
  <si>
    <t>ELECTRICIAN</t>
  </si>
  <si>
    <t>ITINERANTE POLO B - FROSINONE</t>
  </si>
  <si>
    <t>PRESIDIO SANITARIO UMBERTO I VA MAZZINI</t>
  </si>
  <si>
    <t>HEATING SYSTEM OPERATOR</t>
  </si>
  <si>
    <t>GENERIC MAINTENANCE OPERATOR</t>
  </si>
  <si>
    <t>P.O. FROSINONE</t>
  </si>
  <si>
    <t>RESPOSABILE POLO D - CASSINO</t>
  </si>
  <si>
    <t>P.O. ALATRI</t>
  </si>
  <si>
    <t>P.O. SORA</t>
  </si>
  <si>
    <t>PRESIDIO SANITARIO ANAGNI</t>
  </si>
  <si>
    <t>P.O ALATRI</t>
  </si>
  <si>
    <t>ITINERANTE POLO D CASSINO</t>
  </si>
  <si>
    <t>PRESIDIO SANITARIO DI PONTECORVO</t>
  </si>
  <si>
    <t>P.O. CASSINO</t>
  </si>
  <si>
    <t>ITINERANTE POLO C SORA</t>
  </si>
  <si>
    <t>COOLING SYSTEM OPERATOR</t>
  </si>
  <si>
    <t>PRESIDIO SANITARIO CECCANO</t>
  </si>
  <si>
    <t>P.O. SPAZIANI POLIFUNZIONALE ASL DI FROSINONE</t>
  </si>
  <si>
    <t>RESPONSABILE POLO A - ALATRI</t>
  </si>
  <si>
    <t>BUILDING MAINTENANCE OPERATOR</t>
  </si>
  <si>
    <t>RESPONSABILE POLO C - SORA</t>
  </si>
  <si>
    <t>ITINERANTE POLO C - SORA</t>
  </si>
  <si>
    <t>BUILDING MANAGER ASSISTANT</t>
  </si>
  <si>
    <t>Tempo Determinato</t>
  </si>
  <si>
    <t>A.O. SAN GIOVANNI ADDOLORATA</t>
  </si>
  <si>
    <t>NOVA OFFICIA ITALIA SPA (EX CNP ENERGIA SPA)</t>
  </si>
  <si>
    <t>A.O. San Giovanni Addolorata</t>
  </si>
  <si>
    <t>Manutentore</t>
  </si>
  <si>
    <t>Assistente di Commessa</t>
  </si>
  <si>
    <t>2°</t>
  </si>
  <si>
    <t>Responsabile di commessa</t>
  </si>
  <si>
    <t>1°</t>
  </si>
  <si>
    <t xml:space="preserve">Polivalente </t>
  </si>
  <si>
    <t xml:space="preserve">Conduttore </t>
  </si>
  <si>
    <t>AXIOMA ENERGY SERVICES</t>
  </si>
  <si>
    <t>18/02/2017 </t>
  </si>
  <si>
    <t>BUONO PASTO </t>
  </si>
  <si>
    <t> 5</t>
  </si>
  <si>
    <t> 30/09/2024</t>
  </si>
  <si>
    <t> 0</t>
  </si>
  <si>
    <t> BUONO PASTO</t>
  </si>
  <si>
    <t> 14/12/2023</t>
  </si>
  <si>
    <t> 03/12/2018</t>
  </si>
  <si>
    <t> 2</t>
  </si>
  <si>
    <t> 19/10/2018</t>
  </si>
  <si>
    <t>5 </t>
  </si>
  <si>
    <t>E.Q.ELEVATOR QUALITY S.R.L.</t>
  </si>
  <si>
    <t>Tecnico manutentore ascensorista</t>
  </si>
  <si>
    <t>177 MESI</t>
  </si>
  <si>
    <t>€ 200,00 annuali</t>
  </si>
  <si>
    <t>Determinato</t>
  </si>
  <si>
    <t>11 MESI</t>
  </si>
  <si>
    <t>208 MESI</t>
  </si>
  <si>
    <t>114 MESI</t>
  </si>
  <si>
    <t>151 MESI</t>
  </si>
  <si>
    <t>A.O. SANT'ANDREA</t>
  </si>
  <si>
    <t>AXIOMA ENERGY SERVICE SRL</t>
  </si>
  <si>
    <t>AZ.OSP.SANT'ANDREA</t>
  </si>
  <si>
    <t>RESP.COMMESSA</t>
  </si>
  <si>
    <t>BUONO PASTO E AUTO AZIENDALE</t>
  </si>
  <si>
    <t>ASS.TECNICO</t>
  </si>
  <si>
    <t>BUONO PASTO</t>
  </si>
  <si>
    <t>CNP ENERGIA SPA</t>
  </si>
  <si>
    <t>OSPEDALE S. ANDREA</t>
  </si>
  <si>
    <t>Terziario</t>
  </si>
  <si>
    <t>Segreteria tecnica</t>
  </si>
  <si>
    <t>3°</t>
  </si>
  <si>
    <t>BUONO PASTO e AUTO AZIENDALE</t>
  </si>
  <si>
    <t>POLICLINICO TOR VERGATA</t>
  </si>
  <si>
    <t>CPL CONCORDIA Soc Coop</t>
  </si>
  <si>
    <t>Policlinico Tor Vergata</t>
  </si>
  <si>
    <t>Metalmeccanici cooperative</t>
  </si>
  <si>
    <t>Responsabile di commessa Manutenzione impianti energetici e Facility sr</t>
  </si>
  <si>
    <t>si</t>
  </si>
  <si>
    <t>Tecnico di commessa manutenzione impianti energetici e Facility</t>
  </si>
  <si>
    <t>Tecnico di commessa impianti elettrici</t>
  </si>
  <si>
    <t>Operatore/Operatrice Contact Center (OPC)</t>
  </si>
  <si>
    <t xml:space="preserve">Tecnico di commessa </t>
  </si>
  <si>
    <t>Manutentore impianti - Termoidraulico</t>
  </si>
  <si>
    <t>Manutentore Impianti - Elettricista</t>
  </si>
  <si>
    <t>NATUNA Srl</t>
  </si>
  <si>
    <t>Metalmeccanico  piccola/media industria CONFAPI</t>
  </si>
  <si>
    <t>MANUTENTORE ELETTRICISTA</t>
  </si>
  <si>
    <t>Coordinatore tecnico operativo</t>
  </si>
  <si>
    <t>MANUTENTORE TERMOIDRAULICO</t>
  </si>
  <si>
    <t>TERMOIDRAULICO - CONDUTTORE CENTRALE TERMICA</t>
  </si>
  <si>
    <t>KONE</t>
  </si>
  <si>
    <t xml:space="preserve">Metalmeccanico  </t>
  </si>
  <si>
    <t>Manutentore Impianti elevatori</t>
  </si>
  <si>
    <t>AURO</t>
  </si>
  <si>
    <t>Metalmeccanico  piccola/media industria</t>
  </si>
  <si>
    <t>Manutentore Antincendio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</si>
</sst>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dd\ mmm\ yyyy"/>
    <numFmt numFmtId="165" formatCode="_-* #,##0.00\ [$€-410]_-;\-* #,##0.00\ [$€-410]_-;_-* &quot;-&quot;??\ [$€-410]_-;_-@_-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FFFF"/>
      <name val="Gill Sans MT"/>
      <family val="2"/>
    </font>
    <font>
      <sz val="11"/>
      <color theme="1"/>
      <name val="Gill Sans MT"/>
      <family val="2"/>
    </font>
    <font>
      <b/>
      <i/>
      <sz val="10"/>
      <color rgb="FF000000"/>
      <name val="Gill Sans MT"/>
      <family val="2"/>
    </font>
    <font>
      <sz val="10"/>
      <color theme="1"/>
      <name val="Gill Sans MT"/>
      <family val="2"/>
    </font>
    <font>
      <sz val="10"/>
      <color rgb="FF000000"/>
      <name val="Gill Sans MT"/>
      <family val="2"/>
    </font>
    <font>
      <b/>
      <sz val="14"/>
      <color theme="0"/>
      <name val="Gill Sans MT"/>
      <family val="2"/>
    </font>
    <font>
      <sz val="11"/>
      <color rgb="FF000000"/>
      <name val="Calibri"/>
      <family val="2"/>
      <charset val="1"/>
    </font>
    <font>
      <b/>
      <sz val="10"/>
      <color theme="0"/>
      <name val="Gill Sans MT"/>
      <family val="2"/>
    </font>
    <font>
      <sz val="10"/>
      <name val="Gill Sans MT"/>
      <family val="2"/>
    </font>
    <font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sz val="14"/>
      <color rgb="FFFFFFFF"/>
      <name val="Gill Sans MT"/>
      <family val="2"/>
    </font>
    <font>
      <sz val="14"/>
      <color theme="1"/>
      <name val="Gill Sans MT"/>
      <family val="2"/>
    </font>
    <font>
      <sz val="10"/>
      <name val="Calibri"/>
      <family val="2"/>
      <charset val="1"/>
    </font>
    <font>
      <sz val="10"/>
      <color rgb="FF000000"/>
      <name val="Times New Roman"/>
      <family val="1"/>
    </font>
    <font>
      <b/>
      <i/>
      <sz val="10"/>
      <name val="Gill Sans MT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i/>
      <sz val="10"/>
      <color rgb="FF000000"/>
      <name val="Calibri"/>
      <family val="2"/>
      <charset val="1"/>
    </font>
    <font>
      <sz val="10"/>
      <color rgb="FF222222"/>
      <name val="Gill Sans MT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F2F2F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8" fillId="0" borderId="0"/>
    <xf numFmtId="0" fontId="16" fillId="0" borderId="0"/>
    <xf numFmtId="44" fontId="1" fillId="0" borderId="0" applyFont="0" applyFill="0" applyBorder="0" applyAlignment="0" applyProtection="0"/>
    <xf numFmtId="0" fontId="18" fillId="0" borderId="0"/>
    <xf numFmtId="43" fontId="1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1" applyFont="1"/>
    <xf numFmtId="0" fontId="3" fillId="0" borderId="0" xfId="1" applyFont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2" fillId="4" borderId="0" xfId="1" applyFont="1" applyFill="1"/>
    <xf numFmtId="0" fontId="6" fillId="4" borderId="0" xfId="1" applyFont="1" applyFill="1"/>
    <xf numFmtId="0" fontId="6" fillId="0" borderId="0" xfId="1" applyFont="1" applyAlignment="1">
      <alignment horizontal="center" vertical="center"/>
    </xf>
    <xf numFmtId="0" fontId="7" fillId="2" borderId="2" xfId="1" applyFont="1" applyFill="1" applyBorder="1" applyAlignment="1">
      <alignment vertical="center" wrapText="1"/>
    </xf>
    <xf numFmtId="0" fontId="5" fillId="0" borderId="0" xfId="1" applyFont="1"/>
    <xf numFmtId="14" fontId="5" fillId="0" borderId="1" xfId="1" applyNumberFormat="1" applyFont="1" applyBorder="1" applyAlignment="1">
      <alignment horizontal="center" vertical="center"/>
    </xf>
    <xf numFmtId="0" fontId="4" fillId="6" borderId="3" xfId="2" applyFont="1" applyFill="1" applyBorder="1" applyAlignment="1">
      <alignment horizontal="center" vertical="center" wrapText="1"/>
    </xf>
    <xf numFmtId="0" fontId="4" fillId="6" borderId="4" xfId="2" applyFont="1" applyFill="1" applyBorder="1" applyAlignment="1">
      <alignment horizontal="center" vertical="center" wrapText="1"/>
    </xf>
    <xf numFmtId="0" fontId="4" fillId="6" borderId="3" xfId="2" applyFont="1" applyFill="1" applyBorder="1" applyAlignment="1">
      <alignment horizontal="center" vertical="center"/>
    </xf>
    <xf numFmtId="0" fontId="2" fillId="5" borderId="0" xfId="2" applyFont="1" applyFill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/>
    </xf>
    <xf numFmtId="0" fontId="2" fillId="5" borderId="0" xfId="2" applyFont="1" applyFill="1" applyAlignment="1">
      <alignment vertical="center"/>
    </xf>
    <xf numFmtId="0" fontId="2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6" fillId="5" borderId="0" xfId="2" applyFont="1" applyFill="1" applyAlignment="1">
      <alignment vertical="center"/>
    </xf>
    <xf numFmtId="0" fontId="9" fillId="2" borderId="2" xfId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6" fillId="5" borderId="0" xfId="2" applyFont="1" applyFill="1" applyAlignment="1">
      <alignment horizontal="center" vertical="center"/>
    </xf>
    <xf numFmtId="0" fontId="3" fillId="0" borderId="0" xfId="0" applyFont="1"/>
    <xf numFmtId="164" fontId="6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2" borderId="2" xfId="1" applyFont="1" applyFill="1" applyBorder="1" applyAlignment="1">
      <alignment horizontal="left" vertical="center" wrapText="1"/>
    </xf>
    <xf numFmtId="0" fontId="11" fillId="5" borderId="0" xfId="2" applyFont="1" applyFill="1"/>
    <xf numFmtId="0" fontId="11" fillId="0" borderId="0" xfId="2" applyFont="1"/>
    <xf numFmtId="0" fontId="12" fillId="0" borderId="0" xfId="2" applyFont="1"/>
    <xf numFmtId="0" fontId="12" fillId="0" borderId="0" xfId="2" applyFont="1" applyAlignment="1">
      <alignment horizontal="center"/>
    </xf>
    <xf numFmtId="0" fontId="12" fillId="5" borderId="0" xfId="2" applyFont="1" applyFill="1"/>
    <xf numFmtId="0" fontId="12" fillId="5" borderId="0" xfId="2" applyFont="1" applyFill="1" applyAlignment="1">
      <alignment horizontal="center"/>
    </xf>
    <xf numFmtId="0" fontId="2" fillId="5" borderId="0" xfId="2" applyFont="1" applyFill="1" applyAlignment="1">
      <alignment horizontal="center"/>
    </xf>
    <xf numFmtId="0" fontId="2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6" fillId="0" borderId="4" xfId="2" applyFont="1" applyBorder="1" applyAlignment="1">
      <alignment horizontal="center"/>
    </xf>
    <xf numFmtId="0" fontId="2" fillId="5" borderId="0" xfId="2" applyFont="1" applyFill="1"/>
    <xf numFmtId="0" fontId="2" fillId="0" borderId="0" xfId="2" applyFont="1"/>
    <xf numFmtId="0" fontId="6" fillId="0" borderId="0" xfId="2" applyFont="1"/>
    <xf numFmtId="0" fontId="6" fillId="5" borderId="0" xfId="2" applyFont="1" applyFill="1"/>
    <xf numFmtId="0" fontId="6" fillId="5" borderId="0" xfId="2" applyFont="1" applyFill="1" applyAlignment="1">
      <alignment horizontal="center"/>
    </xf>
    <xf numFmtId="0" fontId="5" fillId="0" borderId="4" xfId="0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0" fontId="13" fillId="0" borderId="0" xfId="1" applyFont="1"/>
    <xf numFmtId="0" fontId="14" fillId="0" borderId="0" xfId="1" applyFont="1"/>
    <xf numFmtId="0" fontId="7" fillId="2" borderId="2" xfId="1" applyFont="1" applyFill="1" applyBorder="1" applyAlignment="1">
      <alignment horizontal="center" vertical="center" wrapText="1"/>
    </xf>
    <xf numFmtId="0" fontId="15" fillId="5" borderId="0" xfId="2" applyFont="1" applyFill="1"/>
    <xf numFmtId="0" fontId="10" fillId="5" borderId="0" xfId="2" applyFont="1" applyFill="1" applyAlignment="1">
      <alignment horizontal="center"/>
    </xf>
    <xf numFmtId="0" fontId="10" fillId="5" borderId="0" xfId="2" applyFont="1" applyFill="1"/>
    <xf numFmtId="1" fontId="6" fillId="0" borderId="4" xfId="2" applyNumberFormat="1" applyFont="1" applyBorder="1" applyAlignment="1">
      <alignment horizontal="center"/>
    </xf>
    <xf numFmtId="0" fontId="6" fillId="5" borderId="4" xfId="2" applyFont="1" applyFill="1" applyBorder="1" applyAlignment="1">
      <alignment horizontal="center"/>
    </xf>
    <xf numFmtId="0" fontId="12" fillId="5" borderId="0" xfId="2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14" fontId="6" fillId="0" borderId="4" xfId="2" applyNumberFormat="1" applyFont="1" applyBorder="1" applyAlignment="1">
      <alignment horizontal="center"/>
    </xf>
    <xf numFmtId="0" fontId="5" fillId="0" borderId="1" xfId="1" quotePrefix="1" applyFont="1" applyBorder="1" applyAlignment="1">
      <alignment horizontal="center" vertical="center"/>
    </xf>
    <xf numFmtId="0" fontId="5" fillId="0" borderId="0" xfId="0" applyFont="1"/>
    <xf numFmtId="3" fontId="5" fillId="0" borderId="4" xfId="0" applyNumberFormat="1" applyFont="1" applyBorder="1" applyAlignment="1">
      <alignment horizontal="center" vertical="center"/>
    </xf>
    <xf numFmtId="0" fontId="10" fillId="0" borderId="0" xfId="2" applyFont="1"/>
    <xf numFmtId="0" fontId="10" fillId="0" borderId="4" xfId="2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10" fillId="0" borderId="4" xfId="2" applyFont="1" applyBorder="1"/>
    <xf numFmtId="44" fontId="10" fillId="0" borderId="4" xfId="4" applyFont="1" applyFill="1" applyBorder="1" applyAlignment="1">
      <alignment horizontal="center" vertical="center"/>
    </xf>
    <xf numFmtId="2" fontId="6" fillId="0" borderId="4" xfId="2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6" fillId="0" borderId="4" xfId="2" quotePrefix="1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/>
    </xf>
    <xf numFmtId="4" fontId="6" fillId="0" borderId="4" xfId="2" applyNumberFormat="1" applyFont="1" applyBorder="1" applyAlignment="1">
      <alignment horizontal="center"/>
    </xf>
    <xf numFmtId="0" fontId="6" fillId="5" borderId="4" xfId="2" applyFont="1" applyFill="1" applyBorder="1" applyAlignment="1">
      <alignment horizontal="center" vertical="center"/>
    </xf>
    <xf numFmtId="14" fontId="6" fillId="5" borderId="4" xfId="2" applyNumberFormat="1" applyFont="1" applyFill="1" applyBorder="1" applyAlignment="1">
      <alignment horizontal="center"/>
    </xf>
    <xf numFmtId="4" fontId="6" fillId="5" borderId="4" xfId="2" applyNumberFormat="1" applyFont="1" applyFill="1" applyBorder="1" applyAlignment="1">
      <alignment horizontal="center"/>
    </xf>
    <xf numFmtId="14" fontId="10" fillId="0" borderId="4" xfId="2" applyNumberFormat="1" applyFont="1" applyBorder="1" applyAlignment="1">
      <alignment horizontal="center"/>
    </xf>
    <xf numFmtId="165" fontId="9" fillId="2" borderId="2" xfId="1" applyNumberFormat="1" applyFont="1" applyFill="1" applyBorder="1" applyAlignment="1">
      <alignment horizontal="center" vertical="center" wrapText="1"/>
    </xf>
    <xf numFmtId="165" fontId="4" fillId="6" borderId="4" xfId="2" applyNumberFormat="1" applyFont="1" applyFill="1" applyBorder="1" applyAlignment="1">
      <alignment horizontal="center" vertical="center" wrapText="1"/>
    </xf>
    <xf numFmtId="165" fontId="6" fillId="0" borderId="4" xfId="2" applyNumberFormat="1" applyFont="1" applyBorder="1" applyAlignment="1">
      <alignment horizontal="center" vertical="center"/>
    </xf>
    <xf numFmtId="165" fontId="3" fillId="0" borderId="0" xfId="0" applyNumberFormat="1" applyFont="1"/>
    <xf numFmtId="165" fontId="6" fillId="0" borderId="4" xfId="2" applyNumberFormat="1" applyFont="1" applyBorder="1" applyAlignment="1">
      <alignment horizontal="center"/>
    </xf>
    <xf numFmtId="165" fontId="7" fillId="2" borderId="2" xfId="1" applyNumberFormat="1" applyFont="1" applyFill="1" applyBorder="1" applyAlignment="1">
      <alignment vertical="center" wrapText="1"/>
    </xf>
    <xf numFmtId="165" fontId="5" fillId="0" borderId="4" xfId="0" applyNumberFormat="1" applyFont="1" applyBorder="1" applyAlignment="1">
      <alignment horizontal="center"/>
    </xf>
    <xf numFmtId="165" fontId="6" fillId="5" borderId="0" xfId="2" applyNumberFormat="1" applyFont="1" applyFill="1" applyAlignment="1">
      <alignment horizontal="center"/>
    </xf>
    <xf numFmtId="165" fontId="6" fillId="0" borderId="0" xfId="2" applyNumberFormat="1" applyFont="1" applyAlignment="1">
      <alignment horizontal="center"/>
    </xf>
    <xf numFmtId="165" fontId="17" fillId="6" borderId="3" xfId="2" applyNumberFormat="1" applyFont="1" applyFill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/>
    </xf>
    <xf numFmtId="165" fontId="10" fillId="5" borderId="0" xfId="2" applyNumberFormat="1" applyFont="1" applyFill="1"/>
    <xf numFmtId="165" fontId="10" fillId="0" borderId="0" xfId="2" applyNumberFormat="1" applyFont="1"/>
    <xf numFmtId="165" fontId="12" fillId="5" borderId="0" xfId="2" applyNumberFormat="1" applyFont="1" applyFill="1" applyAlignment="1">
      <alignment horizontal="center"/>
    </xf>
    <xf numFmtId="165" fontId="12" fillId="0" borderId="0" xfId="2" applyNumberFormat="1" applyFont="1" applyAlignment="1">
      <alignment horizontal="center"/>
    </xf>
    <xf numFmtId="165" fontId="4" fillId="3" borderId="1" xfId="1" applyNumberFormat="1" applyFont="1" applyFill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right" vertical="center"/>
    </xf>
    <xf numFmtId="165" fontId="7" fillId="2" borderId="2" xfId="1" applyNumberFormat="1" applyFont="1" applyFill="1" applyBorder="1" applyAlignment="1">
      <alignment horizontal="right" vertical="center" wrapText="1"/>
    </xf>
    <xf numFmtId="165" fontId="6" fillId="4" borderId="0" xfId="1" applyNumberFormat="1" applyFont="1" applyFill="1" applyAlignment="1">
      <alignment horizontal="right" vertical="center"/>
    </xf>
    <xf numFmtId="165" fontId="6" fillId="0" borderId="0" xfId="1" applyNumberFormat="1" applyFont="1" applyAlignment="1">
      <alignment horizontal="right" vertical="center"/>
    </xf>
    <xf numFmtId="165" fontId="3" fillId="0" borderId="0" xfId="1" applyNumberFormat="1" applyFont="1" applyAlignment="1">
      <alignment horizontal="right"/>
    </xf>
    <xf numFmtId="165" fontId="5" fillId="0" borderId="4" xfId="0" applyNumberFormat="1" applyFont="1" applyBorder="1" applyAlignment="1">
      <alignment horizontal="center" vertical="center"/>
    </xf>
    <xf numFmtId="165" fontId="6" fillId="5" borderId="0" xfId="2" applyNumberFormat="1" applyFont="1" applyFill="1" applyAlignment="1">
      <alignment horizontal="center" vertical="center"/>
    </xf>
    <xf numFmtId="165" fontId="6" fillId="0" borderId="0" xfId="2" applyNumberFormat="1" applyFont="1" applyAlignment="1">
      <alignment horizontal="center" vertical="center"/>
    </xf>
    <xf numFmtId="165" fontId="4" fillId="6" borderId="3" xfId="2" applyNumberFormat="1" applyFont="1" applyFill="1" applyBorder="1" applyAlignment="1">
      <alignment horizontal="center" vertical="center" wrapText="1"/>
    </xf>
    <xf numFmtId="165" fontId="5" fillId="0" borderId="0" xfId="0" applyNumberFormat="1" applyFont="1"/>
    <xf numFmtId="165" fontId="6" fillId="0" borderId="4" xfId="2" applyNumberFormat="1" applyFont="1" applyBorder="1" applyAlignment="1">
      <alignment horizontal="right" vertical="center"/>
    </xf>
    <xf numFmtId="0" fontId="20" fillId="6" borderId="4" xfId="2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14" fontId="21" fillId="0" borderId="0" xfId="0" applyNumberFormat="1" applyFont="1" applyAlignment="1">
      <alignment horizontal="center" vertical="center" wrapText="1"/>
    </xf>
    <xf numFmtId="14" fontId="6" fillId="0" borderId="4" xfId="0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14" fontId="5" fillId="0" borderId="7" xfId="1" applyNumberFormat="1" applyFont="1" applyBorder="1" applyAlignment="1">
      <alignment horizontal="center" vertical="center"/>
    </xf>
    <xf numFmtId="43" fontId="4" fillId="6" borderId="6" xfId="6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4" fillId="6" borderId="5" xfId="2" applyFont="1" applyFill="1" applyBorder="1" applyAlignment="1">
      <alignment horizontal="center" vertical="center" wrapText="1"/>
    </xf>
    <xf numFmtId="165" fontId="6" fillId="0" borderId="3" xfId="2" applyNumberFormat="1" applyFont="1" applyBorder="1" applyAlignment="1">
      <alignment horizontal="center" vertical="center"/>
    </xf>
    <xf numFmtId="165" fontId="6" fillId="0" borderId="5" xfId="2" applyNumberFormat="1" applyFont="1" applyBorder="1" applyAlignment="1">
      <alignment horizontal="center" vertical="center"/>
    </xf>
    <xf numFmtId="165" fontId="6" fillId="0" borderId="6" xfId="2" applyNumberFormat="1" applyFont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</cellXfs>
  <cellStyles count="7">
    <cellStyle name="Comma" xfId="6" builtinId="3"/>
    <cellStyle name="Currency 2" xfId="4" xr:uid="{349AA6CC-DC3F-4907-88AA-25C64DB11A8E}"/>
    <cellStyle name="Normal" xfId="0" builtinId="0"/>
    <cellStyle name="Normal 2" xfId="1" xr:uid="{C6A3658F-1883-43AC-8C2C-6E70C0F119DF}"/>
    <cellStyle name="Normal 2 2" xfId="2" xr:uid="{603AEEAC-C65D-4702-AF11-40E7B9BD1BF8}"/>
    <cellStyle name="Normal 3" xfId="5" xr:uid="{1A2A8724-344C-4432-B71B-6878505064C7}"/>
    <cellStyle name="Normale 2 5 2" xfId="3" xr:uid="{5FF71CDD-8CC8-44D7-A025-7809B5FB1B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ietroleone/Downloads/SICC%20-%20Analisi%20fabbisogni%20Vigilanza%20-%20Questionario%20per%20gli%20enti%201.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truzioni"/>
      <sheetName val="Contratti di vigilanza"/>
      <sheetName val="Fabbisogno"/>
      <sheetName val="Sheet1"/>
      <sheetName val="Liste"/>
      <sheetName val="Foglio1"/>
    </sheetNames>
    <sheetDataSet>
      <sheetData sheetId="0"/>
      <sheetData sheetId="1"/>
      <sheetData sheetId="2"/>
      <sheetData sheetId="3" refreshError="1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1C3B-D060-4020-BD65-EA926933A874}">
  <sheetPr codeName="Sheet1">
    <pageSetUpPr fitToPage="1"/>
  </sheetPr>
  <dimension ref="A1:AM232"/>
  <sheetViews>
    <sheetView showGridLines="0" tabSelected="1" zoomScale="80" zoomScaleNormal="80" zoomScaleSheetLayoutView="18" workbookViewId="0">
      <selection activeCell="Y82" sqref="Y82"/>
    </sheetView>
  </sheetViews>
  <sheetFormatPr defaultColWidth="8.7109375" defaultRowHeight="15.95"/>
  <cols>
    <col min="1" max="1" width="24" style="19" bestFit="1" customWidth="1"/>
    <col min="2" max="2" width="27.7109375" style="45" bestFit="1" customWidth="1"/>
    <col min="3" max="3" width="24.5703125" style="45" bestFit="1" customWidth="1"/>
    <col min="4" max="4" width="33.140625" style="45" bestFit="1" customWidth="1"/>
    <col min="5" max="5" width="20.7109375" style="45" bestFit="1" customWidth="1"/>
    <col min="6" max="6" width="20" style="45" bestFit="1" customWidth="1"/>
    <col min="7" max="7" width="13.85546875" style="45" bestFit="1" customWidth="1"/>
    <col min="8" max="8" width="13.140625" style="49" customWidth="1"/>
    <col min="9" max="9" width="15.140625" style="45" customWidth="1"/>
    <col min="10" max="10" width="16" style="49" bestFit="1" customWidth="1"/>
    <col min="11" max="11" width="12.7109375" style="49" customWidth="1"/>
    <col min="12" max="12" width="13.85546875" style="49" customWidth="1"/>
    <col min="13" max="13" width="12.7109375" style="49" customWidth="1"/>
    <col min="14" max="14" width="13.7109375" style="49" customWidth="1"/>
    <col min="15" max="15" width="12.140625" style="45" bestFit="1" customWidth="1"/>
    <col min="16" max="16" width="15" style="45" customWidth="1"/>
    <col min="17" max="32" width="8.7109375" style="47"/>
    <col min="33" max="38" width="8.7109375" style="48"/>
    <col min="39" max="16384" width="8.7109375" style="49"/>
  </cols>
  <sheetData>
    <row r="1" spans="1:39" s="67" customFormat="1" ht="59.45" customHeight="1">
      <c r="A1" s="36" t="s">
        <v>0</v>
      </c>
      <c r="B1" s="28"/>
      <c r="C1" s="28"/>
      <c r="D1" s="28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39" s="67" customFormat="1" ht="48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4" t="s">
        <v>10</v>
      </c>
      <c r="K2" s="15" t="s">
        <v>11</v>
      </c>
      <c r="L2" s="15" t="s">
        <v>12</v>
      </c>
      <c r="M2" s="14" t="s">
        <v>13</v>
      </c>
      <c r="N2" s="15" t="s">
        <v>14</v>
      </c>
      <c r="O2" s="15" t="s">
        <v>15</v>
      </c>
      <c r="P2" s="15" t="s">
        <v>16</v>
      </c>
    </row>
    <row r="3" spans="1:39">
      <c r="A3" s="20" t="s">
        <v>17</v>
      </c>
      <c r="B3" s="46" t="s">
        <v>18</v>
      </c>
      <c r="C3" s="46" t="s">
        <v>19</v>
      </c>
      <c r="D3" s="46" t="s">
        <v>20</v>
      </c>
      <c r="E3" s="46" t="s">
        <v>21</v>
      </c>
      <c r="F3" s="46" t="s">
        <v>22</v>
      </c>
      <c r="G3" s="46">
        <v>40</v>
      </c>
      <c r="H3" s="46">
        <v>88</v>
      </c>
      <c r="I3" s="65">
        <v>43101</v>
      </c>
      <c r="J3" s="46">
        <v>5</v>
      </c>
      <c r="K3" s="81" t="s">
        <v>23</v>
      </c>
      <c r="L3" s="124">
        <v>335454.86</v>
      </c>
      <c r="M3" s="46" t="s">
        <v>23</v>
      </c>
      <c r="N3" s="124">
        <v>213667</v>
      </c>
      <c r="O3" s="46" t="s">
        <v>24</v>
      </c>
      <c r="P3" s="46"/>
    </row>
    <row r="4" spans="1:39">
      <c r="A4" s="20" t="s">
        <v>17</v>
      </c>
      <c r="B4" s="46" t="s">
        <v>25</v>
      </c>
      <c r="C4" s="46" t="s">
        <v>19</v>
      </c>
      <c r="D4" s="46" t="s">
        <v>26</v>
      </c>
      <c r="E4" s="46" t="s">
        <v>21</v>
      </c>
      <c r="F4" s="46" t="s">
        <v>22</v>
      </c>
      <c r="G4" s="46">
        <v>40</v>
      </c>
      <c r="H4" s="46">
        <v>88</v>
      </c>
      <c r="I4" s="65">
        <v>43101</v>
      </c>
      <c r="J4" s="46">
        <v>5</v>
      </c>
      <c r="K4" s="81" t="s">
        <v>23</v>
      </c>
      <c r="L4" s="125"/>
      <c r="M4" s="46" t="s">
        <v>23</v>
      </c>
      <c r="N4" s="125"/>
      <c r="O4" s="46" t="s">
        <v>24</v>
      </c>
      <c r="P4" s="46"/>
    </row>
    <row r="5" spans="1:39">
      <c r="A5" s="20" t="s">
        <v>17</v>
      </c>
      <c r="B5" s="46" t="s">
        <v>27</v>
      </c>
      <c r="C5" s="46" t="s">
        <v>19</v>
      </c>
      <c r="D5" s="46" t="s">
        <v>20</v>
      </c>
      <c r="E5" s="46" t="s">
        <v>28</v>
      </c>
      <c r="F5" s="46" t="s">
        <v>22</v>
      </c>
      <c r="G5" s="46">
        <v>48</v>
      </c>
      <c r="H5" s="46">
        <v>88</v>
      </c>
      <c r="I5" s="65">
        <v>43101</v>
      </c>
      <c r="J5" s="46">
        <v>5</v>
      </c>
      <c r="K5" s="81" t="s">
        <v>23</v>
      </c>
      <c r="L5" s="125"/>
      <c r="M5" s="46" t="s">
        <v>23</v>
      </c>
      <c r="N5" s="125"/>
      <c r="O5" s="46" t="s">
        <v>24</v>
      </c>
      <c r="P5" s="46"/>
    </row>
    <row r="6" spans="1:39">
      <c r="A6" s="20" t="s">
        <v>17</v>
      </c>
      <c r="B6" s="46" t="s">
        <v>25</v>
      </c>
      <c r="C6" s="46" t="s">
        <v>19</v>
      </c>
      <c r="D6" s="46" t="s">
        <v>29</v>
      </c>
      <c r="E6" s="46" t="s">
        <v>30</v>
      </c>
      <c r="F6" s="46" t="s">
        <v>22</v>
      </c>
      <c r="G6" s="46">
        <v>40</v>
      </c>
      <c r="H6" s="46">
        <v>88</v>
      </c>
      <c r="I6" s="65">
        <v>43101</v>
      </c>
      <c r="J6" s="46">
        <v>5</v>
      </c>
      <c r="K6" s="81" t="s">
        <v>23</v>
      </c>
      <c r="L6" s="125"/>
      <c r="M6" s="46" t="s">
        <v>23</v>
      </c>
      <c r="N6" s="125"/>
      <c r="O6" s="46" t="s">
        <v>24</v>
      </c>
      <c r="P6" s="46"/>
    </row>
    <row r="7" spans="1:39">
      <c r="A7" s="20" t="s">
        <v>17</v>
      </c>
      <c r="B7" s="46" t="s">
        <v>18</v>
      </c>
      <c r="C7" s="46" t="s">
        <v>19</v>
      </c>
      <c r="D7" s="46" t="s">
        <v>29</v>
      </c>
      <c r="E7" s="46" t="s">
        <v>31</v>
      </c>
      <c r="F7" s="46" t="s">
        <v>32</v>
      </c>
      <c r="G7" s="46">
        <v>40</v>
      </c>
      <c r="H7" s="46">
        <v>26</v>
      </c>
      <c r="I7" s="65">
        <v>44986</v>
      </c>
      <c r="J7" s="46">
        <v>0</v>
      </c>
      <c r="K7" s="81" t="s">
        <v>24</v>
      </c>
      <c r="L7" s="125"/>
      <c r="M7" s="46" t="s">
        <v>23</v>
      </c>
      <c r="N7" s="125"/>
      <c r="O7" s="46" t="s">
        <v>24</v>
      </c>
      <c r="P7" s="46" t="s">
        <v>33</v>
      </c>
    </row>
    <row r="8" spans="1:39">
      <c r="A8" s="20" t="s">
        <v>17</v>
      </c>
      <c r="B8" s="46" t="s">
        <v>25</v>
      </c>
      <c r="C8" s="46" t="s">
        <v>19</v>
      </c>
      <c r="D8" s="46" t="s">
        <v>29</v>
      </c>
      <c r="E8" s="46" t="s">
        <v>31</v>
      </c>
      <c r="F8" s="46" t="s">
        <v>22</v>
      </c>
      <c r="G8" s="46">
        <v>40</v>
      </c>
      <c r="H8" s="46">
        <v>88</v>
      </c>
      <c r="I8" s="65">
        <v>43101</v>
      </c>
      <c r="J8" s="46">
        <v>5</v>
      </c>
      <c r="K8" s="81" t="s">
        <v>23</v>
      </c>
      <c r="L8" s="125"/>
      <c r="M8" s="46" t="s">
        <v>23</v>
      </c>
      <c r="N8" s="125"/>
      <c r="O8" s="46" t="s">
        <v>23</v>
      </c>
      <c r="P8" s="46"/>
    </row>
    <row r="9" spans="1:39">
      <c r="A9" s="20" t="s">
        <v>17</v>
      </c>
      <c r="B9" s="46" t="s">
        <v>27</v>
      </c>
      <c r="C9" s="46" t="s">
        <v>19</v>
      </c>
      <c r="D9" s="46" t="s">
        <v>29</v>
      </c>
      <c r="E9" s="46" t="s">
        <v>30</v>
      </c>
      <c r="F9" s="46" t="s">
        <v>22</v>
      </c>
      <c r="G9" s="46">
        <v>40</v>
      </c>
      <c r="H9" s="46">
        <v>88</v>
      </c>
      <c r="I9" s="65">
        <v>43101</v>
      </c>
      <c r="J9" s="46">
        <v>5</v>
      </c>
      <c r="K9" s="81" t="s">
        <v>23</v>
      </c>
      <c r="L9" s="125"/>
      <c r="M9" s="46" t="s">
        <v>23</v>
      </c>
      <c r="N9" s="125"/>
      <c r="O9" s="46" t="s">
        <v>24</v>
      </c>
      <c r="P9" s="46"/>
    </row>
    <row r="10" spans="1:39">
      <c r="A10" s="20" t="s">
        <v>17</v>
      </c>
      <c r="B10" s="46" t="s">
        <v>25</v>
      </c>
      <c r="C10" s="46" t="s">
        <v>19</v>
      </c>
      <c r="D10" s="46" t="s">
        <v>34</v>
      </c>
      <c r="E10" s="46" t="s">
        <v>28</v>
      </c>
      <c r="F10" s="46" t="s">
        <v>22</v>
      </c>
      <c r="G10" s="46">
        <v>40</v>
      </c>
      <c r="H10" s="46">
        <v>88</v>
      </c>
      <c r="I10" s="65">
        <v>43101</v>
      </c>
      <c r="J10" s="46">
        <v>5</v>
      </c>
      <c r="K10" s="81" t="s">
        <v>23</v>
      </c>
      <c r="L10" s="125"/>
      <c r="M10" s="46" t="s">
        <v>23</v>
      </c>
      <c r="N10" s="125"/>
      <c r="O10" s="46" t="s">
        <v>24</v>
      </c>
      <c r="P10" s="46"/>
    </row>
    <row r="11" spans="1:39">
      <c r="A11" s="20" t="s">
        <v>17</v>
      </c>
      <c r="B11" s="46" t="s">
        <v>27</v>
      </c>
      <c r="C11" s="46" t="s">
        <v>19</v>
      </c>
      <c r="D11" s="46" t="s">
        <v>20</v>
      </c>
      <c r="E11" s="46" t="s">
        <v>30</v>
      </c>
      <c r="F11" s="46" t="s">
        <v>22</v>
      </c>
      <c r="G11" s="46">
        <v>48</v>
      </c>
      <c r="H11" s="46">
        <v>72</v>
      </c>
      <c r="I11" s="65">
        <v>43587</v>
      </c>
      <c r="J11" s="46">
        <v>2</v>
      </c>
      <c r="K11" s="81" t="s">
        <v>23</v>
      </c>
      <c r="L11" s="125"/>
      <c r="M11" s="46" t="s">
        <v>23</v>
      </c>
      <c r="N11" s="125"/>
      <c r="O11" s="46" t="s">
        <v>24</v>
      </c>
      <c r="P11" s="46"/>
    </row>
    <row r="12" spans="1:39">
      <c r="A12" s="20" t="s">
        <v>17</v>
      </c>
      <c r="B12" s="46" t="s">
        <v>18</v>
      </c>
      <c r="C12" s="46" t="s">
        <v>19</v>
      </c>
      <c r="D12" s="46" t="s">
        <v>34</v>
      </c>
      <c r="E12" s="46" t="s">
        <v>21</v>
      </c>
      <c r="F12" s="46" t="s">
        <v>22</v>
      </c>
      <c r="G12" s="46">
        <v>40</v>
      </c>
      <c r="H12" s="46">
        <v>23</v>
      </c>
      <c r="I12" s="65">
        <v>45089</v>
      </c>
      <c r="J12" s="46">
        <v>0</v>
      </c>
      <c r="K12" s="81" t="s">
        <v>23</v>
      </c>
      <c r="L12" s="125"/>
      <c r="M12" s="46" t="s">
        <v>23</v>
      </c>
      <c r="N12" s="125"/>
      <c r="O12" s="46" t="s">
        <v>24</v>
      </c>
      <c r="P12" s="46"/>
    </row>
    <row r="13" spans="1:39">
      <c r="A13" s="20" t="s">
        <v>17</v>
      </c>
      <c r="B13" s="46" t="s">
        <v>25</v>
      </c>
      <c r="C13" s="46" t="s">
        <v>19</v>
      </c>
      <c r="D13" s="46" t="s">
        <v>26</v>
      </c>
      <c r="E13" s="46" t="s">
        <v>28</v>
      </c>
      <c r="F13" s="46" t="s">
        <v>22</v>
      </c>
      <c r="G13" s="46">
        <v>40</v>
      </c>
      <c r="H13" s="46">
        <v>88</v>
      </c>
      <c r="I13" s="65">
        <v>43101</v>
      </c>
      <c r="J13" s="46">
        <v>5</v>
      </c>
      <c r="K13" s="81" t="s">
        <v>23</v>
      </c>
      <c r="L13" s="125"/>
      <c r="M13" s="46" t="s">
        <v>23</v>
      </c>
      <c r="N13" s="125"/>
      <c r="O13" s="46" t="s">
        <v>24</v>
      </c>
      <c r="P13" s="46"/>
    </row>
    <row r="14" spans="1:39">
      <c r="A14" s="20" t="s">
        <v>17</v>
      </c>
      <c r="B14" s="46" t="s">
        <v>18</v>
      </c>
      <c r="C14" s="46" t="s">
        <v>19</v>
      </c>
      <c r="D14" s="46" t="s">
        <v>20</v>
      </c>
      <c r="E14" s="46" t="s">
        <v>28</v>
      </c>
      <c r="F14" s="46" t="s">
        <v>22</v>
      </c>
      <c r="G14" s="46">
        <v>48</v>
      </c>
      <c r="H14" s="46">
        <v>88</v>
      </c>
      <c r="I14" s="65">
        <v>43101</v>
      </c>
      <c r="J14" s="46">
        <v>5</v>
      </c>
      <c r="K14" s="81" t="s">
        <v>23</v>
      </c>
      <c r="L14" s="125"/>
      <c r="M14" s="46" t="s">
        <v>23</v>
      </c>
      <c r="N14" s="125"/>
      <c r="O14" s="46" t="s">
        <v>24</v>
      </c>
      <c r="P14" s="46"/>
    </row>
    <row r="15" spans="1:39">
      <c r="A15" s="20" t="s">
        <v>17</v>
      </c>
      <c r="B15" s="46" t="s">
        <v>27</v>
      </c>
      <c r="C15" s="46" t="s">
        <v>19</v>
      </c>
      <c r="D15" s="46" t="s">
        <v>20</v>
      </c>
      <c r="E15" s="46" t="s">
        <v>21</v>
      </c>
      <c r="F15" s="46" t="s">
        <v>22</v>
      </c>
      <c r="G15" s="46">
        <v>48</v>
      </c>
      <c r="H15" s="46">
        <v>14</v>
      </c>
      <c r="I15" s="65">
        <v>45369</v>
      </c>
      <c r="J15" s="46">
        <v>0</v>
      </c>
      <c r="K15" s="81" t="s">
        <v>23</v>
      </c>
      <c r="L15" s="125"/>
      <c r="M15" s="46" t="s">
        <v>23</v>
      </c>
      <c r="N15" s="125"/>
      <c r="O15" s="46" t="s">
        <v>24</v>
      </c>
      <c r="P15" s="46"/>
    </row>
    <row r="16" spans="1:39" s="47" customFormat="1">
      <c r="A16" s="20" t="s">
        <v>17</v>
      </c>
      <c r="B16" s="46" t="s">
        <v>18</v>
      </c>
      <c r="C16" s="46" t="s">
        <v>19</v>
      </c>
      <c r="D16" s="46" t="s">
        <v>20</v>
      </c>
      <c r="E16" s="46" t="s">
        <v>28</v>
      </c>
      <c r="F16" s="46" t="s">
        <v>22</v>
      </c>
      <c r="G16" s="46">
        <v>48</v>
      </c>
      <c r="H16" s="46">
        <v>88</v>
      </c>
      <c r="I16" s="65">
        <v>43101</v>
      </c>
      <c r="J16" s="46">
        <v>5</v>
      </c>
      <c r="K16" s="81" t="s">
        <v>23</v>
      </c>
      <c r="L16" s="125"/>
      <c r="M16" s="46" t="s">
        <v>23</v>
      </c>
      <c r="N16" s="125"/>
      <c r="O16" s="46" t="s">
        <v>24</v>
      </c>
      <c r="P16" s="46"/>
      <c r="AG16" s="48"/>
      <c r="AH16" s="48"/>
      <c r="AI16" s="48"/>
      <c r="AJ16" s="48"/>
      <c r="AK16" s="48"/>
      <c r="AL16" s="48"/>
      <c r="AM16" s="49"/>
    </row>
    <row r="17" spans="1:39" s="47" customFormat="1">
      <c r="A17" s="20" t="s">
        <v>17</v>
      </c>
      <c r="B17" s="46" t="s">
        <v>18</v>
      </c>
      <c r="C17" s="46" t="s">
        <v>19</v>
      </c>
      <c r="D17" s="46" t="s">
        <v>35</v>
      </c>
      <c r="E17" s="46" t="s">
        <v>21</v>
      </c>
      <c r="F17" s="46" t="s">
        <v>22</v>
      </c>
      <c r="G17" s="46">
        <v>40</v>
      </c>
      <c r="H17" s="46">
        <v>22</v>
      </c>
      <c r="I17" s="65">
        <v>45127</v>
      </c>
      <c r="J17" s="46">
        <v>0</v>
      </c>
      <c r="K17" s="81" t="s">
        <v>23</v>
      </c>
      <c r="L17" s="125"/>
      <c r="M17" s="46" t="s">
        <v>23</v>
      </c>
      <c r="N17" s="125"/>
      <c r="O17" s="46" t="s">
        <v>24</v>
      </c>
      <c r="P17" s="46"/>
      <c r="AG17" s="48"/>
      <c r="AH17" s="48"/>
      <c r="AI17" s="48"/>
      <c r="AJ17" s="48"/>
      <c r="AK17" s="48"/>
      <c r="AL17" s="48"/>
      <c r="AM17" s="49"/>
    </row>
    <row r="18" spans="1:39" s="47" customFormat="1">
      <c r="A18" s="20" t="s">
        <v>17</v>
      </c>
      <c r="B18" s="46" t="s">
        <v>27</v>
      </c>
      <c r="C18" s="46" t="s">
        <v>19</v>
      </c>
      <c r="D18" s="46" t="s">
        <v>29</v>
      </c>
      <c r="E18" s="46" t="s">
        <v>36</v>
      </c>
      <c r="F18" s="46" t="s">
        <v>32</v>
      </c>
      <c r="G18" s="46">
        <v>40</v>
      </c>
      <c r="H18" s="46">
        <v>19</v>
      </c>
      <c r="I18" s="65">
        <v>45208</v>
      </c>
      <c r="J18" s="46">
        <v>0</v>
      </c>
      <c r="K18" s="81" t="s">
        <v>24</v>
      </c>
      <c r="L18" s="125"/>
      <c r="M18" s="46" t="s">
        <v>23</v>
      </c>
      <c r="N18" s="125"/>
      <c r="O18" s="46" t="s">
        <v>24</v>
      </c>
      <c r="P18" s="46" t="s">
        <v>33</v>
      </c>
      <c r="AG18" s="48"/>
      <c r="AH18" s="48"/>
      <c r="AI18" s="48"/>
      <c r="AJ18" s="48"/>
      <c r="AK18" s="48"/>
      <c r="AL18" s="48"/>
      <c r="AM18" s="49"/>
    </row>
    <row r="19" spans="1:39" s="47" customFormat="1">
      <c r="A19" s="20" t="s">
        <v>17</v>
      </c>
      <c r="B19" s="46" t="s">
        <v>18</v>
      </c>
      <c r="C19" s="46" t="s">
        <v>19</v>
      </c>
      <c r="D19" s="46" t="s">
        <v>35</v>
      </c>
      <c r="E19" s="46" t="s">
        <v>30</v>
      </c>
      <c r="F19" s="46" t="s">
        <v>22</v>
      </c>
      <c r="G19" s="46">
        <v>40</v>
      </c>
      <c r="H19" s="46">
        <v>88</v>
      </c>
      <c r="I19" s="65">
        <v>43101</v>
      </c>
      <c r="J19" s="46">
        <v>5</v>
      </c>
      <c r="K19" s="81" t="s">
        <v>23</v>
      </c>
      <c r="L19" s="125"/>
      <c r="M19" s="46" t="s">
        <v>23</v>
      </c>
      <c r="N19" s="125"/>
      <c r="O19" s="46" t="s">
        <v>24</v>
      </c>
      <c r="P19" s="46"/>
      <c r="AG19" s="48"/>
      <c r="AH19" s="48"/>
      <c r="AI19" s="48"/>
      <c r="AJ19" s="48"/>
      <c r="AK19" s="48"/>
      <c r="AL19" s="48"/>
      <c r="AM19" s="49"/>
    </row>
    <row r="20" spans="1:39" s="47" customFormat="1">
      <c r="A20" s="20" t="s">
        <v>17</v>
      </c>
      <c r="B20" s="46" t="s">
        <v>25</v>
      </c>
      <c r="C20" s="46" t="s">
        <v>19</v>
      </c>
      <c r="D20" s="46" t="s">
        <v>26</v>
      </c>
      <c r="E20" s="46" t="s">
        <v>30</v>
      </c>
      <c r="F20" s="46" t="s">
        <v>22</v>
      </c>
      <c r="G20" s="46">
        <v>40</v>
      </c>
      <c r="H20" s="46">
        <v>79</v>
      </c>
      <c r="I20" s="65">
        <v>43383</v>
      </c>
      <c r="J20" s="46">
        <v>3</v>
      </c>
      <c r="K20" s="81" t="s">
        <v>23</v>
      </c>
      <c r="L20" s="125"/>
      <c r="M20" s="46" t="s">
        <v>23</v>
      </c>
      <c r="N20" s="125"/>
      <c r="O20" s="46" t="s">
        <v>24</v>
      </c>
      <c r="P20" s="46"/>
      <c r="AG20" s="48"/>
      <c r="AH20" s="48"/>
      <c r="AI20" s="48"/>
      <c r="AJ20" s="48"/>
      <c r="AK20" s="48"/>
      <c r="AL20" s="48"/>
      <c r="AM20" s="49"/>
    </row>
    <row r="21" spans="1:39" s="47" customFormat="1">
      <c r="A21" s="20" t="s">
        <v>17</v>
      </c>
      <c r="B21" s="46" t="s">
        <v>18</v>
      </c>
      <c r="C21" s="46" t="s">
        <v>19</v>
      </c>
      <c r="D21" s="46" t="s">
        <v>34</v>
      </c>
      <c r="E21" s="46" t="s">
        <v>28</v>
      </c>
      <c r="F21" s="46" t="s">
        <v>22</v>
      </c>
      <c r="G21" s="46">
        <v>40</v>
      </c>
      <c r="H21" s="46">
        <v>88</v>
      </c>
      <c r="I21" s="65">
        <v>43101</v>
      </c>
      <c r="J21" s="46">
        <v>5</v>
      </c>
      <c r="K21" s="81" t="s">
        <v>23</v>
      </c>
      <c r="L21" s="125"/>
      <c r="M21" s="46" t="s">
        <v>23</v>
      </c>
      <c r="N21" s="125"/>
      <c r="O21" s="46" t="s">
        <v>24</v>
      </c>
      <c r="P21" s="46"/>
      <c r="AG21" s="48"/>
      <c r="AH21" s="48"/>
      <c r="AI21" s="48"/>
      <c r="AJ21" s="48"/>
      <c r="AK21" s="48"/>
      <c r="AL21" s="48"/>
      <c r="AM21" s="49"/>
    </row>
    <row r="22" spans="1:39" s="47" customFormat="1">
      <c r="A22" s="20" t="s">
        <v>17</v>
      </c>
      <c r="B22" s="46" t="s">
        <v>18</v>
      </c>
      <c r="C22" s="46" t="s">
        <v>19</v>
      </c>
      <c r="D22" s="46" t="s">
        <v>26</v>
      </c>
      <c r="E22" s="46" t="s">
        <v>28</v>
      </c>
      <c r="F22" s="46" t="s">
        <v>22</v>
      </c>
      <c r="G22" s="46">
        <v>40</v>
      </c>
      <c r="H22" s="46">
        <v>88</v>
      </c>
      <c r="I22" s="65">
        <v>43101</v>
      </c>
      <c r="J22" s="46">
        <v>5</v>
      </c>
      <c r="K22" s="81" t="s">
        <v>23</v>
      </c>
      <c r="L22" s="125"/>
      <c r="M22" s="46" t="s">
        <v>23</v>
      </c>
      <c r="N22" s="125"/>
      <c r="O22" s="46" t="s">
        <v>24</v>
      </c>
      <c r="P22" s="46"/>
      <c r="AG22" s="48"/>
      <c r="AH22" s="48"/>
      <c r="AI22" s="48"/>
      <c r="AJ22" s="48"/>
      <c r="AK22" s="48"/>
      <c r="AL22" s="48"/>
      <c r="AM22" s="49"/>
    </row>
    <row r="23" spans="1:39" s="47" customFormat="1">
      <c r="A23" s="20" t="s">
        <v>17</v>
      </c>
      <c r="B23" s="46" t="s">
        <v>27</v>
      </c>
      <c r="C23" s="46" t="s">
        <v>19</v>
      </c>
      <c r="D23" s="46" t="s">
        <v>20</v>
      </c>
      <c r="E23" s="46" t="s">
        <v>21</v>
      </c>
      <c r="F23" s="46" t="s">
        <v>22</v>
      </c>
      <c r="G23" s="46">
        <v>48</v>
      </c>
      <c r="H23" s="46">
        <v>79</v>
      </c>
      <c r="I23" s="65">
        <v>43374</v>
      </c>
      <c r="J23" s="46">
        <v>3</v>
      </c>
      <c r="K23" s="81" t="s">
        <v>23</v>
      </c>
      <c r="L23" s="125"/>
      <c r="M23" s="46" t="s">
        <v>23</v>
      </c>
      <c r="N23" s="125"/>
      <c r="O23" s="46" t="s">
        <v>24</v>
      </c>
      <c r="P23" s="46"/>
      <c r="AG23" s="48"/>
      <c r="AH23" s="48"/>
      <c r="AI23" s="48"/>
      <c r="AJ23" s="48"/>
      <c r="AK23" s="48"/>
      <c r="AL23" s="48"/>
      <c r="AM23" s="49"/>
    </row>
    <row r="24" spans="1:39" s="47" customFormat="1">
      <c r="A24" s="20" t="s">
        <v>17</v>
      </c>
      <c r="B24" s="46" t="s">
        <v>27</v>
      </c>
      <c r="C24" s="46" t="s">
        <v>19</v>
      </c>
      <c r="D24" s="46" t="s">
        <v>26</v>
      </c>
      <c r="E24" s="46" t="s">
        <v>30</v>
      </c>
      <c r="F24" s="46" t="s">
        <v>22</v>
      </c>
      <c r="G24" s="46">
        <v>40</v>
      </c>
      <c r="H24" s="46">
        <v>88</v>
      </c>
      <c r="I24" s="65">
        <v>43101</v>
      </c>
      <c r="J24" s="46">
        <v>5</v>
      </c>
      <c r="K24" s="81" t="s">
        <v>23</v>
      </c>
      <c r="L24" s="125"/>
      <c r="M24" s="46" t="s">
        <v>23</v>
      </c>
      <c r="N24" s="125"/>
      <c r="O24" s="46" t="s">
        <v>24</v>
      </c>
      <c r="P24" s="46"/>
      <c r="AG24" s="48"/>
      <c r="AH24" s="48"/>
      <c r="AI24" s="48"/>
      <c r="AJ24" s="48"/>
      <c r="AK24" s="48"/>
      <c r="AL24" s="48"/>
      <c r="AM24" s="49"/>
    </row>
    <row r="25" spans="1:39" s="47" customFormat="1">
      <c r="A25" s="20" t="s">
        <v>17</v>
      </c>
      <c r="B25" s="46" t="s">
        <v>27</v>
      </c>
      <c r="C25" s="46" t="s">
        <v>19</v>
      </c>
      <c r="D25" s="46" t="s">
        <v>37</v>
      </c>
      <c r="E25" s="46" t="s">
        <v>38</v>
      </c>
      <c r="F25" s="46" t="s">
        <v>22</v>
      </c>
      <c r="G25" s="46">
        <v>40</v>
      </c>
      <c r="H25" s="46">
        <v>47</v>
      </c>
      <c r="I25" s="65">
        <v>44354</v>
      </c>
      <c r="J25" s="46">
        <v>1</v>
      </c>
      <c r="K25" s="81" t="s">
        <v>23</v>
      </c>
      <c r="L25" s="125"/>
      <c r="M25" s="46" t="s">
        <v>23</v>
      </c>
      <c r="N25" s="125"/>
      <c r="O25" s="46" t="s">
        <v>24</v>
      </c>
      <c r="P25" s="46"/>
      <c r="AG25" s="48"/>
      <c r="AH25" s="48"/>
      <c r="AI25" s="48"/>
      <c r="AJ25" s="48"/>
      <c r="AK25" s="48"/>
      <c r="AL25" s="48"/>
      <c r="AM25" s="49"/>
    </row>
    <row r="26" spans="1:39" s="47" customFormat="1">
      <c r="A26" s="20" t="s">
        <v>17</v>
      </c>
      <c r="B26" s="46" t="s">
        <v>39</v>
      </c>
      <c r="C26" s="46" t="s">
        <v>19</v>
      </c>
      <c r="D26" s="46" t="s">
        <v>26</v>
      </c>
      <c r="E26" s="46" t="s">
        <v>21</v>
      </c>
      <c r="F26" s="46" t="s">
        <v>22</v>
      </c>
      <c r="G26" s="46">
        <v>40</v>
      </c>
      <c r="H26" s="46">
        <v>7</v>
      </c>
      <c r="I26" s="65">
        <v>45566</v>
      </c>
      <c r="J26" s="46">
        <v>0</v>
      </c>
      <c r="K26" s="81" t="s">
        <v>23</v>
      </c>
      <c r="L26" s="125"/>
      <c r="M26" s="46" t="s">
        <v>23</v>
      </c>
      <c r="N26" s="125"/>
      <c r="O26" s="46" t="s">
        <v>24</v>
      </c>
      <c r="P26" s="46"/>
      <c r="AG26" s="48"/>
      <c r="AH26" s="48"/>
      <c r="AI26" s="48"/>
      <c r="AJ26" s="48"/>
      <c r="AK26" s="48"/>
      <c r="AL26" s="48"/>
      <c r="AM26" s="49"/>
    </row>
    <row r="27" spans="1:39" s="47" customFormat="1">
      <c r="A27" s="20" t="s">
        <v>17</v>
      </c>
      <c r="B27" s="46" t="s">
        <v>27</v>
      </c>
      <c r="C27" s="46" t="s">
        <v>19</v>
      </c>
      <c r="D27" s="46" t="s">
        <v>34</v>
      </c>
      <c r="E27" s="46" t="s">
        <v>28</v>
      </c>
      <c r="F27" s="46" t="s">
        <v>22</v>
      </c>
      <c r="G27" s="46">
        <v>40</v>
      </c>
      <c r="H27" s="46">
        <v>79</v>
      </c>
      <c r="I27" s="65">
        <v>43374</v>
      </c>
      <c r="J27" s="46">
        <v>3</v>
      </c>
      <c r="K27" s="81" t="s">
        <v>23</v>
      </c>
      <c r="L27" s="125"/>
      <c r="M27" s="46" t="s">
        <v>23</v>
      </c>
      <c r="N27" s="125"/>
      <c r="O27" s="46" t="s">
        <v>24</v>
      </c>
      <c r="P27" s="46"/>
      <c r="AG27" s="48"/>
      <c r="AH27" s="48"/>
      <c r="AI27" s="48"/>
      <c r="AJ27" s="48"/>
      <c r="AK27" s="48"/>
      <c r="AL27" s="48"/>
      <c r="AM27" s="49"/>
    </row>
    <row r="28" spans="1:39">
      <c r="A28" s="20" t="s">
        <v>17</v>
      </c>
      <c r="B28" s="46" t="s">
        <v>25</v>
      </c>
      <c r="C28" s="46" t="s">
        <v>19</v>
      </c>
      <c r="D28" s="46" t="s">
        <v>26</v>
      </c>
      <c r="E28" s="46" t="s">
        <v>30</v>
      </c>
      <c r="F28" s="46" t="s">
        <v>22</v>
      </c>
      <c r="G28" s="46">
        <v>40</v>
      </c>
      <c r="H28" s="46">
        <v>67</v>
      </c>
      <c r="I28" s="65">
        <v>43739</v>
      </c>
      <c r="J28" s="46">
        <v>2</v>
      </c>
      <c r="K28" s="81" t="s">
        <v>24</v>
      </c>
      <c r="L28" s="125"/>
      <c r="M28" s="46" t="s">
        <v>23</v>
      </c>
      <c r="N28" s="125"/>
      <c r="O28" s="46" t="s">
        <v>24</v>
      </c>
      <c r="P28" s="46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</row>
    <row r="29" spans="1:39" s="47" customFormat="1">
      <c r="A29" s="20" t="s">
        <v>17</v>
      </c>
      <c r="B29" s="46" t="s">
        <v>27</v>
      </c>
      <c r="C29" s="46" t="s">
        <v>19</v>
      </c>
      <c r="D29" s="46" t="s">
        <v>20</v>
      </c>
      <c r="E29" s="46" t="s">
        <v>31</v>
      </c>
      <c r="F29" s="46" t="s">
        <v>22</v>
      </c>
      <c r="G29" s="46">
        <v>48</v>
      </c>
      <c r="H29" s="46">
        <v>24</v>
      </c>
      <c r="I29" s="65">
        <v>45061</v>
      </c>
      <c r="J29" s="46">
        <v>0</v>
      </c>
      <c r="K29" s="81" t="s">
        <v>23</v>
      </c>
      <c r="L29" s="125"/>
      <c r="M29" s="46" t="s">
        <v>23</v>
      </c>
      <c r="N29" s="125"/>
      <c r="O29" s="46" t="s">
        <v>24</v>
      </c>
      <c r="P29" s="46"/>
      <c r="AG29" s="48"/>
      <c r="AH29" s="48"/>
      <c r="AI29" s="48"/>
      <c r="AJ29" s="48"/>
      <c r="AK29" s="48"/>
      <c r="AL29" s="48"/>
      <c r="AM29" s="49"/>
    </row>
    <row r="30" spans="1:39" s="47" customFormat="1">
      <c r="A30" s="20" t="s">
        <v>17</v>
      </c>
      <c r="B30" s="46" t="s">
        <v>39</v>
      </c>
      <c r="C30" s="46" t="s">
        <v>19</v>
      </c>
      <c r="D30" s="46" t="s">
        <v>34</v>
      </c>
      <c r="E30" s="46" t="s">
        <v>21</v>
      </c>
      <c r="F30" s="46" t="s">
        <v>22</v>
      </c>
      <c r="G30" s="46">
        <v>40</v>
      </c>
      <c r="H30" s="46">
        <v>20</v>
      </c>
      <c r="I30" s="65">
        <v>45173</v>
      </c>
      <c r="J30" s="46">
        <v>0</v>
      </c>
      <c r="K30" s="81" t="s">
        <v>23</v>
      </c>
      <c r="L30" s="125"/>
      <c r="M30" s="46" t="s">
        <v>23</v>
      </c>
      <c r="N30" s="125"/>
      <c r="O30" s="46" t="s">
        <v>24</v>
      </c>
      <c r="P30" s="46"/>
      <c r="AG30" s="48"/>
      <c r="AH30" s="48"/>
      <c r="AI30" s="48"/>
      <c r="AJ30" s="48"/>
      <c r="AK30" s="48"/>
      <c r="AL30" s="48"/>
      <c r="AM30" s="49"/>
    </row>
    <row r="31" spans="1:39" s="47" customFormat="1">
      <c r="A31" s="82" t="s">
        <v>17</v>
      </c>
      <c r="B31" s="62" t="s">
        <v>27</v>
      </c>
      <c r="C31" s="62" t="s">
        <v>19</v>
      </c>
      <c r="D31" s="62" t="s">
        <v>34</v>
      </c>
      <c r="E31" s="62" t="s">
        <v>21</v>
      </c>
      <c r="F31" s="62" t="s">
        <v>22</v>
      </c>
      <c r="G31" s="62">
        <v>40</v>
      </c>
      <c r="H31" s="62">
        <v>54</v>
      </c>
      <c r="I31" s="83">
        <v>45962</v>
      </c>
      <c r="J31" s="62">
        <v>2</v>
      </c>
      <c r="K31" s="84" t="s">
        <v>23</v>
      </c>
      <c r="L31" s="125"/>
      <c r="M31" s="62" t="s">
        <v>23</v>
      </c>
      <c r="N31" s="125"/>
      <c r="O31" s="46" t="s">
        <v>24</v>
      </c>
      <c r="P31" s="62"/>
      <c r="AM31" s="50"/>
    </row>
    <row r="32" spans="1:39" s="47" customFormat="1">
      <c r="A32" s="20" t="s">
        <v>17</v>
      </c>
      <c r="B32" s="46" t="s">
        <v>25</v>
      </c>
      <c r="C32" s="46" t="s">
        <v>19</v>
      </c>
      <c r="D32" s="46" t="s">
        <v>26</v>
      </c>
      <c r="E32" s="46" t="s">
        <v>38</v>
      </c>
      <c r="F32" s="46" t="s">
        <v>22</v>
      </c>
      <c r="G32" s="46">
        <v>40</v>
      </c>
      <c r="H32" s="46">
        <v>82</v>
      </c>
      <c r="I32" s="65">
        <v>43291</v>
      </c>
      <c r="J32" s="46">
        <v>3</v>
      </c>
      <c r="K32" s="81" t="s">
        <v>23</v>
      </c>
      <c r="L32" s="125"/>
      <c r="M32" s="46" t="s">
        <v>23</v>
      </c>
      <c r="N32" s="125"/>
      <c r="O32" s="46" t="s">
        <v>24</v>
      </c>
      <c r="P32" s="46"/>
      <c r="AG32" s="48"/>
      <c r="AH32" s="48"/>
      <c r="AI32" s="48"/>
      <c r="AJ32" s="48"/>
      <c r="AK32" s="48"/>
      <c r="AL32" s="48"/>
      <c r="AM32" s="49"/>
    </row>
    <row r="33" spans="1:39" s="47" customFormat="1">
      <c r="A33" s="20" t="s">
        <v>17</v>
      </c>
      <c r="B33" s="46" t="s">
        <v>39</v>
      </c>
      <c r="C33" s="46" t="s">
        <v>19</v>
      </c>
      <c r="D33" s="46" t="s">
        <v>26</v>
      </c>
      <c r="E33" s="46" t="s">
        <v>30</v>
      </c>
      <c r="F33" s="46" t="s">
        <v>22</v>
      </c>
      <c r="G33" s="46">
        <v>40</v>
      </c>
      <c r="H33" s="46">
        <v>88</v>
      </c>
      <c r="I33" s="65">
        <v>43101</v>
      </c>
      <c r="J33" s="46">
        <v>5</v>
      </c>
      <c r="K33" s="81" t="s">
        <v>23</v>
      </c>
      <c r="L33" s="125"/>
      <c r="M33" s="46" t="s">
        <v>23</v>
      </c>
      <c r="N33" s="125"/>
      <c r="O33" s="46" t="s">
        <v>24</v>
      </c>
      <c r="P33" s="46"/>
      <c r="AG33" s="48"/>
      <c r="AH33" s="48"/>
      <c r="AI33" s="48"/>
      <c r="AJ33" s="48"/>
      <c r="AK33" s="48"/>
      <c r="AL33" s="48"/>
      <c r="AM33" s="49"/>
    </row>
    <row r="34" spans="1:39" s="47" customFormat="1">
      <c r="A34" s="20" t="s">
        <v>17</v>
      </c>
      <c r="B34" s="46" t="s">
        <v>27</v>
      </c>
      <c r="C34" s="46" t="s">
        <v>19</v>
      </c>
      <c r="D34" s="46" t="s">
        <v>20</v>
      </c>
      <c r="E34" s="46" t="s">
        <v>28</v>
      </c>
      <c r="F34" s="46" t="s">
        <v>22</v>
      </c>
      <c r="G34" s="46">
        <v>48</v>
      </c>
      <c r="H34" s="46">
        <v>86</v>
      </c>
      <c r="I34" s="65">
        <v>43160</v>
      </c>
      <c r="J34" s="46">
        <v>5</v>
      </c>
      <c r="K34" s="81" t="s">
        <v>23</v>
      </c>
      <c r="L34" s="125"/>
      <c r="M34" s="46" t="s">
        <v>23</v>
      </c>
      <c r="N34" s="125"/>
      <c r="O34" s="46" t="s">
        <v>24</v>
      </c>
      <c r="P34" s="46"/>
      <c r="AG34" s="48"/>
      <c r="AH34" s="48"/>
      <c r="AI34" s="48"/>
      <c r="AJ34" s="48"/>
      <c r="AK34" s="48"/>
      <c r="AL34" s="48"/>
      <c r="AM34" s="49"/>
    </row>
    <row r="35" spans="1:39" s="47" customFormat="1">
      <c r="A35" s="20" t="s">
        <v>17</v>
      </c>
      <c r="B35" s="46" t="s">
        <v>18</v>
      </c>
      <c r="C35" s="46" t="s">
        <v>19</v>
      </c>
      <c r="D35" s="46" t="s">
        <v>20</v>
      </c>
      <c r="E35" s="46" t="s">
        <v>28</v>
      </c>
      <c r="F35" s="46" t="s">
        <v>22</v>
      </c>
      <c r="G35" s="46">
        <v>48</v>
      </c>
      <c r="H35" s="46">
        <v>88</v>
      </c>
      <c r="I35" s="65">
        <v>43101</v>
      </c>
      <c r="J35" s="46">
        <v>5</v>
      </c>
      <c r="K35" s="81" t="s">
        <v>23</v>
      </c>
      <c r="L35" s="125"/>
      <c r="M35" s="46" t="s">
        <v>23</v>
      </c>
      <c r="N35" s="125"/>
      <c r="O35" s="46" t="s">
        <v>24</v>
      </c>
      <c r="P35" s="46"/>
      <c r="AG35" s="48"/>
      <c r="AH35" s="48"/>
      <c r="AI35" s="48"/>
      <c r="AJ35" s="48"/>
      <c r="AK35" s="48"/>
      <c r="AL35" s="48"/>
      <c r="AM35" s="49"/>
    </row>
    <row r="36" spans="1:39" s="47" customFormat="1">
      <c r="A36" s="20" t="s">
        <v>17</v>
      </c>
      <c r="B36" s="46" t="s">
        <v>27</v>
      </c>
      <c r="C36" s="46" t="s">
        <v>19</v>
      </c>
      <c r="D36" s="46" t="s">
        <v>20</v>
      </c>
      <c r="E36" s="46" t="s">
        <v>28</v>
      </c>
      <c r="F36" s="46" t="s">
        <v>22</v>
      </c>
      <c r="G36" s="46">
        <v>48</v>
      </c>
      <c r="H36" s="46">
        <v>88</v>
      </c>
      <c r="I36" s="65">
        <v>43101</v>
      </c>
      <c r="J36" s="46">
        <v>5</v>
      </c>
      <c r="K36" s="81" t="s">
        <v>23</v>
      </c>
      <c r="L36" s="125"/>
      <c r="M36" s="46" t="s">
        <v>23</v>
      </c>
      <c r="N36" s="125"/>
      <c r="O36" s="46" t="s">
        <v>24</v>
      </c>
      <c r="P36" s="46"/>
      <c r="AG36" s="48"/>
      <c r="AH36" s="48"/>
      <c r="AI36" s="48"/>
      <c r="AJ36" s="48"/>
      <c r="AK36" s="48"/>
      <c r="AL36" s="48"/>
      <c r="AM36" s="49"/>
    </row>
    <row r="37" spans="1:39" s="47" customFormat="1">
      <c r="A37" s="20" t="s">
        <v>17</v>
      </c>
      <c r="B37" s="46" t="s">
        <v>18</v>
      </c>
      <c r="C37" s="46" t="s">
        <v>19</v>
      </c>
      <c r="D37" s="46" t="s">
        <v>26</v>
      </c>
      <c r="E37" s="46" t="s">
        <v>21</v>
      </c>
      <c r="F37" s="46" t="s">
        <v>22</v>
      </c>
      <c r="G37" s="46">
        <v>40</v>
      </c>
      <c r="H37" s="46">
        <v>88</v>
      </c>
      <c r="I37" s="65">
        <v>43101</v>
      </c>
      <c r="J37" s="46">
        <v>5</v>
      </c>
      <c r="K37" s="81" t="s">
        <v>23</v>
      </c>
      <c r="L37" s="125"/>
      <c r="M37" s="46" t="s">
        <v>23</v>
      </c>
      <c r="N37" s="125"/>
      <c r="O37" s="46" t="s">
        <v>24</v>
      </c>
      <c r="P37" s="46"/>
      <c r="AG37" s="48"/>
      <c r="AH37" s="48"/>
      <c r="AI37" s="48"/>
      <c r="AJ37" s="48"/>
      <c r="AK37" s="48"/>
      <c r="AL37" s="48"/>
      <c r="AM37" s="49"/>
    </row>
    <row r="38" spans="1:39" s="47" customFormat="1">
      <c r="A38" s="20" t="s">
        <v>17</v>
      </c>
      <c r="B38" s="46" t="s">
        <v>39</v>
      </c>
      <c r="C38" s="46" t="s">
        <v>19</v>
      </c>
      <c r="D38" s="46" t="s">
        <v>29</v>
      </c>
      <c r="E38" s="46" t="s">
        <v>28</v>
      </c>
      <c r="F38" s="46" t="s">
        <v>22</v>
      </c>
      <c r="G38" s="46">
        <v>40</v>
      </c>
      <c r="H38" s="46">
        <v>88</v>
      </c>
      <c r="I38" s="65">
        <v>43101</v>
      </c>
      <c r="J38" s="46">
        <v>5</v>
      </c>
      <c r="K38" s="81" t="s">
        <v>23</v>
      </c>
      <c r="L38" s="125"/>
      <c r="M38" s="46" t="s">
        <v>23</v>
      </c>
      <c r="N38" s="125"/>
      <c r="O38" s="46" t="s">
        <v>23</v>
      </c>
      <c r="P38" s="46"/>
      <c r="AG38" s="48"/>
      <c r="AH38" s="48"/>
      <c r="AI38" s="48"/>
      <c r="AJ38" s="48"/>
      <c r="AK38" s="48"/>
      <c r="AL38" s="48"/>
      <c r="AM38" s="49"/>
    </row>
    <row r="39" spans="1:39" s="47" customFormat="1">
      <c r="A39" s="20" t="s">
        <v>17</v>
      </c>
      <c r="B39" s="46" t="s">
        <v>25</v>
      </c>
      <c r="C39" s="46" t="s">
        <v>19</v>
      </c>
      <c r="D39" s="46" t="s">
        <v>26</v>
      </c>
      <c r="E39" s="46" t="s">
        <v>30</v>
      </c>
      <c r="F39" s="46" t="s">
        <v>22</v>
      </c>
      <c r="G39" s="46">
        <v>40</v>
      </c>
      <c r="H39" s="46">
        <v>154</v>
      </c>
      <c r="I39" s="65">
        <v>41092</v>
      </c>
      <c r="J39" s="46">
        <v>5</v>
      </c>
      <c r="K39" s="81" t="s">
        <v>23</v>
      </c>
      <c r="L39" s="125"/>
      <c r="M39" s="46" t="s">
        <v>23</v>
      </c>
      <c r="N39" s="125"/>
      <c r="O39" s="46" t="s">
        <v>24</v>
      </c>
      <c r="P39" s="46" t="s">
        <v>40</v>
      </c>
      <c r="AG39" s="48"/>
      <c r="AH39" s="48"/>
      <c r="AI39" s="48"/>
      <c r="AJ39" s="48"/>
      <c r="AK39" s="48"/>
      <c r="AL39" s="48"/>
      <c r="AM39" s="49"/>
    </row>
    <row r="40" spans="1:39" s="60" customFormat="1">
      <c r="A40" s="20" t="s">
        <v>17</v>
      </c>
      <c r="B40" s="46" t="s">
        <v>25</v>
      </c>
      <c r="C40" s="46" t="s">
        <v>19</v>
      </c>
      <c r="D40" s="46" t="s">
        <v>29</v>
      </c>
      <c r="E40" s="46" t="s">
        <v>31</v>
      </c>
      <c r="F40" s="46" t="s">
        <v>32</v>
      </c>
      <c r="G40" s="46">
        <v>40</v>
      </c>
      <c r="H40" s="46">
        <v>17</v>
      </c>
      <c r="I40" s="65">
        <v>45215</v>
      </c>
      <c r="J40" s="46">
        <v>0</v>
      </c>
      <c r="K40" s="81" t="s">
        <v>24</v>
      </c>
      <c r="L40" s="125"/>
      <c r="M40" s="46" t="s">
        <v>23</v>
      </c>
      <c r="N40" s="125"/>
      <c r="O40" s="46" t="s">
        <v>24</v>
      </c>
      <c r="P40" s="46" t="s">
        <v>33</v>
      </c>
      <c r="AG40" s="69"/>
      <c r="AH40" s="69"/>
      <c r="AI40" s="69"/>
      <c r="AJ40" s="69"/>
      <c r="AK40" s="69"/>
      <c r="AL40" s="69"/>
      <c r="AM40" s="69"/>
    </row>
    <row r="41" spans="1:39" s="47" customFormat="1">
      <c r="A41" s="74" t="s">
        <v>17</v>
      </c>
      <c r="B41" s="46" t="s">
        <v>25</v>
      </c>
      <c r="C41" s="70" t="s">
        <v>19</v>
      </c>
      <c r="D41" s="46" t="s">
        <v>29</v>
      </c>
      <c r="E41" s="70" t="s">
        <v>36</v>
      </c>
      <c r="F41" s="46" t="s">
        <v>32</v>
      </c>
      <c r="G41" s="70">
        <v>40</v>
      </c>
      <c r="H41" s="70">
        <v>15</v>
      </c>
      <c r="I41" s="85">
        <v>45329</v>
      </c>
      <c r="J41" s="70">
        <v>0</v>
      </c>
      <c r="K41" s="81" t="s">
        <v>24</v>
      </c>
      <c r="L41" s="125"/>
      <c r="M41" s="46" t="s">
        <v>23</v>
      </c>
      <c r="N41" s="125"/>
      <c r="O41" s="46" t="s">
        <v>24</v>
      </c>
      <c r="P41" s="70" t="s">
        <v>33</v>
      </c>
      <c r="AG41" s="48"/>
      <c r="AH41" s="48"/>
      <c r="AI41" s="48"/>
      <c r="AJ41" s="48"/>
      <c r="AK41" s="48"/>
      <c r="AL41" s="48"/>
      <c r="AM41" s="49"/>
    </row>
    <row r="42" spans="1:39" s="47" customFormat="1">
      <c r="A42" s="20" t="s">
        <v>17</v>
      </c>
      <c r="B42" s="46" t="s">
        <v>25</v>
      </c>
      <c r="C42" s="46" t="s">
        <v>19</v>
      </c>
      <c r="D42" s="46" t="s">
        <v>34</v>
      </c>
      <c r="E42" s="46" t="s">
        <v>28</v>
      </c>
      <c r="F42" s="46" t="s">
        <v>22</v>
      </c>
      <c r="G42" s="46">
        <v>40</v>
      </c>
      <c r="H42" s="46">
        <v>42</v>
      </c>
      <c r="I42" s="65">
        <v>44502</v>
      </c>
      <c r="J42" s="46">
        <v>1</v>
      </c>
      <c r="K42" s="81" t="s">
        <v>23</v>
      </c>
      <c r="L42" s="125"/>
      <c r="M42" s="46" t="s">
        <v>23</v>
      </c>
      <c r="N42" s="125"/>
      <c r="O42" s="46" t="s">
        <v>24</v>
      </c>
      <c r="P42" s="46"/>
      <c r="AG42" s="48"/>
      <c r="AH42" s="48"/>
      <c r="AI42" s="48"/>
      <c r="AJ42" s="48"/>
      <c r="AK42" s="48"/>
      <c r="AL42" s="48"/>
      <c r="AM42" s="49"/>
    </row>
    <row r="43" spans="1:39" s="47" customFormat="1">
      <c r="A43" s="20" t="s">
        <v>17</v>
      </c>
      <c r="B43" s="46" t="s">
        <v>18</v>
      </c>
      <c r="C43" s="46" t="s">
        <v>19</v>
      </c>
      <c r="D43" s="46" t="s">
        <v>26</v>
      </c>
      <c r="E43" s="46" t="s">
        <v>30</v>
      </c>
      <c r="F43" s="46" t="s">
        <v>22</v>
      </c>
      <c r="G43" s="46">
        <v>40</v>
      </c>
      <c r="H43" s="46">
        <v>88</v>
      </c>
      <c r="I43" s="65">
        <v>43101</v>
      </c>
      <c r="J43" s="46">
        <v>5</v>
      </c>
      <c r="K43" s="81" t="s">
        <v>23</v>
      </c>
      <c r="L43" s="125"/>
      <c r="M43" s="46" t="s">
        <v>23</v>
      </c>
      <c r="N43" s="125"/>
      <c r="O43" s="46" t="s">
        <v>24</v>
      </c>
      <c r="P43" s="46"/>
      <c r="AG43" s="48"/>
      <c r="AH43" s="48"/>
      <c r="AI43" s="48"/>
      <c r="AJ43" s="48"/>
      <c r="AK43" s="48"/>
      <c r="AL43" s="48"/>
      <c r="AM43" s="49"/>
    </row>
    <row r="44" spans="1:39" s="47" customFormat="1">
      <c r="A44" s="20" t="s">
        <v>17</v>
      </c>
      <c r="B44" s="46" t="s">
        <v>18</v>
      </c>
      <c r="C44" s="46" t="s">
        <v>19</v>
      </c>
      <c r="D44" s="46" t="s">
        <v>37</v>
      </c>
      <c r="E44" s="46" t="s">
        <v>38</v>
      </c>
      <c r="F44" s="46" t="s">
        <v>22</v>
      </c>
      <c r="G44" s="46">
        <v>40</v>
      </c>
      <c r="H44" s="46">
        <v>79</v>
      </c>
      <c r="I44" s="65">
        <v>43374</v>
      </c>
      <c r="J44" s="46">
        <v>3</v>
      </c>
      <c r="K44" s="81" t="s">
        <v>23</v>
      </c>
      <c r="L44" s="125"/>
      <c r="M44" s="46" t="s">
        <v>23</v>
      </c>
      <c r="N44" s="125"/>
      <c r="O44" s="46" t="s">
        <v>24</v>
      </c>
      <c r="P44" s="46"/>
      <c r="AG44" s="48"/>
      <c r="AH44" s="48"/>
      <c r="AI44" s="48"/>
      <c r="AJ44" s="48"/>
      <c r="AK44" s="48"/>
      <c r="AL44" s="48"/>
      <c r="AM44" s="49"/>
    </row>
    <row r="45" spans="1:39" s="47" customFormat="1">
      <c r="A45" s="20" t="s">
        <v>17</v>
      </c>
      <c r="B45" s="46" t="s">
        <v>25</v>
      </c>
      <c r="C45" s="46" t="s">
        <v>19</v>
      </c>
      <c r="D45" s="46" t="s">
        <v>34</v>
      </c>
      <c r="E45" s="46" t="s">
        <v>30</v>
      </c>
      <c r="F45" s="46" t="s">
        <v>22</v>
      </c>
      <c r="G45" s="46">
        <v>40</v>
      </c>
      <c r="H45" s="46">
        <v>81</v>
      </c>
      <c r="I45" s="65">
        <v>43313</v>
      </c>
      <c r="J45" s="46">
        <v>3</v>
      </c>
      <c r="K45" s="81" t="s">
        <v>23</v>
      </c>
      <c r="L45" s="125"/>
      <c r="M45" s="46" t="s">
        <v>23</v>
      </c>
      <c r="N45" s="125"/>
      <c r="O45" s="46" t="s">
        <v>24</v>
      </c>
      <c r="P45" s="46"/>
      <c r="AG45" s="48"/>
      <c r="AH45" s="48"/>
      <c r="AI45" s="48"/>
      <c r="AJ45" s="48"/>
      <c r="AK45" s="48"/>
      <c r="AL45" s="48"/>
      <c r="AM45" s="49"/>
    </row>
    <row r="46" spans="1:39" s="47" customFormat="1">
      <c r="A46" s="20" t="s">
        <v>17</v>
      </c>
      <c r="B46" s="46" t="s">
        <v>18</v>
      </c>
      <c r="C46" s="46" t="s">
        <v>19</v>
      </c>
      <c r="D46" s="46" t="s">
        <v>20</v>
      </c>
      <c r="E46" s="46" t="s">
        <v>28</v>
      </c>
      <c r="F46" s="46" t="s">
        <v>22</v>
      </c>
      <c r="G46" s="46">
        <v>48</v>
      </c>
      <c r="H46" s="46">
        <v>88</v>
      </c>
      <c r="I46" s="65">
        <v>43101</v>
      </c>
      <c r="J46" s="46">
        <v>5</v>
      </c>
      <c r="K46" s="81" t="s">
        <v>23</v>
      </c>
      <c r="L46" s="125"/>
      <c r="M46" s="46" t="s">
        <v>23</v>
      </c>
      <c r="N46" s="125"/>
      <c r="O46" s="46" t="s">
        <v>24</v>
      </c>
      <c r="P46" s="46"/>
      <c r="AG46" s="48"/>
      <c r="AH46" s="48"/>
      <c r="AI46" s="48"/>
      <c r="AJ46" s="48"/>
      <c r="AK46" s="48"/>
      <c r="AL46" s="48"/>
      <c r="AM46" s="49"/>
    </row>
    <row r="47" spans="1:39" s="47" customFormat="1">
      <c r="A47" s="20" t="s">
        <v>17</v>
      </c>
      <c r="B47" s="46" t="s">
        <v>25</v>
      </c>
      <c r="C47" s="46" t="s">
        <v>19</v>
      </c>
      <c r="D47" s="46" t="s">
        <v>26</v>
      </c>
      <c r="E47" s="46" t="s">
        <v>30</v>
      </c>
      <c r="F47" s="46" t="s">
        <v>22</v>
      </c>
      <c r="G47" s="46">
        <v>40</v>
      </c>
      <c r="H47" s="46">
        <v>67</v>
      </c>
      <c r="I47" s="65">
        <v>43739</v>
      </c>
      <c r="J47" s="46">
        <v>2</v>
      </c>
      <c r="K47" s="81" t="s">
        <v>23</v>
      </c>
      <c r="L47" s="125"/>
      <c r="M47" s="46" t="s">
        <v>23</v>
      </c>
      <c r="N47" s="125"/>
      <c r="O47" s="46" t="s">
        <v>24</v>
      </c>
      <c r="P47" s="46"/>
      <c r="AG47" s="48"/>
      <c r="AH47" s="48"/>
      <c r="AI47" s="48"/>
      <c r="AJ47" s="48"/>
      <c r="AK47" s="48"/>
      <c r="AL47" s="48"/>
      <c r="AM47" s="49"/>
    </row>
    <row r="48" spans="1:39" s="47" customFormat="1">
      <c r="A48" s="20" t="s">
        <v>17</v>
      </c>
      <c r="B48" s="46" t="s">
        <v>25</v>
      </c>
      <c r="C48" s="46" t="s">
        <v>19</v>
      </c>
      <c r="D48" s="46" t="s">
        <v>34</v>
      </c>
      <c r="E48" s="46" t="s">
        <v>30</v>
      </c>
      <c r="F48" s="46" t="s">
        <v>22</v>
      </c>
      <c r="G48" s="46">
        <v>40</v>
      </c>
      <c r="H48" s="46">
        <v>88</v>
      </c>
      <c r="I48" s="65">
        <v>43101</v>
      </c>
      <c r="J48" s="46">
        <v>5</v>
      </c>
      <c r="K48" s="81" t="s">
        <v>23</v>
      </c>
      <c r="L48" s="125"/>
      <c r="M48" s="46" t="s">
        <v>23</v>
      </c>
      <c r="N48" s="125"/>
      <c r="O48" s="46" t="s">
        <v>24</v>
      </c>
      <c r="P48" s="46"/>
      <c r="AG48" s="48"/>
      <c r="AH48" s="48"/>
      <c r="AI48" s="48"/>
      <c r="AJ48" s="48"/>
      <c r="AK48" s="48"/>
      <c r="AL48" s="48"/>
      <c r="AM48" s="49"/>
    </row>
    <row r="49" spans="1:39" s="47" customFormat="1">
      <c r="A49" s="20" t="s">
        <v>17</v>
      </c>
      <c r="B49" s="46" t="s">
        <v>27</v>
      </c>
      <c r="C49" s="46" t="s">
        <v>19</v>
      </c>
      <c r="D49" s="46" t="s">
        <v>26</v>
      </c>
      <c r="E49" s="46" t="s">
        <v>30</v>
      </c>
      <c r="F49" s="46" t="s">
        <v>22</v>
      </c>
      <c r="G49" s="46">
        <v>40</v>
      </c>
      <c r="H49" s="46">
        <v>88</v>
      </c>
      <c r="I49" s="65">
        <v>43101</v>
      </c>
      <c r="J49" s="46">
        <v>5</v>
      </c>
      <c r="K49" s="81" t="s">
        <v>23</v>
      </c>
      <c r="L49" s="125"/>
      <c r="M49" s="46" t="s">
        <v>23</v>
      </c>
      <c r="N49" s="125"/>
      <c r="O49" s="46" t="s">
        <v>24</v>
      </c>
      <c r="P49" s="46"/>
      <c r="AG49" s="48"/>
      <c r="AH49" s="48"/>
      <c r="AI49" s="48"/>
      <c r="AJ49" s="48"/>
      <c r="AK49" s="48"/>
      <c r="AL49" s="48"/>
      <c r="AM49" s="49"/>
    </row>
    <row r="50" spans="1:39" s="47" customFormat="1">
      <c r="A50" s="20" t="s">
        <v>17</v>
      </c>
      <c r="B50" s="46" t="s">
        <v>27</v>
      </c>
      <c r="C50" s="46" t="s">
        <v>19</v>
      </c>
      <c r="D50" s="46" t="s">
        <v>20</v>
      </c>
      <c r="E50" s="46" t="s">
        <v>28</v>
      </c>
      <c r="F50" s="46" t="s">
        <v>22</v>
      </c>
      <c r="G50" s="46">
        <v>48</v>
      </c>
      <c r="H50" s="46">
        <v>14</v>
      </c>
      <c r="I50" s="65">
        <v>45364</v>
      </c>
      <c r="J50" s="46">
        <v>0</v>
      </c>
      <c r="K50" s="81" t="s">
        <v>23</v>
      </c>
      <c r="L50" s="125"/>
      <c r="M50" s="46" t="s">
        <v>23</v>
      </c>
      <c r="N50" s="125"/>
      <c r="O50" s="46" t="s">
        <v>24</v>
      </c>
      <c r="P50" s="46"/>
      <c r="AG50" s="48"/>
      <c r="AH50" s="48"/>
      <c r="AI50" s="48"/>
      <c r="AJ50" s="48"/>
      <c r="AK50" s="48"/>
      <c r="AL50" s="48"/>
      <c r="AM50" s="49"/>
    </row>
    <row r="51" spans="1:39" s="47" customFormat="1">
      <c r="A51" s="20" t="s">
        <v>17</v>
      </c>
      <c r="B51" s="46" t="s">
        <v>25</v>
      </c>
      <c r="C51" s="46" t="s">
        <v>19</v>
      </c>
      <c r="D51" s="46" t="s">
        <v>29</v>
      </c>
      <c r="E51" s="46" t="s">
        <v>28</v>
      </c>
      <c r="F51" s="46" t="s">
        <v>22</v>
      </c>
      <c r="G51" s="46">
        <v>40</v>
      </c>
      <c r="H51" s="46">
        <v>88</v>
      </c>
      <c r="I51" s="65">
        <v>43101</v>
      </c>
      <c r="J51" s="46">
        <v>5</v>
      </c>
      <c r="K51" s="81" t="s">
        <v>23</v>
      </c>
      <c r="L51" s="125"/>
      <c r="M51" s="46" t="s">
        <v>23</v>
      </c>
      <c r="N51" s="125"/>
      <c r="O51" s="46" t="s">
        <v>24</v>
      </c>
      <c r="P51" s="46"/>
      <c r="AG51" s="48"/>
      <c r="AH51" s="48"/>
      <c r="AI51" s="48"/>
      <c r="AJ51" s="48"/>
      <c r="AK51" s="48"/>
      <c r="AL51" s="48"/>
      <c r="AM51" s="49"/>
    </row>
    <row r="52" spans="1:39" s="47" customFormat="1">
      <c r="A52" s="20" t="s">
        <v>17</v>
      </c>
      <c r="B52" s="46" t="s">
        <v>18</v>
      </c>
      <c r="C52" s="46" t="s">
        <v>19</v>
      </c>
      <c r="D52" s="46" t="s">
        <v>20</v>
      </c>
      <c r="E52" s="46" t="s">
        <v>28</v>
      </c>
      <c r="F52" s="46" t="s">
        <v>22</v>
      </c>
      <c r="G52" s="46">
        <v>48</v>
      </c>
      <c r="H52" s="46">
        <v>88</v>
      </c>
      <c r="I52" s="65">
        <v>43101</v>
      </c>
      <c r="J52" s="46">
        <v>5</v>
      </c>
      <c r="K52" s="81" t="s">
        <v>23</v>
      </c>
      <c r="L52" s="125"/>
      <c r="M52" s="46" t="s">
        <v>23</v>
      </c>
      <c r="N52" s="125"/>
      <c r="O52" s="46" t="s">
        <v>24</v>
      </c>
      <c r="P52" s="46"/>
      <c r="AG52" s="48"/>
      <c r="AH52" s="48"/>
      <c r="AI52" s="48"/>
      <c r="AJ52" s="48"/>
      <c r="AK52" s="48"/>
      <c r="AL52" s="48"/>
      <c r="AM52" s="49"/>
    </row>
    <row r="53" spans="1:39" s="47" customFormat="1">
      <c r="A53" s="20" t="s">
        <v>17</v>
      </c>
      <c r="B53" s="46" t="s">
        <v>18</v>
      </c>
      <c r="C53" s="46" t="s">
        <v>19</v>
      </c>
      <c r="D53" s="46" t="s">
        <v>26</v>
      </c>
      <c r="E53" s="46" t="s">
        <v>21</v>
      </c>
      <c r="F53" s="46" t="s">
        <v>22</v>
      </c>
      <c r="G53" s="46">
        <v>40</v>
      </c>
      <c r="H53" s="46">
        <v>22</v>
      </c>
      <c r="I53" s="65">
        <v>45131</v>
      </c>
      <c r="J53" s="46">
        <v>0</v>
      </c>
      <c r="K53" s="81" t="s">
        <v>23</v>
      </c>
      <c r="L53" s="125"/>
      <c r="M53" s="46" t="s">
        <v>23</v>
      </c>
      <c r="N53" s="125"/>
      <c r="O53" s="46" t="s">
        <v>24</v>
      </c>
      <c r="P53" s="46"/>
      <c r="AG53" s="48"/>
      <c r="AH53" s="48"/>
      <c r="AI53" s="48"/>
      <c r="AJ53" s="48"/>
      <c r="AK53" s="48"/>
      <c r="AL53" s="48"/>
      <c r="AM53" s="49"/>
    </row>
    <row r="54" spans="1:39" s="47" customFormat="1">
      <c r="A54" s="20" t="s">
        <v>17</v>
      </c>
      <c r="B54" s="46" t="s">
        <v>25</v>
      </c>
      <c r="C54" s="46" t="s">
        <v>19</v>
      </c>
      <c r="D54" s="46" t="s">
        <v>29</v>
      </c>
      <c r="E54" s="46" t="s">
        <v>21</v>
      </c>
      <c r="F54" s="46" t="s">
        <v>22</v>
      </c>
      <c r="G54" s="46">
        <v>40</v>
      </c>
      <c r="H54" s="46">
        <v>64</v>
      </c>
      <c r="I54" s="65">
        <v>43850</v>
      </c>
      <c r="J54" s="46">
        <v>2</v>
      </c>
      <c r="K54" s="81" t="s">
        <v>23</v>
      </c>
      <c r="L54" s="125"/>
      <c r="M54" s="46" t="s">
        <v>23</v>
      </c>
      <c r="N54" s="125"/>
      <c r="O54" s="46" t="s">
        <v>24</v>
      </c>
      <c r="P54" s="46"/>
      <c r="AG54" s="48"/>
      <c r="AH54" s="48"/>
      <c r="AI54" s="48"/>
      <c r="AJ54" s="48"/>
      <c r="AK54" s="48"/>
      <c r="AL54" s="48"/>
      <c r="AM54" s="49"/>
    </row>
    <row r="55" spans="1:39" s="47" customFormat="1">
      <c r="A55" s="20" t="s">
        <v>17</v>
      </c>
      <c r="B55" s="46" t="s">
        <v>18</v>
      </c>
      <c r="C55" s="46" t="s">
        <v>19</v>
      </c>
      <c r="D55" s="46" t="s">
        <v>41</v>
      </c>
      <c r="E55" s="46" t="s">
        <v>42</v>
      </c>
      <c r="F55" s="46" t="s">
        <v>22</v>
      </c>
      <c r="G55" s="46">
        <v>40</v>
      </c>
      <c r="H55" s="46">
        <v>61</v>
      </c>
      <c r="I55" s="65">
        <v>43945</v>
      </c>
      <c r="J55" s="46">
        <v>2</v>
      </c>
      <c r="K55" s="81" t="s">
        <v>23</v>
      </c>
      <c r="L55" s="125"/>
      <c r="M55" s="46" t="s">
        <v>23</v>
      </c>
      <c r="N55" s="125"/>
      <c r="O55" s="46" t="s">
        <v>24</v>
      </c>
      <c r="P55" s="46"/>
      <c r="AG55" s="48"/>
      <c r="AH55" s="48"/>
      <c r="AI55" s="48"/>
      <c r="AJ55" s="48"/>
      <c r="AK55" s="48"/>
      <c r="AL55" s="48"/>
      <c r="AM55" s="49"/>
    </row>
    <row r="56" spans="1:39" s="47" customFormat="1">
      <c r="A56" s="20" t="s">
        <v>17</v>
      </c>
      <c r="B56" s="46" t="s">
        <v>27</v>
      </c>
      <c r="C56" s="46" t="s">
        <v>19</v>
      </c>
      <c r="D56" s="46" t="s">
        <v>20</v>
      </c>
      <c r="E56" s="46" t="s">
        <v>28</v>
      </c>
      <c r="F56" s="46" t="s">
        <v>22</v>
      </c>
      <c r="G56" s="46">
        <v>48</v>
      </c>
      <c r="H56" s="46">
        <v>79</v>
      </c>
      <c r="I56" s="65">
        <v>43374</v>
      </c>
      <c r="J56" s="46">
        <v>3</v>
      </c>
      <c r="K56" s="81" t="s">
        <v>23</v>
      </c>
      <c r="L56" s="125"/>
      <c r="M56" s="46" t="s">
        <v>23</v>
      </c>
      <c r="N56" s="125"/>
      <c r="O56" s="46" t="s">
        <v>24</v>
      </c>
      <c r="P56" s="46"/>
      <c r="AG56" s="48"/>
      <c r="AH56" s="48"/>
      <c r="AI56" s="48"/>
      <c r="AJ56" s="48"/>
      <c r="AK56" s="48"/>
      <c r="AL56" s="48"/>
      <c r="AM56" s="49"/>
    </row>
    <row r="57" spans="1:39" s="47" customFormat="1">
      <c r="A57" s="20" t="s">
        <v>17</v>
      </c>
      <c r="B57" s="46" t="s">
        <v>18</v>
      </c>
      <c r="C57" s="46" t="s">
        <v>19</v>
      </c>
      <c r="D57" s="46" t="s">
        <v>20</v>
      </c>
      <c r="E57" s="46" t="s">
        <v>28</v>
      </c>
      <c r="F57" s="46" t="s">
        <v>22</v>
      </c>
      <c r="G57" s="46">
        <v>48</v>
      </c>
      <c r="H57" s="46">
        <v>88</v>
      </c>
      <c r="I57" s="65">
        <v>43101</v>
      </c>
      <c r="J57" s="46">
        <v>5</v>
      </c>
      <c r="K57" s="81" t="s">
        <v>23</v>
      </c>
      <c r="L57" s="125"/>
      <c r="M57" s="46" t="s">
        <v>23</v>
      </c>
      <c r="N57" s="125"/>
      <c r="O57" s="46" t="s">
        <v>24</v>
      </c>
      <c r="P57" s="46"/>
      <c r="AG57" s="48"/>
      <c r="AH57" s="48"/>
      <c r="AI57" s="48"/>
      <c r="AJ57" s="48"/>
      <c r="AK57" s="48"/>
      <c r="AL57" s="48"/>
      <c r="AM57" s="49"/>
    </row>
    <row r="58" spans="1:39">
      <c r="A58" s="20" t="s">
        <v>17</v>
      </c>
      <c r="B58" s="46" t="s">
        <v>18</v>
      </c>
      <c r="C58" s="46" t="s">
        <v>19</v>
      </c>
      <c r="D58" s="46" t="s">
        <v>20</v>
      </c>
      <c r="E58" s="46" t="s">
        <v>28</v>
      </c>
      <c r="F58" s="46" t="s">
        <v>22</v>
      </c>
      <c r="G58" s="46">
        <v>48</v>
      </c>
      <c r="H58" s="46">
        <v>88</v>
      </c>
      <c r="I58" s="65">
        <v>43101</v>
      </c>
      <c r="J58" s="46">
        <v>5</v>
      </c>
      <c r="K58" s="81" t="s">
        <v>23</v>
      </c>
      <c r="L58" s="125"/>
      <c r="M58" s="46" t="s">
        <v>23</v>
      </c>
      <c r="N58" s="125"/>
      <c r="O58" s="46" t="s">
        <v>24</v>
      </c>
      <c r="P58" s="46"/>
    </row>
    <row r="59" spans="1:39">
      <c r="A59" s="20" t="s">
        <v>17</v>
      </c>
      <c r="B59" s="46" t="s">
        <v>25</v>
      </c>
      <c r="C59" s="46" t="s">
        <v>19</v>
      </c>
      <c r="D59" s="46" t="s">
        <v>26</v>
      </c>
      <c r="E59" s="46" t="s">
        <v>30</v>
      </c>
      <c r="F59" s="46" t="s">
        <v>22</v>
      </c>
      <c r="G59" s="46">
        <v>40</v>
      </c>
      <c r="H59" s="46">
        <v>88</v>
      </c>
      <c r="I59" s="65">
        <v>43101</v>
      </c>
      <c r="J59" s="46">
        <v>5</v>
      </c>
      <c r="K59" s="81" t="s">
        <v>23</v>
      </c>
      <c r="L59" s="125"/>
      <c r="M59" s="46" t="s">
        <v>23</v>
      </c>
      <c r="N59" s="125"/>
      <c r="O59" s="46" t="s">
        <v>24</v>
      </c>
      <c r="P59" s="46" t="s">
        <v>40</v>
      </c>
    </row>
    <row r="60" spans="1:39">
      <c r="A60" s="20" t="s">
        <v>17</v>
      </c>
      <c r="B60" s="46" t="s">
        <v>18</v>
      </c>
      <c r="C60" s="46" t="s">
        <v>19</v>
      </c>
      <c r="D60" s="46" t="s">
        <v>29</v>
      </c>
      <c r="E60" s="46" t="s">
        <v>36</v>
      </c>
      <c r="F60" s="46" t="s">
        <v>32</v>
      </c>
      <c r="G60" s="46">
        <v>40</v>
      </c>
      <c r="H60" s="46">
        <v>21</v>
      </c>
      <c r="I60" s="65">
        <v>45146</v>
      </c>
      <c r="J60" s="46">
        <v>0</v>
      </c>
      <c r="K60" s="81" t="s">
        <v>24</v>
      </c>
      <c r="L60" s="125"/>
      <c r="M60" s="46" t="s">
        <v>23</v>
      </c>
      <c r="N60" s="125"/>
      <c r="O60" s="46" t="s">
        <v>24</v>
      </c>
      <c r="P60" s="46" t="s">
        <v>43</v>
      </c>
    </row>
    <row r="61" spans="1:39">
      <c r="A61" s="20" t="s">
        <v>17</v>
      </c>
      <c r="B61" s="46" t="s">
        <v>25</v>
      </c>
      <c r="C61" s="46" t="s">
        <v>19</v>
      </c>
      <c r="D61" s="46" t="s">
        <v>26</v>
      </c>
      <c r="E61" s="46" t="s">
        <v>28</v>
      </c>
      <c r="F61" s="46" t="s">
        <v>22</v>
      </c>
      <c r="G61" s="46">
        <v>40</v>
      </c>
      <c r="H61" s="46">
        <v>88</v>
      </c>
      <c r="I61" s="65">
        <v>43101</v>
      </c>
      <c r="J61" s="46">
        <v>5</v>
      </c>
      <c r="K61" s="81" t="s">
        <v>23</v>
      </c>
      <c r="L61" s="125"/>
      <c r="M61" s="46" t="s">
        <v>23</v>
      </c>
      <c r="N61" s="125"/>
      <c r="O61" s="46" t="s">
        <v>24</v>
      </c>
      <c r="P61" s="46"/>
    </row>
    <row r="62" spans="1:39">
      <c r="A62" s="20" t="s">
        <v>17</v>
      </c>
      <c r="B62" s="46" t="s">
        <v>18</v>
      </c>
      <c r="C62" s="46" t="s">
        <v>19</v>
      </c>
      <c r="D62" s="46" t="s">
        <v>34</v>
      </c>
      <c r="E62" s="46" t="s">
        <v>28</v>
      </c>
      <c r="F62" s="46" t="s">
        <v>22</v>
      </c>
      <c r="G62" s="46">
        <v>40</v>
      </c>
      <c r="H62" s="46">
        <v>50</v>
      </c>
      <c r="I62" s="65">
        <v>44256</v>
      </c>
      <c r="J62" s="46">
        <v>1</v>
      </c>
      <c r="K62" s="81" t="s">
        <v>23</v>
      </c>
      <c r="L62" s="125"/>
      <c r="M62" s="46" t="s">
        <v>23</v>
      </c>
      <c r="N62" s="125"/>
      <c r="O62" s="46" t="s">
        <v>24</v>
      </c>
      <c r="P62" s="46"/>
    </row>
    <row r="63" spans="1:39">
      <c r="A63" s="20" t="s">
        <v>17</v>
      </c>
      <c r="B63" s="46" t="s">
        <v>18</v>
      </c>
      <c r="C63" s="46" t="s">
        <v>19</v>
      </c>
      <c r="D63" s="46" t="s">
        <v>20</v>
      </c>
      <c r="E63" s="46" t="s">
        <v>28</v>
      </c>
      <c r="F63" s="46" t="s">
        <v>22</v>
      </c>
      <c r="G63" s="46">
        <v>40</v>
      </c>
      <c r="H63" s="46">
        <v>88</v>
      </c>
      <c r="I63" s="65">
        <v>43101</v>
      </c>
      <c r="J63" s="46">
        <v>5</v>
      </c>
      <c r="K63" s="81" t="s">
        <v>23</v>
      </c>
      <c r="L63" s="125"/>
      <c r="M63" s="46" t="s">
        <v>23</v>
      </c>
      <c r="N63" s="125"/>
      <c r="O63" s="46" t="s">
        <v>24</v>
      </c>
      <c r="P63" s="46"/>
    </row>
    <row r="64" spans="1:39" s="50" customFormat="1">
      <c r="A64" s="20" t="s">
        <v>17</v>
      </c>
      <c r="B64" s="46" t="s">
        <v>25</v>
      </c>
      <c r="C64" s="46" t="s">
        <v>19</v>
      </c>
      <c r="D64" s="46" t="s">
        <v>29</v>
      </c>
      <c r="E64" s="46" t="s">
        <v>21</v>
      </c>
      <c r="F64" s="46" t="s">
        <v>22</v>
      </c>
      <c r="G64" s="46">
        <v>40</v>
      </c>
      <c r="H64" s="46">
        <v>88</v>
      </c>
      <c r="I64" s="65">
        <v>43101</v>
      </c>
      <c r="J64" s="46">
        <v>5</v>
      </c>
      <c r="K64" s="81" t="s">
        <v>23</v>
      </c>
      <c r="L64" s="125"/>
      <c r="M64" s="46" t="s">
        <v>23</v>
      </c>
      <c r="N64" s="125"/>
      <c r="O64" s="46" t="s">
        <v>24</v>
      </c>
      <c r="P64" s="46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</row>
    <row r="65" spans="1:39" s="50" customFormat="1">
      <c r="A65" s="20" t="s">
        <v>17</v>
      </c>
      <c r="B65" s="46" t="s">
        <v>25</v>
      </c>
      <c r="C65" s="46" t="s">
        <v>19</v>
      </c>
      <c r="D65" s="46" t="s">
        <v>29</v>
      </c>
      <c r="E65" s="46" t="s">
        <v>36</v>
      </c>
      <c r="F65" s="46" t="s">
        <v>32</v>
      </c>
      <c r="G65" s="46">
        <v>40</v>
      </c>
      <c r="H65" s="46">
        <v>19</v>
      </c>
      <c r="I65" s="65">
        <v>45208</v>
      </c>
      <c r="J65" s="46">
        <v>0</v>
      </c>
      <c r="K65" s="81" t="s">
        <v>24</v>
      </c>
      <c r="L65" s="125"/>
      <c r="M65" s="46" t="s">
        <v>23</v>
      </c>
      <c r="N65" s="125"/>
      <c r="O65" s="46" t="s">
        <v>24</v>
      </c>
      <c r="P65" s="46" t="s">
        <v>33</v>
      </c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</row>
    <row r="66" spans="1:39" s="50" customFormat="1">
      <c r="A66" s="20" t="s">
        <v>17</v>
      </c>
      <c r="B66" s="46" t="s">
        <v>25</v>
      </c>
      <c r="C66" s="46" t="s">
        <v>19</v>
      </c>
      <c r="D66" s="46" t="s">
        <v>29</v>
      </c>
      <c r="E66" s="46" t="s">
        <v>31</v>
      </c>
      <c r="F66" s="46" t="s">
        <v>22</v>
      </c>
      <c r="G66" s="46">
        <v>40</v>
      </c>
      <c r="H66" s="46">
        <v>88</v>
      </c>
      <c r="I66" s="65">
        <v>43101</v>
      </c>
      <c r="J66" s="46">
        <v>5</v>
      </c>
      <c r="K66" s="81" t="s">
        <v>23</v>
      </c>
      <c r="L66" s="125"/>
      <c r="M66" s="46" t="s">
        <v>23</v>
      </c>
      <c r="N66" s="125"/>
      <c r="O66" s="46" t="s">
        <v>24</v>
      </c>
      <c r="P66" s="46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</row>
    <row r="67" spans="1:39" s="50" customFormat="1">
      <c r="A67" s="20" t="s">
        <v>17</v>
      </c>
      <c r="B67" s="46" t="s">
        <v>27</v>
      </c>
      <c r="C67" s="46" t="s">
        <v>19</v>
      </c>
      <c r="D67" s="46" t="s">
        <v>29</v>
      </c>
      <c r="E67" s="46" t="s">
        <v>31</v>
      </c>
      <c r="F67" s="46" t="s">
        <v>32</v>
      </c>
      <c r="G67" s="46">
        <v>40</v>
      </c>
      <c r="H67" s="46">
        <v>26</v>
      </c>
      <c r="I67" s="65">
        <v>44986</v>
      </c>
      <c r="J67" s="46">
        <v>0</v>
      </c>
      <c r="K67" s="81" t="s">
        <v>24</v>
      </c>
      <c r="L67" s="125"/>
      <c r="M67" s="46" t="s">
        <v>23</v>
      </c>
      <c r="N67" s="125"/>
      <c r="O67" s="46" t="s">
        <v>24</v>
      </c>
      <c r="P67" s="46" t="s">
        <v>33</v>
      </c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</row>
    <row r="68" spans="1:39">
      <c r="A68" s="20" t="s">
        <v>17</v>
      </c>
      <c r="B68" s="46" t="s">
        <v>18</v>
      </c>
      <c r="C68" s="46" t="s">
        <v>19</v>
      </c>
      <c r="D68" s="46" t="s">
        <v>29</v>
      </c>
      <c r="E68" s="46" t="s">
        <v>31</v>
      </c>
      <c r="F68" s="46" t="s">
        <v>32</v>
      </c>
      <c r="G68" s="46">
        <v>40</v>
      </c>
      <c r="H68" s="46">
        <v>0</v>
      </c>
      <c r="I68" s="65">
        <v>45779</v>
      </c>
      <c r="J68" s="46">
        <v>1</v>
      </c>
      <c r="K68" s="81" t="s">
        <v>24</v>
      </c>
      <c r="L68" s="125"/>
      <c r="M68" s="46" t="s">
        <v>23</v>
      </c>
      <c r="N68" s="125"/>
      <c r="O68" s="46" t="s">
        <v>24</v>
      </c>
      <c r="P68" s="46" t="s">
        <v>33</v>
      </c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</row>
    <row r="69" spans="1:39" s="50" customFormat="1">
      <c r="A69" s="20" t="s">
        <v>17</v>
      </c>
      <c r="B69" s="46" t="s">
        <v>18</v>
      </c>
      <c r="C69" s="46" t="s">
        <v>19</v>
      </c>
      <c r="D69" s="46" t="s">
        <v>20</v>
      </c>
      <c r="E69" s="46" t="s">
        <v>30</v>
      </c>
      <c r="F69" s="46" t="s">
        <v>22</v>
      </c>
      <c r="G69" s="46">
        <v>48</v>
      </c>
      <c r="H69" s="46">
        <v>88</v>
      </c>
      <c r="I69" s="65">
        <v>43101</v>
      </c>
      <c r="J69" s="46">
        <v>5</v>
      </c>
      <c r="K69" s="81" t="s">
        <v>23</v>
      </c>
      <c r="L69" s="125"/>
      <c r="M69" s="46" t="s">
        <v>23</v>
      </c>
      <c r="N69" s="125"/>
      <c r="O69" s="46" t="s">
        <v>24</v>
      </c>
      <c r="P69" s="46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</row>
    <row r="70" spans="1:39" s="50" customFormat="1">
      <c r="A70" s="20" t="s">
        <v>17</v>
      </c>
      <c r="B70" s="46" t="s">
        <v>18</v>
      </c>
      <c r="C70" s="46" t="s">
        <v>19</v>
      </c>
      <c r="D70" s="46" t="s">
        <v>26</v>
      </c>
      <c r="E70" s="46" t="s">
        <v>28</v>
      </c>
      <c r="F70" s="46" t="s">
        <v>22</v>
      </c>
      <c r="G70" s="46">
        <v>40</v>
      </c>
      <c r="H70" s="46">
        <v>88</v>
      </c>
      <c r="I70" s="65">
        <v>43101</v>
      </c>
      <c r="J70" s="46">
        <v>5</v>
      </c>
      <c r="K70" s="81" t="s">
        <v>23</v>
      </c>
      <c r="L70" s="125"/>
      <c r="M70" s="46" t="s">
        <v>23</v>
      </c>
      <c r="N70" s="125"/>
      <c r="O70" s="46" t="s">
        <v>24</v>
      </c>
      <c r="P70" s="46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</row>
    <row r="71" spans="1:39" s="50" customFormat="1">
      <c r="A71" s="20" t="s">
        <v>17</v>
      </c>
      <c r="B71" s="46" t="s">
        <v>25</v>
      </c>
      <c r="C71" s="46" t="s">
        <v>19</v>
      </c>
      <c r="D71" s="46" t="s">
        <v>29</v>
      </c>
      <c r="E71" s="46" t="s">
        <v>21</v>
      </c>
      <c r="F71" s="46" t="s">
        <v>22</v>
      </c>
      <c r="G71" s="46">
        <v>40</v>
      </c>
      <c r="H71" s="46">
        <v>54</v>
      </c>
      <c r="I71" s="65">
        <v>43850</v>
      </c>
      <c r="J71" s="46">
        <v>2</v>
      </c>
      <c r="K71" s="81" t="s">
        <v>23</v>
      </c>
      <c r="L71" s="125"/>
      <c r="M71" s="46" t="s">
        <v>23</v>
      </c>
      <c r="N71" s="125"/>
      <c r="O71" s="46" t="s">
        <v>24</v>
      </c>
      <c r="P71" s="46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</row>
    <row r="72" spans="1:39" s="50" customFormat="1">
      <c r="A72" s="20" t="s">
        <v>17</v>
      </c>
      <c r="B72" s="46" t="s">
        <v>25</v>
      </c>
      <c r="C72" s="46" t="s">
        <v>19</v>
      </c>
      <c r="D72" s="46" t="s">
        <v>29</v>
      </c>
      <c r="E72" s="46" t="s">
        <v>21</v>
      </c>
      <c r="F72" s="46" t="s">
        <v>22</v>
      </c>
      <c r="G72" s="46">
        <v>40</v>
      </c>
      <c r="H72" s="46">
        <v>88</v>
      </c>
      <c r="I72" s="65">
        <v>43101</v>
      </c>
      <c r="J72" s="46">
        <v>5</v>
      </c>
      <c r="K72" s="81" t="s">
        <v>23</v>
      </c>
      <c r="L72" s="125"/>
      <c r="M72" s="46" t="s">
        <v>23</v>
      </c>
      <c r="N72" s="125"/>
      <c r="O72" s="46" t="s">
        <v>24</v>
      </c>
      <c r="P72" s="46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</row>
    <row r="73" spans="1:39" s="50" customFormat="1">
      <c r="A73" s="20" t="s">
        <v>17</v>
      </c>
      <c r="B73" s="46" t="s">
        <v>18</v>
      </c>
      <c r="C73" s="46" t="s">
        <v>19</v>
      </c>
      <c r="D73" s="46" t="s">
        <v>20</v>
      </c>
      <c r="E73" s="46" t="s">
        <v>28</v>
      </c>
      <c r="F73" s="46" t="s">
        <v>22</v>
      </c>
      <c r="G73" s="46">
        <v>48</v>
      </c>
      <c r="H73" s="46">
        <v>88</v>
      </c>
      <c r="I73" s="65">
        <v>43101</v>
      </c>
      <c r="J73" s="46">
        <v>5</v>
      </c>
      <c r="K73" s="81" t="s">
        <v>23</v>
      </c>
      <c r="L73" s="125"/>
      <c r="M73" s="46" t="s">
        <v>23</v>
      </c>
      <c r="N73" s="125"/>
      <c r="O73" s="46" t="s">
        <v>24</v>
      </c>
      <c r="P73" s="46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</row>
    <row r="74" spans="1:39" s="50" customFormat="1">
      <c r="A74" s="20" t="s">
        <v>17</v>
      </c>
      <c r="B74" s="46" t="s">
        <v>18</v>
      </c>
      <c r="C74" s="46" t="s">
        <v>19</v>
      </c>
      <c r="D74" s="46" t="s">
        <v>29</v>
      </c>
      <c r="E74" s="46" t="s">
        <v>28</v>
      </c>
      <c r="F74" s="46" t="s">
        <v>22</v>
      </c>
      <c r="G74" s="46">
        <v>40</v>
      </c>
      <c r="H74" s="46">
        <v>88</v>
      </c>
      <c r="I74" s="65">
        <v>43101</v>
      </c>
      <c r="J74" s="46">
        <v>5</v>
      </c>
      <c r="K74" s="81" t="s">
        <v>23</v>
      </c>
      <c r="L74" s="125"/>
      <c r="M74" s="46" t="s">
        <v>23</v>
      </c>
      <c r="N74" s="125"/>
      <c r="O74" s="46" t="s">
        <v>24</v>
      </c>
      <c r="P74" s="46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</row>
    <row r="75" spans="1:39" s="50" customFormat="1">
      <c r="A75" s="20" t="s">
        <v>17</v>
      </c>
      <c r="B75" s="46" t="s">
        <v>18</v>
      </c>
      <c r="C75" s="46" t="s">
        <v>19</v>
      </c>
      <c r="D75" s="46" t="s">
        <v>37</v>
      </c>
      <c r="E75" s="46" t="s">
        <v>21</v>
      </c>
      <c r="F75" s="46" t="s">
        <v>22</v>
      </c>
      <c r="G75" s="46">
        <v>40</v>
      </c>
      <c r="H75" s="46">
        <v>8</v>
      </c>
      <c r="I75" s="65">
        <v>45536</v>
      </c>
      <c r="J75" s="46">
        <v>1</v>
      </c>
      <c r="K75" s="81" t="s">
        <v>23</v>
      </c>
      <c r="L75" s="125"/>
      <c r="M75" s="46" t="s">
        <v>23</v>
      </c>
      <c r="N75" s="125"/>
      <c r="O75" s="46" t="s">
        <v>24</v>
      </c>
      <c r="P75" s="46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</row>
    <row r="76" spans="1:39" s="50" customFormat="1">
      <c r="A76" s="20" t="s">
        <v>17</v>
      </c>
      <c r="B76" s="46" t="s">
        <v>25</v>
      </c>
      <c r="C76" s="46" t="s">
        <v>19</v>
      </c>
      <c r="D76" s="46" t="s">
        <v>37</v>
      </c>
      <c r="E76" s="46" t="s">
        <v>38</v>
      </c>
      <c r="F76" s="46" t="s">
        <v>22</v>
      </c>
      <c r="G76" s="46">
        <v>40</v>
      </c>
      <c r="H76" s="46">
        <v>88</v>
      </c>
      <c r="I76" s="65">
        <v>43101</v>
      </c>
      <c r="J76" s="46">
        <v>5</v>
      </c>
      <c r="K76" s="81" t="s">
        <v>23</v>
      </c>
      <c r="L76" s="125"/>
      <c r="M76" s="46" t="s">
        <v>23</v>
      </c>
      <c r="N76" s="125"/>
      <c r="O76" s="46" t="s">
        <v>24</v>
      </c>
      <c r="P76" s="46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</row>
    <row r="77" spans="1:39" s="47" customFormat="1">
      <c r="A77" s="20" t="s">
        <v>17</v>
      </c>
      <c r="B77" s="46" t="s">
        <v>25</v>
      </c>
      <c r="C77" s="46" t="s">
        <v>44</v>
      </c>
      <c r="D77" s="46" t="s">
        <v>41</v>
      </c>
      <c r="E77" s="46">
        <v>2</v>
      </c>
      <c r="F77" s="46" t="s">
        <v>22</v>
      </c>
      <c r="G77" s="46">
        <v>40</v>
      </c>
      <c r="H77" s="46">
        <v>19</v>
      </c>
      <c r="I77" s="65">
        <v>45200</v>
      </c>
      <c r="J77" s="46">
        <v>0</v>
      </c>
      <c r="K77" s="81" t="s">
        <v>23</v>
      </c>
      <c r="L77" s="125"/>
      <c r="M77" s="46" t="s">
        <v>23</v>
      </c>
      <c r="N77" s="125"/>
      <c r="O77" s="46" t="s">
        <v>24</v>
      </c>
      <c r="P77" s="46"/>
      <c r="AG77" s="48"/>
      <c r="AH77" s="48"/>
      <c r="AI77" s="48"/>
      <c r="AJ77" s="48"/>
      <c r="AK77" s="48"/>
      <c r="AL77" s="48"/>
      <c r="AM77" s="49"/>
    </row>
    <row r="78" spans="1:39" s="50" customFormat="1">
      <c r="A78" s="20" t="s">
        <v>17</v>
      </c>
      <c r="B78" s="46" t="s">
        <v>27</v>
      </c>
      <c r="C78" s="46" t="s">
        <v>19</v>
      </c>
      <c r="D78" s="46" t="s">
        <v>26</v>
      </c>
      <c r="E78" s="46" t="s">
        <v>28</v>
      </c>
      <c r="F78" s="46" t="s">
        <v>22</v>
      </c>
      <c r="G78" s="46">
        <v>40</v>
      </c>
      <c r="H78" s="46">
        <v>23</v>
      </c>
      <c r="I78" s="65">
        <v>45096</v>
      </c>
      <c r="J78" s="46">
        <v>0</v>
      </c>
      <c r="K78" s="81" t="s">
        <v>23</v>
      </c>
      <c r="L78" s="125"/>
      <c r="M78" s="46" t="s">
        <v>23</v>
      </c>
      <c r="N78" s="125"/>
      <c r="O78" s="46" t="s">
        <v>24</v>
      </c>
      <c r="P78" s="46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</row>
    <row r="79" spans="1:39" s="50" customFormat="1">
      <c r="A79" s="20" t="s">
        <v>17</v>
      </c>
      <c r="B79" s="46" t="s">
        <v>18</v>
      </c>
      <c r="C79" s="46" t="s">
        <v>19</v>
      </c>
      <c r="D79" s="46" t="s">
        <v>29</v>
      </c>
      <c r="E79" s="46" t="s">
        <v>28</v>
      </c>
      <c r="F79" s="46" t="s">
        <v>22</v>
      </c>
      <c r="G79" s="46">
        <v>40</v>
      </c>
      <c r="H79" s="46">
        <v>84</v>
      </c>
      <c r="I79" s="65">
        <v>43234</v>
      </c>
      <c r="J79" s="46">
        <v>3</v>
      </c>
      <c r="K79" s="81" t="s">
        <v>23</v>
      </c>
      <c r="L79" s="125"/>
      <c r="M79" s="46" t="s">
        <v>23</v>
      </c>
      <c r="N79" s="125"/>
      <c r="O79" s="46" t="s">
        <v>24</v>
      </c>
      <c r="P79" s="46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</row>
    <row r="80" spans="1:39" s="50" customFormat="1">
      <c r="A80" s="20" t="s">
        <v>17</v>
      </c>
      <c r="B80" s="46" t="s">
        <v>25</v>
      </c>
      <c r="C80" s="46" t="s">
        <v>19</v>
      </c>
      <c r="D80" s="46" t="s">
        <v>34</v>
      </c>
      <c r="E80" s="46" t="s">
        <v>21</v>
      </c>
      <c r="F80" s="46" t="s">
        <v>22</v>
      </c>
      <c r="G80" s="46">
        <v>40</v>
      </c>
      <c r="H80" s="46">
        <v>88</v>
      </c>
      <c r="I80" s="65">
        <v>43101</v>
      </c>
      <c r="J80" s="46">
        <v>5</v>
      </c>
      <c r="K80" s="81" t="s">
        <v>23</v>
      </c>
      <c r="L80" s="125"/>
      <c r="M80" s="46" t="s">
        <v>23</v>
      </c>
      <c r="N80" s="125"/>
      <c r="O80" s="46" t="s">
        <v>24</v>
      </c>
      <c r="P80" s="46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</row>
    <row r="81" spans="1:39" s="47" customFormat="1">
      <c r="A81" s="82" t="s">
        <v>17</v>
      </c>
      <c r="B81" s="62" t="s">
        <v>18</v>
      </c>
      <c r="C81" s="62" t="s">
        <v>19</v>
      </c>
      <c r="D81" s="62" t="s">
        <v>34</v>
      </c>
      <c r="E81" s="62" t="s">
        <v>21</v>
      </c>
      <c r="F81" s="62" t="s">
        <v>22</v>
      </c>
      <c r="G81" s="62">
        <v>40</v>
      </c>
      <c r="H81" s="62">
        <v>54</v>
      </c>
      <c r="I81" s="83">
        <v>45870</v>
      </c>
      <c r="J81" s="62">
        <v>2</v>
      </c>
      <c r="K81" s="84" t="s">
        <v>23</v>
      </c>
      <c r="L81" s="125"/>
      <c r="M81" s="62" t="s">
        <v>23</v>
      </c>
      <c r="N81" s="125"/>
      <c r="O81" s="46" t="s">
        <v>24</v>
      </c>
      <c r="P81" s="62"/>
      <c r="AM81" s="50"/>
    </row>
    <row r="82" spans="1:39" s="50" customFormat="1">
      <c r="A82" s="20" t="s">
        <v>17</v>
      </c>
      <c r="B82" s="46" t="s">
        <v>25</v>
      </c>
      <c r="C82" s="46" t="s">
        <v>19</v>
      </c>
      <c r="D82" s="46" t="s">
        <v>29</v>
      </c>
      <c r="E82" s="46" t="s">
        <v>36</v>
      </c>
      <c r="F82" s="46" t="s">
        <v>32</v>
      </c>
      <c r="G82" s="46">
        <v>40</v>
      </c>
      <c r="H82" s="46">
        <v>23</v>
      </c>
      <c r="I82" s="65">
        <v>45089</v>
      </c>
      <c r="J82" s="46">
        <v>0</v>
      </c>
      <c r="K82" s="46" t="s">
        <v>23</v>
      </c>
      <c r="L82" s="126"/>
      <c r="M82" s="46" t="s">
        <v>23</v>
      </c>
      <c r="N82" s="126"/>
      <c r="O82" s="46" t="s">
        <v>24</v>
      </c>
      <c r="P82" s="46" t="s">
        <v>33</v>
      </c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</row>
    <row r="83" spans="1:39" s="50" customFormat="1">
      <c r="A83" s="32"/>
      <c r="B83" s="51"/>
      <c r="C83" s="51"/>
      <c r="D83" s="51"/>
      <c r="E83" s="51"/>
      <c r="F83" s="51"/>
      <c r="G83" s="51"/>
      <c r="I83" s="51"/>
      <c r="O83" s="51"/>
      <c r="P83" s="51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</row>
    <row r="84" spans="1:39" s="50" customFormat="1">
      <c r="A84" s="32"/>
      <c r="B84" s="51"/>
      <c r="C84" s="51"/>
      <c r="D84" s="51"/>
      <c r="E84" s="51"/>
      <c r="F84" s="51"/>
      <c r="G84" s="51"/>
      <c r="I84" s="51"/>
      <c r="O84" s="51"/>
      <c r="P84" s="51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</row>
    <row r="85" spans="1:39" s="50" customFormat="1">
      <c r="A85" s="32"/>
      <c r="B85" s="51"/>
      <c r="C85" s="51"/>
      <c r="D85" s="51"/>
      <c r="E85" s="51"/>
      <c r="F85" s="51"/>
      <c r="G85" s="51"/>
      <c r="I85" s="51"/>
      <c r="O85" s="51"/>
      <c r="P85" s="51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</row>
    <row r="86" spans="1:39" s="50" customFormat="1">
      <c r="A86" s="32"/>
      <c r="B86" s="51"/>
      <c r="C86" s="51"/>
      <c r="D86" s="51"/>
      <c r="E86" s="51"/>
      <c r="F86" s="51"/>
      <c r="G86" s="51"/>
      <c r="I86" s="51"/>
      <c r="O86" s="51"/>
      <c r="P86" s="51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</row>
    <row r="87" spans="1:39" s="50" customFormat="1">
      <c r="A87" s="32"/>
      <c r="B87" s="51"/>
      <c r="C87" s="51"/>
      <c r="D87" s="51"/>
      <c r="E87" s="51"/>
      <c r="F87" s="51"/>
      <c r="G87" s="51"/>
      <c r="I87" s="51"/>
      <c r="O87" s="51"/>
      <c r="P87" s="51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</row>
    <row r="88" spans="1:39" s="50" customFormat="1">
      <c r="A88" s="32"/>
      <c r="B88" s="51"/>
      <c r="C88" s="51"/>
      <c r="D88" s="51"/>
      <c r="E88" s="51"/>
      <c r="F88" s="51"/>
      <c r="G88" s="51"/>
      <c r="I88" s="51"/>
      <c r="O88" s="51"/>
      <c r="P88" s="51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</row>
    <row r="89" spans="1:39" s="50" customFormat="1">
      <c r="A89" s="32"/>
      <c r="B89" s="51"/>
      <c r="C89" s="51"/>
      <c r="D89" s="51"/>
      <c r="E89" s="51"/>
      <c r="F89" s="51"/>
      <c r="G89" s="51"/>
      <c r="I89" s="51"/>
      <c r="O89" s="51"/>
      <c r="P89" s="51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</row>
    <row r="90" spans="1:39" s="50" customFormat="1">
      <c r="A90" s="32"/>
      <c r="B90" s="51"/>
      <c r="C90" s="51"/>
      <c r="D90" s="51"/>
      <c r="E90" s="51"/>
      <c r="F90" s="51"/>
      <c r="G90" s="51"/>
      <c r="I90" s="51"/>
      <c r="O90" s="51"/>
      <c r="P90" s="51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</row>
    <row r="91" spans="1:39" s="50" customFormat="1">
      <c r="A91" s="32"/>
      <c r="B91" s="51"/>
      <c r="C91" s="51"/>
      <c r="D91" s="51"/>
      <c r="E91" s="51"/>
      <c r="F91" s="51"/>
      <c r="G91" s="51"/>
      <c r="I91" s="51"/>
      <c r="O91" s="51"/>
      <c r="P91" s="51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</row>
    <row r="92" spans="1:39" s="50" customFormat="1">
      <c r="A92" s="32"/>
      <c r="B92" s="51"/>
      <c r="C92" s="51"/>
      <c r="D92" s="51"/>
      <c r="E92" s="51"/>
      <c r="F92" s="51"/>
      <c r="G92" s="51"/>
      <c r="I92" s="51"/>
      <c r="O92" s="51"/>
      <c r="P92" s="51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</row>
    <row r="93" spans="1:39" s="50" customFormat="1">
      <c r="A93" s="32"/>
      <c r="B93" s="51"/>
      <c r="C93" s="51"/>
      <c r="D93" s="51"/>
      <c r="E93" s="51"/>
      <c r="F93" s="51"/>
      <c r="G93" s="51"/>
      <c r="I93" s="51"/>
      <c r="O93" s="51"/>
      <c r="P93" s="51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</row>
    <row r="94" spans="1:39" s="50" customFormat="1">
      <c r="A94" s="32"/>
      <c r="B94" s="51"/>
      <c r="C94" s="51"/>
      <c r="D94" s="51"/>
      <c r="E94" s="51"/>
      <c r="F94" s="51"/>
      <c r="G94" s="51"/>
      <c r="I94" s="51"/>
      <c r="O94" s="51"/>
      <c r="P94" s="51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</row>
    <row r="95" spans="1:39" s="50" customFormat="1">
      <c r="A95" s="32"/>
      <c r="B95" s="51"/>
      <c r="C95" s="51"/>
      <c r="D95" s="51"/>
      <c r="E95" s="51"/>
      <c r="F95" s="51"/>
      <c r="G95" s="51"/>
      <c r="I95" s="51"/>
      <c r="O95" s="51"/>
      <c r="P95" s="51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</row>
    <row r="96" spans="1:39" s="50" customFormat="1">
      <c r="A96" s="32"/>
      <c r="B96" s="51"/>
      <c r="C96" s="51"/>
      <c r="D96" s="51"/>
      <c r="E96" s="51"/>
      <c r="F96" s="51"/>
      <c r="G96" s="51"/>
      <c r="I96" s="51"/>
      <c r="O96" s="51"/>
      <c r="P96" s="51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</row>
    <row r="97" spans="1:38" s="50" customFormat="1">
      <c r="A97" s="32"/>
      <c r="B97" s="51"/>
      <c r="C97" s="51"/>
      <c r="D97" s="51"/>
      <c r="E97" s="51"/>
      <c r="F97" s="51"/>
      <c r="G97" s="51"/>
      <c r="I97" s="51"/>
      <c r="O97" s="51"/>
      <c r="P97" s="51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</row>
    <row r="98" spans="1:38" s="50" customFormat="1">
      <c r="A98" s="32"/>
      <c r="B98" s="51"/>
      <c r="C98" s="51"/>
      <c r="D98" s="51"/>
      <c r="E98" s="51"/>
      <c r="F98" s="51"/>
      <c r="G98" s="51"/>
      <c r="I98" s="51"/>
      <c r="O98" s="51"/>
      <c r="P98" s="51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</row>
    <row r="99" spans="1:38" s="50" customFormat="1">
      <c r="A99" s="32"/>
      <c r="B99" s="51"/>
      <c r="C99" s="51"/>
      <c r="D99" s="51"/>
      <c r="E99" s="51"/>
      <c r="F99" s="51"/>
      <c r="G99" s="51"/>
      <c r="I99" s="51"/>
      <c r="O99" s="51"/>
      <c r="P99" s="51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</row>
    <row r="100" spans="1:38" s="50" customFormat="1">
      <c r="A100" s="32"/>
      <c r="B100" s="51"/>
      <c r="C100" s="51"/>
      <c r="D100" s="51"/>
      <c r="E100" s="51"/>
      <c r="F100" s="51"/>
      <c r="G100" s="51"/>
      <c r="I100" s="51"/>
      <c r="O100" s="51"/>
      <c r="P100" s="51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</row>
    <row r="101" spans="1:38" s="50" customFormat="1">
      <c r="A101" s="32"/>
      <c r="B101" s="51"/>
      <c r="C101" s="51"/>
      <c r="D101" s="51"/>
      <c r="E101" s="51"/>
      <c r="F101" s="51"/>
      <c r="G101" s="51"/>
      <c r="I101" s="51"/>
      <c r="O101" s="51"/>
      <c r="P101" s="51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</row>
    <row r="102" spans="1:38" s="50" customFormat="1">
      <c r="A102" s="32"/>
      <c r="B102" s="51"/>
      <c r="C102" s="51"/>
      <c r="D102" s="51"/>
      <c r="E102" s="51"/>
      <c r="F102" s="51"/>
      <c r="G102" s="51"/>
      <c r="I102" s="51"/>
      <c r="O102" s="51"/>
      <c r="P102" s="51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</row>
    <row r="103" spans="1:38" s="50" customFormat="1">
      <c r="A103" s="32"/>
      <c r="B103" s="51"/>
      <c r="C103" s="51"/>
      <c r="D103" s="51"/>
      <c r="E103" s="51"/>
      <c r="F103" s="51"/>
      <c r="G103" s="51"/>
      <c r="I103" s="51"/>
      <c r="O103" s="51"/>
      <c r="P103" s="51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</row>
    <row r="104" spans="1:38" s="50" customFormat="1">
      <c r="A104" s="32"/>
      <c r="B104" s="51"/>
      <c r="C104" s="51"/>
      <c r="D104" s="51"/>
      <c r="E104" s="51"/>
      <c r="F104" s="51"/>
      <c r="G104" s="51"/>
      <c r="I104" s="51"/>
      <c r="O104" s="51"/>
      <c r="P104" s="51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</row>
    <row r="105" spans="1:38" s="50" customFormat="1">
      <c r="A105" s="32"/>
      <c r="B105" s="51"/>
      <c r="C105" s="51"/>
      <c r="D105" s="51"/>
      <c r="E105" s="51"/>
      <c r="F105" s="51"/>
      <c r="G105" s="51"/>
      <c r="I105" s="51"/>
      <c r="O105" s="51"/>
      <c r="P105" s="51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</row>
    <row r="106" spans="1:38" s="50" customFormat="1">
      <c r="A106" s="32"/>
      <c r="B106" s="51"/>
      <c r="C106" s="51"/>
      <c r="D106" s="51"/>
      <c r="E106" s="51"/>
      <c r="F106" s="51"/>
      <c r="G106" s="51"/>
      <c r="I106" s="51"/>
      <c r="O106" s="51"/>
      <c r="P106" s="51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</row>
    <row r="107" spans="1:38" s="50" customFormat="1">
      <c r="A107" s="32"/>
      <c r="B107" s="51"/>
      <c r="C107" s="51"/>
      <c r="D107" s="51"/>
      <c r="E107" s="51"/>
      <c r="F107" s="51"/>
      <c r="G107" s="51"/>
      <c r="I107" s="51"/>
      <c r="O107" s="51"/>
      <c r="P107" s="51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</row>
    <row r="108" spans="1:38" s="50" customFormat="1">
      <c r="A108" s="32"/>
      <c r="B108" s="51"/>
      <c r="C108" s="51"/>
      <c r="D108" s="51"/>
      <c r="E108" s="51"/>
      <c r="F108" s="51"/>
      <c r="G108" s="51"/>
      <c r="I108" s="51"/>
      <c r="O108" s="51"/>
      <c r="P108" s="51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</row>
    <row r="109" spans="1:38" s="50" customFormat="1">
      <c r="A109" s="32"/>
      <c r="B109" s="51"/>
      <c r="C109" s="51"/>
      <c r="D109" s="51"/>
      <c r="E109" s="51"/>
      <c r="F109" s="51"/>
      <c r="G109" s="51"/>
      <c r="I109" s="51"/>
      <c r="O109" s="51"/>
      <c r="P109" s="51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</row>
    <row r="110" spans="1:38" s="50" customFormat="1">
      <c r="A110" s="32"/>
      <c r="B110" s="51"/>
      <c r="C110" s="51"/>
      <c r="D110" s="51"/>
      <c r="E110" s="51"/>
      <c r="F110" s="51"/>
      <c r="G110" s="51"/>
      <c r="I110" s="51"/>
      <c r="O110" s="51"/>
      <c r="P110" s="51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</row>
    <row r="111" spans="1:38" s="50" customFormat="1">
      <c r="A111" s="32"/>
      <c r="B111" s="51"/>
      <c r="C111" s="51"/>
      <c r="D111" s="51"/>
      <c r="E111" s="51"/>
      <c r="F111" s="51"/>
      <c r="G111" s="51"/>
      <c r="I111" s="51"/>
      <c r="O111" s="51"/>
      <c r="P111" s="51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</row>
    <row r="112" spans="1:38" s="50" customFormat="1">
      <c r="A112" s="32"/>
      <c r="B112" s="51"/>
      <c r="C112" s="51"/>
      <c r="D112" s="51"/>
      <c r="E112" s="51"/>
      <c r="F112" s="51"/>
      <c r="G112" s="51"/>
      <c r="I112" s="51"/>
      <c r="O112" s="51"/>
      <c r="P112" s="51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</row>
    <row r="113" spans="1:38" s="50" customFormat="1">
      <c r="A113" s="32"/>
      <c r="B113" s="51"/>
      <c r="C113" s="51"/>
      <c r="D113" s="51"/>
      <c r="E113" s="51"/>
      <c r="F113" s="51"/>
      <c r="G113" s="51"/>
      <c r="I113" s="51"/>
      <c r="O113" s="51"/>
      <c r="P113" s="51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</row>
    <row r="114" spans="1:38" s="50" customFormat="1">
      <c r="A114" s="32"/>
      <c r="B114" s="51"/>
      <c r="C114" s="51"/>
      <c r="D114" s="51"/>
      <c r="E114" s="51"/>
      <c r="F114" s="51"/>
      <c r="G114" s="51"/>
      <c r="I114" s="51"/>
      <c r="O114" s="51"/>
      <c r="P114" s="51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</row>
    <row r="115" spans="1:38" s="50" customFormat="1">
      <c r="A115" s="32"/>
      <c r="B115" s="51"/>
      <c r="C115" s="51"/>
      <c r="D115" s="51"/>
      <c r="E115" s="51"/>
      <c r="F115" s="51"/>
      <c r="G115" s="51"/>
      <c r="I115" s="51"/>
      <c r="O115" s="51"/>
      <c r="P115" s="51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</row>
    <row r="116" spans="1:38" s="50" customFormat="1">
      <c r="A116" s="32"/>
      <c r="B116" s="51"/>
      <c r="C116" s="51"/>
      <c r="D116" s="51"/>
      <c r="E116" s="51"/>
      <c r="F116" s="51"/>
      <c r="G116" s="51"/>
      <c r="I116" s="51"/>
      <c r="O116" s="51"/>
      <c r="P116" s="51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</row>
    <row r="117" spans="1:38" s="50" customFormat="1">
      <c r="A117" s="32"/>
      <c r="B117" s="51"/>
      <c r="C117" s="51"/>
      <c r="D117" s="51"/>
      <c r="E117" s="51"/>
      <c r="F117" s="51"/>
      <c r="G117" s="51"/>
      <c r="I117" s="51"/>
      <c r="O117" s="51"/>
      <c r="P117" s="51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</row>
    <row r="118" spans="1:38" s="50" customFormat="1">
      <c r="A118" s="32"/>
      <c r="B118" s="51"/>
      <c r="C118" s="51"/>
      <c r="D118" s="51"/>
      <c r="E118" s="51"/>
      <c r="F118" s="51"/>
      <c r="G118" s="51"/>
      <c r="I118" s="51"/>
      <c r="O118" s="51"/>
      <c r="P118" s="51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</row>
    <row r="119" spans="1:38" s="50" customFormat="1">
      <c r="A119" s="32"/>
      <c r="B119" s="51"/>
      <c r="C119" s="51"/>
      <c r="D119" s="51"/>
      <c r="E119" s="51"/>
      <c r="F119" s="51"/>
      <c r="G119" s="51"/>
      <c r="I119" s="51"/>
      <c r="O119" s="51"/>
      <c r="P119" s="51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</row>
    <row r="120" spans="1:38" s="50" customFormat="1">
      <c r="A120" s="32"/>
      <c r="B120" s="51"/>
      <c r="C120" s="51"/>
      <c r="D120" s="51"/>
      <c r="E120" s="51"/>
      <c r="F120" s="51"/>
      <c r="G120" s="51"/>
      <c r="I120" s="51"/>
      <c r="O120" s="51"/>
      <c r="P120" s="51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</row>
    <row r="121" spans="1:38" s="50" customFormat="1">
      <c r="A121" s="32"/>
      <c r="B121" s="51"/>
      <c r="C121" s="51"/>
      <c r="D121" s="51"/>
      <c r="E121" s="51"/>
      <c r="F121" s="51"/>
      <c r="G121" s="51"/>
      <c r="I121" s="51"/>
      <c r="O121" s="51"/>
      <c r="P121" s="51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</row>
    <row r="122" spans="1:38" s="50" customFormat="1">
      <c r="A122" s="32"/>
      <c r="B122" s="51"/>
      <c r="C122" s="51"/>
      <c r="D122" s="51"/>
      <c r="E122" s="51"/>
      <c r="F122" s="51"/>
      <c r="G122" s="51"/>
      <c r="I122" s="51"/>
      <c r="O122" s="51"/>
      <c r="P122" s="51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</row>
    <row r="123" spans="1:38" s="50" customFormat="1">
      <c r="A123" s="32"/>
      <c r="B123" s="51"/>
      <c r="C123" s="51"/>
      <c r="D123" s="51"/>
      <c r="E123" s="51"/>
      <c r="F123" s="51"/>
      <c r="G123" s="51"/>
      <c r="I123" s="51"/>
      <c r="O123" s="51"/>
      <c r="P123" s="51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</row>
    <row r="124" spans="1:38" s="50" customFormat="1">
      <c r="A124" s="32"/>
      <c r="B124" s="51"/>
      <c r="C124" s="51"/>
      <c r="D124" s="51"/>
      <c r="E124" s="51"/>
      <c r="F124" s="51"/>
      <c r="G124" s="51"/>
      <c r="I124" s="51"/>
      <c r="O124" s="51"/>
      <c r="P124" s="51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</row>
    <row r="125" spans="1:38" s="50" customFormat="1">
      <c r="A125" s="32"/>
      <c r="B125" s="51"/>
      <c r="C125" s="51"/>
      <c r="D125" s="51"/>
      <c r="E125" s="51"/>
      <c r="F125" s="51"/>
      <c r="G125" s="51"/>
      <c r="I125" s="51"/>
      <c r="O125" s="51"/>
      <c r="P125" s="51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</row>
    <row r="126" spans="1:38" s="50" customFormat="1">
      <c r="A126" s="32"/>
      <c r="B126" s="51"/>
      <c r="C126" s="51"/>
      <c r="D126" s="51"/>
      <c r="E126" s="51"/>
      <c r="F126" s="51"/>
      <c r="G126" s="51"/>
      <c r="I126" s="51"/>
      <c r="O126" s="51"/>
      <c r="P126" s="51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</row>
    <row r="127" spans="1:38" s="50" customFormat="1">
      <c r="A127" s="32"/>
      <c r="B127" s="51"/>
      <c r="C127" s="51"/>
      <c r="D127" s="51"/>
      <c r="E127" s="51"/>
      <c r="F127" s="51"/>
      <c r="G127" s="51"/>
      <c r="I127" s="51"/>
      <c r="O127" s="51"/>
      <c r="P127" s="51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</row>
    <row r="128" spans="1:38" s="50" customFormat="1">
      <c r="A128" s="32"/>
      <c r="B128" s="51"/>
      <c r="C128" s="51"/>
      <c r="D128" s="51"/>
      <c r="E128" s="51"/>
      <c r="F128" s="51"/>
      <c r="G128" s="51"/>
      <c r="I128" s="51"/>
      <c r="O128" s="51"/>
      <c r="P128" s="51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</row>
    <row r="129" spans="1:38" s="50" customFormat="1">
      <c r="A129" s="32"/>
      <c r="B129" s="51"/>
      <c r="C129" s="51"/>
      <c r="D129" s="51"/>
      <c r="E129" s="51"/>
      <c r="F129" s="51"/>
      <c r="G129" s="51"/>
      <c r="I129" s="51"/>
      <c r="O129" s="51"/>
      <c r="P129" s="51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</row>
    <row r="130" spans="1:38" s="50" customFormat="1">
      <c r="A130" s="32"/>
      <c r="B130" s="51"/>
      <c r="C130" s="51"/>
      <c r="D130" s="51"/>
      <c r="E130" s="51"/>
      <c r="F130" s="51"/>
      <c r="G130" s="51"/>
      <c r="I130" s="51"/>
      <c r="O130" s="51"/>
      <c r="P130" s="51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</row>
    <row r="131" spans="1:38" s="50" customFormat="1">
      <c r="A131" s="32"/>
      <c r="B131" s="51"/>
      <c r="C131" s="51"/>
      <c r="D131" s="51"/>
      <c r="E131" s="51"/>
      <c r="F131" s="51"/>
      <c r="G131" s="51"/>
      <c r="I131" s="51"/>
      <c r="O131" s="51"/>
      <c r="P131" s="51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</row>
    <row r="132" spans="1:38" s="50" customFormat="1">
      <c r="A132" s="32"/>
      <c r="B132" s="51"/>
      <c r="C132" s="51"/>
      <c r="D132" s="51"/>
      <c r="E132" s="51"/>
      <c r="F132" s="51"/>
      <c r="G132" s="51"/>
      <c r="I132" s="51"/>
      <c r="O132" s="51"/>
      <c r="P132" s="51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</row>
    <row r="133" spans="1:38" s="50" customFormat="1">
      <c r="A133" s="32"/>
      <c r="B133" s="51"/>
      <c r="C133" s="51"/>
      <c r="D133" s="51"/>
      <c r="E133" s="51"/>
      <c r="F133" s="51"/>
      <c r="G133" s="51"/>
      <c r="I133" s="51"/>
      <c r="O133" s="51"/>
      <c r="P133" s="51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</row>
    <row r="134" spans="1:38" s="50" customFormat="1">
      <c r="A134" s="32"/>
      <c r="B134" s="51"/>
      <c r="C134" s="51"/>
      <c r="D134" s="51"/>
      <c r="E134" s="51"/>
      <c r="F134" s="51"/>
      <c r="G134" s="51"/>
      <c r="I134" s="51"/>
      <c r="O134" s="51"/>
      <c r="P134" s="51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</row>
    <row r="135" spans="1:38" s="50" customFormat="1">
      <c r="A135" s="32"/>
      <c r="B135" s="51"/>
      <c r="C135" s="51"/>
      <c r="D135" s="51"/>
      <c r="E135" s="51"/>
      <c r="F135" s="51"/>
      <c r="G135" s="51"/>
      <c r="I135" s="51"/>
      <c r="O135" s="51"/>
      <c r="P135" s="51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</row>
    <row r="136" spans="1:38" s="50" customFormat="1">
      <c r="A136" s="32"/>
      <c r="B136" s="51"/>
      <c r="C136" s="51"/>
      <c r="D136" s="51"/>
      <c r="E136" s="51"/>
      <c r="F136" s="51"/>
      <c r="G136" s="51"/>
      <c r="I136" s="51"/>
      <c r="O136" s="51"/>
      <c r="P136" s="51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</row>
    <row r="137" spans="1:38" s="50" customFormat="1">
      <c r="A137" s="32"/>
      <c r="B137" s="51"/>
      <c r="C137" s="51"/>
      <c r="D137" s="51"/>
      <c r="E137" s="51"/>
      <c r="F137" s="51"/>
      <c r="G137" s="51"/>
      <c r="I137" s="51"/>
      <c r="O137" s="51"/>
      <c r="P137" s="51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</row>
    <row r="138" spans="1:38" s="50" customFormat="1">
      <c r="A138" s="32"/>
      <c r="B138" s="51"/>
      <c r="C138" s="51"/>
      <c r="D138" s="51"/>
      <c r="E138" s="51"/>
      <c r="F138" s="51"/>
      <c r="G138" s="51"/>
      <c r="I138" s="51"/>
      <c r="O138" s="51"/>
      <c r="P138" s="51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</row>
    <row r="139" spans="1:38" s="50" customFormat="1">
      <c r="A139" s="32"/>
      <c r="B139" s="51"/>
      <c r="C139" s="51"/>
      <c r="D139" s="51"/>
      <c r="E139" s="51"/>
      <c r="F139" s="51"/>
      <c r="G139" s="51"/>
      <c r="I139" s="51"/>
      <c r="O139" s="51"/>
      <c r="P139" s="51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</row>
    <row r="140" spans="1:38" s="50" customFormat="1">
      <c r="A140" s="32"/>
      <c r="B140" s="51"/>
      <c r="C140" s="51"/>
      <c r="D140" s="51"/>
      <c r="E140" s="51"/>
      <c r="F140" s="51"/>
      <c r="G140" s="51"/>
      <c r="I140" s="51"/>
      <c r="O140" s="51"/>
      <c r="P140" s="51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</row>
    <row r="141" spans="1:38" s="50" customFormat="1">
      <c r="A141" s="32"/>
      <c r="B141" s="51"/>
      <c r="C141" s="51"/>
      <c r="D141" s="51"/>
      <c r="E141" s="51"/>
      <c r="F141" s="51"/>
      <c r="G141" s="51"/>
      <c r="I141" s="51"/>
      <c r="O141" s="51"/>
      <c r="P141" s="51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</row>
    <row r="142" spans="1:38" s="50" customFormat="1">
      <c r="A142" s="32"/>
      <c r="B142" s="51"/>
      <c r="C142" s="51"/>
      <c r="D142" s="51"/>
      <c r="E142" s="51"/>
      <c r="F142" s="51"/>
      <c r="G142" s="51"/>
      <c r="I142" s="51"/>
      <c r="O142" s="51"/>
      <c r="P142" s="51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</row>
    <row r="143" spans="1:38" s="50" customFormat="1">
      <c r="A143" s="32"/>
      <c r="B143" s="51"/>
      <c r="C143" s="51"/>
      <c r="D143" s="51"/>
      <c r="E143" s="51"/>
      <c r="F143" s="51"/>
      <c r="G143" s="51"/>
      <c r="I143" s="51"/>
      <c r="O143" s="51"/>
      <c r="P143" s="51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</row>
    <row r="144" spans="1:38" s="50" customFormat="1">
      <c r="A144" s="32"/>
      <c r="B144" s="51"/>
      <c r="C144" s="51"/>
      <c r="D144" s="51"/>
      <c r="E144" s="51"/>
      <c r="F144" s="51"/>
      <c r="G144" s="51"/>
      <c r="I144" s="51"/>
      <c r="O144" s="51"/>
      <c r="P144" s="51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</row>
    <row r="145" spans="1:38" s="50" customFormat="1">
      <c r="A145" s="32"/>
      <c r="B145" s="51"/>
      <c r="C145" s="51"/>
      <c r="D145" s="51"/>
      <c r="E145" s="51"/>
      <c r="F145" s="51"/>
      <c r="G145" s="51"/>
      <c r="I145" s="51"/>
      <c r="O145" s="51"/>
      <c r="P145" s="51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</row>
    <row r="146" spans="1:38" s="50" customFormat="1">
      <c r="A146" s="32"/>
      <c r="B146" s="51"/>
      <c r="C146" s="51"/>
      <c r="D146" s="51"/>
      <c r="E146" s="51"/>
      <c r="F146" s="51"/>
      <c r="G146" s="51"/>
      <c r="I146" s="51"/>
      <c r="O146" s="51"/>
      <c r="P146" s="51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</row>
    <row r="147" spans="1:38" s="50" customFormat="1">
      <c r="A147" s="32"/>
      <c r="B147" s="51"/>
      <c r="C147" s="51"/>
      <c r="D147" s="51"/>
      <c r="E147" s="51"/>
      <c r="F147" s="51"/>
      <c r="G147" s="51"/>
      <c r="I147" s="51"/>
      <c r="O147" s="51"/>
      <c r="P147" s="51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</row>
    <row r="148" spans="1:38" s="50" customFormat="1">
      <c r="A148" s="32"/>
      <c r="B148" s="51"/>
      <c r="C148" s="51"/>
      <c r="D148" s="51"/>
      <c r="E148" s="51"/>
      <c r="F148" s="51"/>
      <c r="G148" s="51"/>
      <c r="I148" s="51"/>
      <c r="O148" s="51"/>
      <c r="P148" s="51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</row>
    <row r="149" spans="1:38" s="50" customFormat="1">
      <c r="A149" s="32"/>
      <c r="B149" s="51"/>
      <c r="C149" s="51"/>
      <c r="D149" s="51"/>
      <c r="E149" s="51"/>
      <c r="F149" s="51"/>
      <c r="G149" s="51"/>
      <c r="I149" s="51"/>
      <c r="O149" s="51"/>
      <c r="P149" s="51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</row>
    <row r="150" spans="1:38" s="50" customFormat="1">
      <c r="A150" s="32"/>
      <c r="B150" s="51"/>
      <c r="C150" s="51"/>
      <c r="D150" s="51"/>
      <c r="E150" s="51"/>
      <c r="F150" s="51"/>
      <c r="G150" s="51"/>
      <c r="I150" s="51"/>
      <c r="O150" s="51"/>
      <c r="P150" s="51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</row>
    <row r="151" spans="1:38" s="50" customFormat="1">
      <c r="A151" s="32"/>
      <c r="B151" s="51"/>
      <c r="C151" s="51"/>
      <c r="D151" s="51"/>
      <c r="E151" s="51"/>
      <c r="F151" s="51"/>
      <c r="G151" s="51"/>
      <c r="I151" s="51"/>
      <c r="O151" s="51"/>
      <c r="P151" s="51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</row>
    <row r="152" spans="1:38" s="50" customFormat="1">
      <c r="A152" s="32"/>
      <c r="B152" s="51"/>
      <c r="C152" s="51"/>
      <c r="D152" s="51"/>
      <c r="E152" s="51"/>
      <c r="F152" s="51"/>
      <c r="G152" s="51"/>
      <c r="I152" s="51"/>
      <c r="O152" s="51"/>
      <c r="P152" s="51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</row>
    <row r="153" spans="1:38" s="50" customFormat="1">
      <c r="A153" s="32"/>
      <c r="B153" s="51"/>
      <c r="C153" s="51"/>
      <c r="D153" s="51"/>
      <c r="E153" s="51"/>
      <c r="F153" s="51"/>
      <c r="G153" s="51"/>
      <c r="I153" s="51"/>
      <c r="O153" s="51"/>
      <c r="P153" s="51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</row>
    <row r="154" spans="1:38" s="50" customFormat="1">
      <c r="A154" s="32"/>
      <c r="B154" s="51"/>
      <c r="C154" s="51"/>
      <c r="D154" s="51"/>
      <c r="E154" s="51"/>
      <c r="F154" s="51"/>
      <c r="G154" s="51"/>
      <c r="I154" s="51"/>
      <c r="O154" s="51"/>
      <c r="P154" s="51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</row>
    <row r="155" spans="1:38" s="50" customFormat="1">
      <c r="A155" s="32"/>
      <c r="B155" s="51"/>
      <c r="C155" s="51"/>
      <c r="D155" s="51"/>
      <c r="E155" s="51"/>
      <c r="F155" s="51"/>
      <c r="G155" s="51"/>
      <c r="I155" s="51"/>
      <c r="O155" s="51"/>
      <c r="P155" s="51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</row>
    <row r="156" spans="1:38" s="50" customFormat="1">
      <c r="A156" s="32"/>
      <c r="B156" s="51"/>
      <c r="C156" s="51"/>
      <c r="D156" s="51"/>
      <c r="E156" s="51"/>
      <c r="F156" s="51"/>
      <c r="G156" s="51"/>
      <c r="I156" s="51"/>
      <c r="O156" s="51"/>
      <c r="P156" s="51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</row>
    <row r="157" spans="1:38" s="50" customFormat="1">
      <c r="A157" s="32"/>
      <c r="B157" s="51"/>
      <c r="C157" s="51"/>
      <c r="D157" s="51"/>
      <c r="E157" s="51"/>
      <c r="F157" s="51"/>
      <c r="G157" s="51"/>
      <c r="I157" s="51"/>
      <c r="O157" s="51"/>
      <c r="P157" s="51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</row>
    <row r="158" spans="1:38" s="50" customFormat="1">
      <c r="A158" s="32"/>
      <c r="B158" s="51"/>
      <c r="C158" s="51"/>
      <c r="D158" s="51"/>
      <c r="E158" s="51"/>
      <c r="F158" s="51"/>
      <c r="G158" s="51"/>
      <c r="I158" s="51"/>
      <c r="O158" s="51"/>
      <c r="P158" s="51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</row>
    <row r="159" spans="1:38" s="50" customFormat="1">
      <c r="A159" s="32"/>
      <c r="B159" s="51"/>
      <c r="C159" s="51"/>
      <c r="D159" s="51"/>
      <c r="E159" s="51"/>
      <c r="F159" s="51"/>
      <c r="G159" s="51"/>
      <c r="I159" s="51"/>
      <c r="O159" s="51"/>
      <c r="P159" s="51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</row>
    <row r="160" spans="1:38" s="50" customFormat="1">
      <c r="A160" s="32"/>
      <c r="B160" s="51"/>
      <c r="C160" s="51"/>
      <c r="D160" s="51"/>
      <c r="E160" s="51"/>
      <c r="F160" s="51"/>
      <c r="G160" s="51"/>
      <c r="I160" s="51"/>
      <c r="O160" s="51"/>
      <c r="P160" s="51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</row>
    <row r="161" spans="1:38" s="50" customFormat="1">
      <c r="A161" s="32"/>
      <c r="B161" s="51"/>
      <c r="C161" s="51"/>
      <c r="D161" s="51"/>
      <c r="E161" s="51"/>
      <c r="F161" s="51"/>
      <c r="G161" s="51"/>
      <c r="I161" s="51"/>
      <c r="O161" s="51"/>
      <c r="P161" s="51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</row>
    <row r="162" spans="1:38" s="50" customFormat="1">
      <c r="A162" s="32"/>
      <c r="B162" s="51"/>
      <c r="C162" s="51"/>
      <c r="D162" s="51"/>
      <c r="E162" s="51"/>
      <c r="F162" s="51"/>
      <c r="G162" s="51"/>
      <c r="I162" s="51"/>
      <c r="O162" s="51"/>
      <c r="P162" s="51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</row>
    <row r="163" spans="1:38" s="50" customFormat="1">
      <c r="A163" s="32"/>
      <c r="B163" s="51"/>
      <c r="C163" s="51"/>
      <c r="D163" s="51"/>
      <c r="E163" s="51"/>
      <c r="F163" s="51"/>
      <c r="G163" s="51"/>
      <c r="I163" s="51"/>
      <c r="O163" s="51"/>
      <c r="P163" s="51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</row>
    <row r="164" spans="1:38" s="50" customFormat="1">
      <c r="A164" s="32"/>
      <c r="B164" s="51"/>
      <c r="C164" s="51"/>
      <c r="D164" s="51"/>
      <c r="E164" s="51"/>
      <c r="F164" s="51"/>
      <c r="G164" s="51"/>
      <c r="I164" s="51"/>
      <c r="O164" s="51"/>
      <c r="P164" s="51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</row>
    <row r="165" spans="1:38" s="50" customFormat="1">
      <c r="A165" s="32"/>
      <c r="B165" s="51"/>
      <c r="C165" s="51"/>
      <c r="D165" s="51"/>
      <c r="E165" s="51"/>
      <c r="F165" s="51"/>
      <c r="G165" s="51"/>
      <c r="I165" s="51"/>
      <c r="O165" s="51"/>
      <c r="P165" s="51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</row>
    <row r="166" spans="1:38" s="50" customFormat="1">
      <c r="A166" s="32"/>
      <c r="B166" s="51"/>
      <c r="C166" s="51"/>
      <c r="D166" s="51"/>
      <c r="E166" s="51"/>
      <c r="F166" s="51"/>
      <c r="G166" s="51"/>
      <c r="I166" s="51"/>
      <c r="O166" s="51"/>
      <c r="P166" s="51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</row>
    <row r="167" spans="1:38" s="50" customFormat="1">
      <c r="A167" s="32"/>
      <c r="B167" s="51"/>
      <c r="C167" s="51"/>
      <c r="D167" s="51"/>
      <c r="E167" s="51"/>
      <c r="F167" s="51"/>
      <c r="G167" s="51"/>
      <c r="I167" s="51"/>
      <c r="O167" s="51"/>
      <c r="P167" s="51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</row>
    <row r="168" spans="1:38" s="50" customFormat="1">
      <c r="A168" s="32"/>
      <c r="B168" s="51"/>
      <c r="C168" s="51"/>
      <c r="D168" s="51"/>
      <c r="E168" s="51"/>
      <c r="F168" s="51"/>
      <c r="G168" s="51"/>
      <c r="I168" s="51"/>
      <c r="O168" s="51"/>
      <c r="P168" s="51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</row>
    <row r="169" spans="1:38" s="50" customFormat="1">
      <c r="A169" s="32"/>
      <c r="B169" s="51"/>
      <c r="C169" s="51"/>
      <c r="D169" s="51"/>
      <c r="E169" s="51"/>
      <c r="F169" s="51"/>
      <c r="G169" s="51"/>
      <c r="I169" s="51"/>
      <c r="O169" s="51"/>
      <c r="P169" s="51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</row>
    <row r="170" spans="1:38" s="50" customFormat="1">
      <c r="A170" s="32"/>
      <c r="B170" s="51"/>
      <c r="C170" s="51"/>
      <c r="D170" s="51"/>
      <c r="E170" s="51"/>
      <c r="F170" s="51"/>
      <c r="G170" s="51"/>
      <c r="I170" s="51"/>
      <c r="O170" s="51"/>
      <c r="P170" s="51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</row>
    <row r="171" spans="1:38" s="50" customFormat="1">
      <c r="A171" s="32"/>
      <c r="B171" s="51"/>
      <c r="C171" s="51"/>
      <c r="D171" s="51"/>
      <c r="E171" s="51"/>
      <c r="F171" s="51"/>
      <c r="G171" s="51"/>
      <c r="I171" s="51"/>
      <c r="O171" s="51"/>
      <c r="P171" s="51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</row>
    <row r="172" spans="1:38" s="50" customFormat="1">
      <c r="A172" s="32"/>
      <c r="B172" s="51"/>
      <c r="C172" s="51"/>
      <c r="D172" s="51"/>
      <c r="E172" s="51"/>
      <c r="F172" s="51"/>
      <c r="G172" s="51"/>
      <c r="I172" s="51"/>
      <c r="O172" s="51"/>
      <c r="P172" s="51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</row>
    <row r="173" spans="1:38" s="50" customFormat="1">
      <c r="A173" s="32"/>
      <c r="B173" s="51"/>
      <c r="C173" s="51"/>
      <c r="D173" s="51"/>
      <c r="E173" s="51"/>
      <c r="F173" s="51"/>
      <c r="G173" s="51"/>
      <c r="I173" s="51"/>
      <c r="O173" s="51"/>
      <c r="P173" s="51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</row>
    <row r="174" spans="1:38" s="50" customFormat="1">
      <c r="A174" s="32"/>
      <c r="B174" s="51"/>
      <c r="C174" s="51"/>
      <c r="D174" s="51"/>
      <c r="E174" s="51"/>
      <c r="F174" s="51"/>
      <c r="G174" s="51"/>
      <c r="I174" s="51"/>
      <c r="O174" s="51"/>
      <c r="P174" s="51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</row>
    <row r="175" spans="1:38" s="50" customFormat="1">
      <c r="A175" s="32"/>
      <c r="B175" s="51"/>
      <c r="C175" s="51"/>
      <c r="D175" s="51"/>
      <c r="E175" s="51"/>
      <c r="F175" s="51"/>
      <c r="G175" s="51"/>
      <c r="I175" s="51"/>
      <c r="O175" s="51"/>
      <c r="P175" s="51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</row>
    <row r="176" spans="1:38" s="50" customFormat="1">
      <c r="A176" s="32"/>
      <c r="B176" s="51"/>
      <c r="C176" s="51"/>
      <c r="D176" s="51"/>
      <c r="E176" s="51"/>
      <c r="F176" s="51"/>
      <c r="G176" s="51"/>
      <c r="I176" s="51"/>
      <c r="O176" s="51"/>
      <c r="P176" s="51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</row>
    <row r="177" spans="1:38" s="50" customFormat="1">
      <c r="A177" s="32"/>
      <c r="B177" s="51"/>
      <c r="C177" s="51"/>
      <c r="D177" s="51"/>
      <c r="E177" s="51"/>
      <c r="F177" s="51"/>
      <c r="G177" s="51"/>
      <c r="I177" s="51"/>
      <c r="O177" s="51"/>
      <c r="P177" s="51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</row>
    <row r="178" spans="1:38" s="50" customFormat="1">
      <c r="A178" s="32"/>
      <c r="B178" s="51"/>
      <c r="C178" s="51"/>
      <c r="D178" s="51"/>
      <c r="E178" s="51"/>
      <c r="F178" s="51"/>
      <c r="G178" s="51"/>
      <c r="I178" s="51"/>
      <c r="O178" s="51"/>
      <c r="P178" s="51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</row>
    <row r="179" spans="1:38" s="50" customFormat="1">
      <c r="A179" s="32"/>
      <c r="B179" s="51"/>
      <c r="C179" s="51"/>
      <c r="D179" s="51"/>
      <c r="E179" s="51"/>
      <c r="F179" s="51"/>
      <c r="G179" s="51"/>
      <c r="I179" s="51"/>
      <c r="O179" s="51"/>
      <c r="P179" s="51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</row>
    <row r="180" spans="1:38" s="50" customFormat="1">
      <c r="A180" s="32"/>
      <c r="B180" s="51"/>
      <c r="C180" s="51"/>
      <c r="D180" s="51"/>
      <c r="E180" s="51"/>
      <c r="F180" s="51"/>
      <c r="G180" s="51"/>
      <c r="I180" s="51"/>
      <c r="O180" s="51"/>
      <c r="P180" s="51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</row>
    <row r="181" spans="1:38" s="50" customFormat="1">
      <c r="A181" s="32"/>
      <c r="B181" s="51"/>
      <c r="C181" s="51"/>
      <c r="D181" s="51"/>
      <c r="E181" s="51"/>
      <c r="F181" s="51"/>
      <c r="G181" s="51"/>
      <c r="I181" s="51"/>
      <c r="O181" s="51"/>
      <c r="P181" s="51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</row>
    <row r="182" spans="1:38" s="50" customFormat="1">
      <c r="A182" s="32"/>
      <c r="B182" s="51"/>
      <c r="C182" s="51"/>
      <c r="D182" s="51"/>
      <c r="E182" s="51"/>
      <c r="F182" s="51"/>
      <c r="G182" s="51"/>
      <c r="I182" s="51"/>
      <c r="O182" s="51"/>
      <c r="P182" s="51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</row>
    <row r="183" spans="1:38" s="50" customFormat="1">
      <c r="A183" s="32"/>
      <c r="B183" s="51"/>
      <c r="C183" s="51"/>
      <c r="D183" s="51"/>
      <c r="E183" s="51"/>
      <c r="F183" s="51"/>
      <c r="G183" s="51"/>
      <c r="I183" s="51"/>
      <c r="O183" s="51"/>
      <c r="P183" s="51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</row>
    <row r="184" spans="1:38" s="50" customFormat="1">
      <c r="A184" s="32"/>
      <c r="B184" s="51"/>
      <c r="C184" s="51"/>
      <c r="D184" s="51"/>
      <c r="E184" s="51"/>
      <c r="F184" s="51"/>
      <c r="G184" s="51"/>
      <c r="I184" s="51"/>
      <c r="O184" s="51"/>
      <c r="P184" s="51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</row>
    <row r="185" spans="1:38" s="50" customFormat="1">
      <c r="A185" s="32"/>
      <c r="B185" s="51"/>
      <c r="C185" s="51"/>
      <c r="D185" s="51"/>
      <c r="E185" s="51"/>
      <c r="F185" s="51"/>
      <c r="G185" s="51"/>
      <c r="I185" s="51"/>
      <c r="O185" s="51"/>
      <c r="P185" s="51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</row>
    <row r="186" spans="1:38" s="50" customFormat="1">
      <c r="A186" s="32"/>
      <c r="B186" s="51"/>
      <c r="C186" s="51"/>
      <c r="D186" s="51"/>
      <c r="E186" s="51"/>
      <c r="F186" s="51"/>
      <c r="G186" s="51"/>
      <c r="I186" s="51"/>
      <c r="O186" s="51"/>
      <c r="P186" s="51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</row>
    <row r="187" spans="1:38" s="50" customFormat="1">
      <c r="A187" s="32"/>
      <c r="B187" s="51"/>
      <c r="C187" s="51"/>
      <c r="D187" s="51"/>
      <c r="E187" s="51"/>
      <c r="F187" s="51"/>
      <c r="G187" s="51"/>
      <c r="I187" s="51"/>
      <c r="O187" s="51"/>
      <c r="P187" s="51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</row>
    <row r="188" spans="1:38" s="50" customFormat="1">
      <c r="A188" s="32"/>
      <c r="B188" s="51"/>
      <c r="C188" s="51"/>
      <c r="D188" s="51"/>
      <c r="E188" s="51"/>
      <c r="F188" s="51"/>
      <c r="G188" s="51"/>
      <c r="I188" s="51"/>
      <c r="O188" s="51"/>
      <c r="P188" s="51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</row>
    <row r="189" spans="1:38" s="50" customFormat="1">
      <c r="A189" s="32"/>
      <c r="B189" s="51"/>
      <c r="C189" s="51"/>
      <c r="D189" s="51"/>
      <c r="E189" s="51"/>
      <c r="F189" s="51"/>
      <c r="G189" s="51"/>
      <c r="I189" s="51"/>
      <c r="O189" s="51"/>
      <c r="P189" s="51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</row>
    <row r="190" spans="1:38" s="50" customFormat="1">
      <c r="A190" s="32"/>
      <c r="B190" s="51"/>
      <c r="C190" s="51"/>
      <c r="D190" s="51"/>
      <c r="E190" s="51"/>
      <c r="F190" s="51"/>
      <c r="G190" s="51"/>
      <c r="I190" s="51"/>
      <c r="O190" s="51"/>
      <c r="P190" s="51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</row>
    <row r="191" spans="1:38" s="50" customFormat="1">
      <c r="A191" s="32"/>
      <c r="B191" s="51"/>
      <c r="C191" s="51"/>
      <c r="D191" s="51"/>
      <c r="E191" s="51"/>
      <c r="F191" s="51"/>
      <c r="G191" s="51"/>
      <c r="I191" s="51"/>
      <c r="O191" s="51"/>
      <c r="P191" s="51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</row>
    <row r="192" spans="1:38" s="50" customFormat="1">
      <c r="A192" s="32"/>
      <c r="B192" s="51"/>
      <c r="C192" s="51"/>
      <c r="D192" s="51"/>
      <c r="E192" s="51"/>
      <c r="F192" s="51"/>
      <c r="G192" s="51"/>
      <c r="I192" s="51"/>
      <c r="O192" s="51"/>
      <c r="P192" s="51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</row>
    <row r="193" spans="1:38" s="50" customFormat="1">
      <c r="A193" s="32"/>
      <c r="B193" s="51"/>
      <c r="C193" s="51"/>
      <c r="D193" s="51"/>
      <c r="E193" s="51"/>
      <c r="F193" s="51"/>
      <c r="G193" s="51"/>
      <c r="I193" s="51"/>
      <c r="O193" s="51"/>
      <c r="P193" s="51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</row>
    <row r="194" spans="1:38" s="50" customFormat="1">
      <c r="A194" s="32"/>
      <c r="B194" s="51"/>
      <c r="C194" s="51"/>
      <c r="D194" s="51"/>
      <c r="E194" s="51"/>
      <c r="F194" s="51"/>
      <c r="G194" s="51"/>
      <c r="I194" s="51"/>
      <c r="O194" s="51"/>
      <c r="P194" s="51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</row>
    <row r="195" spans="1:38" s="50" customFormat="1">
      <c r="A195" s="32"/>
      <c r="B195" s="51"/>
      <c r="C195" s="51"/>
      <c r="D195" s="51"/>
      <c r="E195" s="51"/>
      <c r="F195" s="51"/>
      <c r="G195" s="51"/>
      <c r="I195" s="51"/>
      <c r="O195" s="51"/>
      <c r="P195" s="51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</row>
    <row r="196" spans="1:38" s="50" customFormat="1">
      <c r="A196" s="32"/>
      <c r="B196" s="51"/>
      <c r="C196" s="51"/>
      <c r="D196" s="51"/>
      <c r="E196" s="51"/>
      <c r="F196" s="51"/>
      <c r="G196" s="51"/>
      <c r="I196" s="51"/>
      <c r="O196" s="51"/>
      <c r="P196" s="51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</row>
    <row r="197" spans="1:38" s="50" customFormat="1">
      <c r="A197" s="32"/>
      <c r="B197" s="51"/>
      <c r="C197" s="51"/>
      <c r="D197" s="51"/>
      <c r="E197" s="51"/>
      <c r="F197" s="51"/>
      <c r="G197" s="51"/>
      <c r="I197" s="51"/>
      <c r="O197" s="51"/>
      <c r="P197" s="51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</row>
    <row r="198" spans="1:38" s="50" customFormat="1">
      <c r="A198" s="32"/>
      <c r="B198" s="51"/>
      <c r="C198" s="51"/>
      <c r="D198" s="51"/>
      <c r="E198" s="51"/>
      <c r="F198" s="51"/>
      <c r="G198" s="51"/>
      <c r="I198" s="51"/>
      <c r="O198" s="51"/>
      <c r="P198" s="51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</row>
    <row r="199" spans="1:38" s="50" customFormat="1">
      <c r="A199" s="32"/>
      <c r="B199" s="51"/>
      <c r="C199" s="51"/>
      <c r="D199" s="51"/>
      <c r="E199" s="51"/>
      <c r="F199" s="51"/>
      <c r="G199" s="51"/>
      <c r="I199" s="51"/>
      <c r="O199" s="51"/>
      <c r="P199" s="51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</row>
    <row r="200" spans="1:38" s="50" customFormat="1">
      <c r="A200" s="32"/>
      <c r="B200" s="51"/>
      <c r="C200" s="51"/>
      <c r="D200" s="51"/>
      <c r="E200" s="51"/>
      <c r="F200" s="51"/>
      <c r="G200" s="51"/>
      <c r="I200" s="51"/>
      <c r="O200" s="51"/>
      <c r="P200" s="51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</row>
    <row r="201" spans="1:38" s="50" customFormat="1">
      <c r="A201" s="32"/>
      <c r="B201" s="51"/>
      <c r="C201" s="51"/>
      <c r="D201" s="51"/>
      <c r="E201" s="51"/>
      <c r="F201" s="51"/>
      <c r="G201" s="51"/>
      <c r="I201" s="51"/>
      <c r="O201" s="51"/>
      <c r="P201" s="51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</row>
    <row r="202" spans="1:38" s="50" customFormat="1">
      <c r="A202" s="32"/>
      <c r="B202" s="51"/>
      <c r="C202" s="51"/>
      <c r="D202" s="51"/>
      <c r="E202" s="51"/>
      <c r="F202" s="51"/>
      <c r="G202" s="51"/>
      <c r="I202" s="51"/>
      <c r="O202" s="51"/>
      <c r="P202" s="51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</row>
    <row r="203" spans="1:38" s="50" customFormat="1">
      <c r="A203" s="32"/>
      <c r="B203" s="51"/>
      <c r="C203" s="51"/>
      <c r="D203" s="51"/>
      <c r="E203" s="51"/>
      <c r="F203" s="51"/>
      <c r="G203" s="51"/>
      <c r="I203" s="51"/>
      <c r="O203" s="51"/>
      <c r="P203" s="51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</row>
    <row r="204" spans="1:38" s="50" customFormat="1">
      <c r="A204" s="32"/>
      <c r="B204" s="51"/>
      <c r="C204" s="51"/>
      <c r="D204" s="51"/>
      <c r="E204" s="51"/>
      <c r="F204" s="51"/>
      <c r="G204" s="51"/>
      <c r="I204" s="51"/>
      <c r="O204" s="51"/>
      <c r="P204" s="51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</row>
    <row r="205" spans="1:38" s="50" customFormat="1">
      <c r="A205" s="32"/>
      <c r="B205" s="51"/>
      <c r="C205" s="51"/>
      <c r="D205" s="51"/>
      <c r="E205" s="51"/>
      <c r="F205" s="51"/>
      <c r="G205" s="51"/>
      <c r="I205" s="51"/>
      <c r="O205" s="51"/>
      <c r="P205" s="51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</row>
    <row r="206" spans="1:38" s="50" customFormat="1">
      <c r="A206" s="32"/>
      <c r="B206" s="51"/>
      <c r="C206" s="51"/>
      <c r="D206" s="51"/>
      <c r="E206" s="51"/>
      <c r="F206" s="51"/>
      <c r="G206" s="51"/>
      <c r="I206" s="51"/>
      <c r="O206" s="51"/>
      <c r="P206" s="51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</row>
    <row r="207" spans="1:38" s="50" customFormat="1">
      <c r="A207" s="32"/>
      <c r="B207" s="51"/>
      <c r="C207" s="51"/>
      <c r="D207" s="51"/>
      <c r="E207" s="51"/>
      <c r="F207" s="51"/>
      <c r="G207" s="51"/>
      <c r="I207" s="51"/>
      <c r="O207" s="51"/>
      <c r="P207" s="51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</row>
    <row r="208" spans="1:38" s="50" customFormat="1">
      <c r="A208" s="32"/>
      <c r="B208" s="51"/>
      <c r="C208" s="51"/>
      <c r="D208" s="51"/>
      <c r="E208" s="51"/>
      <c r="F208" s="51"/>
      <c r="G208" s="51"/>
      <c r="I208" s="51"/>
      <c r="O208" s="51"/>
      <c r="P208" s="51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</row>
    <row r="209" spans="1:38" s="50" customFormat="1">
      <c r="A209" s="32"/>
      <c r="B209" s="51"/>
      <c r="C209" s="51"/>
      <c r="D209" s="51"/>
      <c r="E209" s="51"/>
      <c r="F209" s="51"/>
      <c r="G209" s="51"/>
      <c r="I209" s="51"/>
      <c r="O209" s="51"/>
      <c r="P209" s="51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</row>
    <row r="210" spans="1:38" s="50" customFormat="1">
      <c r="A210" s="32"/>
      <c r="B210" s="51"/>
      <c r="C210" s="51"/>
      <c r="D210" s="51"/>
      <c r="E210" s="51"/>
      <c r="F210" s="51"/>
      <c r="G210" s="51"/>
      <c r="I210" s="51"/>
      <c r="O210" s="51"/>
      <c r="P210" s="51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</row>
    <row r="211" spans="1:38" s="50" customFormat="1">
      <c r="A211" s="32"/>
      <c r="B211" s="51"/>
      <c r="C211" s="51"/>
      <c r="D211" s="51"/>
      <c r="E211" s="51"/>
      <c r="F211" s="51"/>
      <c r="G211" s="51"/>
      <c r="I211" s="51"/>
      <c r="O211" s="51"/>
      <c r="P211" s="51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</row>
    <row r="212" spans="1:38" s="50" customFormat="1">
      <c r="A212" s="32"/>
      <c r="B212" s="51"/>
      <c r="C212" s="51"/>
      <c r="D212" s="51"/>
      <c r="E212" s="51"/>
      <c r="F212" s="51"/>
      <c r="G212" s="51"/>
      <c r="I212" s="51"/>
      <c r="O212" s="51"/>
      <c r="P212" s="51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</row>
    <row r="213" spans="1:38" s="50" customFormat="1">
      <c r="A213" s="32"/>
      <c r="B213" s="51"/>
      <c r="C213" s="51"/>
      <c r="D213" s="51"/>
      <c r="E213" s="51"/>
      <c r="F213" s="51"/>
      <c r="G213" s="51"/>
      <c r="I213" s="51"/>
      <c r="O213" s="51"/>
      <c r="P213" s="51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</row>
    <row r="214" spans="1:38" s="50" customFormat="1">
      <c r="A214" s="32"/>
      <c r="B214" s="51"/>
      <c r="C214" s="51"/>
      <c r="D214" s="51"/>
      <c r="E214" s="51"/>
      <c r="F214" s="51"/>
      <c r="G214" s="51"/>
      <c r="I214" s="51"/>
      <c r="O214" s="51"/>
      <c r="P214" s="51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</row>
    <row r="215" spans="1:38" s="50" customFormat="1">
      <c r="A215" s="32"/>
      <c r="B215" s="51"/>
      <c r="C215" s="51"/>
      <c r="D215" s="51"/>
      <c r="E215" s="51"/>
      <c r="F215" s="51"/>
      <c r="G215" s="51"/>
      <c r="I215" s="51"/>
      <c r="O215" s="51"/>
      <c r="P215" s="51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</row>
    <row r="216" spans="1:38" s="50" customFormat="1">
      <c r="A216" s="32"/>
      <c r="B216" s="51"/>
      <c r="C216" s="51"/>
      <c r="D216" s="51"/>
      <c r="E216" s="51"/>
      <c r="F216" s="51"/>
      <c r="G216" s="51"/>
      <c r="I216" s="51"/>
      <c r="O216" s="51"/>
      <c r="P216" s="51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</row>
    <row r="217" spans="1:38" s="50" customFormat="1">
      <c r="A217" s="32"/>
      <c r="B217" s="51"/>
      <c r="C217" s="51"/>
      <c r="D217" s="51"/>
      <c r="E217" s="51"/>
      <c r="F217" s="51"/>
      <c r="G217" s="51"/>
      <c r="I217" s="51"/>
      <c r="O217" s="51"/>
      <c r="P217" s="51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</row>
    <row r="218" spans="1:38" s="50" customFormat="1">
      <c r="A218" s="32"/>
      <c r="B218" s="51"/>
      <c r="C218" s="51"/>
      <c r="D218" s="51"/>
      <c r="E218" s="51"/>
      <c r="F218" s="51"/>
      <c r="G218" s="51"/>
      <c r="I218" s="51"/>
      <c r="O218" s="51"/>
      <c r="P218" s="51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</row>
    <row r="219" spans="1:38" s="50" customFormat="1">
      <c r="A219" s="32"/>
      <c r="B219" s="51"/>
      <c r="C219" s="51"/>
      <c r="D219" s="51"/>
      <c r="E219" s="51"/>
      <c r="F219" s="51"/>
      <c r="G219" s="51"/>
      <c r="I219" s="51"/>
      <c r="O219" s="51"/>
      <c r="P219" s="51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</row>
    <row r="220" spans="1:38" s="50" customFormat="1">
      <c r="A220" s="32"/>
      <c r="B220" s="51"/>
      <c r="C220" s="51"/>
      <c r="D220" s="51"/>
      <c r="E220" s="51"/>
      <c r="F220" s="51"/>
      <c r="G220" s="51"/>
      <c r="I220" s="51"/>
      <c r="O220" s="51"/>
      <c r="P220" s="51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</row>
    <row r="221" spans="1:38" s="50" customFormat="1">
      <c r="A221" s="32"/>
      <c r="B221" s="51"/>
      <c r="C221" s="51"/>
      <c r="D221" s="51"/>
      <c r="E221" s="51"/>
      <c r="F221" s="51"/>
      <c r="G221" s="51"/>
      <c r="I221" s="51"/>
      <c r="O221" s="51"/>
      <c r="P221" s="51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</row>
    <row r="222" spans="1:38" s="50" customFormat="1">
      <c r="A222" s="32"/>
      <c r="B222" s="51"/>
      <c r="C222" s="51"/>
      <c r="D222" s="51"/>
      <c r="E222" s="51"/>
      <c r="F222" s="51"/>
      <c r="G222" s="51"/>
      <c r="I222" s="51"/>
      <c r="O222" s="51"/>
      <c r="P222" s="51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</row>
    <row r="223" spans="1:38" s="50" customFormat="1">
      <c r="A223" s="32"/>
      <c r="B223" s="51"/>
      <c r="C223" s="51"/>
      <c r="D223" s="51"/>
      <c r="E223" s="51"/>
      <c r="F223" s="51"/>
      <c r="G223" s="51"/>
      <c r="I223" s="51"/>
      <c r="O223" s="51"/>
      <c r="P223" s="51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</row>
    <row r="224" spans="1:38" s="50" customFormat="1">
      <c r="A224" s="32"/>
      <c r="B224" s="51"/>
      <c r="C224" s="51"/>
      <c r="D224" s="51"/>
      <c r="E224" s="51"/>
      <c r="F224" s="51"/>
      <c r="G224" s="51"/>
      <c r="I224" s="51"/>
      <c r="O224" s="51"/>
      <c r="P224" s="51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</row>
    <row r="225" spans="1:38" s="50" customFormat="1">
      <c r="A225" s="32"/>
      <c r="B225" s="51"/>
      <c r="C225" s="51"/>
      <c r="D225" s="51"/>
      <c r="E225" s="51"/>
      <c r="F225" s="51"/>
      <c r="G225" s="51"/>
      <c r="I225" s="51"/>
      <c r="O225" s="51"/>
      <c r="P225" s="51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</row>
    <row r="226" spans="1:38" s="50" customFormat="1">
      <c r="A226" s="32"/>
      <c r="B226" s="51"/>
      <c r="C226" s="51"/>
      <c r="D226" s="51"/>
      <c r="E226" s="51"/>
      <c r="F226" s="51"/>
      <c r="G226" s="51"/>
      <c r="I226" s="51"/>
      <c r="O226" s="51"/>
      <c r="P226" s="51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</row>
    <row r="227" spans="1:38" s="50" customFormat="1">
      <c r="A227" s="32"/>
      <c r="B227" s="51"/>
      <c r="C227" s="51"/>
      <c r="D227" s="51"/>
      <c r="E227" s="51"/>
      <c r="F227" s="51"/>
      <c r="G227" s="51"/>
      <c r="I227" s="51"/>
      <c r="O227" s="51"/>
      <c r="P227" s="51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</row>
    <row r="228" spans="1:38" s="50" customFormat="1">
      <c r="A228" s="32"/>
      <c r="B228" s="51"/>
      <c r="C228" s="51"/>
      <c r="D228" s="51"/>
      <c r="E228" s="51"/>
      <c r="F228" s="51"/>
      <c r="G228" s="51"/>
      <c r="I228" s="51"/>
      <c r="O228" s="51"/>
      <c r="P228" s="51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</row>
    <row r="229" spans="1:38" s="50" customFormat="1">
      <c r="A229" s="32"/>
      <c r="B229" s="51"/>
      <c r="C229" s="51"/>
      <c r="D229" s="51"/>
      <c r="E229" s="51"/>
      <c r="F229" s="51"/>
      <c r="G229" s="51"/>
      <c r="I229" s="51"/>
      <c r="O229" s="51"/>
      <c r="P229" s="51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</row>
    <row r="230" spans="1:38" s="50" customFormat="1">
      <c r="A230" s="32"/>
      <c r="B230" s="51"/>
      <c r="C230" s="51"/>
      <c r="D230" s="51"/>
      <c r="E230" s="51"/>
      <c r="F230" s="51"/>
      <c r="G230" s="51"/>
      <c r="I230" s="51"/>
      <c r="O230" s="51"/>
      <c r="P230" s="51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</row>
    <row r="231" spans="1:38" s="50" customFormat="1">
      <c r="A231" s="32"/>
      <c r="B231" s="51"/>
      <c r="C231" s="51"/>
      <c r="D231" s="51"/>
      <c r="E231" s="51"/>
      <c r="F231" s="51"/>
      <c r="G231" s="51"/>
      <c r="I231" s="51"/>
      <c r="O231" s="51"/>
      <c r="P231" s="51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</row>
    <row r="232" spans="1:38" s="50" customFormat="1">
      <c r="A232" s="32"/>
      <c r="B232" s="51"/>
      <c r="C232" s="51"/>
      <c r="D232" s="51"/>
      <c r="E232" s="51"/>
      <c r="F232" s="51"/>
      <c r="G232" s="51"/>
      <c r="I232" s="51"/>
      <c r="O232" s="51"/>
      <c r="P232" s="51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</row>
  </sheetData>
  <mergeCells count="2">
    <mergeCell ref="L3:L82"/>
    <mergeCell ref="N3:N82"/>
  </mergeCells>
  <pageMargins left="0.23622047244094491" right="0.31496062992125984" top="0.74803149606299213" bottom="0.74803149606299213" header="0.51181102362204722" footer="0.51181102362204722"/>
  <pageSetup paperSize="9" scale="49" fitToHeight="1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80C4-5757-4789-A4FC-1D8851E24960}">
  <sheetPr codeName="Sheet2">
    <pageSetUpPr fitToPage="1"/>
  </sheetPr>
  <dimension ref="A1:N94"/>
  <sheetViews>
    <sheetView showGridLines="0" topLeftCell="A84" zoomScale="80" zoomScaleNormal="80" workbookViewId="0">
      <selection activeCell="B77" sqref="B77"/>
    </sheetView>
  </sheetViews>
  <sheetFormatPr defaultColWidth="8.7109375" defaultRowHeight="15.95"/>
  <cols>
    <col min="1" max="1" width="22" style="67" customWidth="1"/>
    <col min="2" max="2" width="27.140625" style="67" customWidth="1"/>
    <col min="3" max="3" width="22.5703125" style="67" bestFit="1" customWidth="1"/>
    <col min="4" max="4" width="38.5703125" style="67" bestFit="1" customWidth="1"/>
    <col min="5" max="5" width="10.42578125" style="67" customWidth="1"/>
    <col min="6" max="6" width="22.85546875" style="67" customWidth="1"/>
    <col min="7" max="7" width="15" style="67" customWidth="1"/>
    <col min="8" max="8" width="11.85546875" style="67" customWidth="1"/>
    <col min="9" max="9" width="10.7109375" style="67" bestFit="1" customWidth="1"/>
    <col min="10" max="10" width="14.28515625" style="67" customWidth="1"/>
    <col min="11" max="11" width="14.7109375" style="111" customWidth="1"/>
    <col min="12" max="12" width="22" style="67" bestFit="1" customWidth="1"/>
    <col min="13" max="13" width="19.7109375" style="67" customWidth="1"/>
    <col min="14" max="14" width="14.42578125" style="67" bestFit="1" customWidth="1"/>
    <col min="15" max="16384" width="8.7109375" style="67"/>
  </cols>
  <sheetData>
    <row r="1" spans="1:14" ht="59.45" customHeight="1">
      <c r="A1" s="127" t="s">
        <v>45</v>
      </c>
      <c r="B1" s="127"/>
      <c r="C1" s="27"/>
      <c r="D1" s="28"/>
      <c r="E1" s="27"/>
      <c r="F1" s="27"/>
      <c r="G1" s="27"/>
      <c r="H1" s="28"/>
      <c r="I1" s="28"/>
      <c r="J1" s="28"/>
      <c r="K1" s="86"/>
      <c r="L1" s="28"/>
      <c r="M1" s="28"/>
      <c r="N1" s="28"/>
    </row>
    <row r="2" spans="1:14" ht="48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46</v>
      </c>
      <c r="J2" s="14" t="s">
        <v>10</v>
      </c>
      <c r="K2" s="87" t="s">
        <v>11</v>
      </c>
      <c r="L2" s="15" t="s">
        <v>47</v>
      </c>
      <c r="M2" s="14" t="s">
        <v>48</v>
      </c>
      <c r="N2" s="15" t="s">
        <v>49</v>
      </c>
    </row>
    <row r="3" spans="1:14">
      <c r="A3" s="46" t="s">
        <v>50</v>
      </c>
      <c r="B3" s="46" t="s">
        <v>51</v>
      </c>
      <c r="C3" s="46" t="s">
        <v>19</v>
      </c>
      <c r="D3" s="46" t="s">
        <v>52</v>
      </c>
      <c r="E3" s="20" t="s">
        <v>21</v>
      </c>
      <c r="F3" s="20" t="s">
        <v>53</v>
      </c>
      <c r="G3" s="46">
        <v>40</v>
      </c>
      <c r="H3" s="29">
        <v>72</v>
      </c>
      <c r="I3" s="22">
        <v>43718</v>
      </c>
      <c r="J3" s="68">
        <v>2</v>
      </c>
      <c r="K3" s="107">
        <v>389.49</v>
      </c>
      <c r="L3" s="20" t="s">
        <v>54</v>
      </c>
      <c r="M3" s="31">
        <v>200</v>
      </c>
      <c r="N3" s="20" t="s">
        <v>24</v>
      </c>
    </row>
    <row r="4" spans="1:14">
      <c r="A4" s="46" t="s">
        <v>50</v>
      </c>
      <c r="B4" s="46" t="s">
        <v>51</v>
      </c>
      <c r="C4" s="46" t="s">
        <v>19</v>
      </c>
      <c r="D4" s="46" t="s">
        <v>55</v>
      </c>
      <c r="E4" s="20" t="s">
        <v>21</v>
      </c>
      <c r="F4" s="20" t="s">
        <v>53</v>
      </c>
      <c r="G4" s="46">
        <v>40</v>
      </c>
      <c r="H4" s="29">
        <v>22</v>
      </c>
      <c r="I4" s="22">
        <v>45238</v>
      </c>
      <c r="J4" s="68">
        <v>0</v>
      </c>
      <c r="K4" s="107">
        <v>0</v>
      </c>
      <c r="L4" s="20" t="s">
        <v>56</v>
      </c>
      <c r="M4" s="31">
        <v>400</v>
      </c>
      <c r="N4" s="20" t="s">
        <v>24</v>
      </c>
    </row>
    <row r="5" spans="1:14">
      <c r="A5" s="46" t="s">
        <v>50</v>
      </c>
      <c r="B5" s="46" t="s">
        <v>51</v>
      </c>
      <c r="C5" s="46" t="s">
        <v>19</v>
      </c>
      <c r="D5" s="46" t="s">
        <v>57</v>
      </c>
      <c r="E5" s="20" t="s">
        <v>21</v>
      </c>
      <c r="F5" s="20" t="s">
        <v>53</v>
      </c>
      <c r="G5" s="46">
        <v>40</v>
      </c>
      <c r="H5" s="29">
        <v>56</v>
      </c>
      <c r="I5" s="22">
        <v>44195</v>
      </c>
      <c r="J5" s="68">
        <v>2</v>
      </c>
      <c r="K5" s="107">
        <v>0</v>
      </c>
      <c r="L5" s="20" t="s">
        <v>54</v>
      </c>
      <c r="M5" s="31">
        <v>200</v>
      </c>
      <c r="N5" s="20" t="s">
        <v>24</v>
      </c>
    </row>
    <row r="6" spans="1:14">
      <c r="A6" s="46" t="s">
        <v>50</v>
      </c>
      <c r="B6" s="46" t="s">
        <v>51</v>
      </c>
      <c r="C6" s="46" t="s">
        <v>19</v>
      </c>
      <c r="D6" s="46" t="s">
        <v>58</v>
      </c>
      <c r="E6" s="20" t="s">
        <v>21</v>
      </c>
      <c r="F6" s="20" t="s">
        <v>53</v>
      </c>
      <c r="G6" s="46">
        <v>40</v>
      </c>
      <c r="H6" s="29">
        <v>72</v>
      </c>
      <c r="I6" s="22">
        <v>43718</v>
      </c>
      <c r="J6" s="68">
        <v>2</v>
      </c>
      <c r="K6" s="107">
        <f>150+512.1</f>
        <v>662.1</v>
      </c>
      <c r="L6" s="20" t="s">
        <v>54</v>
      </c>
      <c r="M6" s="31">
        <v>400</v>
      </c>
      <c r="N6" s="20" t="s">
        <v>23</v>
      </c>
    </row>
    <row r="7" spans="1:14">
      <c r="A7" s="46" t="s">
        <v>50</v>
      </c>
      <c r="B7" s="46" t="s">
        <v>51</v>
      </c>
      <c r="C7" s="46" t="s">
        <v>19</v>
      </c>
      <c r="D7" s="46" t="s">
        <v>59</v>
      </c>
      <c r="E7" s="20" t="s">
        <v>21</v>
      </c>
      <c r="F7" s="20" t="s">
        <v>53</v>
      </c>
      <c r="G7" s="46">
        <v>40</v>
      </c>
      <c r="H7" s="29">
        <v>72</v>
      </c>
      <c r="I7" s="22">
        <v>43718</v>
      </c>
      <c r="J7" s="68">
        <v>2</v>
      </c>
      <c r="K7" s="107">
        <v>399.89</v>
      </c>
      <c r="L7" s="20" t="s">
        <v>54</v>
      </c>
      <c r="M7" s="31">
        <v>200</v>
      </c>
      <c r="N7" s="20" t="s">
        <v>24</v>
      </c>
    </row>
    <row r="8" spans="1:14">
      <c r="A8" s="46" t="s">
        <v>50</v>
      </c>
      <c r="B8" s="46" t="s">
        <v>51</v>
      </c>
      <c r="C8" s="46" t="s">
        <v>19</v>
      </c>
      <c r="D8" s="46" t="s">
        <v>60</v>
      </c>
      <c r="E8" s="20" t="s">
        <v>21</v>
      </c>
      <c r="F8" s="20" t="s">
        <v>53</v>
      </c>
      <c r="G8" s="46">
        <v>40</v>
      </c>
      <c r="H8" s="29">
        <v>72</v>
      </c>
      <c r="I8" s="22">
        <v>43718</v>
      </c>
      <c r="J8" s="68">
        <v>2</v>
      </c>
      <c r="K8" s="107">
        <v>321.14</v>
      </c>
      <c r="L8" s="20" t="s">
        <v>54</v>
      </c>
      <c r="M8" s="31">
        <v>200</v>
      </c>
      <c r="N8" s="20" t="s">
        <v>24</v>
      </c>
    </row>
    <row r="9" spans="1:14">
      <c r="A9" s="46" t="s">
        <v>50</v>
      </c>
      <c r="B9" s="46" t="s">
        <v>51</v>
      </c>
      <c r="C9" s="46" t="s">
        <v>19</v>
      </c>
      <c r="D9" s="46" t="s">
        <v>60</v>
      </c>
      <c r="E9" s="20" t="s">
        <v>21</v>
      </c>
      <c r="F9" s="20" t="s">
        <v>53</v>
      </c>
      <c r="G9" s="46">
        <v>40</v>
      </c>
      <c r="H9" s="29">
        <v>73</v>
      </c>
      <c r="I9" s="22">
        <v>43678</v>
      </c>
      <c r="J9" s="68">
        <v>3</v>
      </c>
      <c r="K9" s="107">
        <v>0</v>
      </c>
      <c r="L9" s="20" t="s">
        <v>54</v>
      </c>
      <c r="M9" s="31">
        <v>200</v>
      </c>
      <c r="N9" s="20" t="s">
        <v>24</v>
      </c>
    </row>
    <row r="10" spans="1:14">
      <c r="A10" s="46" t="s">
        <v>50</v>
      </c>
      <c r="B10" s="46" t="s">
        <v>51</v>
      </c>
      <c r="C10" s="46" t="s">
        <v>19</v>
      </c>
      <c r="D10" s="46" t="s">
        <v>59</v>
      </c>
      <c r="E10" s="20" t="s">
        <v>21</v>
      </c>
      <c r="F10" s="20" t="s">
        <v>53</v>
      </c>
      <c r="G10" s="46">
        <v>40</v>
      </c>
      <c r="H10" s="29">
        <v>72</v>
      </c>
      <c r="I10" s="22">
        <v>43719</v>
      </c>
      <c r="J10" s="68">
        <v>2</v>
      </c>
      <c r="K10" s="107">
        <v>407.89</v>
      </c>
      <c r="L10" s="20" t="s">
        <v>54</v>
      </c>
      <c r="M10" s="31">
        <v>200</v>
      </c>
      <c r="N10" s="20" t="s">
        <v>24</v>
      </c>
    </row>
    <row r="11" spans="1:14">
      <c r="A11" s="46" t="s">
        <v>50</v>
      </c>
      <c r="B11" s="46" t="s">
        <v>51</v>
      </c>
      <c r="C11" s="46" t="s">
        <v>19</v>
      </c>
      <c r="D11" s="46" t="s">
        <v>57</v>
      </c>
      <c r="E11" s="20" t="s">
        <v>21</v>
      </c>
      <c r="F11" s="20" t="s">
        <v>53</v>
      </c>
      <c r="G11" s="46">
        <v>40</v>
      </c>
      <c r="H11" s="29">
        <v>52</v>
      </c>
      <c r="I11" s="22">
        <v>44319</v>
      </c>
      <c r="J11" s="68">
        <v>2</v>
      </c>
      <c r="K11" s="107">
        <v>0</v>
      </c>
      <c r="L11" s="20" t="s">
        <v>54</v>
      </c>
      <c r="M11" s="31">
        <v>400</v>
      </c>
      <c r="N11" s="20" t="s">
        <v>24</v>
      </c>
    </row>
    <row r="12" spans="1:14">
      <c r="A12" s="46" t="s">
        <v>50</v>
      </c>
      <c r="B12" s="46" t="s">
        <v>51</v>
      </c>
      <c r="C12" s="46" t="s">
        <v>19</v>
      </c>
      <c r="D12" s="46" t="s">
        <v>59</v>
      </c>
      <c r="E12" s="20" t="s">
        <v>21</v>
      </c>
      <c r="F12" s="20" t="s">
        <v>53</v>
      </c>
      <c r="G12" s="46">
        <v>40</v>
      </c>
      <c r="H12" s="29">
        <v>22</v>
      </c>
      <c r="I12" s="22">
        <v>45222</v>
      </c>
      <c r="J12" s="68">
        <v>0</v>
      </c>
      <c r="K12" s="107">
        <v>0</v>
      </c>
      <c r="L12" s="20" t="s">
        <v>56</v>
      </c>
      <c r="M12" s="31">
        <v>200</v>
      </c>
      <c r="N12" s="20" t="s">
        <v>24</v>
      </c>
    </row>
    <row r="13" spans="1:14">
      <c r="A13" s="46" t="s">
        <v>50</v>
      </c>
      <c r="B13" s="46" t="s">
        <v>51</v>
      </c>
      <c r="C13" s="46" t="s">
        <v>19</v>
      </c>
      <c r="D13" s="46" t="s">
        <v>59</v>
      </c>
      <c r="E13" s="20" t="s">
        <v>21</v>
      </c>
      <c r="F13" s="20" t="s">
        <v>53</v>
      </c>
      <c r="G13" s="46">
        <v>40</v>
      </c>
      <c r="H13" s="29">
        <v>72</v>
      </c>
      <c r="I13" s="22">
        <v>43718</v>
      </c>
      <c r="J13" s="68">
        <v>2</v>
      </c>
      <c r="K13" s="107">
        <v>134.11000000000001</v>
      </c>
      <c r="L13" s="20" t="s">
        <v>54</v>
      </c>
      <c r="M13" s="31">
        <v>200</v>
      </c>
      <c r="N13" s="20" t="s">
        <v>24</v>
      </c>
    </row>
    <row r="14" spans="1:14">
      <c r="A14" s="46" t="s">
        <v>50</v>
      </c>
      <c r="B14" s="46" t="s">
        <v>51</v>
      </c>
      <c r="C14" s="46" t="s">
        <v>19</v>
      </c>
      <c r="D14" s="46" t="s">
        <v>57</v>
      </c>
      <c r="E14" s="20" t="s">
        <v>21</v>
      </c>
      <c r="F14" s="20" t="s">
        <v>53</v>
      </c>
      <c r="G14" s="46">
        <v>40</v>
      </c>
      <c r="H14" s="29">
        <v>72</v>
      </c>
      <c r="I14" s="22">
        <v>43718</v>
      </c>
      <c r="J14" s="68">
        <v>2</v>
      </c>
      <c r="K14" s="107">
        <v>140.06</v>
      </c>
      <c r="L14" s="20" t="s">
        <v>54</v>
      </c>
      <c r="M14" s="31">
        <v>200</v>
      </c>
      <c r="N14" s="20" t="s">
        <v>24</v>
      </c>
    </row>
    <row r="15" spans="1:14">
      <c r="A15" s="46" t="s">
        <v>50</v>
      </c>
      <c r="B15" s="46" t="s">
        <v>51</v>
      </c>
      <c r="C15" s="46" t="s">
        <v>19</v>
      </c>
      <c r="D15" s="46" t="s">
        <v>60</v>
      </c>
      <c r="E15" s="20" t="s">
        <v>21</v>
      </c>
      <c r="F15" s="20" t="s">
        <v>53</v>
      </c>
      <c r="G15" s="46">
        <v>40</v>
      </c>
      <c r="H15" s="29">
        <v>72</v>
      </c>
      <c r="I15" s="22">
        <v>43718</v>
      </c>
      <c r="J15" s="68">
        <v>2</v>
      </c>
      <c r="K15" s="107">
        <v>342.51</v>
      </c>
      <c r="L15" s="20" t="s">
        <v>54</v>
      </c>
      <c r="M15" s="31">
        <v>200</v>
      </c>
      <c r="N15" s="20" t="s">
        <v>24</v>
      </c>
    </row>
    <row r="16" spans="1:14">
      <c r="A16" s="46" t="s">
        <v>50</v>
      </c>
      <c r="B16" s="46" t="s">
        <v>51</v>
      </c>
      <c r="C16" s="46" t="s">
        <v>19</v>
      </c>
      <c r="D16" s="46" t="s">
        <v>61</v>
      </c>
      <c r="E16" s="20" t="s">
        <v>28</v>
      </c>
      <c r="F16" s="20" t="s">
        <v>53</v>
      </c>
      <c r="G16" s="46">
        <v>40</v>
      </c>
      <c r="H16" s="29">
        <v>62</v>
      </c>
      <c r="I16" s="22">
        <v>44015</v>
      </c>
      <c r="J16" s="68">
        <v>2</v>
      </c>
      <c r="K16" s="107">
        <v>0</v>
      </c>
      <c r="L16" s="20" t="s">
        <v>54</v>
      </c>
      <c r="M16" s="31">
        <v>200</v>
      </c>
      <c r="N16" s="20" t="s">
        <v>24</v>
      </c>
    </row>
    <row r="17" spans="1:14">
      <c r="A17" s="46" t="s">
        <v>50</v>
      </c>
      <c r="B17" s="46" t="s">
        <v>51</v>
      </c>
      <c r="C17" s="46" t="s">
        <v>19</v>
      </c>
      <c r="D17" s="46" t="s">
        <v>59</v>
      </c>
      <c r="E17" s="20" t="s">
        <v>28</v>
      </c>
      <c r="F17" s="20" t="s">
        <v>53</v>
      </c>
      <c r="G17" s="46">
        <v>40</v>
      </c>
      <c r="H17" s="29">
        <v>72</v>
      </c>
      <c r="I17" s="22">
        <v>43718</v>
      </c>
      <c r="J17" s="68">
        <v>2</v>
      </c>
      <c r="K17" s="107">
        <v>414.75</v>
      </c>
      <c r="L17" s="20" t="s">
        <v>54</v>
      </c>
      <c r="M17" s="31">
        <v>200</v>
      </c>
      <c r="N17" s="20" t="s">
        <v>24</v>
      </c>
    </row>
    <row r="18" spans="1:14">
      <c r="A18" s="46" t="s">
        <v>50</v>
      </c>
      <c r="B18" s="46" t="s">
        <v>51</v>
      </c>
      <c r="C18" s="46" t="s">
        <v>19</v>
      </c>
      <c r="D18" s="46" t="s">
        <v>57</v>
      </c>
      <c r="E18" s="20" t="s">
        <v>28</v>
      </c>
      <c r="F18" s="20" t="s">
        <v>53</v>
      </c>
      <c r="G18" s="46">
        <v>40</v>
      </c>
      <c r="H18" s="29">
        <v>68</v>
      </c>
      <c r="I18" s="22">
        <v>43832</v>
      </c>
      <c r="J18" s="68">
        <v>2</v>
      </c>
      <c r="K18" s="107">
        <v>725</v>
      </c>
      <c r="L18" s="20" t="s">
        <v>54</v>
      </c>
      <c r="M18" s="31">
        <v>200</v>
      </c>
      <c r="N18" s="20" t="s">
        <v>24</v>
      </c>
    </row>
    <row r="19" spans="1:14">
      <c r="A19" s="46" t="s">
        <v>50</v>
      </c>
      <c r="B19" s="46" t="s">
        <v>51</v>
      </c>
      <c r="C19" s="46" t="s">
        <v>19</v>
      </c>
      <c r="D19" s="46" t="s">
        <v>57</v>
      </c>
      <c r="E19" s="20" t="s">
        <v>28</v>
      </c>
      <c r="F19" s="20" t="s">
        <v>53</v>
      </c>
      <c r="G19" s="46">
        <v>40</v>
      </c>
      <c r="H19" s="29">
        <v>72</v>
      </c>
      <c r="I19" s="22">
        <v>43718</v>
      </c>
      <c r="J19" s="68">
        <v>2</v>
      </c>
      <c r="K19" s="107">
        <v>82.74</v>
      </c>
      <c r="L19" s="20" t="s">
        <v>54</v>
      </c>
      <c r="M19" s="31">
        <v>200</v>
      </c>
      <c r="N19" s="20" t="s">
        <v>24</v>
      </c>
    </row>
    <row r="20" spans="1:14">
      <c r="A20" s="46" t="s">
        <v>50</v>
      </c>
      <c r="B20" s="46" t="s">
        <v>51</v>
      </c>
      <c r="C20" s="46" t="s">
        <v>19</v>
      </c>
      <c r="D20" s="46" t="s">
        <v>62</v>
      </c>
      <c r="E20" s="20" t="s">
        <v>28</v>
      </c>
      <c r="F20" s="20" t="s">
        <v>53</v>
      </c>
      <c r="G20" s="46">
        <v>40</v>
      </c>
      <c r="H20" s="29">
        <v>67</v>
      </c>
      <c r="I20" s="22">
        <v>43865</v>
      </c>
      <c r="J20" s="68">
        <v>2</v>
      </c>
      <c r="K20" s="107">
        <v>139.06</v>
      </c>
      <c r="L20" s="20" t="s">
        <v>54</v>
      </c>
      <c r="M20" s="31">
        <v>200</v>
      </c>
      <c r="N20" s="20" t="s">
        <v>24</v>
      </c>
    </row>
    <row r="21" spans="1:14">
      <c r="A21" s="46" t="s">
        <v>50</v>
      </c>
      <c r="B21" s="46" t="s">
        <v>51</v>
      </c>
      <c r="C21" s="46" t="s">
        <v>19</v>
      </c>
      <c r="D21" s="46" t="s">
        <v>60</v>
      </c>
      <c r="E21" s="20" t="s">
        <v>28</v>
      </c>
      <c r="F21" s="20" t="s">
        <v>53</v>
      </c>
      <c r="G21" s="46">
        <v>40</v>
      </c>
      <c r="H21" s="29">
        <v>67</v>
      </c>
      <c r="I21" s="22">
        <v>43862</v>
      </c>
      <c r="J21" s="68">
        <v>2</v>
      </c>
      <c r="K21" s="107">
        <v>0</v>
      </c>
      <c r="L21" s="20" t="s">
        <v>54</v>
      </c>
      <c r="M21" s="31">
        <v>200</v>
      </c>
      <c r="N21" s="20" t="s">
        <v>24</v>
      </c>
    </row>
    <row r="22" spans="1:14">
      <c r="A22" s="46" t="s">
        <v>50</v>
      </c>
      <c r="B22" s="46" t="s">
        <v>51</v>
      </c>
      <c r="C22" s="46" t="s">
        <v>19</v>
      </c>
      <c r="D22" s="46" t="s">
        <v>63</v>
      </c>
      <c r="E22" s="20" t="s">
        <v>28</v>
      </c>
      <c r="F22" s="20" t="s">
        <v>53</v>
      </c>
      <c r="G22" s="46">
        <v>40</v>
      </c>
      <c r="H22" s="29">
        <v>72</v>
      </c>
      <c r="I22" s="22">
        <v>43718</v>
      </c>
      <c r="J22" s="68">
        <v>2</v>
      </c>
      <c r="K22" s="107">
        <v>262.23</v>
      </c>
      <c r="L22" s="20" t="s">
        <v>54</v>
      </c>
      <c r="M22" s="31">
        <v>200</v>
      </c>
      <c r="N22" s="20" t="s">
        <v>23</v>
      </c>
    </row>
    <row r="23" spans="1:14">
      <c r="A23" s="46" t="s">
        <v>50</v>
      </c>
      <c r="B23" s="46" t="s">
        <v>51</v>
      </c>
      <c r="C23" s="46" t="s">
        <v>19</v>
      </c>
      <c r="D23" s="46" t="s">
        <v>60</v>
      </c>
      <c r="E23" s="20" t="s">
        <v>28</v>
      </c>
      <c r="F23" s="20" t="s">
        <v>53</v>
      </c>
      <c r="G23" s="46">
        <v>40</v>
      </c>
      <c r="H23" s="29">
        <v>72</v>
      </c>
      <c r="I23" s="22">
        <v>43718</v>
      </c>
      <c r="J23" s="68">
        <v>2</v>
      </c>
      <c r="K23" s="107">
        <v>63.24</v>
      </c>
      <c r="L23" s="20" t="s">
        <v>54</v>
      </c>
      <c r="M23" s="31">
        <v>200</v>
      </c>
      <c r="N23" s="20" t="s">
        <v>24</v>
      </c>
    </row>
    <row r="24" spans="1:14">
      <c r="A24" s="46" t="s">
        <v>50</v>
      </c>
      <c r="B24" s="46" t="s">
        <v>51</v>
      </c>
      <c r="C24" s="46" t="s">
        <v>19</v>
      </c>
      <c r="D24" s="46" t="s">
        <v>62</v>
      </c>
      <c r="E24" s="20" t="s">
        <v>28</v>
      </c>
      <c r="F24" s="20" t="s">
        <v>53</v>
      </c>
      <c r="G24" s="46">
        <v>40</v>
      </c>
      <c r="H24" s="29">
        <v>72</v>
      </c>
      <c r="I24" s="22">
        <v>43718</v>
      </c>
      <c r="J24" s="68">
        <v>2</v>
      </c>
      <c r="K24" s="107">
        <v>137.31</v>
      </c>
      <c r="L24" s="20" t="s">
        <v>54</v>
      </c>
      <c r="M24" s="31">
        <v>200</v>
      </c>
      <c r="N24" s="20" t="s">
        <v>24</v>
      </c>
    </row>
    <row r="25" spans="1:14">
      <c r="A25" s="46" t="s">
        <v>50</v>
      </c>
      <c r="B25" s="46" t="s">
        <v>51</v>
      </c>
      <c r="C25" s="46" t="s">
        <v>19</v>
      </c>
      <c r="D25" s="46" t="s">
        <v>64</v>
      </c>
      <c r="E25" s="20" t="s">
        <v>28</v>
      </c>
      <c r="F25" s="20" t="s">
        <v>53</v>
      </c>
      <c r="G25" s="46">
        <v>40</v>
      </c>
      <c r="H25" s="29">
        <v>72</v>
      </c>
      <c r="I25" s="22">
        <v>43718</v>
      </c>
      <c r="J25" s="68">
        <v>2</v>
      </c>
      <c r="K25" s="107">
        <v>291.18</v>
      </c>
      <c r="L25" s="20" t="s">
        <v>54</v>
      </c>
      <c r="M25" s="31">
        <v>200</v>
      </c>
      <c r="N25" s="20" t="s">
        <v>24</v>
      </c>
    </row>
    <row r="26" spans="1:14">
      <c r="A26" s="46" t="s">
        <v>50</v>
      </c>
      <c r="B26" s="46" t="s">
        <v>51</v>
      </c>
      <c r="C26" s="46" t="s">
        <v>19</v>
      </c>
      <c r="D26" s="46" t="s">
        <v>65</v>
      </c>
      <c r="E26" s="20" t="s">
        <v>28</v>
      </c>
      <c r="F26" s="20" t="s">
        <v>53</v>
      </c>
      <c r="G26" s="46">
        <v>40</v>
      </c>
      <c r="H26" s="29">
        <v>72</v>
      </c>
      <c r="I26" s="22">
        <v>43718</v>
      </c>
      <c r="J26" s="68">
        <v>2</v>
      </c>
      <c r="K26" s="107">
        <v>411.51</v>
      </c>
      <c r="L26" s="20" t="s">
        <v>54</v>
      </c>
      <c r="M26" s="31">
        <v>200</v>
      </c>
      <c r="N26" s="20" t="s">
        <v>23</v>
      </c>
    </row>
    <row r="27" spans="1:14">
      <c r="A27" s="46" t="s">
        <v>50</v>
      </c>
      <c r="B27" s="46" t="s">
        <v>51</v>
      </c>
      <c r="C27" s="46" t="s">
        <v>19</v>
      </c>
      <c r="D27" s="46" t="s">
        <v>60</v>
      </c>
      <c r="E27" s="20" t="s">
        <v>36</v>
      </c>
      <c r="F27" s="20" t="s">
        <v>53</v>
      </c>
      <c r="G27" s="46">
        <v>40</v>
      </c>
      <c r="H27" s="29">
        <v>72</v>
      </c>
      <c r="I27" s="22">
        <v>43718</v>
      </c>
      <c r="J27" s="68">
        <v>2</v>
      </c>
      <c r="K27" s="107">
        <v>1189.94</v>
      </c>
      <c r="L27" s="20" t="s">
        <v>54</v>
      </c>
      <c r="M27" s="31">
        <v>200</v>
      </c>
      <c r="N27" s="20" t="s">
        <v>24</v>
      </c>
    </row>
    <row r="28" spans="1:14">
      <c r="A28" s="46" t="s">
        <v>50</v>
      </c>
      <c r="B28" s="46" t="s">
        <v>51</v>
      </c>
      <c r="C28" s="46" t="s">
        <v>19</v>
      </c>
      <c r="D28" s="46" t="s">
        <v>60</v>
      </c>
      <c r="E28" s="20" t="s">
        <v>36</v>
      </c>
      <c r="F28" s="20" t="s">
        <v>53</v>
      </c>
      <c r="G28" s="46">
        <v>40</v>
      </c>
      <c r="H28" s="29">
        <v>72</v>
      </c>
      <c r="I28" s="22">
        <v>43718</v>
      </c>
      <c r="J28" s="68">
        <v>2</v>
      </c>
      <c r="K28" s="107">
        <v>264.43</v>
      </c>
      <c r="L28" s="20" t="s">
        <v>54</v>
      </c>
      <c r="M28" s="31">
        <v>200</v>
      </c>
      <c r="N28" s="20" t="s">
        <v>24</v>
      </c>
    </row>
    <row r="29" spans="1:14">
      <c r="A29" s="46" t="s">
        <v>50</v>
      </c>
      <c r="B29" s="46" t="s">
        <v>51</v>
      </c>
      <c r="C29" s="46" t="s">
        <v>19</v>
      </c>
      <c r="D29" s="46" t="s">
        <v>60</v>
      </c>
      <c r="E29" s="20" t="s">
        <v>36</v>
      </c>
      <c r="F29" s="20" t="s">
        <v>53</v>
      </c>
      <c r="G29" s="46">
        <v>40</v>
      </c>
      <c r="H29" s="29">
        <v>45</v>
      </c>
      <c r="I29" s="22">
        <v>44531</v>
      </c>
      <c r="J29" s="68">
        <v>1</v>
      </c>
      <c r="K29" s="107">
        <v>0</v>
      </c>
      <c r="L29" s="20" t="s">
        <v>56</v>
      </c>
      <c r="M29" s="31">
        <v>200</v>
      </c>
      <c r="N29" s="20" t="s">
        <v>24</v>
      </c>
    </row>
    <row r="30" spans="1:14">
      <c r="A30" s="46" t="s">
        <v>50</v>
      </c>
      <c r="B30" s="46" t="s">
        <v>51</v>
      </c>
      <c r="C30" s="46" t="s">
        <v>19</v>
      </c>
      <c r="D30" s="46" t="s">
        <v>59</v>
      </c>
      <c r="E30" s="20" t="s">
        <v>36</v>
      </c>
      <c r="F30" s="20" t="s">
        <v>53</v>
      </c>
      <c r="G30" s="46">
        <v>40</v>
      </c>
      <c r="H30" s="29">
        <v>56</v>
      </c>
      <c r="I30" s="22">
        <v>44200</v>
      </c>
      <c r="J30" s="68">
        <v>2</v>
      </c>
      <c r="K30" s="107">
        <v>0</v>
      </c>
      <c r="L30" s="20" t="s">
        <v>54</v>
      </c>
      <c r="M30" s="31">
        <v>200</v>
      </c>
      <c r="N30" s="20" t="s">
        <v>24</v>
      </c>
    </row>
    <row r="31" spans="1:14">
      <c r="A31" s="46" t="s">
        <v>50</v>
      </c>
      <c r="B31" s="46" t="s">
        <v>51</v>
      </c>
      <c r="C31" s="46" t="s">
        <v>19</v>
      </c>
      <c r="D31" s="46" t="s">
        <v>59</v>
      </c>
      <c r="E31" s="20" t="s">
        <v>36</v>
      </c>
      <c r="F31" s="20" t="s">
        <v>53</v>
      </c>
      <c r="G31" s="46">
        <v>41</v>
      </c>
      <c r="H31" s="29">
        <v>72</v>
      </c>
      <c r="I31" s="22">
        <v>43718</v>
      </c>
      <c r="J31" s="68">
        <v>2</v>
      </c>
      <c r="K31" s="107">
        <v>490.33</v>
      </c>
      <c r="L31" s="20" t="s">
        <v>54</v>
      </c>
      <c r="M31" s="31">
        <v>200</v>
      </c>
      <c r="N31" s="20" t="s">
        <v>24</v>
      </c>
    </row>
    <row r="32" spans="1:14">
      <c r="A32" s="46" t="s">
        <v>66</v>
      </c>
      <c r="B32" s="46" t="s">
        <v>67</v>
      </c>
      <c r="C32" s="46" t="s">
        <v>68</v>
      </c>
      <c r="D32" s="46" t="s">
        <v>69</v>
      </c>
      <c r="E32" s="20" t="s">
        <v>21</v>
      </c>
      <c r="F32" s="20" t="s">
        <v>53</v>
      </c>
      <c r="G32" s="46">
        <v>40</v>
      </c>
      <c r="H32" s="29">
        <v>0</v>
      </c>
      <c r="I32" s="22">
        <v>37561</v>
      </c>
      <c r="J32" s="68">
        <v>5</v>
      </c>
      <c r="K32" s="107" t="s">
        <v>70</v>
      </c>
      <c r="L32" s="31" t="s">
        <v>70</v>
      </c>
      <c r="M32" s="31" t="s">
        <v>70</v>
      </c>
      <c r="N32" s="20" t="s">
        <v>24</v>
      </c>
    </row>
    <row r="33" spans="1:14">
      <c r="A33" s="46" t="s">
        <v>66</v>
      </c>
      <c r="B33" s="46" t="s">
        <v>67</v>
      </c>
      <c r="C33" s="46" t="s">
        <v>68</v>
      </c>
      <c r="D33" s="46" t="s">
        <v>71</v>
      </c>
      <c r="E33" s="20" t="s">
        <v>21</v>
      </c>
      <c r="F33" s="20" t="s">
        <v>53</v>
      </c>
      <c r="G33" s="46">
        <v>40</v>
      </c>
      <c r="H33" s="29">
        <v>259</v>
      </c>
      <c r="I33" s="22">
        <v>37988</v>
      </c>
      <c r="J33" s="68">
        <v>5</v>
      </c>
      <c r="K33" s="107" t="s">
        <v>70</v>
      </c>
      <c r="L33" s="31" t="s">
        <v>70</v>
      </c>
      <c r="M33" s="31" t="s">
        <v>70</v>
      </c>
      <c r="N33" s="20" t="s">
        <v>24</v>
      </c>
    </row>
    <row r="34" spans="1:14">
      <c r="A34" s="46" t="s">
        <v>66</v>
      </c>
      <c r="B34" s="46" t="s">
        <v>67</v>
      </c>
      <c r="C34" s="46" t="s">
        <v>68</v>
      </c>
      <c r="D34" s="46" t="s">
        <v>72</v>
      </c>
      <c r="E34" s="20" t="s">
        <v>30</v>
      </c>
      <c r="F34" s="20" t="s">
        <v>53</v>
      </c>
      <c r="G34" s="46">
        <v>40</v>
      </c>
      <c r="H34" s="29">
        <v>82</v>
      </c>
      <c r="I34" s="22">
        <v>43402</v>
      </c>
      <c r="J34" s="68">
        <v>3</v>
      </c>
      <c r="K34" s="107">
        <v>245.39</v>
      </c>
      <c r="L34" s="31" t="s">
        <v>70</v>
      </c>
      <c r="M34" s="31"/>
      <c r="N34" s="20" t="s">
        <v>24</v>
      </c>
    </row>
    <row r="35" spans="1:14">
      <c r="A35" s="46" t="s">
        <v>66</v>
      </c>
      <c r="B35" s="46" t="s">
        <v>67</v>
      </c>
      <c r="C35" s="46" t="s">
        <v>68</v>
      </c>
      <c r="D35" s="46" t="s">
        <v>73</v>
      </c>
      <c r="E35" s="20" t="s">
        <v>21</v>
      </c>
      <c r="F35" s="20" t="s">
        <v>53</v>
      </c>
      <c r="G35" s="46">
        <v>40</v>
      </c>
      <c r="H35" s="29">
        <v>284</v>
      </c>
      <c r="I35" s="22">
        <v>37235</v>
      </c>
      <c r="J35" s="68">
        <v>5</v>
      </c>
      <c r="K35" s="107" t="s">
        <v>70</v>
      </c>
      <c r="L35" s="31" t="s">
        <v>70</v>
      </c>
      <c r="M35" s="31" t="s">
        <v>70</v>
      </c>
      <c r="N35" s="20" t="s">
        <v>24</v>
      </c>
    </row>
    <row r="36" spans="1:14">
      <c r="A36" s="46" t="s">
        <v>66</v>
      </c>
      <c r="B36" s="46" t="s">
        <v>67</v>
      </c>
      <c r="C36" s="46" t="s">
        <v>68</v>
      </c>
      <c r="D36" s="46" t="s">
        <v>74</v>
      </c>
      <c r="E36" s="20" t="s">
        <v>21</v>
      </c>
      <c r="F36" s="20" t="s">
        <v>53</v>
      </c>
      <c r="G36" s="46">
        <v>40</v>
      </c>
      <c r="H36" s="29">
        <v>80</v>
      </c>
      <c r="I36" s="22">
        <v>43451</v>
      </c>
      <c r="J36" s="68">
        <v>3</v>
      </c>
      <c r="K36" s="107" t="s">
        <v>70</v>
      </c>
      <c r="L36" s="31" t="s">
        <v>70</v>
      </c>
      <c r="M36" s="31" t="s">
        <v>70</v>
      </c>
      <c r="N36" s="20" t="s">
        <v>24</v>
      </c>
    </row>
    <row r="37" spans="1:14">
      <c r="A37" s="46" t="s">
        <v>66</v>
      </c>
      <c r="B37" s="46" t="s">
        <v>67</v>
      </c>
      <c r="C37" s="46" t="s">
        <v>68</v>
      </c>
      <c r="D37" s="46" t="s">
        <v>69</v>
      </c>
      <c r="E37" s="20" t="s">
        <v>28</v>
      </c>
      <c r="F37" s="20" t="s">
        <v>53</v>
      </c>
      <c r="G37" s="46">
        <v>40</v>
      </c>
      <c r="H37" s="29">
        <v>401</v>
      </c>
      <c r="I37" s="22">
        <v>33668</v>
      </c>
      <c r="J37" s="68">
        <v>5</v>
      </c>
      <c r="K37" s="107">
        <v>97.73</v>
      </c>
      <c r="L37" s="31" t="s">
        <v>70</v>
      </c>
      <c r="M37" s="31" t="s">
        <v>70</v>
      </c>
      <c r="N37" s="20" t="s">
        <v>24</v>
      </c>
    </row>
    <row r="38" spans="1:14">
      <c r="A38" s="46" t="s">
        <v>66</v>
      </c>
      <c r="B38" s="46" t="s">
        <v>67</v>
      </c>
      <c r="C38" s="46" t="s">
        <v>68</v>
      </c>
      <c r="D38" s="46" t="s">
        <v>75</v>
      </c>
      <c r="E38" s="20" t="s">
        <v>38</v>
      </c>
      <c r="F38" s="20" t="s">
        <v>53</v>
      </c>
      <c r="G38" s="46">
        <v>40</v>
      </c>
      <c r="H38" s="29">
        <v>63</v>
      </c>
      <c r="I38" s="22">
        <v>43969</v>
      </c>
      <c r="J38" s="68">
        <v>2</v>
      </c>
      <c r="K38" s="107">
        <v>340.35</v>
      </c>
      <c r="L38" s="31" t="s">
        <v>70</v>
      </c>
      <c r="M38" s="31" t="s">
        <v>76</v>
      </c>
      <c r="N38" s="20" t="s">
        <v>24</v>
      </c>
    </row>
    <row r="39" spans="1:14">
      <c r="A39" s="46" t="s">
        <v>66</v>
      </c>
      <c r="B39" s="46" t="s">
        <v>67</v>
      </c>
      <c r="C39" s="46" t="s">
        <v>68</v>
      </c>
      <c r="D39" s="46" t="s">
        <v>71</v>
      </c>
      <c r="E39" s="20" t="s">
        <v>21</v>
      </c>
      <c r="F39" s="20" t="s">
        <v>53</v>
      </c>
      <c r="G39" s="46">
        <v>40</v>
      </c>
      <c r="H39" s="29">
        <v>475</v>
      </c>
      <c r="I39" s="22">
        <v>31440</v>
      </c>
      <c r="J39" s="68">
        <v>5</v>
      </c>
      <c r="K39" s="107">
        <v>174.07</v>
      </c>
      <c r="L39" s="31" t="s">
        <v>70</v>
      </c>
      <c r="M39" s="31" t="s">
        <v>70</v>
      </c>
      <c r="N39" s="20" t="s">
        <v>24</v>
      </c>
    </row>
    <row r="40" spans="1:14">
      <c r="A40" s="46" t="s">
        <v>66</v>
      </c>
      <c r="B40" s="46" t="s">
        <v>67</v>
      </c>
      <c r="C40" s="46" t="s">
        <v>68</v>
      </c>
      <c r="D40" s="46" t="s">
        <v>71</v>
      </c>
      <c r="E40" s="20" t="s">
        <v>21</v>
      </c>
      <c r="F40" s="20" t="s">
        <v>53</v>
      </c>
      <c r="G40" s="46">
        <v>40</v>
      </c>
      <c r="H40" s="29">
        <v>294</v>
      </c>
      <c r="I40" s="22">
        <v>36951</v>
      </c>
      <c r="J40" s="68">
        <v>5</v>
      </c>
      <c r="K40" s="107" t="s">
        <v>70</v>
      </c>
      <c r="L40" s="31" t="s">
        <v>70</v>
      </c>
      <c r="M40" s="31" t="s">
        <v>70</v>
      </c>
      <c r="N40" s="20" t="s">
        <v>24</v>
      </c>
    </row>
    <row r="41" spans="1:14">
      <c r="A41" s="46" t="s">
        <v>66</v>
      </c>
      <c r="B41" s="46" t="s">
        <v>67</v>
      </c>
      <c r="C41" s="46" t="s">
        <v>68</v>
      </c>
      <c r="D41" s="46" t="s">
        <v>74</v>
      </c>
      <c r="E41" s="20" t="s">
        <v>21</v>
      </c>
      <c r="F41" s="20" t="s">
        <v>53</v>
      </c>
      <c r="G41" s="46">
        <v>40</v>
      </c>
      <c r="H41" s="29">
        <v>225</v>
      </c>
      <c r="I41" s="22">
        <v>39052</v>
      </c>
      <c r="J41" s="68">
        <v>5</v>
      </c>
      <c r="K41" s="107">
        <v>180.47</v>
      </c>
      <c r="L41" s="31" t="s">
        <v>70</v>
      </c>
      <c r="M41" s="31" t="s">
        <v>70</v>
      </c>
      <c r="N41" s="20" t="s">
        <v>24</v>
      </c>
    </row>
    <row r="42" spans="1:14">
      <c r="A42" s="46" t="s">
        <v>66</v>
      </c>
      <c r="B42" s="46" t="s">
        <v>67</v>
      </c>
      <c r="C42" s="46" t="s">
        <v>68</v>
      </c>
      <c r="D42" s="46" t="s">
        <v>69</v>
      </c>
      <c r="E42" s="20" t="s">
        <v>21</v>
      </c>
      <c r="F42" s="20" t="s">
        <v>53</v>
      </c>
      <c r="G42" s="46">
        <v>40</v>
      </c>
      <c r="H42" s="29">
        <v>220</v>
      </c>
      <c r="I42" s="22">
        <v>39202</v>
      </c>
      <c r="J42" s="68">
        <v>5</v>
      </c>
      <c r="K42" s="107">
        <v>246.18</v>
      </c>
      <c r="L42" s="31" t="s">
        <v>70</v>
      </c>
      <c r="M42" s="31" t="s">
        <v>70</v>
      </c>
      <c r="N42" s="20" t="s">
        <v>24</v>
      </c>
    </row>
    <row r="43" spans="1:14">
      <c r="A43" s="46" t="s">
        <v>66</v>
      </c>
      <c r="B43" s="46" t="s">
        <v>67</v>
      </c>
      <c r="C43" s="46" t="s">
        <v>68</v>
      </c>
      <c r="D43" s="46" t="s">
        <v>77</v>
      </c>
      <c r="E43" s="20" t="s">
        <v>36</v>
      </c>
      <c r="F43" s="20" t="s">
        <v>53</v>
      </c>
      <c r="G43" s="46">
        <v>40</v>
      </c>
      <c r="H43" s="29">
        <v>294</v>
      </c>
      <c r="I43" s="22">
        <v>36935</v>
      </c>
      <c r="J43" s="68">
        <v>5</v>
      </c>
      <c r="K43" s="107" t="s">
        <v>70</v>
      </c>
      <c r="L43" s="31" t="s">
        <v>70</v>
      </c>
      <c r="M43" s="31" t="s">
        <v>70</v>
      </c>
      <c r="N43" s="20" t="s">
        <v>23</v>
      </c>
    </row>
    <row r="44" spans="1:14">
      <c r="A44" s="46" t="s">
        <v>66</v>
      </c>
      <c r="B44" s="46" t="s">
        <v>67</v>
      </c>
      <c r="C44" s="46" t="s">
        <v>68</v>
      </c>
      <c r="D44" s="46" t="s">
        <v>69</v>
      </c>
      <c r="E44" s="20" t="s">
        <v>21</v>
      </c>
      <c r="F44" s="20" t="s">
        <v>53</v>
      </c>
      <c r="G44" s="46">
        <v>40</v>
      </c>
      <c r="H44" s="29">
        <v>38</v>
      </c>
      <c r="I44" s="22">
        <v>44725</v>
      </c>
      <c r="J44" s="68">
        <v>1</v>
      </c>
      <c r="K44" s="107" t="s">
        <v>70</v>
      </c>
      <c r="L44" s="31" t="s">
        <v>70</v>
      </c>
      <c r="M44" s="31" t="s">
        <v>70</v>
      </c>
      <c r="N44" s="20" t="s">
        <v>24</v>
      </c>
    </row>
    <row r="45" spans="1:14">
      <c r="A45" s="46" t="s">
        <v>66</v>
      </c>
      <c r="B45" s="46" t="s">
        <v>67</v>
      </c>
      <c r="C45" s="46" t="s">
        <v>68</v>
      </c>
      <c r="D45" s="46" t="s">
        <v>78</v>
      </c>
      <c r="E45" s="20" t="s">
        <v>21</v>
      </c>
      <c r="F45" s="20" t="s">
        <v>53</v>
      </c>
      <c r="G45" s="46">
        <v>40</v>
      </c>
      <c r="H45" s="29">
        <v>367</v>
      </c>
      <c r="I45" s="22">
        <v>34701</v>
      </c>
      <c r="J45" s="68">
        <v>5</v>
      </c>
      <c r="K45" s="107">
        <v>30.01</v>
      </c>
      <c r="L45" s="31" t="s">
        <v>70</v>
      </c>
      <c r="M45" s="31" t="s">
        <v>70</v>
      </c>
      <c r="N45" s="20" t="s">
        <v>23</v>
      </c>
    </row>
    <row r="46" spans="1:14">
      <c r="A46" s="46" t="s">
        <v>66</v>
      </c>
      <c r="B46" s="46" t="s">
        <v>67</v>
      </c>
      <c r="C46" s="46" t="s">
        <v>68</v>
      </c>
      <c r="D46" s="46" t="s">
        <v>71</v>
      </c>
      <c r="E46" s="20" t="s">
        <v>21</v>
      </c>
      <c r="F46" s="20" t="s">
        <v>53</v>
      </c>
      <c r="G46" s="46">
        <v>40</v>
      </c>
      <c r="H46" s="29">
        <v>53</v>
      </c>
      <c r="I46" s="22">
        <v>44287</v>
      </c>
      <c r="J46" s="68">
        <v>2</v>
      </c>
      <c r="K46" s="107" t="s">
        <v>70</v>
      </c>
      <c r="L46" s="31" t="s">
        <v>70</v>
      </c>
      <c r="M46" s="31" t="s">
        <v>70</v>
      </c>
      <c r="N46" s="20" t="s">
        <v>23</v>
      </c>
    </row>
    <row r="47" spans="1:14">
      <c r="A47" s="46" t="s">
        <v>66</v>
      </c>
      <c r="B47" s="46" t="s">
        <v>67</v>
      </c>
      <c r="C47" s="46" t="s">
        <v>68</v>
      </c>
      <c r="D47" s="46" t="s">
        <v>69</v>
      </c>
      <c r="E47" s="20" t="s">
        <v>31</v>
      </c>
      <c r="F47" s="20" t="s">
        <v>53</v>
      </c>
      <c r="G47" s="46">
        <v>40</v>
      </c>
      <c r="H47" s="29">
        <v>8</v>
      </c>
      <c r="I47" s="22">
        <v>45642</v>
      </c>
      <c r="J47" s="68" t="s">
        <v>70</v>
      </c>
      <c r="K47" s="107" t="s">
        <v>70</v>
      </c>
      <c r="L47" s="31" t="s">
        <v>70</v>
      </c>
      <c r="M47" s="31" t="s">
        <v>70</v>
      </c>
      <c r="N47" s="20" t="s">
        <v>24</v>
      </c>
    </row>
    <row r="48" spans="1:14">
      <c r="A48" s="46" t="s">
        <v>66</v>
      </c>
      <c r="B48" s="46" t="s">
        <v>67</v>
      </c>
      <c r="C48" s="46" t="s">
        <v>68</v>
      </c>
      <c r="D48" s="46" t="s">
        <v>74</v>
      </c>
      <c r="E48" s="20" t="s">
        <v>28</v>
      </c>
      <c r="F48" s="20" t="s">
        <v>53</v>
      </c>
      <c r="G48" s="46">
        <v>40</v>
      </c>
      <c r="H48" s="29">
        <v>449</v>
      </c>
      <c r="I48" s="22">
        <v>32206</v>
      </c>
      <c r="J48" s="68">
        <v>5</v>
      </c>
      <c r="K48" s="107">
        <v>59.43</v>
      </c>
      <c r="L48" s="31" t="s">
        <v>70</v>
      </c>
      <c r="M48" s="31" t="s">
        <v>70</v>
      </c>
      <c r="N48" s="20" t="s">
        <v>24</v>
      </c>
    </row>
    <row r="49" spans="1:14">
      <c r="A49" s="46" t="s">
        <v>66</v>
      </c>
      <c r="B49" s="46" t="s">
        <v>67</v>
      </c>
      <c r="C49" s="46" t="s">
        <v>68</v>
      </c>
      <c r="D49" s="46" t="s">
        <v>69</v>
      </c>
      <c r="E49" s="20" t="s">
        <v>21</v>
      </c>
      <c r="F49" s="20" t="s">
        <v>53</v>
      </c>
      <c r="G49" s="46">
        <v>40</v>
      </c>
      <c r="H49" s="29">
        <v>274</v>
      </c>
      <c r="I49" s="22">
        <v>37561</v>
      </c>
      <c r="J49" s="68">
        <v>5</v>
      </c>
      <c r="K49" s="107"/>
      <c r="L49" s="31" t="s">
        <v>70</v>
      </c>
      <c r="M49" s="31" t="s">
        <v>70</v>
      </c>
      <c r="N49" s="20" t="s">
        <v>24</v>
      </c>
    </row>
    <row r="50" spans="1:14">
      <c r="A50" s="46" t="s">
        <v>66</v>
      </c>
      <c r="B50" s="46" t="s">
        <v>67</v>
      </c>
      <c r="C50" s="46" t="s">
        <v>68</v>
      </c>
      <c r="D50" s="46" t="s">
        <v>79</v>
      </c>
      <c r="E50" s="20" t="s">
        <v>30</v>
      </c>
      <c r="F50" s="20" t="s">
        <v>53</v>
      </c>
      <c r="G50" s="46">
        <v>40</v>
      </c>
      <c r="H50" s="29">
        <v>67</v>
      </c>
      <c r="I50" s="22">
        <v>43862</v>
      </c>
      <c r="J50" s="68">
        <v>2</v>
      </c>
      <c r="K50" s="107">
        <v>200</v>
      </c>
      <c r="L50" s="31" t="s">
        <v>70</v>
      </c>
      <c r="M50" s="31" t="s">
        <v>70</v>
      </c>
      <c r="N50" s="20" t="s">
        <v>24</v>
      </c>
    </row>
    <row r="51" spans="1:14">
      <c r="A51" s="46" t="s">
        <v>66</v>
      </c>
      <c r="B51" s="46" t="s">
        <v>80</v>
      </c>
      <c r="C51" s="46" t="s">
        <v>68</v>
      </c>
      <c r="D51" s="46" t="s">
        <v>81</v>
      </c>
      <c r="E51" s="20" t="s">
        <v>82</v>
      </c>
      <c r="F51" s="20" t="s">
        <v>53</v>
      </c>
      <c r="G51" s="46">
        <v>40</v>
      </c>
      <c r="H51" s="29">
        <v>42</v>
      </c>
      <c r="I51" s="22">
        <v>44621</v>
      </c>
      <c r="J51" s="68">
        <v>1</v>
      </c>
      <c r="K51" s="107">
        <v>1241.8599999999999</v>
      </c>
      <c r="L51" s="31" t="s">
        <v>70</v>
      </c>
      <c r="M51" s="31" t="s">
        <v>76</v>
      </c>
      <c r="N51" s="20" t="s">
        <v>24</v>
      </c>
    </row>
    <row r="52" spans="1:14">
      <c r="A52" s="46" t="s">
        <v>66</v>
      </c>
      <c r="B52" s="46" t="s">
        <v>83</v>
      </c>
      <c r="C52" s="46" t="s">
        <v>68</v>
      </c>
      <c r="D52" s="46" t="s">
        <v>73</v>
      </c>
      <c r="E52" s="20" t="s">
        <v>21</v>
      </c>
      <c r="F52" s="20" t="s">
        <v>53</v>
      </c>
      <c r="G52" s="46">
        <v>40</v>
      </c>
      <c r="H52" s="29">
        <v>289</v>
      </c>
      <c r="I52" s="22">
        <v>37074</v>
      </c>
      <c r="J52" s="68">
        <v>5</v>
      </c>
      <c r="K52" s="107" t="s">
        <v>70</v>
      </c>
      <c r="L52" s="31" t="s">
        <v>70</v>
      </c>
      <c r="M52" s="31" t="s">
        <v>70</v>
      </c>
      <c r="N52" s="20" t="s">
        <v>24</v>
      </c>
    </row>
    <row r="53" spans="1:14">
      <c r="A53" s="46" t="s">
        <v>66</v>
      </c>
      <c r="B53" s="46" t="s">
        <v>83</v>
      </c>
      <c r="C53" s="46" t="s">
        <v>68</v>
      </c>
      <c r="D53" s="46" t="s">
        <v>69</v>
      </c>
      <c r="E53" s="20" t="s">
        <v>21</v>
      </c>
      <c r="F53" s="20" t="s">
        <v>53</v>
      </c>
      <c r="G53" s="46">
        <v>40</v>
      </c>
      <c r="H53" s="29">
        <v>274</v>
      </c>
      <c r="I53" s="22">
        <v>37561</v>
      </c>
      <c r="J53" s="68">
        <v>5</v>
      </c>
      <c r="K53" s="107" t="s">
        <v>70</v>
      </c>
      <c r="L53" s="31" t="s">
        <v>70</v>
      </c>
      <c r="M53" s="31" t="s">
        <v>70</v>
      </c>
      <c r="N53" s="20" t="s">
        <v>24</v>
      </c>
    </row>
    <row r="54" spans="1:14">
      <c r="A54" s="46" t="s">
        <v>66</v>
      </c>
      <c r="B54" s="46" t="s">
        <v>83</v>
      </c>
      <c r="C54" s="46" t="s">
        <v>68</v>
      </c>
      <c r="D54" s="46" t="s">
        <v>73</v>
      </c>
      <c r="E54" s="20" t="s">
        <v>21</v>
      </c>
      <c r="F54" s="20" t="s">
        <v>53</v>
      </c>
      <c r="G54" s="46">
        <v>40</v>
      </c>
      <c r="H54" s="29">
        <v>417</v>
      </c>
      <c r="I54" s="22">
        <v>33208</v>
      </c>
      <c r="J54" s="68">
        <v>5</v>
      </c>
      <c r="K54" s="107">
        <v>115.38</v>
      </c>
      <c r="L54" s="31" t="s">
        <v>70</v>
      </c>
      <c r="M54" s="31" t="s">
        <v>70</v>
      </c>
      <c r="N54" s="20" t="s">
        <v>23</v>
      </c>
    </row>
    <row r="55" spans="1:14">
      <c r="A55" s="46" t="s">
        <v>66</v>
      </c>
      <c r="B55" s="46" t="s">
        <v>83</v>
      </c>
      <c r="C55" s="46" t="s">
        <v>68</v>
      </c>
      <c r="D55" s="46" t="s">
        <v>84</v>
      </c>
      <c r="E55" s="20" t="s">
        <v>30</v>
      </c>
      <c r="F55" s="20" t="s">
        <v>53</v>
      </c>
      <c r="G55" s="46">
        <v>40</v>
      </c>
      <c r="H55" s="29">
        <v>321</v>
      </c>
      <c r="I55" s="22">
        <v>36126</v>
      </c>
      <c r="J55" s="68">
        <v>5</v>
      </c>
      <c r="K55" s="107">
        <v>349.9</v>
      </c>
      <c r="L55" s="31" t="s">
        <v>70</v>
      </c>
      <c r="M55" s="31" t="s">
        <v>70</v>
      </c>
      <c r="N55" s="20" t="s">
        <v>24</v>
      </c>
    </row>
    <row r="56" spans="1:14">
      <c r="A56" s="46" t="s">
        <v>66</v>
      </c>
      <c r="B56" s="46" t="s">
        <v>83</v>
      </c>
      <c r="C56" s="46" t="s">
        <v>68</v>
      </c>
      <c r="D56" s="46" t="s">
        <v>79</v>
      </c>
      <c r="E56" s="20" t="s">
        <v>30</v>
      </c>
      <c r="F56" s="20" t="s">
        <v>53</v>
      </c>
      <c r="G56" s="46">
        <v>40</v>
      </c>
      <c r="H56" s="29">
        <v>294</v>
      </c>
      <c r="I56" s="22">
        <v>36934</v>
      </c>
      <c r="J56" s="68">
        <v>5</v>
      </c>
      <c r="K56" s="107">
        <v>440.48</v>
      </c>
      <c r="L56" s="31" t="s">
        <v>70</v>
      </c>
      <c r="M56" s="31" t="s">
        <v>70</v>
      </c>
      <c r="N56" s="20" t="s">
        <v>24</v>
      </c>
    </row>
    <row r="57" spans="1:14">
      <c r="A57" s="46" t="s">
        <v>66</v>
      </c>
      <c r="B57" s="46" t="s">
        <v>83</v>
      </c>
      <c r="C57" s="46" t="s">
        <v>68</v>
      </c>
      <c r="D57" s="46" t="s">
        <v>71</v>
      </c>
      <c r="E57" s="20" t="s">
        <v>21</v>
      </c>
      <c r="F57" s="20" t="s">
        <v>53</v>
      </c>
      <c r="G57" s="46">
        <v>40</v>
      </c>
      <c r="H57" s="29">
        <v>99</v>
      </c>
      <c r="I57" s="22">
        <v>42887</v>
      </c>
      <c r="J57" s="68">
        <v>4</v>
      </c>
      <c r="K57" s="107" t="s">
        <v>70</v>
      </c>
      <c r="L57" s="31" t="s">
        <v>70</v>
      </c>
      <c r="M57" s="31" t="s">
        <v>70</v>
      </c>
      <c r="N57" s="20" t="s">
        <v>24</v>
      </c>
    </row>
    <row r="58" spans="1:14">
      <c r="A58" s="46" t="s">
        <v>66</v>
      </c>
      <c r="B58" s="46" t="s">
        <v>83</v>
      </c>
      <c r="C58" s="46" t="s">
        <v>68</v>
      </c>
      <c r="D58" s="46" t="s">
        <v>85</v>
      </c>
      <c r="E58" s="20" t="s">
        <v>21</v>
      </c>
      <c r="F58" s="20" t="s">
        <v>53</v>
      </c>
      <c r="G58" s="46">
        <v>40</v>
      </c>
      <c r="H58" s="29">
        <v>474</v>
      </c>
      <c r="I58" s="22">
        <v>31454</v>
      </c>
      <c r="J58" s="68">
        <v>5</v>
      </c>
      <c r="K58" s="107">
        <v>101.55</v>
      </c>
      <c r="L58" s="31" t="s">
        <v>70</v>
      </c>
      <c r="M58" s="31" t="s">
        <v>70</v>
      </c>
      <c r="N58" s="20" t="s">
        <v>24</v>
      </c>
    </row>
    <row r="59" spans="1:14">
      <c r="A59" s="46" t="s">
        <v>66</v>
      </c>
      <c r="B59" s="46" t="s">
        <v>83</v>
      </c>
      <c r="C59" s="46" t="s">
        <v>68</v>
      </c>
      <c r="D59" s="46" t="s">
        <v>85</v>
      </c>
      <c r="E59" s="20" t="s">
        <v>21</v>
      </c>
      <c r="F59" s="20" t="s">
        <v>53</v>
      </c>
      <c r="G59" s="46">
        <v>40</v>
      </c>
      <c r="H59" s="29">
        <v>274</v>
      </c>
      <c r="I59" s="22">
        <v>37561</v>
      </c>
      <c r="J59" s="68">
        <v>5</v>
      </c>
      <c r="K59" s="107">
        <v>50</v>
      </c>
      <c r="L59" s="31" t="s">
        <v>70</v>
      </c>
      <c r="M59" s="31" t="s">
        <v>70</v>
      </c>
      <c r="N59" s="20" t="s">
        <v>24</v>
      </c>
    </row>
    <row r="60" spans="1:14">
      <c r="A60" s="46" t="s">
        <v>66</v>
      </c>
      <c r="B60" s="46" t="s">
        <v>83</v>
      </c>
      <c r="C60" s="46" t="s">
        <v>68</v>
      </c>
      <c r="D60" s="46" t="s">
        <v>86</v>
      </c>
      <c r="E60" s="20" t="s">
        <v>28</v>
      </c>
      <c r="F60" s="20" t="s">
        <v>53</v>
      </c>
      <c r="G60" s="46">
        <v>40</v>
      </c>
      <c r="H60" s="29">
        <v>462</v>
      </c>
      <c r="I60" s="22">
        <v>31814</v>
      </c>
      <c r="J60" s="68">
        <v>5</v>
      </c>
      <c r="K60" s="107">
        <v>297.52</v>
      </c>
      <c r="L60" s="31" t="s">
        <v>70</v>
      </c>
      <c r="M60" s="31" t="s">
        <v>70</v>
      </c>
      <c r="N60" s="20" t="s">
        <v>24</v>
      </c>
    </row>
    <row r="61" spans="1:14">
      <c r="A61" s="46" t="s">
        <v>66</v>
      </c>
      <c r="B61" s="46" t="s">
        <v>83</v>
      </c>
      <c r="C61" s="46" t="s">
        <v>68</v>
      </c>
      <c r="D61" s="46" t="s">
        <v>85</v>
      </c>
      <c r="E61" s="20" t="s">
        <v>21</v>
      </c>
      <c r="F61" s="20" t="s">
        <v>53</v>
      </c>
      <c r="G61" s="46">
        <v>40</v>
      </c>
      <c r="H61" s="29">
        <v>45</v>
      </c>
      <c r="I61" s="22">
        <v>44531</v>
      </c>
      <c r="J61" s="68">
        <v>2</v>
      </c>
      <c r="K61" s="107" t="s">
        <v>70</v>
      </c>
      <c r="L61" s="31" t="s">
        <v>70</v>
      </c>
      <c r="M61" s="31" t="s">
        <v>70</v>
      </c>
      <c r="N61" s="20" t="s">
        <v>24</v>
      </c>
    </row>
    <row r="62" spans="1:14">
      <c r="A62" s="46" t="s">
        <v>66</v>
      </c>
      <c r="B62" s="46" t="s">
        <v>83</v>
      </c>
      <c r="C62" s="46" t="s">
        <v>68</v>
      </c>
      <c r="D62" s="46" t="s">
        <v>86</v>
      </c>
      <c r="E62" s="20" t="s">
        <v>28</v>
      </c>
      <c r="F62" s="20" t="s">
        <v>53</v>
      </c>
      <c r="G62" s="46">
        <v>40</v>
      </c>
      <c r="H62" s="29">
        <v>441</v>
      </c>
      <c r="I62" s="22">
        <v>32455</v>
      </c>
      <c r="J62" s="68">
        <v>5</v>
      </c>
      <c r="K62" s="107">
        <v>252.54</v>
      </c>
      <c r="L62" s="31" t="s">
        <v>70</v>
      </c>
      <c r="M62" s="31" t="s">
        <v>70</v>
      </c>
      <c r="N62" s="20" t="s">
        <v>24</v>
      </c>
    </row>
    <row r="63" spans="1:14">
      <c r="A63" s="46" t="s">
        <v>66</v>
      </c>
      <c r="B63" s="46" t="s">
        <v>83</v>
      </c>
      <c r="C63" s="46" t="s">
        <v>68</v>
      </c>
      <c r="D63" s="46" t="s">
        <v>87</v>
      </c>
      <c r="E63" s="20" t="s">
        <v>30</v>
      </c>
      <c r="F63" s="20" t="s">
        <v>53</v>
      </c>
      <c r="G63" s="46">
        <v>40</v>
      </c>
      <c r="H63" s="29">
        <v>431</v>
      </c>
      <c r="I63" s="22">
        <v>32764</v>
      </c>
      <c r="J63" s="68">
        <v>5</v>
      </c>
      <c r="K63" s="107">
        <v>195.4</v>
      </c>
      <c r="L63" s="31" t="s">
        <v>70</v>
      </c>
      <c r="M63" s="31" t="s">
        <v>70</v>
      </c>
      <c r="N63" s="20" t="s">
        <v>24</v>
      </c>
    </row>
    <row r="64" spans="1:14">
      <c r="A64" s="46" t="s">
        <v>66</v>
      </c>
      <c r="B64" s="46" t="s">
        <v>83</v>
      </c>
      <c r="C64" s="46" t="s">
        <v>68</v>
      </c>
      <c r="D64" s="46" t="s">
        <v>71</v>
      </c>
      <c r="E64" s="20" t="s">
        <v>21</v>
      </c>
      <c r="F64" s="20" t="s">
        <v>53</v>
      </c>
      <c r="G64" s="46">
        <v>40</v>
      </c>
      <c r="H64" s="29">
        <v>225</v>
      </c>
      <c r="I64" s="22">
        <v>39052</v>
      </c>
      <c r="J64" s="68">
        <v>5</v>
      </c>
      <c r="K64" s="107">
        <v>28.77</v>
      </c>
      <c r="L64" s="31" t="s">
        <v>70</v>
      </c>
      <c r="M64" s="31" t="s">
        <v>70</v>
      </c>
      <c r="N64" s="20" t="s">
        <v>24</v>
      </c>
    </row>
    <row r="65" spans="1:14">
      <c r="A65" s="46" t="s">
        <v>66</v>
      </c>
      <c r="B65" s="46" t="s">
        <v>83</v>
      </c>
      <c r="C65" s="46" t="s">
        <v>68</v>
      </c>
      <c r="D65" s="46" t="s">
        <v>71</v>
      </c>
      <c r="E65" s="20" t="s">
        <v>21</v>
      </c>
      <c r="F65" s="20" t="s">
        <v>53</v>
      </c>
      <c r="G65" s="46">
        <v>40</v>
      </c>
      <c r="H65" s="29">
        <v>225</v>
      </c>
      <c r="I65" s="22">
        <v>39052</v>
      </c>
      <c r="J65" s="68">
        <v>5</v>
      </c>
      <c r="K65" s="107" t="s">
        <v>70</v>
      </c>
      <c r="L65" s="31" t="s">
        <v>70</v>
      </c>
      <c r="M65" s="31" t="s">
        <v>70</v>
      </c>
      <c r="N65" s="20" t="s">
        <v>24</v>
      </c>
    </row>
    <row r="66" spans="1:14">
      <c r="A66" s="46" t="s">
        <v>66</v>
      </c>
      <c r="B66" s="46" t="s">
        <v>83</v>
      </c>
      <c r="C66" s="46" t="s">
        <v>68</v>
      </c>
      <c r="D66" s="46" t="s">
        <v>78</v>
      </c>
      <c r="E66" s="20" t="s">
        <v>28</v>
      </c>
      <c r="F66" s="20" t="s">
        <v>53</v>
      </c>
      <c r="G66" s="46">
        <v>40</v>
      </c>
      <c r="H66" s="29">
        <v>315</v>
      </c>
      <c r="I66" s="22">
        <v>36307</v>
      </c>
      <c r="J66" s="68">
        <v>5</v>
      </c>
      <c r="K66" s="107">
        <v>75.400000000000006</v>
      </c>
      <c r="L66" s="31" t="s">
        <v>70</v>
      </c>
      <c r="M66" s="31" t="s">
        <v>70</v>
      </c>
      <c r="N66" s="20" t="s">
        <v>24</v>
      </c>
    </row>
    <row r="67" spans="1:14">
      <c r="A67" s="46" t="s">
        <v>66</v>
      </c>
      <c r="B67" s="46" t="s">
        <v>83</v>
      </c>
      <c r="C67" s="46" t="s">
        <v>68</v>
      </c>
      <c r="D67" s="46" t="s">
        <v>74</v>
      </c>
      <c r="E67" s="20" t="s">
        <v>21</v>
      </c>
      <c r="F67" s="20" t="s">
        <v>53</v>
      </c>
      <c r="G67" s="46">
        <v>40</v>
      </c>
      <c r="H67" s="29">
        <v>431</v>
      </c>
      <c r="I67" s="22">
        <v>32771</v>
      </c>
      <c r="J67" s="68">
        <v>5</v>
      </c>
      <c r="K67" s="107">
        <v>275.06</v>
      </c>
      <c r="L67" s="31" t="s">
        <v>70</v>
      </c>
      <c r="M67" s="31" t="s">
        <v>70</v>
      </c>
      <c r="N67" s="20" t="s">
        <v>24</v>
      </c>
    </row>
    <row r="68" spans="1:14">
      <c r="A68" s="46" t="s">
        <v>66</v>
      </c>
      <c r="B68" s="46" t="s">
        <v>83</v>
      </c>
      <c r="C68" s="46" t="s">
        <v>68</v>
      </c>
      <c r="D68" s="46" t="s">
        <v>74</v>
      </c>
      <c r="E68" s="20" t="s">
        <v>21</v>
      </c>
      <c r="F68" s="20" t="s">
        <v>53</v>
      </c>
      <c r="G68" s="46">
        <v>40</v>
      </c>
      <c r="H68" s="29">
        <v>60</v>
      </c>
      <c r="I68" s="22">
        <v>44048</v>
      </c>
      <c r="J68" s="68">
        <v>2</v>
      </c>
      <c r="K68" s="107" t="s">
        <v>70</v>
      </c>
      <c r="L68" s="31" t="s">
        <v>70</v>
      </c>
      <c r="M68" s="31" t="s">
        <v>70</v>
      </c>
      <c r="N68" s="20" t="s">
        <v>24</v>
      </c>
    </row>
    <row r="69" spans="1:14">
      <c r="A69" s="46" t="s">
        <v>66</v>
      </c>
      <c r="B69" s="46" t="s">
        <v>83</v>
      </c>
      <c r="C69" s="46" t="s">
        <v>68</v>
      </c>
      <c r="D69" s="46" t="s">
        <v>85</v>
      </c>
      <c r="E69" s="20" t="s">
        <v>21</v>
      </c>
      <c r="F69" s="20" t="s">
        <v>53</v>
      </c>
      <c r="G69" s="46">
        <v>40</v>
      </c>
      <c r="H69" s="29">
        <v>33</v>
      </c>
      <c r="I69" s="22">
        <v>44867</v>
      </c>
      <c r="J69" s="68">
        <v>1</v>
      </c>
      <c r="K69" s="107" t="s">
        <v>70</v>
      </c>
      <c r="L69" s="31" t="s">
        <v>70</v>
      </c>
      <c r="M69" s="31" t="s">
        <v>70</v>
      </c>
      <c r="N69" s="20" t="s">
        <v>24</v>
      </c>
    </row>
    <row r="70" spans="1:14">
      <c r="A70" s="46" t="s">
        <v>66</v>
      </c>
      <c r="B70" s="46" t="s">
        <v>83</v>
      </c>
      <c r="C70" s="46" t="s">
        <v>68</v>
      </c>
      <c r="D70" s="46" t="s">
        <v>85</v>
      </c>
      <c r="E70" s="20" t="s">
        <v>21</v>
      </c>
      <c r="F70" s="20" t="s">
        <v>53</v>
      </c>
      <c r="G70" s="46">
        <v>40</v>
      </c>
      <c r="H70" s="29">
        <v>57</v>
      </c>
      <c r="I70" s="22">
        <v>44144</v>
      </c>
      <c r="J70" s="68">
        <v>2</v>
      </c>
      <c r="K70" s="107">
        <v>38.46</v>
      </c>
      <c r="L70" s="31" t="s">
        <v>70</v>
      </c>
      <c r="M70" s="31" t="s">
        <v>70</v>
      </c>
      <c r="N70" s="20" t="s">
        <v>24</v>
      </c>
    </row>
    <row r="71" spans="1:14">
      <c r="A71" s="46" t="s">
        <v>66</v>
      </c>
      <c r="B71" s="46" t="s">
        <v>83</v>
      </c>
      <c r="C71" s="46" t="s">
        <v>68</v>
      </c>
      <c r="D71" s="46" t="s">
        <v>74</v>
      </c>
      <c r="E71" s="20" t="s">
        <v>28</v>
      </c>
      <c r="F71" s="20" t="s">
        <v>53</v>
      </c>
      <c r="G71" s="46">
        <v>40</v>
      </c>
      <c r="H71" s="29">
        <v>315</v>
      </c>
      <c r="I71" s="22">
        <v>36312</v>
      </c>
      <c r="J71" s="68">
        <v>5</v>
      </c>
      <c r="K71" s="107">
        <v>152.87</v>
      </c>
      <c r="L71" s="31" t="s">
        <v>70</v>
      </c>
      <c r="M71" s="31" t="s">
        <v>70</v>
      </c>
      <c r="N71" s="20" t="s">
        <v>24</v>
      </c>
    </row>
    <row r="72" spans="1:14">
      <c r="A72" s="46" t="s">
        <v>66</v>
      </c>
      <c r="B72" s="46" t="s">
        <v>83</v>
      </c>
      <c r="C72" s="46" t="s">
        <v>68</v>
      </c>
      <c r="D72" s="46" t="s">
        <v>71</v>
      </c>
      <c r="E72" s="20" t="s">
        <v>28</v>
      </c>
      <c r="F72" s="20" t="s">
        <v>53</v>
      </c>
      <c r="G72" s="46">
        <v>40</v>
      </c>
      <c r="H72" s="29">
        <v>225</v>
      </c>
      <c r="I72" s="22">
        <v>39052</v>
      </c>
      <c r="J72" s="68">
        <v>5</v>
      </c>
      <c r="K72" s="107">
        <v>60.77</v>
      </c>
      <c r="L72" s="31" t="s">
        <v>70</v>
      </c>
      <c r="M72" s="31" t="s">
        <v>70</v>
      </c>
      <c r="N72" s="20" t="s">
        <v>24</v>
      </c>
    </row>
    <row r="73" spans="1:14">
      <c r="A73" s="46" t="s">
        <v>66</v>
      </c>
      <c r="B73" s="46" t="s">
        <v>83</v>
      </c>
      <c r="C73" s="46" t="s">
        <v>68</v>
      </c>
      <c r="D73" s="46" t="s">
        <v>73</v>
      </c>
      <c r="E73" s="20" t="s">
        <v>21</v>
      </c>
      <c r="F73" s="20" t="s">
        <v>53</v>
      </c>
      <c r="G73" s="46">
        <v>40</v>
      </c>
      <c r="H73" s="29">
        <v>358</v>
      </c>
      <c r="I73" s="22">
        <v>35002</v>
      </c>
      <c r="J73" s="68">
        <v>5</v>
      </c>
      <c r="K73" s="107">
        <v>30.01</v>
      </c>
      <c r="L73" s="31" t="s">
        <v>70</v>
      </c>
      <c r="M73" s="31" t="s">
        <v>70</v>
      </c>
      <c r="N73" s="20" t="s">
        <v>24</v>
      </c>
    </row>
    <row r="74" spans="1:14">
      <c r="A74" s="46" t="s">
        <v>66</v>
      </c>
      <c r="B74" s="46" t="s">
        <v>83</v>
      </c>
      <c r="C74" s="46" t="s">
        <v>68</v>
      </c>
      <c r="D74" s="46" t="s">
        <v>71</v>
      </c>
      <c r="E74" s="20" t="s">
        <v>28</v>
      </c>
      <c r="F74" s="20" t="s">
        <v>53</v>
      </c>
      <c r="G74" s="46">
        <v>40</v>
      </c>
      <c r="H74" s="29">
        <v>283</v>
      </c>
      <c r="I74" s="22">
        <v>37258</v>
      </c>
      <c r="J74" s="68">
        <v>5</v>
      </c>
      <c r="K74" s="107">
        <v>50</v>
      </c>
      <c r="L74" s="31" t="s">
        <v>70</v>
      </c>
      <c r="M74" s="31" t="s">
        <v>70</v>
      </c>
      <c r="N74" s="20" t="s">
        <v>24</v>
      </c>
    </row>
    <row r="75" spans="1:14">
      <c r="A75" s="46" t="s">
        <v>66</v>
      </c>
      <c r="B75" s="46" t="s">
        <v>83</v>
      </c>
      <c r="C75" s="46" t="s">
        <v>68</v>
      </c>
      <c r="D75" s="46" t="s">
        <v>74</v>
      </c>
      <c r="E75" s="20" t="s">
        <v>28</v>
      </c>
      <c r="F75" s="20" t="s">
        <v>53</v>
      </c>
      <c r="G75" s="46">
        <v>40</v>
      </c>
      <c r="H75" s="29">
        <v>289</v>
      </c>
      <c r="I75" s="22">
        <v>37074</v>
      </c>
      <c r="J75" s="68">
        <v>5</v>
      </c>
      <c r="K75" s="107" t="s">
        <v>70</v>
      </c>
      <c r="L75" s="31" t="s">
        <v>70</v>
      </c>
      <c r="M75" s="31" t="s">
        <v>70</v>
      </c>
      <c r="N75" s="20" t="s">
        <v>24</v>
      </c>
    </row>
    <row r="76" spans="1:14">
      <c r="A76" s="46" t="s">
        <v>66</v>
      </c>
      <c r="B76" s="46" t="s">
        <v>83</v>
      </c>
      <c r="C76" s="46" t="s">
        <v>68</v>
      </c>
      <c r="D76" s="46" t="s">
        <v>73</v>
      </c>
      <c r="E76" s="20" t="s">
        <v>28</v>
      </c>
      <c r="F76" s="20" t="s">
        <v>53</v>
      </c>
      <c r="G76" s="46">
        <v>40</v>
      </c>
      <c r="H76" s="29">
        <v>281</v>
      </c>
      <c r="I76" s="22">
        <v>37347</v>
      </c>
      <c r="J76" s="68">
        <v>5</v>
      </c>
      <c r="K76" s="107" t="s">
        <v>70</v>
      </c>
      <c r="L76" s="31" t="s">
        <v>70</v>
      </c>
      <c r="M76" s="31" t="s">
        <v>70</v>
      </c>
      <c r="N76" s="20" t="s">
        <v>24</v>
      </c>
    </row>
    <row r="77" spans="1:14">
      <c r="A77" s="46" t="s">
        <v>66</v>
      </c>
      <c r="B77" s="46" t="s">
        <v>88</v>
      </c>
      <c r="C77" s="46" t="s">
        <v>68</v>
      </c>
      <c r="D77" s="46" t="s">
        <v>73</v>
      </c>
      <c r="E77" s="20" t="s">
        <v>21</v>
      </c>
      <c r="F77" s="20" t="s">
        <v>53</v>
      </c>
      <c r="G77" s="46">
        <v>40</v>
      </c>
      <c r="H77" s="29">
        <v>277</v>
      </c>
      <c r="I77" s="22">
        <v>37440</v>
      </c>
      <c r="J77" s="68">
        <v>5</v>
      </c>
      <c r="K77" s="107">
        <v>125.25</v>
      </c>
      <c r="L77" s="31" t="s">
        <v>70</v>
      </c>
      <c r="M77" s="31" t="s">
        <v>70</v>
      </c>
      <c r="N77" s="20" t="s">
        <v>24</v>
      </c>
    </row>
    <row r="78" spans="1:14">
      <c r="A78" s="46" t="s">
        <v>66</v>
      </c>
      <c r="B78" s="46" t="s">
        <v>88</v>
      </c>
      <c r="C78" s="46" t="s">
        <v>68</v>
      </c>
      <c r="D78" s="46" t="s">
        <v>89</v>
      </c>
      <c r="E78" s="20" t="s">
        <v>28</v>
      </c>
      <c r="F78" s="20" t="s">
        <v>53</v>
      </c>
      <c r="G78" s="46">
        <v>40</v>
      </c>
      <c r="H78" s="29">
        <v>379</v>
      </c>
      <c r="I78" s="22">
        <v>34353</v>
      </c>
      <c r="J78" s="68">
        <v>5</v>
      </c>
      <c r="K78" s="107">
        <v>6.13</v>
      </c>
      <c r="L78" s="31" t="s">
        <v>70</v>
      </c>
      <c r="M78" s="31" t="s">
        <v>70</v>
      </c>
      <c r="N78" s="20" t="s">
        <v>24</v>
      </c>
    </row>
    <row r="79" spans="1:14">
      <c r="A79" s="46" t="s">
        <v>66</v>
      </c>
      <c r="B79" s="46" t="s">
        <v>88</v>
      </c>
      <c r="C79" s="46" t="s">
        <v>68</v>
      </c>
      <c r="D79" s="46" t="s">
        <v>73</v>
      </c>
      <c r="E79" s="20" t="s">
        <v>28</v>
      </c>
      <c r="F79" s="20" t="s">
        <v>53</v>
      </c>
      <c r="G79" s="46">
        <v>40</v>
      </c>
      <c r="H79" s="29">
        <v>283</v>
      </c>
      <c r="I79" s="22">
        <v>37288</v>
      </c>
      <c r="J79" s="68">
        <v>5</v>
      </c>
      <c r="K79" s="107">
        <v>82.12</v>
      </c>
      <c r="L79" s="31" t="s">
        <v>70</v>
      </c>
      <c r="M79" s="31" t="s">
        <v>70</v>
      </c>
      <c r="N79" s="20" t="s">
        <v>23</v>
      </c>
    </row>
    <row r="80" spans="1:14">
      <c r="A80" s="46" t="s">
        <v>66</v>
      </c>
      <c r="B80" s="46" t="s">
        <v>88</v>
      </c>
      <c r="C80" s="46" t="s">
        <v>68</v>
      </c>
      <c r="D80" s="46" t="s">
        <v>69</v>
      </c>
      <c r="E80" s="20" t="s">
        <v>28</v>
      </c>
      <c r="F80" s="20" t="s">
        <v>53</v>
      </c>
      <c r="G80" s="46">
        <v>40</v>
      </c>
      <c r="H80" s="29">
        <v>210</v>
      </c>
      <c r="I80" s="22">
        <v>39496</v>
      </c>
      <c r="J80" s="68">
        <v>5</v>
      </c>
      <c r="K80" s="107">
        <v>38.15</v>
      </c>
      <c r="L80" s="31" t="s">
        <v>70</v>
      </c>
      <c r="M80" s="31" t="s">
        <v>70</v>
      </c>
      <c r="N80" s="20" t="s">
        <v>24</v>
      </c>
    </row>
    <row r="81" spans="1:14">
      <c r="A81" s="46" t="s">
        <v>66</v>
      </c>
      <c r="B81" s="46" t="s">
        <v>80</v>
      </c>
      <c r="C81" s="46" t="s">
        <v>68</v>
      </c>
      <c r="D81" s="46" t="s">
        <v>79</v>
      </c>
      <c r="E81" s="20" t="s">
        <v>82</v>
      </c>
      <c r="F81" s="20" t="s">
        <v>53</v>
      </c>
      <c r="G81" s="46">
        <v>40</v>
      </c>
      <c r="H81" s="29">
        <v>2</v>
      </c>
      <c r="I81" s="22">
        <v>33277</v>
      </c>
      <c r="J81" s="68">
        <v>5</v>
      </c>
      <c r="K81" s="107">
        <v>513.65</v>
      </c>
      <c r="L81" s="31" t="s">
        <v>70</v>
      </c>
      <c r="M81" s="31" t="s">
        <v>76</v>
      </c>
      <c r="N81" s="20" t="s">
        <v>24</v>
      </c>
    </row>
    <row r="82" spans="1:14">
      <c r="A82" s="46" t="s">
        <v>66</v>
      </c>
      <c r="B82" s="46" t="s">
        <v>83</v>
      </c>
      <c r="C82" s="46" t="s">
        <v>68</v>
      </c>
      <c r="D82" s="46" t="s">
        <v>79</v>
      </c>
      <c r="E82" s="20" t="s">
        <v>30</v>
      </c>
      <c r="F82" s="20" t="s">
        <v>53</v>
      </c>
      <c r="G82" s="46">
        <v>40</v>
      </c>
      <c r="H82" s="29">
        <v>3</v>
      </c>
      <c r="I82" s="22">
        <v>45782</v>
      </c>
      <c r="J82" s="68" t="s">
        <v>70</v>
      </c>
      <c r="K82" s="107">
        <v>712.04</v>
      </c>
      <c r="L82" s="31" t="s">
        <v>70</v>
      </c>
      <c r="M82" s="31" t="s">
        <v>70</v>
      </c>
      <c r="N82" s="20" t="s">
        <v>24</v>
      </c>
    </row>
    <row r="83" spans="1:14">
      <c r="A83" s="46" t="s">
        <v>66</v>
      </c>
      <c r="B83" s="46" t="s">
        <v>88</v>
      </c>
      <c r="C83" s="46" t="s">
        <v>68</v>
      </c>
      <c r="D83" s="46" t="s">
        <v>81</v>
      </c>
      <c r="E83" s="20" t="s">
        <v>28</v>
      </c>
      <c r="F83" s="20" t="s">
        <v>53</v>
      </c>
      <c r="G83" s="46">
        <v>40</v>
      </c>
      <c r="H83" s="29">
        <v>237</v>
      </c>
      <c r="I83" s="22">
        <v>38663</v>
      </c>
      <c r="J83" s="68">
        <v>5</v>
      </c>
      <c r="K83" s="107" t="s">
        <v>70</v>
      </c>
      <c r="L83" s="31" t="s">
        <v>70</v>
      </c>
      <c r="M83" s="31" t="s">
        <v>70</v>
      </c>
      <c r="N83" s="20" t="s">
        <v>24</v>
      </c>
    </row>
    <row r="84" spans="1:14">
      <c r="A84" s="46" t="s">
        <v>66</v>
      </c>
      <c r="B84" s="46" t="s">
        <v>88</v>
      </c>
      <c r="C84" s="46" t="s">
        <v>68</v>
      </c>
      <c r="D84" s="46" t="s">
        <v>69</v>
      </c>
      <c r="E84" s="20" t="s">
        <v>28</v>
      </c>
      <c r="F84" s="20" t="s">
        <v>53</v>
      </c>
      <c r="G84" s="46">
        <v>40</v>
      </c>
      <c r="H84" s="29">
        <v>253</v>
      </c>
      <c r="I84" s="22">
        <v>38194</v>
      </c>
      <c r="J84" s="68">
        <v>5</v>
      </c>
      <c r="K84" s="107" t="s">
        <v>70</v>
      </c>
      <c r="L84" s="31" t="s">
        <v>70</v>
      </c>
      <c r="M84" s="31" t="s">
        <v>70</v>
      </c>
      <c r="N84" s="20" t="s">
        <v>24</v>
      </c>
    </row>
    <row r="85" spans="1:14">
      <c r="A85" s="46" t="s">
        <v>66</v>
      </c>
      <c r="B85" s="46" t="s">
        <v>88</v>
      </c>
      <c r="C85" s="46" t="s">
        <v>68</v>
      </c>
      <c r="D85" s="46" t="s">
        <v>69</v>
      </c>
      <c r="E85" s="20" t="s">
        <v>21</v>
      </c>
      <c r="F85" s="20" t="s">
        <v>53</v>
      </c>
      <c r="G85" s="46">
        <v>40</v>
      </c>
      <c r="H85" s="29">
        <v>127</v>
      </c>
      <c r="I85" s="22">
        <v>42016</v>
      </c>
      <c r="J85" s="68">
        <v>5</v>
      </c>
      <c r="K85" s="107" t="s">
        <v>70</v>
      </c>
      <c r="L85" s="31" t="s">
        <v>70</v>
      </c>
      <c r="M85" s="31" t="s">
        <v>70</v>
      </c>
      <c r="N85" s="20" t="s">
        <v>24</v>
      </c>
    </row>
    <row r="86" spans="1:14">
      <c r="A86" s="46" t="s">
        <v>66</v>
      </c>
      <c r="B86" s="46" t="s">
        <v>88</v>
      </c>
      <c r="C86" s="46" t="s">
        <v>68</v>
      </c>
      <c r="D86" s="46" t="s">
        <v>69</v>
      </c>
      <c r="E86" s="20" t="s">
        <v>30</v>
      </c>
      <c r="F86" s="20" t="s">
        <v>53</v>
      </c>
      <c r="G86" s="46">
        <v>40</v>
      </c>
      <c r="H86" s="29">
        <v>289</v>
      </c>
      <c r="I86" s="22">
        <v>37086</v>
      </c>
      <c r="J86" s="68">
        <v>5</v>
      </c>
      <c r="K86" s="107" t="s">
        <v>70</v>
      </c>
      <c r="L86" s="31" t="s">
        <v>70</v>
      </c>
      <c r="M86" s="31" t="s">
        <v>70</v>
      </c>
      <c r="N86" s="20" t="s">
        <v>24</v>
      </c>
    </row>
    <row r="87" spans="1:14">
      <c r="A87" s="46" t="s">
        <v>66</v>
      </c>
      <c r="B87" s="46" t="s">
        <v>88</v>
      </c>
      <c r="C87" s="46" t="s">
        <v>68</v>
      </c>
      <c r="D87" s="46" t="s">
        <v>69</v>
      </c>
      <c r="E87" s="20" t="s">
        <v>21</v>
      </c>
      <c r="F87" s="20" t="s">
        <v>53</v>
      </c>
      <c r="G87" s="46">
        <v>40</v>
      </c>
      <c r="H87" s="29">
        <v>159</v>
      </c>
      <c r="I87" s="22">
        <v>41050</v>
      </c>
      <c r="J87" s="68">
        <v>5</v>
      </c>
      <c r="K87" s="107" t="s">
        <v>70</v>
      </c>
      <c r="L87" s="31" t="s">
        <v>70</v>
      </c>
      <c r="M87" s="31" t="s">
        <v>70</v>
      </c>
      <c r="N87" s="20" t="s">
        <v>24</v>
      </c>
    </row>
    <row r="88" spans="1:14">
      <c r="A88" s="46" t="s">
        <v>66</v>
      </c>
      <c r="B88" s="46" t="s">
        <v>88</v>
      </c>
      <c r="C88" s="46" t="s">
        <v>68</v>
      </c>
      <c r="D88" s="46" t="s">
        <v>69</v>
      </c>
      <c r="E88" s="20" t="s">
        <v>21</v>
      </c>
      <c r="F88" s="20" t="s">
        <v>53</v>
      </c>
      <c r="G88" s="46">
        <v>40</v>
      </c>
      <c r="H88" s="29">
        <v>75</v>
      </c>
      <c r="I88" s="22">
        <v>43593</v>
      </c>
      <c r="J88" s="68">
        <v>3</v>
      </c>
      <c r="K88" s="107" t="s">
        <v>70</v>
      </c>
      <c r="L88" s="31" t="s">
        <v>70</v>
      </c>
      <c r="M88" s="31" t="s">
        <v>70</v>
      </c>
      <c r="N88" s="20" t="s">
        <v>24</v>
      </c>
    </row>
    <row r="89" spans="1:14">
      <c r="A89" s="46" t="s">
        <v>66</v>
      </c>
      <c r="B89" s="46" t="s">
        <v>88</v>
      </c>
      <c r="C89" s="46" t="s">
        <v>68</v>
      </c>
      <c r="D89" s="46" t="s">
        <v>74</v>
      </c>
      <c r="E89" s="20" t="s">
        <v>42</v>
      </c>
      <c r="F89" s="20" t="s">
        <v>53</v>
      </c>
      <c r="G89" s="46">
        <v>40</v>
      </c>
      <c r="H89" s="29">
        <v>31</v>
      </c>
      <c r="I89" s="22">
        <v>44957</v>
      </c>
      <c r="J89" s="68">
        <v>1</v>
      </c>
      <c r="K89" s="107" t="s">
        <v>70</v>
      </c>
      <c r="L89" s="31" t="s">
        <v>70</v>
      </c>
      <c r="M89" s="31" t="s">
        <v>70</v>
      </c>
      <c r="N89" s="20" t="s">
        <v>24</v>
      </c>
    </row>
    <row r="90" spans="1:14">
      <c r="A90" s="46" t="s">
        <v>66</v>
      </c>
      <c r="B90" s="46" t="s">
        <v>88</v>
      </c>
      <c r="C90" s="46" t="s">
        <v>68</v>
      </c>
      <c r="D90" s="46" t="s">
        <v>74</v>
      </c>
      <c r="E90" s="20" t="s">
        <v>21</v>
      </c>
      <c r="F90" s="20" t="s">
        <v>53</v>
      </c>
      <c r="G90" s="46">
        <v>40</v>
      </c>
      <c r="H90" s="29">
        <v>52</v>
      </c>
      <c r="I90" s="22">
        <v>44293</v>
      </c>
      <c r="J90" s="68">
        <v>2</v>
      </c>
      <c r="K90" s="107" t="s">
        <v>70</v>
      </c>
      <c r="L90" s="31" t="s">
        <v>70</v>
      </c>
      <c r="M90" s="31" t="s">
        <v>70</v>
      </c>
      <c r="N90" s="20" t="s">
        <v>24</v>
      </c>
    </row>
    <row r="91" spans="1:14">
      <c r="A91" s="46" t="s">
        <v>66</v>
      </c>
      <c r="B91" s="46" t="s">
        <v>88</v>
      </c>
      <c r="C91" s="46" t="s">
        <v>68</v>
      </c>
      <c r="D91" s="46" t="s">
        <v>69</v>
      </c>
      <c r="E91" s="20" t="s">
        <v>21</v>
      </c>
      <c r="F91" s="20" t="s">
        <v>53</v>
      </c>
      <c r="G91" s="46">
        <v>40</v>
      </c>
      <c r="H91" s="29">
        <v>135</v>
      </c>
      <c r="I91" s="22">
        <v>41766</v>
      </c>
      <c r="J91" s="68">
        <v>5</v>
      </c>
      <c r="K91" s="107" t="s">
        <v>70</v>
      </c>
      <c r="L91" s="31" t="s">
        <v>70</v>
      </c>
      <c r="M91" s="31" t="s">
        <v>70</v>
      </c>
      <c r="N91" s="20" t="s">
        <v>24</v>
      </c>
    </row>
    <row r="92" spans="1:14">
      <c r="A92" s="46" t="s">
        <v>66</v>
      </c>
      <c r="B92" s="46" t="s">
        <v>90</v>
      </c>
      <c r="C92" s="46" t="s">
        <v>68</v>
      </c>
      <c r="D92" s="46" t="s">
        <v>91</v>
      </c>
      <c r="E92" s="20" t="s">
        <v>38</v>
      </c>
      <c r="F92" s="20" t="s">
        <v>92</v>
      </c>
      <c r="G92" s="46">
        <v>40</v>
      </c>
      <c r="H92" s="29">
        <v>313</v>
      </c>
      <c r="I92" s="22">
        <v>36373</v>
      </c>
      <c r="J92" s="68">
        <v>5</v>
      </c>
      <c r="K92" s="107">
        <v>751.31</v>
      </c>
      <c r="L92" s="31" t="s">
        <v>70</v>
      </c>
      <c r="M92" s="31" t="s">
        <v>70</v>
      </c>
      <c r="N92" s="20" t="s">
        <v>24</v>
      </c>
    </row>
    <row r="93" spans="1:14">
      <c r="A93" s="46" t="s">
        <v>66</v>
      </c>
      <c r="B93" s="46" t="s">
        <v>90</v>
      </c>
      <c r="C93" s="46" t="s">
        <v>68</v>
      </c>
      <c r="D93" s="46" t="s">
        <v>91</v>
      </c>
      <c r="E93" s="20" t="s">
        <v>82</v>
      </c>
      <c r="F93" s="20" t="s">
        <v>92</v>
      </c>
      <c r="G93" s="46">
        <v>40</v>
      </c>
      <c r="H93" s="29">
        <v>170</v>
      </c>
      <c r="I93" s="22">
        <v>40725</v>
      </c>
      <c r="J93" s="68">
        <v>5</v>
      </c>
      <c r="K93" s="107">
        <v>391.88</v>
      </c>
      <c r="L93" s="31" t="s">
        <v>70</v>
      </c>
      <c r="M93" s="31" t="s">
        <v>70</v>
      </c>
      <c r="N93" s="20" t="s">
        <v>24</v>
      </c>
    </row>
    <row r="94" spans="1:14">
      <c r="A94" s="46" t="s">
        <v>66</v>
      </c>
      <c r="B94" s="46" t="s">
        <v>90</v>
      </c>
      <c r="C94" s="46" t="s">
        <v>68</v>
      </c>
      <c r="D94" s="46" t="s">
        <v>93</v>
      </c>
      <c r="E94" s="20" t="s">
        <v>30</v>
      </c>
      <c r="F94" s="20" t="s">
        <v>92</v>
      </c>
      <c r="G94" s="46">
        <v>40</v>
      </c>
      <c r="H94" s="29">
        <v>237</v>
      </c>
      <c r="I94" s="22">
        <v>38658</v>
      </c>
      <c r="J94" s="68">
        <v>5</v>
      </c>
      <c r="K94" s="107">
        <v>176.92</v>
      </c>
      <c r="L94" s="31" t="s">
        <v>70</v>
      </c>
      <c r="M94" s="31" t="s">
        <v>70</v>
      </c>
      <c r="N94" s="20" t="s">
        <v>24</v>
      </c>
    </row>
  </sheetData>
  <mergeCells count="1">
    <mergeCell ref="A1:B1"/>
  </mergeCells>
  <pageMargins left="0.23622047244094491" right="0.31496062992125984" top="0.74803149606299213" bottom="0.74803149606299213" header="0.51181102362204722" footer="0.51181102362204722"/>
  <pageSetup paperSize="9" scale="53" fitToHeight="14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BB4F-FFAE-4E76-850D-8E7731B20880}">
  <sheetPr codeName="Sheet3">
    <pageSetUpPr fitToPage="1"/>
  </sheetPr>
  <dimension ref="A1:AK209"/>
  <sheetViews>
    <sheetView showGridLines="0" topLeftCell="B1" zoomScale="80" zoomScaleNormal="80" zoomScaleSheetLayoutView="70" workbookViewId="0">
      <selection activeCell="B77" sqref="B77"/>
    </sheetView>
  </sheetViews>
  <sheetFormatPr defaultColWidth="8.5703125" defaultRowHeight="15.95"/>
  <cols>
    <col min="1" max="1" width="22.5703125" style="49" customWidth="1"/>
    <col min="2" max="2" width="28.5703125" style="49" bestFit="1" customWidth="1"/>
    <col min="3" max="3" width="27.42578125" style="49" bestFit="1" customWidth="1"/>
    <col min="4" max="4" width="32.140625" style="45" bestFit="1" customWidth="1"/>
    <col min="5" max="5" width="15.85546875" style="45" customWidth="1"/>
    <col min="6" max="6" width="20.42578125" style="49" customWidth="1"/>
    <col min="7" max="7" width="14.140625" style="49" bestFit="1" customWidth="1"/>
    <col min="8" max="8" width="15.140625" style="49" customWidth="1"/>
    <col min="9" max="9" width="14.5703125" style="49" bestFit="1" customWidth="1"/>
    <col min="10" max="10" width="12.85546875" style="49" customWidth="1"/>
    <col min="11" max="11" width="12.5703125" style="45" customWidth="1"/>
    <col min="12" max="12" width="11.140625" style="49" customWidth="1"/>
    <col min="13" max="13" width="14.85546875" style="49" customWidth="1"/>
    <col min="14" max="14" width="20.85546875" style="49" bestFit="1" customWidth="1"/>
    <col min="15" max="30" width="8.5703125" style="47"/>
    <col min="31" max="36" width="8.5703125" style="48"/>
    <col min="37" max="16384" width="8.5703125" style="49"/>
  </cols>
  <sheetData>
    <row r="1" spans="1:30" s="67" customFormat="1" ht="59.45" customHeight="1">
      <c r="A1" s="127" t="s">
        <v>94</v>
      </c>
      <c r="B1" s="127"/>
      <c r="C1" s="27"/>
      <c r="D1" s="28"/>
      <c r="E1" s="27"/>
      <c r="F1" s="27"/>
      <c r="G1" s="27"/>
      <c r="H1" s="28"/>
      <c r="I1" s="28"/>
      <c r="J1" s="28"/>
      <c r="K1" s="28"/>
      <c r="L1" s="28"/>
      <c r="M1" s="28"/>
      <c r="N1" s="28"/>
    </row>
    <row r="2" spans="1:30" s="67" customFormat="1" ht="48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95</v>
      </c>
      <c r="G2" s="14" t="s">
        <v>7</v>
      </c>
      <c r="H2" s="14" t="s">
        <v>8</v>
      </c>
      <c r="I2" s="14" t="s">
        <v>46</v>
      </c>
      <c r="J2" s="14" t="s">
        <v>10</v>
      </c>
      <c r="K2" s="14" t="s">
        <v>11</v>
      </c>
      <c r="L2" s="14" t="s">
        <v>13</v>
      </c>
      <c r="M2" s="14" t="s">
        <v>96</v>
      </c>
      <c r="N2" s="14" t="s">
        <v>16</v>
      </c>
    </row>
    <row r="3" spans="1:30" s="69" customFormat="1">
      <c r="A3" s="70" t="s">
        <v>97</v>
      </c>
      <c r="B3" s="70" t="s">
        <v>98</v>
      </c>
      <c r="C3" s="46" t="s">
        <v>19</v>
      </c>
      <c r="D3" s="71" t="s">
        <v>99</v>
      </c>
      <c r="E3" s="73" t="s">
        <v>30</v>
      </c>
      <c r="F3" s="70" t="s">
        <v>100</v>
      </c>
      <c r="G3" s="70">
        <v>40</v>
      </c>
      <c r="H3" s="71">
        <v>24</v>
      </c>
      <c r="I3" s="72">
        <v>45027</v>
      </c>
      <c r="J3" s="71">
        <v>1</v>
      </c>
      <c r="K3" s="76">
        <f>76.93+368.23</f>
        <v>445.16</v>
      </c>
      <c r="L3" s="71" t="s">
        <v>23</v>
      </c>
      <c r="M3" s="71" t="s">
        <v>23</v>
      </c>
      <c r="N3" s="70" t="s">
        <v>101</v>
      </c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</row>
    <row r="4" spans="1:30" s="69" customFormat="1" ht="15.75" customHeight="1">
      <c r="A4" s="70" t="s">
        <v>97</v>
      </c>
      <c r="B4" s="70" t="s">
        <v>98</v>
      </c>
      <c r="C4" s="46" t="s">
        <v>19</v>
      </c>
      <c r="D4" s="71" t="s">
        <v>102</v>
      </c>
      <c r="E4" s="70" t="s">
        <v>21</v>
      </c>
      <c r="F4" s="70" t="s">
        <v>100</v>
      </c>
      <c r="G4" s="70">
        <v>40</v>
      </c>
      <c r="H4" s="71">
        <v>25</v>
      </c>
      <c r="I4" s="72">
        <v>44986</v>
      </c>
      <c r="J4" s="71">
        <v>0</v>
      </c>
      <c r="K4" s="76">
        <v>292.45</v>
      </c>
      <c r="L4" s="71" t="s">
        <v>23</v>
      </c>
      <c r="M4" s="71" t="s">
        <v>23</v>
      </c>
      <c r="N4" s="70" t="s">
        <v>101</v>
      </c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</row>
    <row r="5" spans="1:30" s="69" customFormat="1" ht="15.75" customHeight="1">
      <c r="A5" s="70" t="s">
        <v>97</v>
      </c>
      <c r="B5" s="70" t="s">
        <v>98</v>
      </c>
      <c r="C5" s="46" t="s">
        <v>19</v>
      </c>
      <c r="D5" s="71" t="s">
        <v>102</v>
      </c>
      <c r="E5" s="73" t="s">
        <v>28</v>
      </c>
      <c r="F5" s="70" t="s">
        <v>100</v>
      </c>
      <c r="G5" s="70">
        <v>40</v>
      </c>
      <c r="H5" s="71">
        <v>25</v>
      </c>
      <c r="I5" s="72">
        <v>44986</v>
      </c>
      <c r="J5" s="71">
        <v>1</v>
      </c>
      <c r="K5" s="76">
        <f>77.5+179.57</f>
        <v>257.07</v>
      </c>
      <c r="L5" s="71" t="s">
        <v>23</v>
      </c>
      <c r="M5" s="71" t="s">
        <v>24</v>
      </c>
      <c r="N5" s="7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</row>
    <row r="6" spans="1:30" s="69" customFormat="1" ht="15.75" customHeight="1">
      <c r="A6" s="70" t="s">
        <v>97</v>
      </c>
      <c r="B6" s="70" t="s">
        <v>98</v>
      </c>
      <c r="C6" s="46" t="s">
        <v>19</v>
      </c>
      <c r="D6" s="71" t="s">
        <v>102</v>
      </c>
      <c r="E6" s="73" t="s">
        <v>28</v>
      </c>
      <c r="F6" s="70" t="s">
        <v>100</v>
      </c>
      <c r="G6" s="70">
        <v>40</v>
      </c>
      <c r="H6" s="71">
        <v>77</v>
      </c>
      <c r="I6" s="72">
        <v>43423</v>
      </c>
      <c r="J6" s="71">
        <v>3</v>
      </c>
      <c r="K6" s="76">
        <v>0</v>
      </c>
      <c r="L6" s="71" t="s">
        <v>23</v>
      </c>
      <c r="M6" s="71" t="s">
        <v>23</v>
      </c>
      <c r="N6" s="70" t="s">
        <v>101</v>
      </c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</row>
    <row r="7" spans="1:30" s="69" customFormat="1" ht="15.75" customHeight="1">
      <c r="A7" s="70" t="s">
        <v>97</v>
      </c>
      <c r="B7" s="70" t="s">
        <v>103</v>
      </c>
      <c r="C7" s="46" t="s">
        <v>19</v>
      </c>
      <c r="D7" s="71" t="s">
        <v>102</v>
      </c>
      <c r="E7" s="73" t="s">
        <v>21</v>
      </c>
      <c r="F7" s="70" t="s">
        <v>100</v>
      </c>
      <c r="G7" s="70">
        <v>40</v>
      </c>
      <c r="H7" s="71">
        <v>1</v>
      </c>
      <c r="I7" s="72">
        <v>45098</v>
      </c>
      <c r="J7" s="71">
        <v>1</v>
      </c>
      <c r="K7" s="76">
        <v>0</v>
      </c>
      <c r="L7" s="71" t="s">
        <v>23</v>
      </c>
      <c r="M7" s="71" t="s">
        <v>23</v>
      </c>
      <c r="N7" s="70" t="s">
        <v>101</v>
      </c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</row>
    <row r="8" spans="1:30" s="69" customFormat="1" ht="15.75" customHeight="1">
      <c r="A8" s="70" t="s">
        <v>97</v>
      </c>
      <c r="B8" s="70" t="s">
        <v>103</v>
      </c>
      <c r="C8" s="46" t="s">
        <v>19</v>
      </c>
      <c r="D8" s="71" t="s">
        <v>104</v>
      </c>
      <c r="E8" s="73" t="s">
        <v>28</v>
      </c>
      <c r="F8" s="70" t="s">
        <v>100</v>
      </c>
      <c r="G8" s="70">
        <v>40</v>
      </c>
      <c r="H8" s="71">
        <v>22</v>
      </c>
      <c r="I8" s="72">
        <v>44986</v>
      </c>
      <c r="J8" s="71">
        <v>5</v>
      </c>
      <c r="K8" s="76">
        <v>234.6</v>
      </c>
      <c r="L8" s="71" t="s">
        <v>23</v>
      </c>
      <c r="M8" s="71" t="s">
        <v>23</v>
      </c>
      <c r="N8" s="70" t="s">
        <v>101</v>
      </c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</row>
    <row r="9" spans="1:30" s="69" customFormat="1" ht="15.75" customHeight="1">
      <c r="A9" s="70" t="s">
        <v>97</v>
      </c>
      <c r="B9" s="70" t="s">
        <v>103</v>
      </c>
      <c r="C9" s="46" t="s">
        <v>19</v>
      </c>
      <c r="D9" s="71" t="s">
        <v>104</v>
      </c>
      <c r="E9" s="73" t="s">
        <v>21</v>
      </c>
      <c r="F9" s="70" t="s">
        <v>100</v>
      </c>
      <c r="G9" s="70">
        <v>40</v>
      </c>
      <c r="H9" s="71">
        <v>25</v>
      </c>
      <c r="I9" s="72">
        <v>44986</v>
      </c>
      <c r="J9" s="71">
        <v>5</v>
      </c>
      <c r="K9" s="76">
        <v>209.5</v>
      </c>
      <c r="L9" s="71" t="s">
        <v>23</v>
      </c>
      <c r="M9" s="71" t="s">
        <v>23</v>
      </c>
      <c r="N9" s="70" t="s">
        <v>101</v>
      </c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</row>
    <row r="10" spans="1:30" s="69" customFormat="1" ht="15.75" customHeight="1">
      <c r="A10" s="70" t="s">
        <v>97</v>
      </c>
      <c r="B10" s="70" t="s">
        <v>103</v>
      </c>
      <c r="C10" s="46" t="s">
        <v>19</v>
      </c>
      <c r="D10" s="71" t="s">
        <v>104</v>
      </c>
      <c r="E10" s="73" t="s">
        <v>21</v>
      </c>
      <c r="F10" s="70" t="s">
        <v>100</v>
      </c>
      <c r="G10" s="70">
        <v>40</v>
      </c>
      <c r="H10" s="71">
        <v>25</v>
      </c>
      <c r="I10" s="72">
        <v>44986</v>
      </c>
      <c r="J10" s="71">
        <v>5</v>
      </c>
      <c r="K10" s="76">
        <v>287.23</v>
      </c>
      <c r="L10" s="71" t="s">
        <v>23</v>
      </c>
      <c r="M10" s="71" t="s">
        <v>23</v>
      </c>
      <c r="N10" s="70" t="s">
        <v>101</v>
      </c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</row>
    <row r="11" spans="1:30" s="69" customFormat="1" ht="15.75" customHeight="1">
      <c r="A11" s="70" t="s">
        <v>97</v>
      </c>
      <c r="B11" s="70" t="s">
        <v>103</v>
      </c>
      <c r="C11" s="46" t="s">
        <v>19</v>
      </c>
      <c r="D11" s="71" t="s">
        <v>104</v>
      </c>
      <c r="E11" s="73" t="s">
        <v>28</v>
      </c>
      <c r="F11" s="70" t="s">
        <v>100</v>
      </c>
      <c r="G11" s="70">
        <v>40</v>
      </c>
      <c r="H11" s="71">
        <v>25</v>
      </c>
      <c r="I11" s="72">
        <v>44986</v>
      </c>
      <c r="J11" s="71">
        <v>5</v>
      </c>
      <c r="K11" s="76">
        <v>238.39</v>
      </c>
      <c r="L11" s="71" t="s">
        <v>23</v>
      </c>
      <c r="M11" s="71" t="s">
        <v>23</v>
      </c>
      <c r="N11" s="70" t="s">
        <v>101</v>
      </c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</row>
    <row r="12" spans="1:30" s="69" customFormat="1" ht="15.75" customHeight="1">
      <c r="A12" s="70" t="s">
        <v>97</v>
      </c>
      <c r="B12" s="70" t="s">
        <v>103</v>
      </c>
      <c r="C12" s="46" t="s">
        <v>19</v>
      </c>
      <c r="D12" s="71" t="s">
        <v>104</v>
      </c>
      <c r="E12" s="73" t="s">
        <v>28</v>
      </c>
      <c r="F12" s="70" t="s">
        <v>100</v>
      </c>
      <c r="G12" s="70">
        <v>40</v>
      </c>
      <c r="H12" s="71">
        <v>25</v>
      </c>
      <c r="I12" s="72">
        <v>44986</v>
      </c>
      <c r="J12" s="71">
        <v>5</v>
      </c>
      <c r="K12" s="76">
        <v>485.97</v>
      </c>
      <c r="L12" s="71" t="s">
        <v>23</v>
      </c>
      <c r="M12" s="71" t="s">
        <v>23</v>
      </c>
      <c r="N12" s="70" t="s">
        <v>101</v>
      </c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</row>
    <row r="13" spans="1:30" s="69" customFormat="1" ht="15.75" customHeight="1">
      <c r="A13" s="70" t="s">
        <v>97</v>
      </c>
      <c r="B13" s="70" t="s">
        <v>98</v>
      </c>
      <c r="C13" s="46" t="s">
        <v>19</v>
      </c>
      <c r="D13" s="71" t="s">
        <v>105</v>
      </c>
      <c r="E13" s="73" t="s">
        <v>21</v>
      </c>
      <c r="F13" s="70" t="s">
        <v>100</v>
      </c>
      <c r="G13" s="70">
        <v>40</v>
      </c>
      <c r="H13" s="71">
        <v>25</v>
      </c>
      <c r="I13" s="72">
        <v>45769</v>
      </c>
      <c r="J13" s="71">
        <v>0</v>
      </c>
      <c r="K13" s="76">
        <v>138.61000000000001</v>
      </c>
      <c r="L13" s="71" t="s">
        <v>23</v>
      </c>
      <c r="M13" s="71" t="s">
        <v>24</v>
      </c>
      <c r="N13" s="7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</row>
    <row r="14" spans="1:30" s="69" customFormat="1" ht="15.75" customHeight="1">
      <c r="A14" s="70" t="s">
        <v>97</v>
      </c>
      <c r="B14" s="70" t="s">
        <v>98</v>
      </c>
      <c r="C14" s="46" t="s">
        <v>19</v>
      </c>
      <c r="D14" s="71" t="s">
        <v>105</v>
      </c>
      <c r="E14" s="73" t="s">
        <v>28</v>
      </c>
      <c r="F14" s="70" t="s">
        <v>100</v>
      </c>
      <c r="G14" s="70">
        <v>40</v>
      </c>
      <c r="H14" s="71">
        <v>0</v>
      </c>
      <c r="I14" s="72">
        <v>44986</v>
      </c>
      <c r="J14" s="71">
        <v>5</v>
      </c>
      <c r="K14" s="76">
        <v>226.02</v>
      </c>
      <c r="L14" s="71" t="s">
        <v>23</v>
      </c>
      <c r="M14" s="71" t="s">
        <v>23</v>
      </c>
      <c r="N14" s="70" t="s">
        <v>101</v>
      </c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</row>
    <row r="15" spans="1:30" s="69" customFormat="1" ht="15.75" customHeight="1">
      <c r="A15" s="70" t="s">
        <v>97</v>
      </c>
      <c r="B15" s="70" t="s">
        <v>103</v>
      </c>
      <c r="C15" s="46" t="s">
        <v>19</v>
      </c>
      <c r="D15" s="71" t="s">
        <v>102</v>
      </c>
      <c r="E15" s="73" t="s">
        <v>28</v>
      </c>
      <c r="F15" s="70" t="s">
        <v>106</v>
      </c>
      <c r="G15" s="70">
        <v>40</v>
      </c>
      <c r="H15" s="71">
        <v>25</v>
      </c>
      <c r="I15" s="72">
        <v>45748</v>
      </c>
      <c r="J15" s="71">
        <v>0</v>
      </c>
      <c r="K15" s="76">
        <v>138.61000000000001</v>
      </c>
      <c r="L15" s="71" t="s">
        <v>23</v>
      </c>
      <c r="M15" s="71" t="s">
        <v>24</v>
      </c>
      <c r="N15" s="75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</row>
    <row r="16" spans="1:30" s="69" customFormat="1" ht="15.75" customHeight="1">
      <c r="A16" s="70" t="s">
        <v>97</v>
      </c>
      <c r="B16" s="70" t="s">
        <v>98</v>
      </c>
      <c r="C16" s="46" t="s">
        <v>19</v>
      </c>
      <c r="D16" s="71" t="s">
        <v>107</v>
      </c>
      <c r="E16" s="73" t="s">
        <v>21</v>
      </c>
      <c r="F16" s="70" t="s">
        <v>100</v>
      </c>
      <c r="G16" s="70">
        <v>40</v>
      </c>
      <c r="H16" s="71">
        <v>9</v>
      </c>
      <c r="I16" s="72">
        <v>44986</v>
      </c>
      <c r="J16" s="71">
        <v>4</v>
      </c>
      <c r="K16" s="76">
        <f>202.63+153.85</f>
        <v>356.48</v>
      </c>
      <c r="L16" s="71" t="s">
        <v>23</v>
      </c>
      <c r="M16" s="71" t="s">
        <v>24</v>
      </c>
      <c r="N16" s="75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</row>
    <row r="17" spans="1:37" s="69" customFormat="1" ht="15.75" customHeight="1">
      <c r="A17" s="70" t="s">
        <v>97</v>
      </c>
      <c r="B17" s="70" t="s">
        <v>98</v>
      </c>
      <c r="C17" s="46" t="s">
        <v>19</v>
      </c>
      <c r="D17" s="71" t="s">
        <v>108</v>
      </c>
      <c r="E17" s="73" t="s">
        <v>28</v>
      </c>
      <c r="F17" s="70" t="s">
        <v>100</v>
      </c>
      <c r="G17" s="70">
        <v>40</v>
      </c>
      <c r="H17" s="71">
        <v>1</v>
      </c>
      <c r="I17" s="72">
        <v>44986</v>
      </c>
      <c r="J17" s="71">
        <v>5</v>
      </c>
      <c r="K17" s="76">
        <v>287.72000000000003</v>
      </c>
      <c r="L17" s="71" t="s">
        <v>23</v>
      </c>
      <c r="M17" s="71" t="s">
        <v>23</v>
      </c>
      <c r="N17" s="70" t="s">
        <v>101</v>
      </c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</row>
    <row r="18" spans="1:37" s="69" customFormat="1" ht="15.75" customHeight="1">
      <c r="A18" s="70" t="s">
        <v>97</v>
      </c>
      <c r="B18" s="70" t="s">
        <v>98</v>
      </c>
      <c r="C18" s="46" t="s">
        <v>19</v>
      </c>
      <c r="D18" s="71" t="s">
        <v>108</v>
      </c>
      <c r="E18" s="73" t="s">
        <v>28</v>
      </c>
      <c r="F18" s="70" t="s">
        <v>100</v>
      </c>
      <c r="G18" s="70">
        <v>40</v>
      </c>
      <c r="H18" s="71">
        <v>98</v>
      </c>
      <c r="I18" s="72">
        <v>42786</v>
      </c>
      <c r="J18" s="71">
        <v>4</v>
      </c>
      <c r="K18" s="76">
        <v>80.47</v>
      </c>
      <c r="L18" s="71" t="s">
        <v>23</v>
      </c>
      <c r="M18" s="71" t="s">
        <v>24</v>
      </c>
      <c r="N18" s="75"/>
    </row>
    <row r="19" spans="1:37" s="60" customFormat="1" ht="15.75" customHeight="1">
      <c r="A19" s="70" t="s">
        <v>97</v>
      </c>
      <c r="B19" s="70" t="s">
        <v>103</v>
      </c>
      <c r="C19" s="46" t="s">
        <v>19</v>
      </c>
      <c r="D19" s="71" t="s">
        <v>109</v>
      </c>
      <c r="E19" s="73" t="s">
        <v>30</v>
      </c>
      <c r="F19" s="70" t="s">
        <v>100</v>
      </c>
      <c r="G19" s="70">
        <v>40</v>
      </c>
      <c r="H19" s="71">
        <v>25</v>
      </c>
      <c r="I19" s="72">
        <v>44986</v>
      </c>
      <c r="J19" s="71">
        <v>3</v>
      </c>
      <c r="K19" s="76">
        <v>190.56700000000001</v>
      </c>
      <c r="L19" s="71" t="s">
        <v>23</v>
      </c>
      <c r="M19" s="71" t="s">
        <v>24</v>
      </c>
      <c r="N19" s="75"/>
      <c r="AE19" s="69"/>
      <c r="AF19" s="69"/>
      <c r="AG19" s="69"/>
      <c r="AH19" s="69"/>
      <c r="AI19" s="69"/>
      <c r="AJ19" s="69"/>
      <c r="AK19" s="69"/>
    </row>
    <row r="20" spans="1:37" s="60" customFormat="1" ht="15.75" customHeight="1">
      <c r="A20" s="70" t="s">
        <v>97</v>
      </c>
      <c r="B20" s="70" t="s">
        <v>103</v>
      </c>
      <c r="C20" s="46" t="s">
        <v>19</v>
      </c>
      <c r="D20" s="71" t="s">
        <v>109</v>
      </c>
      <c r="E20" s="73" t="s">
        <v>30</v>
      </c>
      <c r="F20" s="70" t="s">
        <v>100</v>
      </c>
      <c r="G20" s="70">
        <v>40</v>
      </c>
      <c r="H20" s="71">
        <v>25</v>
      </c>
      <c r="I20" s="72">
        <v>45419</v>
      </c>
      <c r="J20" s="71">
        <v>0</v>
      </c>
      <c r="K20" s="76">
        <v>0</v>
      </c>
      <c r="L20" s="71" t="s">
        <v>23</v>
      </c>
      <c r="M20" s="71" t="s">
        <v>23</v>
      </c>
      <c r="N20" s="70" t="s">
        <v>101</v>
      </c>
      <c r="AE20" s="69"/>
      <c r="AF20" s="69"/>
      <c r="AG20" s="69"/>
      <c r="AH20" s="69"/>
      <c r="AI20" s="69"/>
      <c r="AJ20" s="69"/>
      <c r="AK20" s="69"/>
    </row>
    <row r="21" spans="1:37" s="60" customFormat="1" ht="15.75" customHeight="1">
      <c r="A21" s="70" t="s">
        <v>97</v>
      </c>
      <c r="B21" s="70" t="s">
        <v>103</v>
      </c>
      <c r="C21" s="46" t="s">
        <v>19</v>
      </c>
      <c r="D21" s="71" t="s">
        <v>109</v>
      </c>
      <c r="E21" s="73" t="s">
        <v>21</v>
      </c>
      <c r="F21" s="70" t="s">
        <v>100</v>
      </c>
      <c r="G21" s="70">
        <v>40</v>
      </c>
      <c r="H21" s="71">
        <v>98</v>
      </c>
      <c r="I21" s="72">
        <v>44986</v>
      </c>
      <c r="J21" s="71">
        <v>5</v>
      </c>
      <c r="K21" s="76">
        <v>389.87</v>
      </c>
      <c r="L21" s="71" t="s">
        <v>23</v>
      </c>
      <c r="M21" s="71" t="s">
        <v>23</v>
      </c>
      <c r="N21" s="70" t="s">
        <v>101</v>
      </c>
      <c r="AE21" s="69"/>
      <c r="AF21" s="69"/>
      <c r="AG21" s="69"/>
      <c r="AH21" s="69"/>
      <c r="AI21" s="69"/>
      <c r="AJ21" s="69"/>
      <c r="AK21" s="69"/>
    </row>
    <row r="22" spans="1:37" s="60" customFormat="1" ht="15.75" customHeight="1">
      <c r="A22" s="70" t="s">
        <v>97</v>
      </c>
      <c r="B22" s="70" t="s">
        <v>103</v>
      </c>
      <c r="C22" s="46" t="s">
        <v>19</v>
      </c>
      <c r="D22" s="71" t="s">
        <v>109</v>
      </c>
      <c r="E22" s="73" t="s">
        <v>21</v>
      </c>
      <c r="F22" s="70" t="s">
        <v>100</v>
      </c>
      <c r="G22" s="70">
        <v>40</v>
      </c>
      <c r="H22" s="71">
        <v>25</v>
      </c>
      <c r="I22" s="72">
        <v>44986</v>
      </c>
      <c r="J22" s="71">
        <v>5</v>
      </c>
      <c r="K22" s="76">
        <v>255.75</v>
      </c>
      <c r="L22" s="71" t="s">
        <v>23</v>
      </c>
      <c r="M22" s="71" t="s">
        <v>23</v>
      </c>
      <c r="N22" s="70" t="s">
        <v>101</v>
      </c>
      <c r="AE22" s="69"/>
      <c r="AF22" s="69"/>
      <c r="AG22" s="69"/>
      <c r="AH22" s="69"/>
      <c r="AI22" s="69"/>
      <c r="AJ22" s="69"/>
      <c r="AK22" s="69"/>
    </row>
    <row r="23" spans="1:37" s="60" customFormat="1" ht="15.75" customHeight="1">
      <c r="A23" s="70" t="s">
        <v>97</v>
      </c>
      <c r="B23" s="70" t="s">
        <v>103</v>
      </c>
      <c r="C23" s="46" t="s">
        <v>19</v>
      </c>
      <c r="D23" s="71" t="s">
        <v>109</v>
      </c>
      <c r="E23" s="73" t="s">
        <v>28</v>
      </c>
      <c r="F23" s="70" t="s">
        <v>100</v>
      </c>
      <c r="G23" s="70">
        <v>40</v>
      </c>
      <c r="H23" s="71">
        <v>23</v>
      </c>
      <c r="I23" s="72">
        <v>44986</v>
      </c>
      <c r="J23" s="71">
        <v>5</v>
      </c>
      <c r="K23" s="76">
        <v>201.6</v>
      </c>
      <c r="L23" s="71" t="s">
        <v>23</v>
      </c>
      <c r="M23" s="71" t="s">
        <v>24</v>
      </c>
      <c r="N23" s="75"/>
      <c r="AE23" s="69"/>
      <c r="AF23" s="69"/>
      <c r="AG23" s="69"/>
      <c r="AH23" s="69"/>
      <c r="AI23" s="69"/>
      <c r="AJ23" s="69"/>
      <c r="AK23" s="69"/>
    </row>
    <row r="24" spans="1:37" s="60" customFormat="1" ht="15.75" customHeight="1">
      <c r="A24" s="70" t="s">
        <v>97</v>
      </c>
      <c r="B24" s="70" t="s">
        <v>103</v>
      </c>
      <c r="C24" s="46" t="s">
        <v>19</v>
      </c>
      <c r="D24" s="71" t="s">
        <v>109</v>
      </c>
      <c r="E24" s="73" t="s">
        <v>28</v>
      </c>
      <c r="F24" s="70" t="s">
        <v>100</v>
      </c>
      <c r="G24" s="70">
        <v>40</v>
      </c>
      <c r="H24" s="71">
        <v>25</v>
      </c>
      <c r="I24" s="72">
        <v>44986</v>
      </c>
      <c r="J24" s="71">
        <v>5</v>
      </c>
      <c r="K24" s="76">
        <v>389.87</v>
      </c>
      <c r="L24" s="71" t="s">
        <v>23</v>
      </c>
      <c r="M24" s="71" t="s">
        <v>23</v>
      </c>
      <c r="N24" s="70" t="s">
        <v>101</v>
      </c>
      <c r="AE24" s="69"/>
      <c r="AF24" s="69"/>
      <c r="AG24" s="69"/>
      <c r="AH24" s="69"/>
      <c r="AI24" s="69"/>
      <c r="AJ24" s="69"/>
      <c r="AK24" s="69"/>
    </row>
    <row r="25" spans="1:37" s="60" customFormat="1" ht="15.75" customHeight="1">
      <c r="A25" s="70" t="s">
        <v>97</v>
      </c>
      <c r="B25" s="70" t="s">
        <v>103</v>
      </c>
      <c r="C25" s="46" t="s">
        <v>19</v>
      </c>
      <c r="D25" s="71" t="s">
        <v>109</v>
      </c>
      <c r="E25" s="73" t="s">
        <v>28</v>
      </c>
      <c r="F25" s="70" t="s">
        <v>100</v>
      </c>
      <c r="G25" s="70">
        <v>40</v>
      </c>
      <c r="H25" s="71">
        <v>25</v>
      </c>
      <c r="I25" s="72">
        <v>45628</v>
      </c>
      <c r="J25" s="71">
        <v>0</v>
      </c>
      <c r="K25" s="76">
        <v>46.3</v>
      </c>
      <c r="L25" s="71" t="s">
        <v>23</v>
      </c>
      <c r="M25" s="71" t="s">
        <v>24</v>
      </c>
      <c r="N25" s="75"/>
      <c r="AE25" s="69"/>
      <c r="AF25" s="69"/>
      <c r="AG25" s="69"/>
      <c r="AH25" s="69"/>
      <c r="AI25" s="69"/>
      <c r="AJ25" s="69"/>
      <c r="AK25" s="69"/>
    </row>
    <row r="26" spans="1:37" s="60" customFormat="1" ht="15.75" customHeight="1">
      <c r="A26" s="70" t="s">
        <v>97</v>
      </c>
      <c r="B26" s="70" t="s">
        <v>103</v>
      </c>
      <c r="C26" s="46" t="s">
        <v>19</v>
      </c>
      <c r="D26" s="71" t="s">
        <v>109</v>
      </c>
      <c r="E26" s="73" t="s">
        <v>28</v>
      </c>
      <c r="F26" s="70" t="s">
        <v>100</v>
      </c>
      <c r="G26" s="70">
        <v>40</v>
      </c>
      <c r="H26" s="71">
        <v>25</v>
      </c>
      <c r="I26" s="72">
        <v>44986</v>
      </c>
      <c r="J26" s="71">
        <v>5</v>
      </c>
      <c r="K26" s="76">
        <v>352.62</v>
      </c>
      <c r="L26" s="71" t="s">
        <v>23</v>
      </c>
      <c r="M26" s="71" t="s">
        <v>24</v>
      </c>
      <c r="N26" s="75"/>
      <c r="AE26" s="69"/>
      <c r="AF26" s="69"/>
      <c r="AG26" s="69"/>
      <c r="AH26" s="69"/>
      <c r="AI26" s="69"/>
      <c r="AJ26" s="69"/>
      <c r="AK26" s="69"/>
    </row>
    <row r="27" spans="1:37" s="60" customFormat="1" ht="15.75" customHeight="1">
      <c r="A27" s="70" t="s">
        <v>97</v>
      </c>
      <c r="B27" s="70" t="s">
        <v>103</v>
      </c>
      <c r="C27" s="46" t="s">
        <v>19</v>
      </c>
      <c r="D27" s="71" t="s">
        <v>109</v>
      </c>
      <c r="E27" s="73" t="s">
        <v>21</v>
      </c>
      <c r="F27" s="70" t="s">
        <v>100</v>
      </c>
      <c r="G27" s="70">
        <v>40</v>
      </c>
      <c r="H27" s="71">
        <v>25</v>
      </c>
      <c r="I27" s="72">
        <v>44986</v>
      </c>
      <c r="J27" s="71">
        <v>2</v>
      </c>
      <c r="K27" s="76">
        <v>76.92</v>
      </c>
      <c r="L27" s="71" t="s">
        <v>23</v>
      </c>
      <c r="M27" s="71" t="s">
        <v>24</v>
      </c>
      <c r="N27" s="75"/>
      <c r="AE27" s="69"/>
      <c r="AF27" s="69"/>
      <c r="AG27" s="69"/>
      <c r="AH27" s="69"/>
      <c r="AI27" s="69"/>
      <c r="AJ27" s="69"/>
      <c r="AK27" s="69"/>
    </row>
    <row r="28" spans="1:37" s="60" customFormat="1" ht="15.75" customHeight="1">
      <c r="A28" s="70" t="s">
        <v>97</v>
      </c>
      <c r="B28" s="70" t="s">
        <v>103</v>
      </c>
      <c r="C28" s="46" t="s">
        <v>19</v>
      </c>
      <c r="D28" s="71" t="s">
        <v>109</v>
      </c>
      <c r="E28" s="73" t="s">
        <v>28</v>
      </c>
      <c r="F28" s="70" t="s">
        <v>100</v>
      </c>
      <c r="G28" s="70">
        <v>40</v>
      </c>
      <c r="H28" s="71">
        <v>14</v>
      </c>
      <c r="I28" s="72">
        <v>45689</v>
      </c>
      <c r="J28" s="71">
        <v>0</v>
      </c>
      <c r="K28" s="76">
        <v>138.61000000000001</v>
      </c>
      <c r="L28" s="71" t="s">
        <v>23</v>
      </c>
      <c r="M28" s="71" t="s">
        <v>24</v>
      </c>
      <c r="N28" s="75"/>
      <c r="AE28" s="69"/>
      <c r="AF28" s="69"/>
      <c r="AG28" s="69"/>
      <c r="AH28" s="69"/>
      <c r="AI28" s="69"/>
      <c r="AJ28" s="69"/>
      <c r="AK28" s="69"/>
    </row>
    <row r="29" spans="1:37" s="60" customFormat="1" ht="15.75" customHeight="1">
      <c r="A29" s="70" t="s">
        <v>97</v>
      </c>
      <c r="B29" s="70" t="s">
        <v>98</v>
      </c>
      <c r="C29" s="46" t="s">
        <v>19</v>
      </c>
      <c r="D29" s="74" t="s">
        <v>110</v>
      </c>
      <c r="E29" s="73" t="s">
        <v>21</v>
      </c>
      <c r="F29" s="70" t="s">
        <v>100</v>
      </c>
      <c r="G29" s="70">
        <v>40</v>
      </c>
      <c r="H29" s="71">
        <v>25</v>
      </c>
      <c r="I29" s="72">
        <v>45012</v>
      </c>
      <c r="J29" s="71">
        <v>1</v>
      </c>
      <c r="K29" s="76">
        <f>76.92+50.97</f>
        <v>127.89</v>
      </c>
      <c r="L29" s="71" t="s">
        <v>23</v>
      </c>
      <c r="M29" s="71" t="s">
        <v>24</v>
      </c>
      <c r="N29" s="75"/>
      <c r="AE29" s="69"/>
      <c r="AF29" s="69"/>
      <c r="AG29" s="69"/>
      <c r="AH29" s="69"/>
      <c r="AI29" s="69"/>
      <c r="AJ29" s="69"/>
      <c r="AK29" s="69"/>
    </row>
    <row r="30" spans="1:37" s="60" customFormat="1" ht="15.75" customHeight="1">
      <c r="A30" s="70" t="s">
        <v>97</v>
      </c>
      <c r="B30" s="70" t="s">
        <v>98</v>
      </c>
      <c r="C30" s="46" t="s">
        <v>19</v>
      </c>
      <c r="D30" s="74" t="s">
        <v>111</v>
      </c>
      <c r="E30" s="73" t="s">
        <v>21</v>
      </c>
      <c r="F30" s="70" t="s">
        <v>100</v>
      </c>
      <c r="G30" s="70">
        <v>40</v>
      </c>
      <c r="H30" s="71">
        <v>25</v>
      </c>
      <c r="I30" s="72">
        <v>44487</v>
      </c>
      <c r="J30" s="71">
        <v>1</v>
      </c>
      <c r="K30" s="76">
        <v>418.14</v>
      </c>
      <c r="L30" s="71" t="s">
        <v>23</v>
      </c>
      <c r="M30" s="71" t="s">
        <v>24</v>
      </c>
      <c r="N30" s="75"/>
      <c r="AE30" s="69"/>
      <c r="AF30" s="69"/>
      <c r="AG30" s="69"/>
      <c r="AH30" s="69"/>
      <c r="AI30" s="69"/>
      <c r="AJ30" s="69"/>
      <c r="AK30" s="69"/>
    </row>
    <row r="31" spans="1:37" s="60" customFormat="1" ht="15.75" customHeight="1">
      <c r="A31" s="70" t="s">
        <v>97</v>
      </c>
      <c r="B31" s="70" t="s">
        <v>103</v>
      </c>
      <c r="C31" s="46" t="s">
        <v>19</v>
      </c>
      <c r="D31" s="70" t="s">
        <v>112</v>
      </c>
      <c r="E31" s="73" t="s">
        <v>21</v>
      </c>
      <c r="F31" s="70" t="s">
        <v>100</v>
      </c>
      <c r="G31" s="70">
        <v>40</v>
      </c>
      <c r="H31" s="71">
        <v>2</v>
      </c>
      <c r="I31" s="72">
        <v>45170</v>
      </c>
      <c r="J31" s="71">
        <v>1</v>
      </c>
      <c r="K31" s="76">
        <v>0</v>
      </c>
      <c r="L31" s="71" t="s">
        <v>23</v>
      </c>
      <c r="M31" s="71" t="s">
        <v>24</v>
      </c>
      <c r="N31" s="70"/>
      <c r="AE31" s="69"/>
      <c r="AF31" s="69"/>
      <c r="AG31" s="69"/>
      <c r="AH31" s="69"/>
      <c r="AI31" s="69"/>
      <c r="AJ31" s="69"/>
      <c r="AK31" s="69"/>
    </row>
    <row r="32" spans="1:37" s="60" customFormat="1" ht="15.75" customHeight="1">
      <c r="A32" s="70" t="s">
        <v>97</v>
      </c>
      <c r="B32" s="70" t="s">
        <v>103</v>
      </c>
      <c r="C32" s="46" t="s">
        <v>19</v>
      </c>
      <c r="D32" s="70" t="s">
        <v>113</v>
      </c>
      <c r="E32" s="74" t="s">
        <v>28</v>
      </c>
      <c r="F32" s="70" t="s">
        <v>100</v>
      </c>
      <c r="G32" s="70">
        <v>40</v>
      </c>
      <c r="H32" s="71">
        <v>24</v>
      </c>
      <c r="I32" s="72">
        <v>44986</v>
      </c>
      <c r="J32" s="71">
        <v>5</v>
      </c>
      <c r="K32" s="76">
        <v>210.81</v>
      </c>
      <c r="L32" s="71" t="s">
        <v>23</v>
      </c>
      <c r="M32" s="71" t="s">
        <v>23</v>
      </c>
      <c r="N32" s="70" t="s">
        <v>101</v>
      </c>
      <c r="AE32" s="69"/>
      <c r="AF32" s="69"/>
      <c r="AG32" s="69"/>
      <c r="AH32" s="69"/>
      <c r="AI32" s="69"/>
      <c r="AJ32" s="69"/>
      <c r="AK32" s="69"/>
    </row>
    <row r="33" spans="1:37" s="60" customFormat="1" ht="15.75" customHeight="1">
      <c r="A33" s="70" t="s">
        <v>97</v>
      </c>
      <c r="B33" s="70" t="s">
        <v>103</v>
      </c>
      <c r="C33" s="46" t="s">
        <v>19</v>
      </c>
      <c r="D33" s="70" t="s">
        <v>113</v>
      </c>
      <c r="E33" s="74" t="s">
        <v>28</v>
      </c>
      <c r="F33" s="70" t="s">
        <v>100</v>
      </c>
      <c r="G33" s="70">
        <v>40</v>
      </c>
      <c r="H33" s="71">
        <v>24</v>
      </c>
      <c r="I33" s="72">
        <v>43423</v>
      </c>
      <c r="J33" s="71">
        <v>3</v>
      </c>
      <c r="K33" s="76">
        <v>0</v>
      </c>
      <c r="L33" s="71" t="s">
        <v>23</v>
      </c>
      <c r="M33" s="71" t="s">
        <v>23</v>
      </c>
      <c r="N33" s="70" t="s">
        <v>101</v>
      </c>
      <c r="AE33" s="69"/>
      <c r="AF33" s="69"/>
      <c r="AG33" s="69"/>
      <c r="AH33" s="69"/>
      <c r="AI33" s="69"/>
      <c r="AJ33" s="69"/>
      <c r="AK33" s="69"/>
    </row>
    <row r="34" spans="1:37" s="50" customFormat="1">
      <c r="D34" s="51"/>
      <c r="E34" s="51"/>
      <c r="K34" s="51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</row>
    <row r="35" spans="1:37" s="50" customFormat="1">
      <c r="D35" s="51"/>
      <c r="E35" s="51"/>
      <c r="K35" s="51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</row>
    <row r="36" spans="1:37" s="50" customFormat="1">
      <c r="D36" s="51"/>
      <c r="E36" s="51"/>
      <c r="K36" s="51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</row>
    <row r="37" spans="1:37" s="50" customFormat="1">
      <c r="D37" s="51"/>
      <c r="E37" s="51"/>
      <c r="K37" s="51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</row>
    <row r="38" spans="1:37" s="50" customFormat="1">
      <c r="D38" s="51"/>
      <c r="E38" s="51"/>
      <c r="K38" s="51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</row>
    <row r="39" spans="1:37" s="50" customFormat="1">
      <c r="D39" s="51"/>
      <c r="E39" s="51"/>
      <c r="K39" s="51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</row>
    <row r="40" spans="1:37" s="50" customFormat="1">
      <c r="D40" s="51"/>
      <c r="E40" s="51"/>
      <c r="K40" s="51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</row>
    <row r="41" spans="1:37" s="50" customFormat="1">
      <c r="D41" s="51"/>
      <c r="E41" s="51"/>
      <c r="K41" s="51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</row>
    <row r="42" spans="1:37" s="50" customFormat="1">
      <c r="D42" s="51"/>
      <c r="E42" s="51"/>
      <c r="K42" s="51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</row>
    <row r="43" spans="1:37" s="50" customFormat="1">
      <c r="D43" s="51"/>
      <c r="E43" s="51"/>
      <c r="K43" s="51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</row>
    <row r="44" spans="1:37" s="50" customFormat="1">
      <c r="D44" s="51"/>
      <c r="E44" s="51"/>
      <c r="K44" s="51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</row>
    <row r="45" spans="1:37" s="50" customFormat="1">
      <c r="D45" s="51"/>
      <c r="E45" s="51"/>
      <c r="K45" s="51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</row>
    <row r="46" spans="1:37" s="50" customFormat="1">
      <c r="D46" s="51"/>
      <c r="E46" s="51"/>
      <c r="K46" s="51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</row>
    <row r="47" spans="1:37" s="50" customFormat="1">
      <c r="D47" s="51"/>
      <c r="E47" s="51"/>
      <c r="K47" s="51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</row>
    <row r="48" spans="1:37" s="50" customFormat="1">
      <c r="D48" s="51"/>
      <c r="E48" s="51"/>
      <c r="K48" s="51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</row>
    <row r="49" spans="4:36" s="50" customFormat="1">
      <c r="D49" s="51"/>
      <c r="E49" s="51"/>
      <c r="K49" s="51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</row>
    <row r="50" spans="4:36" s="50" customFormat="1">
      <c r="D50" s="51"/>
      <c r="E50" s="51"/>
      <c r="K50" s="51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</row>
    <row r="51" spans="4:36" s="50" customFormat="1">
      <c r="D51" s="51"/>
      <c r="E51" s="51"/>
      <c r="K51" s="51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</row>
    <row r="52" spans="4:36" s="50" customFormat="1">
      <c r="D52" s="51"/>
      <c r="E52" s="51"/>
      <c r="K52" s="51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</row>
    <row r="53" spans="4:36" s="50" customFormat="1">
      <c r="D53" s="51"/>
      <c r="E53" s="51"/>
      <c r="K53" s="51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</row>
    <row r="54" spans="4:36" s="50" customFormat="1">
      <c r="D54" s="51"/>
      <c r="E54" s="51"/>
      <c r="K54" s="51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</row>
    <row r="55" spans="4:36" s="50" customFormat="1">
      <c r="D55" s="51"/>
      <c r="E55" s="51"/>
      <c r="K55" s="51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</row>
    <row r="56" spans="4:36" s="50" customFormat="1">
      <c r="D56" s="51"/>
      <c r="E56" s="51"/>
      <c r="K56" s="51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</row>
    <row r="57" spans="4:36" s="50" customFormat="1">
      <c r="D57" s="51"/>
      <c r="E57" s="51"/>
      <c r="K57" s="51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</row>
    <row r="58" spans="4:36" s="50" customFormat="1">
      <c r="D58" s="51"/>
      <c r="E58" s="51"/>
      <c r="K58" s="51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</row>
    <row r="59" spans="4:36" s="50" customFormat="1">
      <c r="D59" s="51"/>
      <c r="E59" s="51"/>
      <c r="K59" s="51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</row>
    <row r="60" spans="4:36" s="50" customFormat="1">
      <c r="D60" s="51"/>
      <c r="E60" s="51"/>
      <c r="K60" s="51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spans="4:36" s="50" customFormat="1">
      <c r="D61" s="51"/>
      <c r="E61" s="51"/>
      <c r="K61" s="51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</row>
    <row r="62" spans="4:36" s="50" customFormat="1">
      <c r="D62" s="51"/>
      <c r="E62" s="51"/>
      <c r="K62" s="51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</row>
    <row r="63" spans="4:36" s="50" customFormat="1">
      <c r="D63" s="51"/>
      <c r="E63" s="51"/>
      <c r="K63" s="51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</row>
    <row r="64" spans="4:36" s="50" customFormat="1">
      <c r="D64" s="51"/>
      <c r="E64" s="51"/>
      <c r="K64" s="51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</row>
    <row r="65" spans="4:36" s="50" customFormat="1">
      <c r="D65" s="51"/>
      <c r="E65" s="51"/>
      <c r="K65" s="51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</row>
    <row r="66" spans="4:36" s="50" customFormat="1">
      <c r="D66" s="51"/>
      <c r="E66" s="51"/>
      <c r="K66" s="51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</row>
    <row r="67" spans="4:36" s="50" customFormat="1">
      <c r="D67" s="51"/>
      <c r="E67" s="51"/>
      <c r="K67" s="51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</row>
    <row r="68" spans="4:36" s="50" customFormat="1">
      <c r="D68" s="51"/>
      <c r="E68" s="51"/>
      <c r="K68" s="51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</row>
    <row r="69" spans="4:36" s="50" customFormat="1">
      <c r="D69" s="51"/>
      <c r="E69" s="51"/>
      <c r="K69" s="51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</row>
    <row r="70" spans="4:36" s="50" customFormat="1">
      <c r="D70" s="51"/>
      <c r="E70" s="51"/>
      <c r="K70" s="51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</row>
    <row r="71" spans="4:36" s="50" customFormat="1">
      <c r="D71" s="51"/>
      <c r="E71" s="51"/>
      <c r="K71" s="51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</row>
    <row r="72" spans="4:36" s="50" customFormat="1">
      <c r="D72" s="51"/>
      <c r="E72" s="51"/>
      <c r="K72" s="51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</row>
    <row r="73" spans="4:36" s="50" customFormat="1">
      <c r="D73" s="51"/>
      <c r="E73" s="51"/>
      <c r="K73" s="51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</row>
    <row r="74" spans="4:36" s="50" customFormat="1">
      <c r="D74" s="51"/>
      <c r="E74" s="51"/>
      <c r="K74" s="51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</row>
    <row r="75" spans="4:36" s="50" customFormat="1">
      <c r="D75" s="51"/>
      <c r="E75" s="51"/>
      <c r="K75" s="51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</row>
    <row r="76" spans="4:36" s="50" customFormat="1">
      <c r="D76" s="51"/>
      <c r="E76" s="51"/>
      <c r="K76" s="51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</row>
    <row r="77" spans="4:36" s="50" customFormat="1">
      <c r="D77" s="51"/>
      <c r="E77" s="51"/>
      <c r="K77" s="51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</row>
    <row r="78" spans="4:36" s="50" customFormat="1">
      <c r="D78" s="51"/>
      <c r="E78" s="51"/>
      <c r="K78" s="51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</row>
    <row r="79" spans="4:36" s="50" customFormat="1">
      <c r="D79" s="51"/>
      <c r="E79" s="51"/>
      <c r="K79" s="51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</row>
    <row r="80" spans="4:36" s="50" customFormat="1">
      <c r="D80" s="51"/>
      <c r="E80" s="51"/>
      <c r="K80" s="51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</row>
    <row r="81" spans="4:36" s="50" customFormat="1">
      <c r="D81" s="51"/>
      <c r="E81" s="51"/>
      <c r="K81" s="51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</row>
    <row r="82" spans="4:36" s="50" customFormat="1">
      <c r="D82" s="51"/>
      <c r="E82" s="51"/>
      <c r="K82" s="51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</row>
    <row r="83" spans="4:36" s="50" customFormat="1">
      <c r="D83" s="51"/>
      <c r="E83" s="51"/>
      <c r="K83" s="51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</row>
    <row r="84" spans="4:36" s="50" customFormat="1">
      <c r="D84" s="51"/>
      <c r="E84" s="51"/>
      <c r="K84" s="51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</row>
    <row r="85" spans="4:36" s="50" customFormat="1">
      <c r="D85" s="51"/>
      <c r="E85" s="51"/>
      <c r="K85" s="51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</row>
    <row r="86" spans="4:36" s="50" customFormat="1">
      <c r="D86" s="51"/>
      <c r="E86" s="51"/>
      <c r="K86" s="51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</row>
    <row r="87" spans="4:36" s="50" customFormat="1">
      <c r="D87" s="51"/>
      <c r="E87" s="51"/>
      <c r="K87" s="51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</row>
    <row r="88" spans="4:36" s="50" customFormat="1">
      <c r="D88" s="51"/>
      <c r="E88" s="51"/>
      <c r="K88" s="51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</row>
    <row r="89" spans="4:36" s="50" customFormat="1">
      <c r="D89" s="51"/>
      <c r="E89" s="51"/>
      <c r="K89" s="51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</row>
    <row r="90" spans="4:36" s="50" customFormat="1">
      <c r="D90" s="51"/>
      <c r="E90" s="51"/>
      <c r="K90" s="51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</row>
    <row r="91" spans="4:36" s="50" customFormat="1">
      <c r="D91" s="51"/>
      <c r="E91" s="51"/>
      <c r="K91" s="51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</row>
    <row r="92" spans="4:36" s="50" customFormat="1">
      <c r="D92" s="51"/>
      <c r="E92" s="51"/>
      <c r="K92" s="51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</row>
    <row r="93" spans="4:36" s="50" customFormat="1">
      <c r="D93" s="51"/>
      <c r="E93" s="51"/>
      <c r="K93" s="51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</row>
    <row r="94" spans="4:36" s="50" customFormat="1">
      <c r="D94" s="51"/>
      <c r="E94" s="51"/>
      <c r="K94" s="51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</row>
    <row r="95" spans="4:36" s="50" customFormat="1">
      <c r="D95" s="51"/>
      <c r="E95" s="51"/>
      <c r="K95" s="51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</row>
    <row r="96" spans="4:36" s="50" customFormat="1">
      <c r="D96" s="51"/>
      <c r="E96" s="51"/>
      <c r="K96" s="51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</row>
    <row r="97" spans="4:36" s="50" customFormat="1">
      <c r="D97" s="51"/>
      <c r="E97" s="51"/>
      <c r="K97" s="51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</row>
    <row r="98" spans="4:36" s="50" customFormat="1">
      <c r="D98" s="51"/>
      <c r="E98" s="51"/>
      <c r="K98" s="51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</row>
    <row r="99" spans="4:36" s="50" customFormat="1">
      <c r="D99" s="51"/>
      <c r="E99" s="51"/>
      <c r="K99" s="51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</row>
    <row r="100" spans="4:36" s="50" customFormat="1">
      <c r="D100" s="51"/>
      <c r="E100" s="51"/>
      <c r="K100" s="51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</row>
    <row r="101" spans="4:36" s="50" customFormat="1">
      <c r="D101" s="51"/>
      <c r="E101" s="51"/>
      <c r="K101" s="51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</row>
    <row r="102" spans="4:36" s="50" customFormat="1">
      <c r="D102" s="51"/>
      <c r="E102" s="51"/>
      <c r="K102" s="51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</row>
    <row r="103" spans="4:36" s="50" customFormat="1">
      <c r="D103" s="51"/>
      <c r="E103" s="51"/>
      <c r="K103" s="51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</row>
    <row r="104" spans="4:36" s="50" customFormat="1">
      <c r="D104" s="51"/>
      <c r="E104" s="51"/>
      <c r="K104" s="51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</row>
    <row r="105" spans="4:36" s="50" customFormat="1">
      <c r="D105" s="51"/>
      <c r="E105" s="51"/>
      <c r="K105" s="51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</row>
    <row r="106" spans="4:36" s="50" customFormat="1">
      <c r="D106" s="51"/>
      <c r="E106" s="51"/>
      <c r="K106" s="51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</row>
    <row r="107" spans="4:36" s="50" customFormat="1">
      <c r="D107" s="51"/>
      <c r="E107" s="51"/>
      <c r="K107" s="51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</row>
    <row r="108" spans="4:36" s="50" customFormat="1">
      <c r="D108" s="51"/>
      <c r="E108" s="51"/>
      <c r="K108" s="51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</row>
    <row r="109" spans="4:36" s="50" customFormat="1">
      <c r="D109" s="51"/>
      <c r="E109" s="51"/>
      <c r="K109" s="51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</row>
    <row r="110" spans="4:36" s="50" customFormat="1">
      <c r="D110" s="51"/>
      <c r="E110" s="51"/>
      <c r="K110" s="51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</row>
    <row r="111" spans="4:36" s="50" customFormat="1">
      <c r="D111" s="51"/>
      <c r="E111" s="51"/>
      <c r="K111" s="51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</row>
    <row r="112" spans="4:36" s="50" customFormat="1">
      <c r="D112" s="51"/>
      <c r="E112" s="51"/>
      <c r="K112" s="51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</row>
    <row r="113" spans="4:36" s="50" customFormat="1">
      <c r="D113" s="51"/>
      <c r="E113" s="51"/>
      <c r="K113" s="51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</row>
    <row r="114" spans="4:36" s="50" customFormat="1">
      <c r="D114" s="51"/>
      <c r="E114" s="51"/>
      <c r="K114" s="51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</row>
    <row r="115" spans="4:36" s="50" customFormat="1">
      <c r="D115" s="51"/>
      <c r="E115" s="51"/>
      <c r="K115" s="51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</row>
    <row r="116" spans="4:36" s="50" customFormat="1">
      <c r="D116" s="51"/>
      <c r="E116" s="51"/>
      <c r="K116" s="51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</row>
    <row r="117" spans="4:36" s="50" customFormat="1">
      <c r="D117" s="51"/>
      <c r="E117" s="51"/>
      <c r="K117" s="51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</row>
    <row r="118" spans="4:36" s="50" customFormat="1">
      <c r="D118" s="51"/>
      <c r="E118" s="51"/>
      <c r="K118" s="51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</row>
    <row r="119" spans="4:36" s="50" customFormat="1">
      <c r="D119" s="51"/>
      <c r="E119" s="51"/>
      <c r="K119" s="51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</row>
    <row r="120" spans="4:36" s="50" customFormat="1">
      <c r="D120" s="51"/>
      <c r="E120" s="51"/>
      <c r="K120" s="51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</row>
    <row r="121" spans="4:36" s="50" customFormat="1">
      <c r="D121" s="51"/>
      <c r="E121" s="51"/>
      <c r="K121" s="51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</row>
    <row r="122" spans="4:36" s="50" customFormat="1">
      <c r="D122" s="51"/>
      <c r="E122" s="51"/>
      <c r="K122" s="51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</row>
    <row r="123" spans="4:36" s="50" customFormat="1">
      <c r="D123" s="51"/>
      <c r="E123" s="51"/>
      <c r="K123" s="51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</row>
    <row r="124" spans="4:36" s="50" customFormat="1">
      <c r="D124" s="51"/>
      <c r="E124" s="51"/>
      <c r="K124" s="51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</row>
    <row r="125" spans="4:36" s="50" customFormat="1">
      <c r="D125" s="51"/>
      <c r="E125" s="51"/>
      <c r="K125" s="51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</row>
    <row r="126" spans="4:36" s="50" customFormat="1">
      <c r="D126" s="51"/>
      <c r="E126" s="51"/>
      <c r="K126" s="51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</row>
    <row r="127" spans="4:36" s="50" customFormat="1">
      <c r="D127" s="51"/>
      <c r="E127" s="51"/>
      <c r="K127" s="51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</row>
    <row r="128" spans="4:36" s="50" customFormat="1">
      <c r="D128" s="51"/>
      <c r="E128" s="51"/>
      <c r="K128" s="51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</row>
    <row r="129" spans="4:36" s="50" customFormat="1">
      <c r="D129" s="51"/>
      <c r="E129" s="51"/>
      <c r="K129" s="51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</row>
    <row r="130" spans="4:36" s="50" customFormat="1">
      <c r="D130" s="51"/>
      <c r="E130" s="51"/>
      <c r="K130" s="51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</row>
    <row r="131" spans="4:36" s="50" customFormat="1">
      <c r="D131" s="51"/>
      <c r="E131" s="51"/>
      <c r="K131" s="51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</row>
    <row r="132" spans="4:36" s="50" customFormat="1">
      <c r="D132" s="51"/>
      <c r="E132" s="51"/>
      <c r="K132" s="51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</row>
    <row r="133" spans="4:36" s="50" customFormat="1">
      <c r="D133" s="51"/>
      <c r="E133" s="51"/>
      <c r="K133" s="51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</row>
    <row r="134" spans="4:36" s="50" customFormat="1">
      <c r="D134" s="51"/>
      <c r="E134" s="51"/>
      <c r="K134" s="51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</row>
    <row r="135" spans="4:36" s="50" customFormat="1">
      <c r="D135" s="51"/>
      <c r="E135" s="51"/>
      <c r="K135" s="51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</row>
    <row r="136" spans="4:36" s="50" customFormat="1">
      <c r="D136" s="51"/>
      <c r="E136" s="51"/>
      <c r="K136" s="51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</row>
    <row r="137" spans="4:36" s="50" customFormat="1">
      <c r="D137" s="51"/>
      <c r="E137" s="51"/>
      <c r="K137" s="51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</row>
    <row r="138" spans="4:36" s="50" customFormat="1">
      <c r="D138" s="51"/>
      <c r="E138" s="51"/>
      <c r="K138" s="51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</row>
    <row r="139" spans="4:36" s="50" customFormat="1">
      <c r="D139" s="51"/>
      <c r="E139" s="51"/>
      <c r="K139" s="51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</row>
    <row r="140" spans="4:36" s="50" customFormat="1">
      <c r="D140" s="51"/>
      <c r="E140" s="51"/>
      <c r="K140" s="51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</row>
    <row r="141" spans="4:36" s="50" customFormat="1">
      <c r="D141" s="51"/>
      <c r="E141" s="51"/>
      <c r="K141" s="51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</row>
    <row r="142" spans="4:36" s="50" customFormat="1">
      <c r="D142" s="51"/>
      <c r="E142" s="51"/>
      <c r="K142" s="51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</row>
    <row r="143" spans="4:36" s="50" customFormat="1">
      <c r="D143" s="51"/>
      <c r="E143" s="51"/>
      <c r="K143" s="51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</row>
    <row r="144" spans="4:36" s="50" customFormat="1">
      <c r="D144" s="51"/>
      <c r="E144" s="51"/>
      <c r="K144" s="51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</row>
    <row r="145" spans="4:36" s="50" customFormat="1">
      <c r="D145" s="51"/>
      <c r="E145" s="51"/>
      <c r="K145" s="51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</row>
    <row r="146" spans="4:36" s="50" customFormat="1">
      <c r="D146" s="51"/>
      <c r="E146" s="51"/>
      <c r="K146" s="51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</row>
    <row r="147" spans="4:36" s="50" customFormat="1">
      <c r="D147" s="51"/>
      <c r="E147" s="51"/>
      <c r="K147" s="51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</row>
    <row r="148" spans="4:36" s="50" customFormat="1">
      <c r="D148" s="51"/>
      <c r="E148" s="51"/>
      <c r="K148" s="51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</row>
    <row r="149" spans="4:36" s="50" customFormat="1">
      <c r="D149" s="51"/>
      <c r="E149" s="51"/>
      <c r="K149" s="51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</row>
    <row r="150" spans="4:36" s="50" customFormat="1">
      <c r="D150" s="51"/>
      <c r="E150" s="51"/>
      <c r="K150" s="51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</row>
    <row r="151" spans="4:36" s="50" customFormat="1">
      <c r="D151" s="51"/>
      <c r="E151" s="51"/>
      <c r="K151" s="51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</row>
    <row r="152" spans="4:36" s="50" customFormat="1">
      <c r="D152" s="51"/>
      <c r="E152" s="51"/>
      <c r="K152" s="51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</row>
    <row r="153" spans="4:36" s="50" customFormat="1">
      <c r="D153" s="51"/>
      <c r="E153" s="51"/>
      <c r="K153" s="51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</row>
    <row r="154" spans="4:36" s="50" customFormat="1">
      <c r="D154" s="51"/>
      <c r="E154" s="51"/>
      <c r="K154" s="51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</row>
    <row r="155" spans="4:36" s="50" customFormat="1">
      <c r="D155" s="51"/>
      <c r="E155" s="51"/>
      <c r="K155" s="51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</row>
    <row r="156" spans="4:36" s="50" customFormat="1">
      <c r="D156" s="51"/>
      <c r="E156" s="51"/>
      <c r="K156" s="51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</row>
    <row r="157" spans="4:36" s="50" customFormat="1">
      <c r="D157" s="51"/>
      <c r="E157" s="51"/>
      <c r="K157" s="51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</row>
    <row r="158" spans="4:36" s="50" customFormat="1">
      <c r="D158" s="51"/>
      <c r="E158" s="51"/>
      <c r="K158" s="51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</row>
    <row r="159" spans="4:36" s="50" customFormat="1">
      <c r="D159" s="51"/>
      <c r="E159" s="51"/>
      <c r="K159" s="51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</row>
    <row r="160" spans="4:36" s="50" customFormat="1">
      <c r="D160" s="51"/>
      <c r="E160" s="51"/>
      <c r="K160" s="51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</row>
    <row r="161" spans="4:36" s="50" customFormat="1">
      <c r="D161" s="51"/>
      <c r="E161" s="51"/>
      <c r="K161" s="51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</row>
    <row r="162" spans="4:36" s="50" customFormat="1">
      <c r="D162" s="51"/>
      <c r="E162" s="51"/>
      <c r="K162" s="51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</row>
    <row r="163" spans="4:36" s="50" customFormat="1">
      <c r="D163" s="51"/>
      <c r="E163" s="51"/>
      <c r="K163" s="51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</row>
    <row r="164" spans="4:36" s="50" customFormat="1">
      <c r="D164" s="51"/>
      <c r="E164" s="51"/>
      <c r="K164" s="51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</row>
    <row r="165" spans="4:36" s="50" customFormat="1">
      <c r="D165" s="51"/>
      <c r="E165" s="51"/>
      <c r="K165" s="51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</row>
    <row r="166" spans="4:36" s="50" customFormat="1">
      <c r="D166" s="51"/>
      <c r="E166" s="51"/>
      <c r="K166" s="51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</row>
    <row r="167" spans="4:36" s="50" customFormat="1">
      <c r="D167" s="51"/>
      <c r="E167" s="51"/>
      <c r="K167" s="51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</row>
    <row r="168" spans="4:36" s="50" customFormat="1">
      <c r="D168" s="51"/>
      <c r="E168" s="51"/>
      <c r="K168" s="51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</row>
    <row r="169" spans="4:36" s="50" customFormat="1">
      <c r="D169" s="51"/>
      <c r="E169" s="51"/>
      <c r="K169" s="51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</row>
    <row r="170" spans="4:36" s="50" customFormat="1">
      <c r="D170" s="51"/>
      <c r="E170" s="51"/>
      <c r="K170" s="51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</row>
    <row r="171" spans="4:36" s="50" customFormat="1">
      <c r="D171" s="51"/>
      <c r="E171" s="51"/>
      <c r="K171" s="51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</row>
    <row r="172" spans="4:36" s="50" customFormat="1">
      <c r="D172" s="51"/>
      <c r="E172" s="51"/>
      <c r="K172" s="51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</row>
    <row r="173" spans="4:36" s="50" customFormat="1">
      <c r="D173" s="51"/>
      <c r="E173" s="51"/>
      <c r="K173" s="51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</row>
    <row r="174" spans="4:36" s="50" customFormat="1">
      <c r="D174" s="51"/>
      <c r="E174" s="51"/>
      <c r="K174" s="51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</row>
    <row r="175" spans="4:36" s="50" customFormat="1">
      <c r="D175" s="51"/>
      <c r="E175" s="51"/>
      <c r="K175" s="51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</row>
    <row r="176" spans="4:36" s="50" customFormat="1">
      <c r="D176" s="51"/>
      <c r="E176" s="51"/>
      <c r="K176" s="51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</row>
    <row r="177" spans="4:36" s="50" customFormat="1">
      <c r="D177" s="51"/>
      <c r="E177" s="51"/>
      <c r="K177" s="51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</row>
    <row r="178" spans="4:36" s="50" customFormat="1">
      <c r="D178" s="51"/>
      <c r="E178" s="51"/>
      <c r="K178" s="51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</row>
    <row r="179" spans="4:36" s="50" customFormat="1">
      <c r="D179" s="51"/>
      <c r="E179" s="51"/>
      <c r="K179" s="51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</row>
    <row r="180" spans="4:36" s="50" customFormat="1">
      <c r="D180" s="51"/>
      <c r="E180" s="51"/>
      <c r="K180" s="51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</row>
    <row r="181" spans="4:36" s="50" customFormat="1">
      <c r="D181" s="51"/>
      <c r="E181" s="51"/>
      <c r="K181" s="51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</row>
    <row r="182" spans="4:36" s="50" customFormat="1">
      <c r="D182" s="51"/>
      <c r="E182" s="51"/>
      <c r="K182" s="51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</row>
    <row r="183" spans="4:36" s="50" customFormat="1">
      <c r="D183" s="51"/>
      <c r="E183" s="51"/>
      <c r="K183" s="51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</row>
    <row r="184" spans="4:36" s="50" customFormat="1">
      <c r="D184" s="51"/>
      <c r="E184" s="51"/>
      <c r="K184" s="51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</row>
    <row r="185" spans="4:36" s="50" customFormat="1">
      <c r="D185" s="51"/>
      <c r="E185" s="51"/>
      <c r="K185" s="51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</row>
    <row r="186" spans="4:36" s="50" customFormat="1">
      <c r="D186" s="51"/>
      <c r="E186" s="51"/>
      <c r="K186" s="51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</row>
    <row r="187" spans="4:36" s="50" customFormat="1">
      <c r="D187" s="51"/>
      <c r="E187" s="51"/>
      <c r="K187" s="51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</row>
    <row r="188" spans="4:36" s="50" customFormat="1">
      <c r="D188" s="51"/>
      <c r="E188" s="51"/>
      <c r="K188" s="51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</row>
    <row r="189" spans="4:36" s="50" customFormat="1">
      <c r="D189" s="51"/>
      <c r="E189" s="51"/>
      <c r="K189" s="51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</row>
    <row r="190" spans="4:36" s="50" customFormat="1">
      <c r="D190" s="51"/>
      <c r="E190" s="51"/>
      <c r="K190" s="51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</row>
    <row r="191" spans="4:36" s="50" customFormat="1">
      <c r="D191" s="51"/>
      <c r="E191" s="51"/>
      <c r="K191" s="51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</row>
    <row r="192" spans="4:36" s="50" customFormat="1">
      <c r="D192" s="51"/>
      <c r="E192" s="51"/>
      <c r="K192" s="51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</row>
    <row r="193" spans="4:36" s="50" customFormat="1">
      <c r="D193" s="51"/>
      <c r="E193" s="51"/>
      <c r="K193" s="51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</row>
    <row r="194" spans="4:36" s="50" customFormat="1">
      <c r="D194" s="51"/>
      <c r="E194" s="51"/>
      <c r="K194" s="51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</row>
    <row r="195" spans="4:36" s="50" customFormat="1">
      <c r="D195" s="51"/>
      <c r="E195" s="51"/>
      <c r="K195" s="51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</row>
    <row r="196" spans="4:36" s="50" customFormat="1">
      <c r="D196" s="51"/>
      <c r="E196" s="51"/>
      <c r="K196" s="51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</row>
    <row r="197" spans="4:36" s="50" customFormat="1">
      <c r="D197" s="51"/>
      <c r="E197" s="51"/>
      <c r="K197" s="51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</row>
    <row r="198" spans="4:36" s="50" customFormat="1">
      <c r="D198" s="51"/>
      <c r="E198" s="51"/>
      <c r="K198" s="51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</row>
    <row r="199" spans="4:36" s="50" customFormat="1">
      <c r="D199" s="51"/>
      <c r="E199" s="51"/>
      <c r="K199" s="51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</row>
    <row r="200" spans="4:36" s="50" customFormat="1">
      <c r="D200" s="51"/>
      <c r="E200" s="51"/>
      <c r="K200" s="51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</row>
    <row r="201" spans="4:36" s="50" customFormat="1">
      <c r="D201" s="51"/>
      <c r="E201" s="51"/>
      <c r="K201" s="51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</row>
    <row r="202" spans="4:36" s="50" customFormat="1">
      <c r="D202" s="51"/>
      <c r="E202" s="51"/>
      <c r="K202" s="51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</row>
    <row r="203" spans="4:36" s="50" customFormat="1">
      <c r="D203" s="51"/>
      <c r="E203" s="51"/>
      <c r="K203" s="51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</row>
    <row r="204" spans="4:36" s="50" customFormat="1">
      <c r="D204" s="51"/>
      <c r="E204" s="51"/>
      <c r="K204" s="51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</row>
    <row r="205" spans="4:36" s="50" customFormat="1">
      <c r="D205" s="51"/>
      <c r="E205" s="51"/>
      <c r="K205" s="51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</row>
    <row r="206" spans="4:36" s="50" customFormat="1">
      <c r="D206" s="51"/>
      <c r="E206" s="51"/>
      <c r="K206" s="51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</row>
    <row r="207" spans="4:36" s="50" customFormat="1">
      <c r="D207" s="51"/>
      <c r="E207" s="51"/>
      <c r="K207" s="51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</row>
    <row r="208" spans="4:36" s="50" customFormat="1">
      <c r="D208" s="51"/>
      <c r="E208" s="51"/>
      <c r="K208" s="51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</row>
    <row r="209" spans="4:36" s="50" customFormat="1">
      <c r="D209" s="51"/>
      <c r="E209" s="51"/>
      <c r="K209" s="51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</row>
  </sheetData>
  <mergeCells count="1">
    <mergeCell ref="A1:B1"/>
  </mergeCells>
  <pageMargins left="0.23622047244094491" right="0.31496062992125984" top="0.74803149606299213" bottom="0.74803149606299213" header="0.51181102362204722" footer="0.51181102362204722"/>
  <pageSetup paperSize="9" scale="54" fitToHeight="1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9CC0-D506-408D-9ECC-80D913111188}">
  <sheetPr codeName="Sheet4">
    <pageSetUpPr fitToPage="1"/>
  </sheetPr>
  <dimension ref="A1:M31"/>
  <sheetViews>
    <sheetView showGridLines="0" topLeftCell="B11" zoomScale="80" zoomScaleNormal="80" workbookViewId="0">
      <selection activeCell="B77" sqref="B77"/>
    </sheetView>
  </sheetViews>
  <sheetFormatPr defaultColWidth="8.7109375" defaultRowHeight="16.5"/>
  <cols>
    <col min="1" max="1" width="29.5703125" style="33" customWidth="1"/>
    <col min="2" max="2" width="29.7109375" style="33" customWidth="1"/>
    <col min="3" max="3" width="30.5703125" style="33" customWidth="1"/>
    <col min="4" max="4" width="30.5703125" style="35" customWidth="1"/>
    <col min="5" max="5" width="20.140625" style="33" customWidth="1"/>
    <col min="6" max="6" width="22.28515625" style="33" customWidth="1"/>
    <col min="7" max="7" width="17.28515625" style="33" customWidth="1"/>
    <col min="8" max="8" width="20.28515625" style="33" customWidth="1"/>
    <col min="9" max="10" width="15.140625" style="33" customWidth="1"/>
    <col min="11" max="11" width="12.85546875" style="89" customWidth="1"/>
    <col min="12" max="12" width="16.42578125" style="35" customWidth="1"/>
    <col min="13" max="13" width="14.85546875" style="35" customWidth="1"/>
    <col min="14" max="16384" width="8.7109375" style="33"/>
  </cols>
  <sheetData>
    <row r="1" spans="1:13" ht="59.45" customHeight="1">
      <c r="A1" s="127" t="s">
        <v>114</v>
      </c>
      <c r="B1" s="127"/>
      <c r="C1" s="27"/>
      <c r="D1" s="28"/>
      <c r="E1" s="27"/>
      <c r="F1" s="11"/>
      <c r="G1" s="27"/>
      <c r="H1" s="28"/>
      <c r="I1" s="28"/>
      <c r="J1" s="28"/>
      <c r="K1" s="86"/>
      <c r="L1" s="28"/>
      <c r="M1" s="28"/>
    </row>
    <row r="2" spans="1:13" ht="64.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115</v>
      </c>
      <c r="I2" s="15" t="s">
        <v>46</v>
      </c>
      <c r="J2" s="14" t="s">
        <v>10</v>
      </c>
      <c r="K2" s="87" t="s">
        <v>11</v>
      </c>
      <c r="L2" s="15" t="s">
        <v>13</v>
      </c>
      <c r="M2" s="15" t="s">
        <v>49</v>
      </c>
    </row>
    <row r="3" spans="1:13">
      <c r="A3" s="20" t="s">
        <v>116</v>
      </c>
      <c r="B3" s="20" t="s">
        <v>117</v>
      </c>
      <c r="C3" s="20" t="s">
        <v>118</v>
      </c>
      <c r="D3" s="20" t="s">
        <v>26</v>
      </c>
      <c r="E3" s="20" t="s">
        <v>28</v>
      </c>
      <c r="F3" s="20" t="s">
        <v>119</v>
      </c>
      <c r="G3" s="20">
        <v>40</v>
      </c>
      <c r="H3" s="34">
        <f>I3</f>
        <v>42786</v>
      </c>
      <c r="I3" s="34">
        <v>42786</v>
      </c>
      <c r="J3" s="20">
        <v>4</v>
      </c>
      <c r="K3" s="88">
        <v>95.9</v>
      </c>
      <c r="L3" s="20" t="s">
        <v>24</v>
      </c>
      <c r="M3" s="20" t="s">
        <v>24</v>
      </c>
    </row>
    <row r="4" spans="1:13">
      <c r="A4" s="20" t="s">
        <v>116</v>
      </c>
      <c r="B4" s="20" t="s">
        <v>120</v>
      </c>
      <c r="C4" s="20" t="s">
        <v>118</v>
      </c>
      <c r="D4" s="20" t="s">
        <v>121</v>
      </c>
      <c r="E4" s="20" t="s">
        <v>21</v>
      </c>
      <c r="F4" s="20" t="s">
        <v>119</v>
      </c>
      <c r="G4" s="20">
        <v>40</v>
      </c>
      <c r="H4" s="34">
        <v>39802</v>
      </c>
      <c r="I4" s="34">
        <v>42786</v>
      </c>
      <c r="J4" s="20">
        <v>5</v>
      </c>
      <c r="K4" s="88">
        <v>0</v>
      </c>
      <c r="L4" s="20" t="s">
        <v>24</v>
      </c>
      <c r="M4" s="20" t="s">
        <v>24</v>
      </c>
    </row>
    <row r="5" spans="1:13">
      <c r="A5" s="20" t="s">
        <v>116</v>
      </c>
      <c r="B5" s="20" t="s">
        <v>122</v>
      </c>
      <c r="C5" s="20" t="s">
        <v>118</v>
      </c>
      <c r="D5" s="20" t="s">
        <v>123</v>
      </c>
      <c r="E5" s="20" t="s">
        <v>21</v>
      </c>
      <c r="F5" s="20" t="s">
        <v>124</v>
      </c>
      <c r="G5" s="20">
        <v>40</v>
      </c>
      <c r="H5" s="34">
        <f t="shared" ref="H5:H6" si="0">I5</f>
        <v>45789</v>
      </c>
      <c r="I5" s="34">
        <v>45789</v>
      </c>
      <c r="J5" s="20">
        <v>0</v>
      </c>
      <c r="K5" s="88">
        <v>0</v>
      </c>
      <c r="L5" s="20" t="s">
        <v>24</v>
      </c>
      <c r="M5" s="20" t="s">
        <v>24</v>
      </c>
    </row>
    <row r="6" spans="1:13">
      <c r="A6" s="20" t="s">
        <v>116</v>
      </c>
      <c r="B6" s="20" t="s">
        <v>120</v>
      </c>
      <c r="C6" s="20" t="s">
        <v>118</v>
      </c>
      <c r="D6" s="20" t="s">
        <v>121</v>
      </c>
      <c r="E6" s="20" t="s">
        <v>21</v>
      </c>
      <c r="F6" s="20" t="s">
        <v>119</v>
      </c>
      <c r="G6" s="20">
        <v>40</v>
      </c>
      <c r="H6" s="34">
        <f t="shared" si="0"/>
        <v>44670</v>
      </c>
      <c r="I6" s="34">
        <v>44670</v>
      </c>
      <c r="J6" s="20">
        <v>1</v>
      </c>
      <c r="K6" s="88">
        <v>0</v>
      </c>
      <c r="L6" s="20" t="s">
        <v>24</v>
      </c>
      <c r="M6" s="20" t="s">
        <v>24</v>
      </c>
    </row>
    <row r="7" spans="1:13">
      <c r="A7" s="20" t="s">
        <v>116</v>
      </c>
      <c r="B7" s="20" t="s">
        <v>122</v>
      </c>
      <c r="C7" s="20" t="s">
        <v>118</v>
      </c>
      <c r="D7" s="20" t="s">
        <v>121</v>
      </c>
      <c r="E7" s="20" t="s">
        <v>21</v>
      </c>
      <c r="F7" s="20" t="s">
        <v>119</v>
      </c>
      <c r="G7" s="20">
        <v>40</v>
      </c>
      <c r="H7" s="34">
        <v>40897</v>
      </c>
      <c r="I7" s="34">
        <v>42786</v>
      </c>
      <c r="J7" s="20">
        <v>4.9999999999999991</v>
      </c>
      <c r="K7" s="88">
        <v>0</v>
      </c>
      <c r="L7" s="20" t="s">
        <v>24</v>
      </c>
      <c r="M7" s="20" t="s">
        <v>24</v>
      </c>
    </row>
    <row r="8" spans="1:13">
      <c r="A8" s="20" t="s">
        <v>116</v>
      </c>
      <c r="B8" s="20" t="s">
        <v>122</v>
      </c>
      <c r="C8" s="20" t="s">
        <v>118</v>
      </c>
      <c r="D8" s="20" t="s">
        <v>121</v>
      </c>
      <c r="E8" s="20" t="s">
        <v>21</v>
      </c>
      <c r="F8" s="20" t="s">
        <v>119</v>
      </c>
      <c r="G8" s="20">
        <v>40</v>
      </c>
      <c r="H8" s="34">
        <f t="shared" ref="H8:H12" si="1">I8</f>
        <v>44670</v>
      </c>
      <c r="I8" s="34">
        <v>44670</v>
      </c>
      <c r="J8" s="20">
        <v>1</v>
      </c>
      <c r="K8" s="88">
        <v>0</v>
      </c>
      <c r="L8" s="20" t="s">
        <v>24</v>
      </c>
      <c r="M8" s="20" t="s">
        <v>24</v>
      </c>
    </row>
    <row r="9" spans="1:13">
      <c r="A9" s="20" t="s">
        <v>116</v>
      </c>
      <c r="B9" s="20" t="s">
        <v>122</v>
      </c>
      <c r="C9" s="20" t="s">
        <v>118</v>
      </c>
      <c r="D9" s="20" t="s">
        <v>26</v>
      </c>
      <c r="E9" s="20" t="s">
        <v>21</v>
      </c>
      <c r="F9" s="20" t="s">
        <v>119</v>
      </c>
      <c r="G9" s="20">
        <v>40</v>
      </c>
      <c r="H9" s="34">
        <f t="shared" si="1"/>
        <v>45418</v>
      </c>
      <c r="I9" s="34">
        <v>45418</v>
      </c>
      <c r="J9" s="20">
        <v>0</v>
      </c>
      <c r="K9" s="88">
        <v>0</v>
      </c>
      <c r="L9" s="20" t="s">
        <v>24</v>
      </c>
      <c r="M9" s="20" t="s">
        <v>24</v>
      </c>
    </row>
    <row r="10" spans="1:13">
      <c r="A10" s="20" t="s">
        <v>116</v>
      </c>
      <c r="B10" s="20" t="s">
        <v>117</v>
      </c>
      <c r="C10" s="20" t="s">
        <v>118</v>
      </c>
      <c r="D10" s="20" t="s">
        <v>121</v>
      </c>
      <c r="E10" s="20" t="s">
        <v>21</v>
      </c>
      <c r="F10" s="20" t="s">
        <v>119</v>
      </c>
      <c r="G10" s="20">
        <v>40</v>
      </c>
      <c r="H10" s="34">
        <f t="shared" si="1"/>
        <v>43040</v>
      </c>
      <c r="I10" s="34">
        <v>43040</v>
      </c>
      <c r="J10" s="20">
        <v>3</v>
      </c>
      <c r="K10" s="88">
        <v>0</v>
      </c>
      <c r="L10" s="20" t="s">
        <v>24</v>
      </c>
      <c r="M10" s="20" t="s">
        <v>24</v>
      </c>
    </row>
    <row r="11" spans="1:13">
      <c r="A11" s="20" t="s">
        <v>116</v>
      </c>
      <c r="B11" s="20" t="s">
        <v>125</v>
      </c>
      <c r="C11" s="20" t="s">
        <v>118</v>
      </c>
      <c r="D11" s="20" t="s">
        <v>126</v>
      </c>
      <c r="E11" s="20" t="s">
        <v>21</v>
      </c>
      <c r="F11" s="20" t="s">
        <v>119</v>
      </c>
      <c r="G11" s="20">
        <v>40</v>
      </c>
      <c r="H11" s="34">
        <f t="shared" si="1"/>
        <v>44256</v>
      </c>
      <c r="I11" s="34">
        <v>44256</v>
      </c>
      <c r="J11" s="20">
        <v>2</v>
      </c>
      <c r="K11" s="88">
        <v>0</v>
      </c>
      <c r="L11" s="20" t="s">
        <v>24</v>
      </c>
      <c r="M11" s="20" t="s">
        <v>24</v>
      </c>
    </row>
    <row r="12" spans="1:13">
      <c r="A12" s="20" t="s">
        <v>116</v>
      </c>
      <c r="B12" s="20" t="s">
        <v>120</v>
      </c>
      <c r="C12" s="20" t="s">
        <v>118</v>
      </c>
      <c r="D12" s="20" t="s">
        <v>121</v>
      </c>
      <c r="E12" s="20" t="s">
        <v>21</v>
      </c>
      <c r="F12" s="20" t="s">
        <v>119</v>
      </c>
      <c r="G12" s="20">
        <v>40</v>
      </c>
      <c r="H12" s="34">
        <f t="shared" si="1"/>
        <v>44287</v>
      </c>
      <c r="I12" s="34">
        <v>44287</v>
      </c>
      <c r="J12" s="20">
        <v>2</v>
      </c>
      <c r="K12" s="88">
        <v>0</v>
      </c>
      <c r="L12" s="20" t="s">
        <v>24</v>
      </c>
      <c r="M12" s="20" t="s">
        <v>24</v>
      </c>
    </row>
    <row r="13" spans="1:13">
      <c r="A13" s="20" t="s">
        <v>116</v>
      </c>
      <c r="B13" s="20" t="s">
        <v>127</v>
      </c>
      <c r="C13" s="20" t="s">
        <v>118</v>
      </c>
      <c r="D13" s="20" t="s">
        <v>26</v>
      </c>
      <c r="E13" s="20" t="s">
        <v>21</v>
      </c>
      <c r="F13" s="20" t="s">
        <v>119</v>
      </c>
      <c r="G13" s="20">
        <v>40</v>
      </c>
      <c r="H13" s="34">
        <v>39314</v>
      </c>
      <c r="I13" s="34">
        <v>42786</v>
      </c>
      <c r="J13" s="20">
        <v>5</v>
      </c>
      <c r="K13" s="88">
        <v>0</v>
      </c>
      <c r="L13" s="20" t="s">
        <v>24</v>
      </c>
      <c r="M13" s="20" t="s">
        <v>24</v>
      </c>
    </row>
    <row r="14" spans="1:13">
      <c r="A14" s="20" t="s">
        <v>116</v>
      </c>
      <c r="B14" s="20" t="s">
        <v>122</v>
      </c>
      <c r="C14" s="20" t="s">
        <v>118</v>
      </c>
      <c r="D14" s="20" t="s">
        <v>26</v>
      </c>
      <c r="E14" s="20" t="s">
        <v>28</v>
      </c>
      <c r="F14" s="20" t="s">
        <v>119</v>
      </c>
      <c r="G14" s="20">
        <v>40</v>
      </c>
      <c r="H14" s="34">
        <v>42694</v>
      </c>
      <c r="I14" s="34">
        <v>42786</v>
      </c>
      <c r="J14" s="20">
        <v>4.9999999999999991</v>
      </c>
      <c r="K14" s="88">
        <v>262.5</v>
      </c>
      <c r="L14" s="20" t="s">
        <v>24</v>
      </c>
      <c r="M14" s="20" t="s">
        <v>24</v>
      </c>
    </row>
    <row r="15" spans="1:13">
      <c r="A15" s="20" t="s">
        <v>116</v>
      </c>
      <c r="B15" s="20" t="s">
        <v>122</v>
      </c>
      <c r="C15" s="20" t="s">
        <v>118</v>
      </c>
      <c r="D15" s="20" t="s">
        <v>26</v>
      </c>
      <c r="E15" s="20" t="s">
        <v>31</v>
      </c>
      <c r="F15" s="20" t="s">
        <v>119</v>
      </c>
      <c r="G15" s="20">
        <v>40</v>
      </c>
      <c r="H15" s="34">
        <f t="shared" ref="H15:H17" si="2">I15</f>
        <v>45035</v>
      </c>
      <c r="I15" s="34">
        <v>45035</v>
      </c>
      <c r="J15" s="20">
        <v>0</v>
      </c>
      <c r="K15" s="88">
        <v>0</v>
      </c>
      <c r="L15" s="20" t="s">
        <v>24</v>
      </c>
      <c r="M15" s="20" t="s">
        <v>24</v>
      </c>
    </row>
    <row r="16" spans="1:13">
      <c r="A16" s="20" t="s">
        <v>116</v>
      </c>
      <c r="B16" s="20" t="s">
        <v>120</v>
      </c>
      <c r="C16" s="20" t="s">
        <v>118</v>
      </c>
      <c r="D16" s="20" t="s">
        <v>26</v>
      </c>
      <c r="E16" s="20" t="s">
        <v>21</v>
      </c>
      <c r="F16" s="20" t="s">
        <v>119</v>
      </c>
      <c r="G16" s="20">
        <v>40</v>
      </c>
      <c r="H16" s="34">
        <f t="shared" si="2"/>
        <v>43955</v>
      </c>
      <c r="I16" s="34">
        <v>43955</v>
      </c>
      <c r="J16" s="20">
        <v>1</v>
      </c>
      <c r="K16" s="88">
        <v>0</v>
      </c>
      <c r="L16" s="20" t="s">
        <v>24</v>
      </c>
      <c r="M16" s="20" t="s">
        <v>24</v>
      </c>
    </row>
    <row r="17" spans="1:13">
      <c r="A17" s="20" t="s">
        <v>116</v>
      </c>
      <c r="B17" s="20" t="s">
        <v>122</v>
      </c>
      <c r="C17" s="20" t="s">
        <v>118</v>
      </c>
      <c r="D17" s="20" t="s">
        <v>121</v>
      </c>
      <c r="E17" s="20" t="s">
        <v>21</v>
      </c>
      <c r="F17" s="20" t="s">
        <v>119</v>
      </c>
      <c r="G17" s="20">
        <v>40</v>
      </c>
      <c r="H17" s="34">
        <f t="shared" si="2"/>
        <v>43040</v>
      </c>
      <c r="I17" s="34">
        <v>43040</v>
      </c>
      <c r="J17" s="20">
        <v>3</v>
      </c>
      <c r="K17" s="88">
        <v>395.19</v>
      </c>
      <c r="L17" s="20" t="s">
        <v>24</v>
      </c>
      <c r="M17" s="20" t="s">
        <v>24</v>
      </c>
    </row>
    <row r="18" spans="1:13">
      <c r="A18" s="20" t="s">
        <v>116</v>
      </c>
      <c r="B18" s="20" t="s">
        <v>125</v>
      </c>
      <c r="C18" s="20" t="s">
        <v>118</v>
      </c>
      <c r="D18" s="20" t="s">
        <v>128</v>
      </c>
      <c r="E18" s="20" t="s">
        <v>30</v>
      </c>
      <c r="F18" s="20" t="s">
        <v>119</v>
      </c>
      <c r="G18" s="20">
        <v>40</v>
      </c>
      <c r="H18" s="34">
        <v>39436</v>
      </c>
      <c r="I18" s="34">
        <v>42786</v>
      </c>
      <c r="J18" s="20">
        <v>5</v>
      </c>
      <c r="K18" s="88">
        <v>0</v>
      </c>
      <c r="L18" s="20" t="s">
        <v>24</v>
      </c>
      <c r="M18" s="20" t="s">
        <v>24</v>
      </c>
    </row>
    <row r="19" spans="1:13">
      <c r="A19" s="20" t="s">
        <v>116</v>
      </c>
      <c r="B19" s="20" t="s">
        <v>120</v>
      </c>
      <c r="C19" s="20" t="s">
        <v>118</v>
      </c>
      <c r="D19" s="20" t="s">
        <v>26</v>
      </c>
      <c r="E19" s="20" t="s">
        <v>21</v>
      </c>
      <c r="F19" s="20" t="s">
        <v>119</v>
      </c>
      <c r="G19" s="20">
        <v>40</v>
      </c>
      <c r="H19" s="34">
        <v>39833</v>
      </c>
      <c r="I19" s="34">
        <v>42786</v>
      </c>
      <c r="J19" s="20">
        <v>5</v>
      </c>
      <c r="K19" s="88">
        <v>0</v>
      </c>
      <c r="L19" s="20" t="s">
        <v>24</v>
      </c>
      <c r="M19" s="20" t="s">
        <v>24</v>
      </c>
    </row>
    <row r="20" spans="1:13">
      <c r="A20" s="20" t="s">
        <v>116</v>
      </c>
      <c r="B20" s="20" t="s">
        <v>120</v>
      </c>
      <c r="C20" s="20" t="s">
        <v>118</v>
      </c>
      <c r="D20" s="20" t="s">
        <v>129</v>
      </c>
      <c r="E20" s="20" t="s">
        <v>30</v>
      </c>
      <c r="F20" s="20" t="s">
        <v>119</v>
      </c>
      <c r="G20" s="20">
        <v>40</v>
      </c>
      <c r="H20" s="34">
        <v>39436</v>
      </c>
      <c r="I20" s="34">
        <v>42786</v>
      </c>
      <c r="J20" s="20">
        <v>5</v>
      </c>
      <c r="K20" s="88">
        <v>323.43</v>
      </c>
      <c r="L20" s="20" t="s">
        <v>24</v>
      </c>
      <c r="M20" s="20" t="s">
        <v>24</v>
      </c>
    </row>
    <row r="21" spans="1:13">
      <c r="A21" s="20" t="s">
        <v>116</v>
      </c>
      <c r="B21" s="20" t="s">
        <v>125</v>
      </c>
      <c r="C21" s="20" t="s">
        <v>118</v>
      </c>
      <c r="D21" s="20" t="s">
        <v>130</v>
      </c>
      <c r="E21" s="20" t="s">
        <v>21</v>
      </c>
      <c r="F21" s="20" t="s">
        <v>119</v>
      </c>
      <c r="G21" s="20">
        <v>40</v>
      </c>
      <c r="H21" s="34">
        <f t="shared" ref="H21:H27" si="3">I21</f>
        <v>44732</v>
      </c>
      <c r="I21" s="34">
        <v>44732</v>
      </c>
      <c r="J21" s="20">
        <v>1</v>
      </c>
      <c r="K21" s="88">
        <v>0</v>
      </c>
      <c r="L21" s="20" t="s">
        <v>24</v>
      </c>
      <c r="M21" s="20" t="s">
        <v>24</v>
      </c>
    </row>
    <row r="22" spans="1:13">
      <c r="A22" s="20" t="s">
        <v>116</v>
      </c>
      <c r="B22" s="20" t="s">
        <v>122</v>
      </c>
      <c r="C22" s="20" t="s">
        <v>118</v>
      </c>
      <c r="D22" s="20" t="s">
        <v>121</v>
      </c>
      <c r="E22" s="20" t="s">
        <v>21</v>
      </c>
      <c r="F22" s="20" t="s">
        <v>119</v>
      </c>
      <c r="G22" s="20">
        <v>40</v>
      </c>
      <c r="H22" s="34">
        <f t="shared" si="3"/>
        <v>43171</v>
      </c>
      <c r="I22" s="34">
        <v>43171</v>
      </c>
      <c r="J22" s="20">
        <v>3</v>
      </c>
      <c r="K22" s="88">
        <v>0</v>
      </c>
      <c r="L22" s="20" t="s">
        <v>24</v>
      </c>
      <c r="M22" s="20" t="s">
        <v>24</v>
      </c>
    </row>
    <row r="23" spans="1:13">
      <c r="A23" s="20" t="s">
        <v>116</v>
      </c>
      <c r="B23" s="20" t="s">
        <v>120</v>
      </c>
      <c r="C23" s="20" t="s">
        <v>118</v>
      </c>
      <c r="D23" s="20" t="s">
        <v>121</v>
      </c>
      <c r="E23" s="20" t="s">
        <v>28</v>
      </c>
      <c r="F23" s="20" t="s">
        <v>119</v>
      </c>
      <c r="G23" s="20">
        <v>40</v>
      </c>
      <c r="H23" s="34">
        <f t="shared" si="3"/>
        <v>43115</v>
      </c>
      <c r="I23" s="34">
        <v>43115</v>
      </c>
      <c r="J23" s="20">
        <v>3</v>
      </c>
      <c r="K23" s="88">
        <v>0</v>
      </c>
      <c r="L23" s="20" t="s">
        <v>24</v>
      </c>
      <c r="M23" s="20" t="s">
        <v>24</v>
      </c>
    </row>
    <row r="24" spans="1:13">
      <c r="A24" s="20" t="s">
        <v>116</v>
      </c>
      <c r="B24" s="20" t="s">
        <v>120</v>
      </c>
      <c r="C24" s="20" t="s">
        <v>118</v>
      </c>
      <c r="D24" s="20" t="s">
        <v>121</v>
      </c>
      <c r="E24" s="20" t="s">
        <v>21</v>
      </c>
      <c r="F24" s="20" t="s">
        <v>119</v>
      </c>
      <c r="G24" s="20">
        <v>40</v>
      </c>
      <c r="H24" s="34">
        <f t="shared" si="3"/>
        <v>43971</v>
      </c>
      <c r="I24" s="34">
        <v>43971</v>
      </c>
      <c r="J24" s="20">
        <v>2</v>
      </c>
      <c r="K24" s="88">
        <v>0</v>
      </c>
      <c r="L24" s="20" t="s">
        <v>24</v>
      </c>
      <c r="M24" s="20" t="s">
        <v>24</v>
      </c>
    </row>
    <row r="25" spans="1:13">
      <c r="A25" s="20" t="s">
        <v>116</v>
      </c>
      <c r="B25" s="20" t="s">
        <v>120</v>
      </c>
      <c r="C25" s="20" t="s">
        <v>118</v>
      </c>
      <c r="D25" s="20" t="s">
        <v>26</v>
      </c>
      <c r="E25" s="20" t="s">
        <v>21</v>
      </c>
      <c r="F25" s="20" t="s">
        <v>119</v>
      </c>
      <c r="G25" s="20">
        <v>40</v>
      </c>
      <c r="H25" s="34">
        <f t="shared" si="3"/>
        <v>43171</v>
      </c>
      <c r="I25" s="34">
        <v>43171</v>
      </c>
      <c r="J25" s="20">
        <v>3</v>
      </c>
      <c r="K25" s="88">
        <v>0</v>
      </c>
      <c r="L25" s="20" t="s">
        <v>24</v>
      </c>
      <c r="M25" s="20" t="s">
        <v>23</v>
      </c>
    </row>
    <row r="26" spans="1:13">
      <c r="A26" s="20" t="s">
        <v>116</v>
      </c>
      <c r="B26" s="20" t="s">
        <v>120</v>
      </c>
      <c r="C26" s="20" t="s">
        <v>118</v>
      </c>
      <c r="D26" s="20" t="s">
        <v>131</v>
      </c>
      <c r="E26" s="20" t="s">
        <v>21</v>
      </c>
      <c r="F26" s="20" t="s">
        <v>119</v>
      </c>
      <c r="G26" s="20">
        <v>40</v>
      </c>
      <c r="H26" s="34">
        <f t="shared" si="3"/>
        <v>45397</v>
      </c>
      <c r="I26" s="34">
        <v>45397</v>
      </c>
      <c r="J26" s="20">
        <v>0</v>
      </c>
      <c r="K26" s="88">
        <v>0</v>
      </c>
      <c r="L26" s="20" t="s">
        <v>24</v>
      </c>
      <c r="M26" s="20" t="s">
        <v>24</v>
      </c>
    </row>
    <row r="27" spans="1:13">
      <c r="A27" s="20" t="s">
        <v>116</v>
      </c>
      <c r="B27" s="20" t="s">
        <v>127</v>
      </c>
      <c r="C27" s="20" t="s">
        <v>118</v>
      </c>
      <c r="D27" s="20" t="s">
        <v>121</v>
      </c>
      <c r="E27" s="20" t="s">
        <v>28</v>
      </c>
      <c r="F27" s="20" t="s">
        <v>119</v>
      </c>
      <c r="G27" s="20">
        <v>40</v>
      </c>
      <c r="H27" s="34">
        <f t="shared" si="3"/>
        <v>42871</v>
      </c>
      <c r="I27" s="34">
        <v>42871</v>
      </c>
      <c r="J27" s="20">
        <v>3</v>
      </c>
      <c r="K27" s="88">
        <v>0</v>
      </c>
      <c r="L27" s="20" t="s">
        <v>24</v>
      </c>
      <c r="M27" s="20" t="s">
        <v>24</v>
      </c>
    </row>
    <row r="28" spans="1:13">
      <c r="A28" s="20" t="s">
        <v>116</v>
      </c>
      <c r="B28" s="20" t="s">
        <v>125</v>
      </c>
      <c r="C28" s="20" t="s">
        <v>118</v>
      </c>
      <c r="D28" s="20" t="s">
        <v>132</v>
      </c>
      <c r="E28" s="20" t="s">
        <v>21</v>
      </c>
      <c r="F28" s="20" t="s">
        <v>119</v>
      </c>
      <c r="G28" s="20">
        <v>40</v>
      </c>
      <c r="H28" s="34">
        <v>43748</v>
      </c>
      <c r="I28" s="34">
        <v>43749</v>
      </c>
      <c r="J28" s="20">
        <v>0</v>
      </c>
      <c r="K28" s="88">
        <v>0</v>
      </c>
      <c r="L28" s="20" t="s">
        <v>24</v>
      </c>
      <c r="M28" s="20" t="s">
        <v>24</v>
      </c>
    </row>
    <row r="29" spans="1:13">
      <c r="A29" s="20" t="s">
        <v>116</v>
      </c>
      <c r="B29" s="20" t="s">
        <v>122</v>
      </c>
      <c r="C29" s="20" t="s">
        <v>118</v>
      </c>
      <c r="D29" s="20" t="s">
        <v>133</v>
      </c>
      <c r="E29" s="20" t="s">
        <v>30</v>
      </c>
      <c r="F29" s="20" t="s">
        <v>124</v>
      </c>
      <c r="G29" s="20">
        <v>40</v>
      </c>
      <c r="H29" s="34">
        <v>42857</v>
      </c>
      <c r="I29" s="34">
        <v>45705</v>
      </c>
      <c r="J29" s="20">
        <v>0</v>
      </c>
      <c r="K29" s="88">
        <v>485.58</v>
      </c>
      <c r="L29" s="20" t="s">
        <v>24</v>
      </c>
      <c r="M29" s="20" t="s">
        <v>24</v>
      </c>
    </row>
    <row r="30" spans="1:13">
      <c r="A30" s="20" t="s">
        <v>116</v>
      </c>
      <c r="B30" s="20" t="s">
        <v>120</v>
      </c>
      <c r="C30" s="20" t="s">
        <v>118</v>
      </c>
      <c r="D30" s="20" t="s">
        <v>121</v>
      </c>
      <c r="E30" s="20" t="s">
        <v>30</v>
      </c>
      <c r="F30" s="20" t="s">
        <v>119</v>
      </c>
      <c r="G30" s="20">
        <v>40</v>
      </c>
      <c r="H30" s="34">
        <v>39345</v>
      </c>
      <c r="I30" s="34">
        <v>42786</v>
      </c>
      <c r="J30" s="20">
        <v>5</v>
      </c>
      <c r="K30" s="88">
        <v>0</v>
      </c>
      <c r="L30" s="20" t="s">
        <v>24</v>
      </c>
      <c r="M30" s="20" t="s">
        <v>24</v>
      </c>
    </row>
    <row r="31" spans="1:13">
      <c r="A31" s="20" t="s">
        <v>116</v>
      </c>
      <c r="B31" s="20" t="s">
        <v>125</v>
      </c>
      <c r="C31" s="20" t="s">
        <v>118</v>
      </c>
      <c r="D31" s="20" t="s">
        <v>134</v>
      </c>
      <c r="E31" s="20" t="s">
        <v>82</v>
      </c>
      <c r="F31" s="20" t="s">
        <v>119</v>
      </c>
      <c r="G31" s="20">
        <v>40</v>
      </c>
      <c r="H31" s="34">
        <v>39711</v>
      </c>
      <c r="I31" s="34">
        <v>42786</v>
      </c>
      <c r="J31" s="20">
        <v>5</v>
      </c>
      <c r="K31" s="88">
        <v>524.29</v>
      </c>
      <c r="L31" s="20" t="s">
        <v>23</v>
      </c>
      <c r="M31" s="20" t="s">
        <v>24</v>
      </c>
    </row>
  </sheetData>
  <mergeCells count="1">
    <mergeCell ref="A1:B1"/>
  </mergeCells>
  <pageMargins left="0.23622047244094491" right="0.31496062992125984" top="0.74803149606299213" bottom="0.74803149606299213" header="0.51181102362204722" footer="0.51181102362204722"/>
  <pageSetup paperSize="9" scale="51" fitToHeight="1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28E40-6144-4811-AD46-7F3534BE58BC}">
  <sheetPr codeName="Sheet5">
    <pageSetUpPr fitToPage="1"/>
  </sheetPr>
  <dimension ref="A1:AI258"/>
  <sheetViews>
    <sheetView showGridLines="0" zoomScale="84" zoomScaleNormal="145" workbookViewId="0">
      <selection activeCell="B77" sqref="B77"/>
    </sheetView>
  </sheetViews>
  <sheetFormatPr defaultColWidth="8.7109375" defaultRowHeight="16.5"/>
  <cols>
    <col min="1" max="1" width="21" style="25" customWidth="1"/>
    <col min="2" max="2" width="34.5703125" style="25" customWidth="1"/>
    <col min="3" max="3" width="23.28515625" style="25" bestFit="1" customWidth="1"/>
    <col min="4" max="4" width="31.5703125" style="2" bestFit="1" customWidth="1"/>
    <col min="5" max="5" width="20.28515625" style="25" customWidth="1"/>
    <col min="6" max="6" width="19.7109375" style="25" customWidth="1"/>
    <col min="7" max="7" width="15.28515625" style="25" customWidth="1"/>
    <col min="8" max="8" width="15.28515625" style="19" customWidth="1"/>
    <col min="9" max="10" width="12.7109375" style="19" customWidth="1"/>
    <col min="11" max="11" width="14.5703125" style="109" customWidth="1"/>
    <col min="12" max="12" width="12.7109375" style="109" customWidth="1"/>
    <col min="13" max="13" width="23.140625" style="19" customWidth="1"/>
    <col min="14" max="14" width="22.140625" style="109" customWidth="1"/>
    <col min="15" max="15" width="12.7109375" style="19" customWidth="1"/>
    <col min="16" max="28" width="8.7109375" style="23"/>
    <col min="29" max="34" width="8.7109375" style="24"/>
    <col min="35" max="16384" width="8.7109375" style="25"/>
  </cols>
  <sheetData>
    <row r="1" spans="1:34" s="12" customFormat="1" ht="59.45" customHeight="1">
      <c r="A1" s="127" t="s">
        <v>135</v>
      </c>
      <c r="B1" s="127"/>
      <c r="C1" s="27"/>
      <c r="D1" s="11"/>
      <c r="E1" s="27"/>
      <c r="F1" s="27"/>
      <c r="G1" s="27"/>
      <c r="H1" s="28"/>
      <c r="I1" s="28"/>
      <c r="J1" s="28"/>
      <c r="K1" s="86"/>
      <c r="L1" s="86"/>
      <c r="M1" s="28"/>
      <c r="N1" s="86"/>
      <c r="O1" s="28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s="19" customFormat="1" ht="63.95" customHeight="1">
      <c r="A2" s="14" t="s">
        <v>1</v>
      </c>
      <c r="B2" s="14" t="s">
        <v>2</v>
      </c>
      <c r="C2" s="14" t="s">
        <v>3</v>
      </c>
      <c r="D2" s="3" t="s">
        <v>4</v>
      </c>
      <c r="E2" s="14" t="s">
        <v>5</v>
      </c>
      <c r="F2" s="14" t="s">
        <v>95</v>
      </c>
      <c r="G2" s="14" t="s">
        <v>7</v>
      </c>
      <c r="H2" s="15" t="s">
        <v>8</v>
      </c>
      <c r="I2" s="15" t="s">
        <v>46</v>
      </c>
      <c r="J2" s="14" t="s">
        <v>10</v>
      </c>
      <c r="K2" s="87" t="s">
        <v>136</v>
      </c>
      <c r="L2" s="101" t="s">
        <v>11</v>
      </c>
      <c r="M2" s="16" t="s">
        <v>137</v>
      </c>
      <c r="N2" s="110" t="s">
        <v>48</v>
      </c>
      <c r="O2" s="14" t="s">
        <v>138</v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8"/>
      <c r="AD2" s="18"/>
      <c r="AE2" s="18"/>
      <c r="AF2" s="18"/>
      <c r="AG2" s="18"/>
      <c r="AH2" s="18"/>
    </row>
    <row r="3" spans="1:34" ht="15.95">
      <c r="A3" s="20" t="s">
        <v>50</v>
      </c>
      <c r="B3" s="20" t="s">
        <v>139</v>
      </c>
      <c r="C3" s="20" t="s">
        <v>19</v>
      </c>
      <c r="D3" s="6" t="s">
        <v>60</v>
      </c>
      <c r="E3" s="21" t="s">
        <v>140</v>
      </c>
      <c r="F3" s="20" t="s">
        <v>53</v>
      </c>
      <c r="G3" s="20">
        <v>40</v>
      </c>
      <c r="H3" s="29">
        <v>67</v>
      </c>
      <c r="I3" s="22">
        <v>43865</v>
      </c>
      <c r="J3" s="30">
        <v>2</v>
      </c>
      <c r="K3" s="107">
        <v>50.1</v>
      </c>
      <c r="L3" s="107">
        <v>0</v>
      </c>
      <c r="M3" s="20" t="s">
        <v>54</v>
      </c>
      <c r="N3" s="107">
        <v>400</v>
      </c>
      <c r="O3" s="22" t="s">
        <v>24</v>
      </c>
    </row>
    <row r="4" spans="1:34" ht="15.95">
      <c r="A4" s="20" t="s">
        <v>50</v>
      </c>
      <c r="B4" s="20" t="s">
        <v>141</v>
      </c>
      <c r="C4" s="20" t="s">
        <v>19</v>
      </c>
      <c r="D4" s="6" t="s">
        <v>60</v>
      </c>
      <c r="E4" s="21" t="s">
        <v>140</v>
      </c>
      <c r="F4" s="20" t="s">
        <v>53</v>
      </c>
      <c r="G4" s="20">
        <v>40</v>
      </c>
      <c r="H4" s="29">
        <v>17</v>
      </c>
      <c r="I4" s="22">
        <v>45378</v>
      </c>
      <c r="J4" s="30">
        <v>0</v>
      </c>
      <c r="K4" s="107">
        <v>0</v>
      </c>
      <c r="L4" s="107">
        <v>0</v>
      </c>
      <c r="M4" s="20" t="s">
        <v>54</v>
      </c>
      <c r="N4" s="107">
        <v>200</v>
      </c>
      <c r="O4" s="22" t="s">
        <v>24</v>
      </c>
    </row>
    <row r="5" spans="1:34" ht="15.95">
      <c r="A5" s="20" t="s">
        <v>50</v>
      </c>
      <c r="B5" s="20" t="s">
        <v>142</v>
      </c>
      <c r="C5" s="20" t="s">
        <v>19</v>
      </c>
      <c r="D5" s="6" t="s">
        <v>60</v>
      </c>
      <c r="E5" s="21" t="s">
        <v>140</v>
      </c>
      <c r="F5" s="20" t="s">
        <v>53</v>
      </c>
      <c r="G5" s="20">
        <v>40</v>
      </c>
      <c r="H5" s="29">
        <v>67</v>
      </c>
      <c r="I5" s="22">
        <v>43865</v>
      </c>
      <c r="J5" s="30">
        <v>2</v>
      </c>
      <c r="K5" s="107">
        <v>50.1</v>
      </c>
      <c r="L5" s="107">
        <v>0</v>
      </c>
      <c r="M5" s="20" t="s">
        <v>54</v>
      </c>
      <c r="N5" s="107">
        <v>400</v>
      </c>
      <c r="O5" s="22" t="s">
        <v>24</v>
      </c>
    </row>
    <row r="6" spans="1:34" ht="15.95">
      <c r="A6" s="20" t="s">
        <v>50</v>
      </c>
      <c r="B6" s="20" t="s">
        <v>141</v>
      </c>
      <c r="C6" s="20" t="s">
        <v>19</v>
      </c>
      <c r="D6" s="6" t="s">
        <v>60</v>
      </c>
      <c r="E6" s="21" t="s">
        <v>140</v>
      </c>
      <c r="F6" s="20" t="s">
        <v>53</v>
      </c>
      <c r="G6" s="20">
        <v>40</v>
      </c>
      <c r="H6" s="29">
        <v>67</v>
      </c>
      <c r="I6" s="22">
        <v>43865</v>
      </c>
      <c r="J6" s="30">
        <v>2</v>
      </c>
      <c r="K6" s="107">
        <v>50.1</v>
      </c>
      <c r="L6" s="107">
        <v>0</v>
      </c>
      <c r="M6" s="20" t="s">
        <v>54</v>
      </c>
      <c r="N6" s="107">
        <v>200</v>
      </c>
      <c r="O6" s="22" t="s">
        <v>24</v>
      </c>
    </row>
    <row r="7" spans="1:34" ht="15.95">
      <c r="A7" s="20" t="s">
        <v>50</v>
      </c>
      <c r="B7" s="20" t="s">
        <v>141</v>
      </c>
      <c r="C7" s="20" t="s">
        <v>19</v>
      </c>
      <c r="D7" s="6" t="s">
        <v>60</v>
      </c>
      <c r="E7" s="21" t="s">
        <v>140</v>
      </c>
      <c r="F7" s="20" t="s">
        <v>53</v>
      </c>
      <c r="G7" s="20">
        <v>40</v>
      </c>
      <c r="H7" s="29">
        <v>67</v>
      </c>
      <c r="I7" s="22">
        <v>43865</v>
      </c>
      <c r="J7" s="30">
        <v>2</v>
      </c>
      <c r="K7" s="107">
        <v>50.1</v>
      </c>
      <c r="L7" s="107">
        <v>0</v>
      </c>
      <c r="M7" s="20" t="s">
        <v>54</v>
      </c>
      <c r="N7" s="107">
        <v>200</v>
      </c>
      <c r="O7" s="22" t="s">
        <v>24</v>
      </c>
    </row>
    <row r="8" spans="1:34" ht="15.95">
      <c r="A8" s="20" t="s">
        <v>50</v>
      </c>
      <c r="B8" s="20" t="s">
        <v>141</v>
      </c>
      <c r="C8" s="20" t="s">
        <v>19</v>
      </c>
      <c r="D8" s="6" t="s">
        <v>59</v>
      </c>
      <c r="E8" s="21" t="s">
        <v>143</v>
      </c>
      <c r="F8" s="20" t="s">
        <v>53</v>
      </c>
      <c r="G8" s="20">
        <v>40</v>
      </c>
      <c r="H8" s="29">
        <v>67</v>
      </c>
      <c r="I8" s="22">
        <v>43865</v>
      </c>
      <c r="J8" s="30">
        <v>2</v>
      </c>
      <c r="K8" s="107">
        <v>59.28</v>
      </c>
      <c r="L8" s="107">
        <v>0</v>
      </c>
      <c r="M8" s="20" t="s">
        <v>54</v>
      </c>
      <c r="N8" s="107">
        <v>200</v>
      </c>
      <c r="O8" s="22" t="s">
        <v>24</v>
      </c>
    </row>
    <row r="9" spans="1:34" ht="15.95">
      <c r="A9" s="20" t="s">
        <v>50</v>
      </c>
      <c r="B9" s="20" t="s">
        <v>144</v>
      </c>
      <c r="C9" s="20" t="s">
        <v>19</v>
      </c>
      <c r="D9" s="6" t="s">
        <v>60</v>
      </c>
      <c r="E9" s="21" t="s">
        <v>140</v>
      </c>
      <c r="F9" s="20" t="s">
        <v>53</v>
      </c>
      <c r="G9" s="20">
        <v>40</v>
      </c>
      <c r="H9" s="29">
        <v>67</v>
      </c>
      <c r="I9" s="22">
        <v>43865</v>
      </c>
      <c r="J9" s="30">
        <v>2</v>
      </c>
      <c r="K9" s="107">
        <v>50.1</v>
      </c>
      <c r="L9" s="107">
        <v>0</v>
      </c>
      <c r="M9" s="20" t="s">
        <v>54</v>
      </c>
      <c r="N9" s="107">
        <v>200</v>
      </c>
      <c r="O9" s="22" t="s">
        <v>24</v>
      </c>
    </row>
    <row r="10" spans="1:34" ht="15.95">
      <c r="A10" s="20" t="s">
        <v>50</v>
      </c>
      <c r="B10" s="20" t="s">
        <v>139</v>
      </c>
      <c r="C10" s="20" t="s">
        <v>19</v>
      </c>
      <c r="D10" s="6" t="s">
        <v>59</v>
      </c>
      <c r="E10" s="21" t="s">
        <v>140</v>
      </c>
      <c r="F10" s="20" t="s">
        <v>53</v>
      </c>
      <c r="G10" s="20">
        <v>40</v>
      </c>
      <c r="H10" s="29">
        <v>67</v>
      </c>
      <c r="I10" s="22">
        <v>43865</v>
      </c>
      <c r="J10" s="30">
        <v>2</v>
      </c>
      <c r="K10" s="107">
        <v>50.1</v>
      </c>
      <c r="L10" s="107">
        <v>134.63999999999999</v>
      </c>
      <c r="M10" s="20" t="s">
        <v>54</v>
      </c>
      <c r="N10" s="107">
        <v>200</v>
      </c>
      <c r="O10" s="22" t="s">
        <v>24</v>
      </c>
    </row>
    <row r="11" spans="1:34" ht="15.95">
      <c r="A11" s="20" t="s">
        <v>50</v>
      </c>
      <c r="B11" s="20" t="s">
        <v>144</v>
      </c>
      <c r="C11" s="20" t="s">
        <v>19</v>
      </c>
      <c r="D11" s="6" t="s">
        <v>59</v>
      </c>
      <c r="E11" s="21" t="s">
        <v>143</v>
      </c>
      <c r="F11" s="20" t="s">
        <v>53</v>
      </c>
      <c r="G11" s="20">
        <v>40</v>
      </c>
      <c r="H11" s="29">
        <v>67</v>
      </c>
      <c r="I11" s="22">
        <v>43865</v>
      </c>
      <c r="J11" s="30">
        <v>2</v>
      </c>
      <c r="K11" s="107">
        <v>59.28</v>
      </c>
      <c r="L11" s="107">
        <v>0</v>
      </c>
      <c r="M11" s="20" t="s">
        <v>54</v>
      </c>
      <c r="N11" s="107">
        <v>200</v>
      </c>
      <c r="O11" s="22" t="s">
        <v>24</v>
      </c>
    </row>
    <row r="12" spans="1:34" ht="15.95">
      <c r="A12" s="20" t="s">
        <v>50</v>
      </c>
      <c r="B12" s="20" t="s">
        <v>139</v>
      </c>
      <c r="C12" s="20" t="s">
        <v>19</v>
      </c>
      <c r="D12" s="6" t="s">
        <v>60</v>
      </c>
      <c r="E12" s="21" t="s">
        <v>140</v>
      </c>
      <c r="F12" s="20" t="s">
        <v>53</v>
      </c>
      <c r="G12" s="20">
        <v>40</v>
      </c>
      <c r="H12" s="29">
        <v>67</v>
      </c>
      <c r="I12" s="22">
        <v>43865</v>
      </c>
      <c r="J12" s="30">
        <v>2</v>
      </c>
      <c r="K12" s="107">
        <v>50.1</v>
      </c>
      <c r="L12" s="107">
        <v>0</v>
      </c>
      <c r="M12" s="20" t="s">
        <v>54</v>
      </c>
      <c r="N12" s="107">
        <v>200</v>
      </c>
      <c r="O12" s="22" t="s">
        <v>24</v>
      </c>
    </row>
    <row r="13" spans="1:34" ht="15.95">
      <c r="A13" s="20" t="s">
        <v>50</v>
      </c>
      <c r="B13" s="20" t="s">
        <v>142</v>
      </c>
      <c r="C13" s="20" t="s">
        <v>19</v>
      </c>
      <c r="D13" s="6" t="s">
        <v>59</v>
      </c>
      <c r="E13" s="21" t="s">
        <v>140</v>
      </c>
      <c r="F13" s="20" t="s">
        <v>53</v>
      </c>
      <c r="G13" s="20">
        <v>40</v>
      </c>
      <c r="H13" s="29">
        <v>67</v>
      </c>
      <c r="I13" s="22">
        <v>43865</v>
      </c>
      <c r="J13" s="30">
        <v>2</v>
      </c>
      <c r="K13" s="107">
        <v>50.1</v>
      </c>
      <c r="L13" s="107">
        <v>0</v>
      </c>
      <c r="M13" s="20" t="s">
        <v>54</v>
      </c>
      <c r="N13" s="107">
        <v>200</v>
      </c>
      <c r="O13" s="22" t="s">
        <v>24</v>
      </c>
    </row>
    <row r="14" spans="1:34" ht="15.95">
      <c r="A14" s="20" t="s">
        <v>50</v>
      </c>
      <c r="B14" s="20" t="s">
        <v>145</v>
      </c>
      <c r="C14" s="20" t="s">
        <v>19</v>
      </c>
      <c r="D14" s="6" t="s">
        <v>60</v>
      </c>
      <c r="E14" s="21" t="s">
        <v>143</v>
      </c>
      <c r="F14" s="20" t="s">
        <v>53</v>
      </c>
      <c r="G14" s="20">
        <v>40</v>
      </c>
      <c r="H14" s="29">
        <v>67</v>
      </c>
      <c r="I14" s="22">
        <v>43865</v>
      </c>
      <c r="J14" s="30">
        <v>2</v>
      </c>
      <c r="K14" s="107">
        <v>59.28</v>
      </c>
      <c r="L14" s="107">
        <v>0</v>
      </c>
      <c r="M14" s="20" t="s">
        <v>54</v>
      </c>
      <c r="N14" s="107">
        <v>200</v>
      </c>
      <c r="O14" s="22" t="s">
        <v>24</v>
      </c>
    </row>
    <row r="15" spans="1:34" ht="15.95">
      <c r="A15" s="20" t="s">
        <v>50</v>
      </c>
      <c r="B15" s="20" t="s">
        <v>139</v>
      </c>
      <c r="C15" s="20" t="s">
        <v>19</v>
      </c>
      <c r="D15" s="6" t="s">
        <v>60</v>
      </c>
      <c r="E15" s="21" t="s">
        <v>140</v>
      </c>
      <c r="F15" s="20" t="s">
        <v>53</v>
      </c>
      <c r="G15" s="20">
        <v>40</v>
      </c>
      <c r="H15" s="29">
        <v>67</v>
      </c>
      <c r="I15" s="22">
        <v>43865</v>
      </c>
      <c r="J15" s="30">
        <v>2</v>
      </c>
      <c r="K15" s="107">
        <v>50.1</v>
      </c>
      <c r="L15" s="107">
        <v>0</v>
      </c>
      <c r="M15" s="20" t="s">
        <v>54</v>
      </c>
      <c r="N15" s="107">
        <v>200</v>
      </c>
      <c r="O15" s="22" t="s">
        <v>24</v>
      </c>
    </row>
    <row r="16" spans="1:34" ht="15.95">
      <c r="A16" s="20" t="s">
        <v>50</v>
      </c>
      <c r="B16" s="20" t="s">
        <v>144</v>
      </c>
      <c r="C16" s="20" t="s">
        <v>19</v>
      </c>
      <c r="D16" s="6" t="s">
        <v>60</v>
      </c>
      <c r="E16" s="21" t="s">
        <v>146</v>
      </c>
      <c r="F16" s="20" t="s">
        <v>53</v>
      </c>
      <c r="G16" s="20">
        <v>40</v>
      </c>
      <c r="H16" s="29">
        <v>67</v>
      </c>
      <c r="I16" s="22">
        <v>43865</v>
      </c>
      <c r="J16" s="30">
        <v>2</v>
      </c>
      <c r="K16" s="107">
        <v>53.5</v>
      </c>
      <c r="L16" s="107">
        <v>0</v>
      </c>
      <c r="M16" s="20" t="s">
        <v>54</v>
      </c>
      <c r="N16" s="107">
        <v>200</v>
      </c>
      <c r="O16" s="22" t="s">
        <v>24</v>
      </c>
    </row>
    <row r="17" spans="1:35" s="23" customFormat="1" ht="15.95">
      <c r="A17" s="20" t="s">
        <v>50</v>
      </c>
      <c r="B17" s="20" t="s">
        <v>147</v>
      </c>
      <c r="C17" s="20" t="s">
        <v>19</v>
      </c>
      <c r="D17" s="6" t="s">
        <v>60</v>
      </c>
      <c r="E17" s="21" t="s">
        <v>140</v>
      </c>
      <c r="F17" s="20" t="s">
        <v>53</v>
      </c>
      <c r="G17" s="20">
        <v>40</v>
      </c>
      <c r="H17" s="29">
        <v>16</v>
      </c>
      <c r="I17" s="22">
        <v>45425</v>
      </c>
      <c r="J17" s="30">
        <v>0</v>
      </c>
      <c r="K17" s="107">
        <v>0</v>
      </c>
      <c r="L17" s="107">
        <v>0</v>
      </c>
      <c r="M17" s="20" t="s">
        <v>54</v>
      </c>
      <c r="N17" s="107">
        <v>200</v>
      </c>
      <c r="O17" s="22" t="s">
        <v>24</v>
      </c>
      <c r="AC17" s="24"/>
      <c r="AD17" s="24"/>
      <c r="AE17" s="24"/>
      <c r="AF17" s="24"/>
      <c r="AG17" s="24"/>
      <c r="AH17" s="24"/>
      <c r="AI17" s="25"/>
    </row>
    <row r="18" spans="1:35" s="23" customFormat="1" ht="15.95">
      <c r="A18" s="20" t="s">
        <v>50</v>
      </c>
      <c r="B18" s="20" t="s">
        <v>142</v>
      </c>
      <c r="C18" s="20" t="s">
        <v>19</v>
      </c>
      <c r="D18" s="6" t="s">
        <v>59</v>
      </c>
      <c r="E18" s="21" t="s">
        <v>146</v>
      </c>
      <c r="F18" s="20" t="s">
        <v>53</v>
      </c>
      <c r="G18" s="20">
        <v>40</v>
      </c>
      <c r="H18" s="29">
        <v>67</v>
      </c>
      <c r="I18" s="22">
        <v>43865</v>
      </c>
      <c r="J18" s="30">
        <v>2</v>
      </c>
      <c r="K18" s="107">
        <v>53.5</v>
      </c>
      <c r="L18" s="107">
        <v>107.91</v>
      </c>
      <c r="M18" s="20" t="s">
        <v>54</v>
      </c>
      <c r="N18" s="107">
        <v>200</v>
      </c>
      <c r="O18" s="22" t="s">
        <v>24</v>
      </c>
      <c r="AC18" s="24"/>
      <c r="AD18" s="24"/>
      <c r="AE18" s="24"/>
      <c r="AF18" s="24"/>
      <c r="AG18" s="24"/>
      <c r="AH18" s="24"/>
      <c r="AI18" s="25"/>
    </row>
    <row r="19" spans="1:35" s="23" customFormat="1" ht="15.95">
      <c r="A19" s="20" t="s">
        <v>50</v>
      </c>
      <c r="B19" s="20" t="s">
        <v>139</v>
      </c>
      <c r="C19" s="20" t="s">
        <v>19</v>
      </c>
      <c r="D19" s="6" t="s">
        <v>60</v>
      </c>
      <c r="E19" s="21" t="s">
        <v>140</v>
      </c>
      <c r="F19" s="20" t="s">
        <v>53</v>
      </c>
      <c r="G19" s="20">
        <v>40</v>
      </c>
      <c r="H19" s="29">
        <v>67</v>
      </c>
      <c r="I19" s="22">
        <v>43865</v>
      </c>
      <c r="J19" s="30">
        <v>2</v>
      </c>
      <c r="K19" s="107">
        <v>50.1</v>
      </c>
      <c r="L19" s="107">
        <v>0</v>
      </c>
      <c r="M19" s="20" t="s">
        <v>54</v>
      </c>
      <c r="N19" s="107">
        <v>200</v>
      </c>
      <c r="O19" s="22" t="s">
        <v>24</v>
      </c>
      <c r="AC19" s="24"/>
      <c r="AD19" s="24"/>
      <c r="AE19" s="24"/>
      <c r="AF19" s="24"/>
      <c r="AG19" s="24"/>
      <c r="AH19" s="24"/>
      <c r="AI19" s="25"/>
    </row>
    <row r="20" spans="1:35" s="23" customFormat="1" ht="15.95">
      <c r="A20" s="20" t="s">
        <v>50</v>
      </c>
      <c r="B20" s="20" t="s">
        <v>144</v>
      </c>
      <c r="C20" s="20" t="s">
        <v>19</v>
      </c>
      <c r="D20" s="6" t="s">
        <v>60</v>
      </c>
      <c r="E20" s="21" t="s">
        <v>140</v>
      </c>
      <c r="F20" s="20" t="s">
        <v>53</v>
      </c>
      <c r="G20" s="20">
        <v>40</v>
      </c>
      <c r="H20" s="29">
        <v>12</v>
      </c>
      <c r="I20" s="22">
        <v>45522</v>
      </c>
      <c r="J20" s="30">
        <v>0</v>
      </c>
      <c r="K20" s="107">
        <v>0</v>
      </c>
      <c r="L20" s="107">
        <v>0</v>
      </c>
      <c r="M20" s="20" t="s">
        <v>54</v>
      </c>
      <c r="N20" s="107">
        <v>200</v>
      </c>
      <c r="O20" s="22" t="s">
        <v>24</v>
      </c>
      <c r="AC20" s="24"/>
      <c r="AD20" s="24"/>
      <c r="AE20" s="24"/>
      <c r="AF20" s="24"/>
      <c r="AG20" s="24"/>
      <c r="AH20" s="24"/>
      <c r="AI20" s="25"/>
    </row>
    <row r="21" spans="1:35" s="23" customFormat="1" ht="15.95">
      <c r="A21" s="20" t="s">
        <v>50</v>
      </c>
      <c r="B21" s="20" t="s">
        <v>142</v>
      </c>
      <c r="C21" s="20" t="s">
        <v>19</v>
      </c>
      <c r="D21" s="6" t="s">
        <v>59</v>
      </c>
      <c r="E21" s="21" t="s">
        <v>140</v>
      </c>
      <c r="F21" s="20" t="s">
        <v>53</v>
      </c>
      <c r="G21" s="20">
        <v>40</v>
      </c>
      <c r="H21" s="29">
        <v>67</v>
      </c>
      <c r="I21" s="22">
        <v>43865</v>
      </c>
      <c r="J21" s="30">
        <v>2</v>
      </c>
      <c r="K21" s="107">
        <v>50.1</v>
      </c>
      <c r="L21" s="107">
        <v>0</v>
      </c>
      <c r="M21" s="20" t="s">
        <v>54</v>
      </c>
      <c r="N21" s="107">
        <v>200</v>
      </c>
      <c r="O21" s="22" t="s">
        <v>24</v>
      </c>
      <c r="AC21" s="24"/>
      <c r="AD21" s="24"/>
      <c r="AE21" s="24"/>
      <c r="AF21" s="24"/>
      <c r="AG21" s="24"/>
      <c r="AH21" s="24"/>
      <c r="AI21" s="25"/>
    </row>
    <row r="22" spans="1:35" s="23" customFormat="1" ht="15.95">
      <c r="A22" s="20" t="s">
        <v>50</v>
      </c>
      <c r="B22" s="20" t="s">
        <v>148</v>
      </c>
      <c r="C22" s="20" t="s">
        <v>19</v>
      </c>
      <c r="D22" s="6" t="s">
        <v>59</v>
      </c>
      <c r="E22" s="21" t="s">
        <v>140</v>
      </c>
      <c r="F22" s="20" t="s">
        <v>53</v>
      </c>
      <c r="G22" s="20">
        <v>40</v>
      </c>
      <c r="H22" s="29">
        <v>67</v>
      </c>
      <c r="I22" s="22">
        <v>43865</v>
      </c>
      <c r="J22" s="30">
        <v>2</v>
      </c>
      <c r="K22" s="107">
        <v>50.1</v>
      </c>
      <c r="L22" s="107">
        <v>0</v>
      </c>
      <c r="M22" s="20" t="s">
        <v>54</v>
      </c>
      <c r="N22" s="107">
        <v>200</v>
      </c>
      <c r="O22" s="22" t="s">
        <v>24</v>
      </c>
      <c r="AC22" s="24"/>
      <c r="AD22" s="24"/>
      <c r="AE22" s="24"/>
      <c r="AF22" s="24"/>
      <c r="AG22" s="24"/>
      <c r="AH22" s="24"/>
      <c r="AI22" s="25"/>
    </row>
    <row r="23" spans="1:35" s="23" customFormat="1" ht="15.95">
      <c r="A23" s="20" t="s">
        <v>50</v>
      </c>
      <c r="B23" s="20" t="s">
        <v>147</v>
      </c>
      <c r="C23" s="20" t="s">
        <v>19</v>
      </c>
      <c r="D23" s="6" t="s">
        <v>60</v>
      </c>
      <c r="E23" s="21" t="s">
        <v>140</v>
      </c>
      <c r="F23" s="20" t="s">
        <v>53</v>
      </c>
      <c r="G23" s="20">
        <v>40</v>
      </c>
      <c r="H23" s="29">
        <v>67</v>
      </c>
      <c r="I23" s="22">
        <v>43865</v>
      </c>
      <c r="J23" s="30">
        <v>2</v>
      </c>
      <c r="K23" s="107">
        <v>50.1</v>
      </c>
      <c r="L23" s="107">
        <v>0</v>
      </c>
      <c r="M23" s="20" t="s">
        <v>54</v>
      </c>
      <c r="N23" s="107">
        <v>200</v>
      </c>
      <c r="O23" s="22" t="s">
        <v>24</v>
      </c>
      <c r="AC23" s="24"/>
      <c r="AD23" s="24"/>
      <c r="AE23" s="24"/>
      <c r="AF23" s="24"/>
      <c r="AG23" s="24"/>
      <c r="AH23" s="24"/>
      <c r="AI23" s="25"/>
    </row>
    <row r="24" spans="1:35" s="23" customFormat="1" ht="15.95">
      <c r="A24" s="20" t="s">
        <v>50</v>
      </c>
      <c r="B24" s="20" t="s">
        <v>145</v>
      </c>
      <c r="C24" s="20" t="s">
        <v>19</v>
      </c>
      <c r="D24" s="6" t="s">
        <v>60</v>
      </c>
      <c r="E24" s="21" t="s">
        <v>140</v>
      </c>
      <c r="F24" s="20" t="s">
        <v>53</v>
      </c>
      <c r="G24" s="20">
        <v>40</v>
      </c>
      <c r="H24" s="29">
        <v>67</v>
      </c>
      <c r="I24" s="22">
        <v>43865</v>
      </c>
      <c r="J24" s="30">
        <v>2</v>
      </c>
      <c r="K24" s="107">
        <v>50.1</v>
      </c>
      <c r="L24" s="107">
        <v>0</v>
      </c>
      <c r="M24" s="20" t="s">
        <v>54</v>
      </c>
      <c r="N24" s="107">
        <v>200</v>
      </c>
      <c r="O24" s="22" t="s">
        <v>24</v>
      </c>
      <c r="AC24" s="24"/>
      <c r="AD24" s="24"/>
      <c r="AE24" s="24"/>
      <c r="AF24" s="24"/>
      <c r="AG24" s="24"/>
      <c r="AH24" s="24"/>
      <c r="AI24" s="25"/>
    </row>
    <row r="25" spans="1:35" s="23" customFormat="1" ht="15.95">
      <c r="A25" s="20" t="s">
        <v>50</v>
      </c>
      <c r="B25" s="20" t="s">
        <v>149</v>
      </c>
      <c r="C25" s="20" t="s">
        <v>19</v>
      </c>
      <c r="D25" s="6" t="s">
        <v>59</v>
      </c>
      <c r="E25" s="21" t="s">
        <v>140</v>
      </c>
      <c r="F25" s="20" t="s">
        <v>53</v>
      </c>
      <c r="G25" s="20">
        <v>40</v>
      </c>
      <c r="H25" s="29">
        <v>67</v>
      </c>
      <c r="I25" s="22">
        <v>43865</v>
      </c>
      <c r="J25" s="30">
        <v>2</v>
      </c>
      <c r="K25" s="107">
        <v>50.1</v>
      </c>
      <c r="L25" s="107">
        <v>0</v>
      </c>
      <c r="M25" s="20" t="s">
        <v>54</v>
      </c>
      <c r="N25" s="107">
        <v>200</v>
      </c>
      <c r="O25" s="22" t="s">
        <v>24</v>
      </c>
      <c r="AC25" s="24"/>
      <c r="AD25" s="24"/>
      <c r="AE25" s="24"/>
      <c r="AF25" s="24"/>
      <c r="AG25" s="24"/>
      <c r="AH25" s="24"/>
      <c r="AI25" s="25"/>
    </row>
    <row r="26" spans="1:35" s="23" customFormat="1" ht="15.95">
      <c r="A26" s="20" t="s">
        <v>50</v>
      </c>
      <c r="B26" s="20" t="s">
        <v>147</v>
      </c>
      <c r="C26" s="20" t="s">
        <v>19</v>
      </c>
      <c r="D26" s="6" t="s">
        <v>60</v>
      </c>
      <c r="E26" s="21" t="s">
        <v>140</v>
      </c>
      <c r="F26" s="20" t="s">
        <v>53</v>
      </c>
      <c r="G26" s="20">
        <v>40</v>
      </c>
      <c r="H26" s="29">
        <v>67</v>
      </c>
      <c r="I26" s="22">
        <v>43865</v>
      </c>
      <c r="J26" s="30">
        <v>2</v>
      </c>
      <c r="K26" s="107">
        <v>50.1</v>
      </c>
      <c r="L26" s="107">
        <v>0</v>
      </c>
      <c r="M26" s="20" t="s">
        <v>54</v>
      </c>
      <c r="N26" s="107">
        <v>200</v>
      </c>
      <c r="O26" s="22" t="s">
        <v>24</v>
      </c>
      <c r="AC26" s="24"/>
      <c r="AD26" s="24"/>
      <c r="AE26" s="24"/>
      <c r="AF26" s="24"/>
      <c r="AG26" s="24"/>
      <c r="AH26" s="24"/>
      <c r="AI26" s="25"/>
    </row>
    <row r="27" spans="1:35" s="23" customFormat="1" ht="15.95">
      <c r="A27" s="20" t="s">
        <v>50</v>
      </c>
      <c r="B27" s="20" t="s">
        <v>141</v>
      </c>
      <c r="C27" s="20" t="s">
        <v>19</v>
      </c>
      <c r="D27" s="6" t="s">
        <v>60</v>
      </c>
      <c r="E27" s="21" t="s">
        <v>150</v>
      </c>
      <c r="F27" s="20" t="s">
        <v>53</v>
      </c>
      <c r="G27" s="20">
        <v>40</v>
      </c>
      <c r="H27" s="29">
        <v>67</v>
      </c>
      <c r="I27" s="22">
        <v>43865</v>
      </c>
      <c r="J27" s="30">
        <v>2</v>
      </c>
      <c r="K27" s="107">
        <v>72.819999999999993</v>
      </c>
      <c r="L27" s="107">
        <v>0</v>
      </c>
      <c r="M27" s="20" t="s">
        <v>54</v>
      </c>
      <c r="N27" s="107">
        <v>200</v>
      </c>
      <c r="O27" s="22" t="s">
        <v>24</v>
      </c>
      <c r="AC27" s="24"/>
      <c r="AD27" s="24"/>
      <c r="AE27" s="24"/>
      <c r="AF27" s="24"/>
      <c r="AG27" s="24"/>
      <c r="AH27" s="24"/>
      <c r="AI27" s="25"/>
    </row>
    <row r="28" spans="1:35" s="23" customFormat="1" ht="15.95">
      <c r="A28" s="20" t="s">
        <v>50</v>
      </c>
      <c r="B28" s="20" t="s">
        <v>142</v>
      </c>
      <c r="C28" s="20" t="s">
        <v>19</v>
      </c>
      <c r="D28" s="6" t="s">
        <v>59</v>
      </c>
      <c r="E28" s="21" t="s">
        <v>140</v>
      </c>
      <c r="F28" s="20" t="s">
        <v>53</v>
      </c>
      <c r="G28" s="20">
        <v>40</v>
      </c>
      <c r="H28" s="29">
        <v>67</v>
      </c>
      <c r="I28" s="22">
        <v>43865</v>
      </c>
      <c r="J28" s="30">
        <v>2</v>
      </c>
      <c r="K28" s="107">
        <v>50.1</v>
      </c>
      <c r="L28" s="107">
        <v>0</v>
      </c>
      <c r="M28" s="20" t="s">
        <v>54</v>
      </c>
      <c r="N28" s="107">
        <v>200</v>
      </c>
      <c r="O28" s="22" t="s">
        <v>24</v>
      </c>
      <c r="AC28" s="24"/>
      <c r="AD28" s="24"/>
      <c r="AE28" s="24"/>
      <c r="AF28" s="24"/>
      <c r="AG28" s="24"/>
      <c r="AH28" s="24"/>
      <c r="AI28" s="25"/>
    </row>
    <row r="29" spans="1:35" s="23" customFormat="1" ht="15.95">
      <c r="A29" s="20" t="s">
        <v>50</v>
      </c>
      <c r="B29" s="20" t="s">
        <v>149</v>
      </c>
      <c r="C29" s="20" t="s">
        <v>19</v>
      </c>
      <c r="D29" s="6" t="s">
        <v>59</v>
      </c>
      <c r="E29" s="21" t="s">
        <v>146</v>
      </c>
      <c r="F29" s="20" t="s">
        <v>53</v>
      </c>
      <c r="G29" s="20">
        <v>40</v>
      </c>
      <c r="H29" s="29">
        <v>67</v>
      </c>
      <c r="I29" s="22">
        <v>43865</v>
      </c>
      <c r="J29" s="30">
        <v>2</v>
      </c>
      <c r="K29" s="107">
        <v>53.5</v>
      </c>
      <c r="L29" s="107">
        <v>0</v>
      </c>
      <c r="M29" s="20" t="s">
        <v>54</v>
      </c>
      <c r="N29" s="107">
        <v>200</v>
      </c>
      <c r="O29" s="22" t="s">
        <v>24</v>
      </c>
      <c r="AC29" s="24"/>
      <c r="AD29" s="24"/>
      <c r="AE29" s="24"/>
      <c r="AF29" s="24"/>
      <c r="AG29" s="24"/>
      <c r="AH29" s="24"/>
      <c r="AI29" s="25"/>
    </row>
    <row r="30" spans="1:35" s="23" customFormat="1" ht="15.95">
      <c r="A30" s="20" t="s">
        <v>50</v>
      </c>
      <c r="B30" s="20" t="s">
        <v>151</v>
      </c>
      <c r="C30" s="20" t="s">
        <v>19</v>
      </c>
      <c r="D30" s="6" t="s">
        <v>52</v>
      </c>
      <c r="E30" s="21" t="s">
        <v>150</v>
      </c>
      <c r="F30" s="20" t="s">
        <v>53</v>
      </c>
      <c r="G30" s="20">
        <v>40</v>
      </c>
      <c r="H30" s="29">
        <v>67</v>
      </c>
      <c r="I30" s="22">
        <v>43865</v>
      </c>
      <c r="J30" s="30">
        <v>2</v>
      </c>
      <c r="K30" s="107">
        <v>72.819999999999993</v>
      </c>
      <c r="L30" s="107">
        <v>475.52</v>
      </c>
      <c r="M30" s="20" t="s">
        <v>54</v>
      </c>
      <c r="N30" s="107">
        <v>200</v>
      </c>
      <c r="O30" s="22" t="s">
        <v>24</v>
      </c>
      <c r="AC30" s="24"/>
      <c r="AD30" s="24"/>
      <c r="AE30" s="24"/>
      <c r="AF30" s="24"/>
      <c r="AG30" s="24"/>
      <c r="AH30" s="24"/>
      <c r="AI30" s="25"/>
    </row>
    <row r="31" spans="1:35" s="23" customFormat="1" ht="15.95">
      <c r="A31" s="20" t="s">
        <v>50</v>
      </c>
      <c r="B31" s="20" t="s">
        <v>141</v>
      </c>
      <c r="C31" s="20" t="s">
        <v>19</v>
      </c>
      <c r="D31" s="6" t="s">
        <v>59</v>
      </c>
      <c r="E31" s="21" t="s">
        <v>140</v>
      </c>
      <c r="F31" s="20" t="s">
        <v>53</v>
      </c>
      <c r="G31" s="20">
        <v>40</v>
      </c>
      <c r="H31" s="29">
        <v>67</v>
      </c>
      <c r="I31" s="22">
        <v>43865</v>
      </c>
      <c r="J31" s="30">
        <v>2</v>
      </c>
      <c r="K31" s="107">
        <v>50.1</v>
      </c>
      <c r="L31" s="107">
        <v>0</v>
      </c>
      <c r="M31" s="20" t="s">
        <v>54</v>
      </c>
      <c r="N31" s="107">
        <v>200</v>
      </c>
      <c r="O31" s="22" t="s">
        <v>24</v>
      </c>
      <c r="AC31" s="24"/>
      <c r="AD31" s="24"/>
      <c r="AE31" s="24"/>
      <c r="AF31" s="24"/>
      <c r="AG31" s="24"/>
      <c r="AH31" s="24"/>
      <c r="AI31" s="25"/>
    </row>
    <row r="32" spans="1:35" s="23" customFormat="1" ht="15.95">
      <c r="A32" s="20" t="s">
        <v>50</v>
      </c>
      <c r="B32" s="20" t="s">
        <v>141</v>
      </c>
      <c r="C32" s="20" t="s">
        <v>19</v>
      </c>
      <c r="D32" s="6" t="s">
        <v>60</v>
      </c>
      <c r="E32" s="21" t="s">
        <v>143</v>
      </c>
      <c r="F32" s="20" t="s">
        <v>53</v>
      </c>
      <c r="G32" s="20">
        <v>40</v>
      </c>
      <c r="H32" s="29">
        <v>72</v>
      </c>
      <c r="I32" s="22">
        <v>43718</v>
      </c>
      <c r="J32" s="30">
        <v>2</v>
      </c>
      <c r="K32" s="107">
        <v>59.28</v>
      </c>
      <c r="L32" s="107">
        <v>0</v>
      </c>
      <c r="M32" s="20" t="s">
        <v>54</v>
      </c>
      <c r="N32" s="107">
        <v>200</v>
      </c>
      <c r="O32" s="22" t="s">
        <v>24</v>
      </c>
      <c r="AC32" s="24"/>
      <c r="AD32" s="24"/>
      <c r="AE32" s="24"/>
      <c r="AF32" s="24"/>
      <c r="AG32" s="24"/>
      <c r="AH32" s="24"/>
      <c r="AI32" s="25"/>
    </row>
    <row r="33" spans="1:35" s="23" customFormat="1" ht="15.95">
      <c r="A33" s="20" t="s">
        <v>50</v>
      </c>
      <c r="B33" s="20" t="s">
        <v>139</v>
      </c>
      <c r="C33" s="20" t="s">
        <v>19</v>
      </c>
      <c r="D33" s="6" t="s">
        <v>60</v>
      </c>
      <c r="E33" s="21" t="s">
        <v>140</v>
      </c>
      <c r="F33" s="20" t="s">
        <v>53</v>
      </c>
      <c r="G33" s="20">
        <v>40</v>
      </c>
      <c r="H33" s="29">
        <v>67</v>
      </c>
      <c r="I33" s="22">
        <v>43865</v>
      </c>
      <c r="J33" s="30">
        <v>2</v>
      </c>
      <c r="K33" s="107">
        <v>50.1</v>
      </c>
      <c r="L33" s="107">
        <v>0</v>
      </c>
      <c r="M33" s="20" t="s">
        <v>54</v>
      </c>
      <c r="N33" s="107">
        <v>200</v>
      </c>
      <c r="O33" s="22" t="s">
        <v>24</v>
      </c>
      <c r="AC33" s="24"/>
      <c r="AD33" s="24"/>
      <c r="AE33" s="24"/>
      <c r="AF33" s="24"/>
      <c r="AG33" s="24"/>
      <c r="AH33" s="24"/>
      <c r="AI33" s="25"/>
    </row>
    <row r="34" spans="1:35" s="23" customFormat="1" ht="15.95">
      <c r="A34" s="20" t="s">
        <v>50</v>
      </c>
      <c r="B34" s="20" t="s">
        <v>142</v>
      </c>
      <c r="C34" s="20" t="s">
        <v>19</v>
      </c>
      <c r="D34" s="6" t="s">
        <v>60</v>
      </c>
      <c r="E34" s="21" t="s">
        <v>146</v>
      </c>
      <c r="F34" s="20" t="s">
        <v>53</v>
      </c>
      <c r="G34" s="20">
        <v>40</v>
      </c>
      <c r="H34" s="29">
        <v>67</v>
      </c>
      <c r="I34" s="22">
        <v>43865</v>
      </c>
      <c r="J34" s="30">
        <v>2</v>
      </c>
      <c r="K34" s="107">
        <v>53.5</v>
      </c>
      <c r="L34" s="107">
        <v>301.25</v>
      </c>
      <c r="M34" s="20" t="s">
        <v>54</v>
      </c>
      <c r="N34" s="107">
        <v>200</v>
      </c>
      <c r="O34" s="22" t="s">
        <v>24</v>
      </c>
      <c r="AC34" s="24"/>
      <c r="AD34" s="24"/>
      <c r="AE34" s="24"/>
      <c r="AF34" s="24"/>
      <c r="AG34" s="24"/>
      <c r="AH34" s="24"/>
      <c r="AI34" s="25"/>
    </row>
    <row r="35" spans="1:35" s="23" customFormat="1" ht="15.95">
      <c r="A35" s="20" t="s">
        <v>50</v>
      </c>
      <c r="B35" s="20" t="s">
        <v>145</v>
      </c>
      <c r="C35" s="20" t="s">
        <v>19</v>
      </c>
      <c r="D35" s="6" t="s">
        <v>60</v>
      </c>
      <c r="E35" s="21" t="s">
        <v>146</v>
      </c>
      <c r="F35" s="20" t="s">
        <v>53</v>
      </c>
      <c r="G35" s="20">
        <v>40</v>
      </c>
      <c r="H35" s="29">
        <v>67</v>
      </c>
      <c r="I35" s="22">
        <v>43865</v>
      </c>
      <c r="J35" s="30">
        <v>2</v>
      </c>
      <c r="K35" s="107">
        <v>53.5</v>
      </c>
      <c r="L35" s="107">
        <v>287.91000000000003</v>
      </c>
      <c r="M35" s="20" t="s">
        <v>54</v>
      </c>
      <c r="N35" s="107">
        <v>200</v>
      </c>
      <c r="O35" s="22" t="s">
        <v>24</v>
      </c>
      <c r="AC35" s="24"/>
      <c r="AD35" s="24"/>
      <c r="AE35" s="24"/>
      <c r="AF35" s="24"/>
      <c r="AG35" s="24"/>
      <c r="AH35" s="24"/>
      <c r="AI35" s="25"/>
    </row>
    <row r="36" spans="1:35" s="23" customFormat="1" ht="15.95">
      <c r="A36" s="20" t="s">
        <v>50</v>
      </c>
      <c r="B36" s="20" t="s">
        <v>142</v>
      </c>
      <c r="C36" s="20" t="s">
        <v>19</v>
      </c>
      <c r="D36" s="6" t="s">
        <v>60</v>
      </c>
      <c r="E36" s="21" t="s">
        <v>146</v>
      </c>
      <c r="F36" s="20" t="s">
        <v>53</v>
      </c>
      <c r="G36" s="20">
        <v>40</v>
      </c>
      <c r="H36" s="29">
        <v>56</v>
      </c>
      <c r="I36" s="22">
        <v>44195</v>
      </c>
      <c r="J36" s="30">
        <v>2</v>
      </c>
      <c r="K36" s="107">
        <v>53.5</v>
      </c>
      <c r="L36" s="107">
        <v>0</v>
      </c>
      <c r="M36" s="20" t="s">
        <v>54</v>
      </c>
      <c r="N36" s="107">
        <v>200</v>
      </c>
      <c r="O36" s="22" t="s">
        <v>24</v>
      </c>
      <c r="AC36" s="24"/>
      <c r="AD36" s="24"/>
      <c r="AE36" s="24"/>
      <c r="AF36" s="24"/>
      <c r="AG36" s="24"/>
      <c r="AH36" s="24"/>
      <c r="AI36" s="25"/>
    </row>
    <row r="37" spans="1:35" s="23" customFormat="1" ht="15.95">
      <c r="A37" s="20" t="s">
        <v>50</v>
      </c>
      <c r="B37" s="20" t="s">
        <v>139</v>
      </c>
      <c r="C37" s="20" t="s">
        <v>19</v>
      </c>
      <c r="D37" s="6" t="s">
        <v>62</v>
      </c>
      <c r="E37" s="21" t="s">
        <v>140</v>
      </c>
      <c r="F37" s="20" t="s">
        <v>53</v>
      </c>
      <c r="G37" s="20">
        <v>40</v>
      </c>
      <c r="H37" s="29">
        <v>56</v>
      </c>
      <c r="I37" s="22">
        <v>44195</v>
      </c>
      <c r="J37" s="30">
        <v>2</v>
      </c>
      <c r="K37" s="107">
        <v>50.1</v>
      </c>
      <c r="L37" s="107">
        <v>0</v>
      </c>
      <c r="M37" s="20" t="s">
        <v>54</v>
      </c>
      <c r="N37" s="107">
        <v>200</v>
      </c>
      <c r="O37" s="22" t="s">
        <v>24</v>
      </c>
      <c r="AC37" s="24"/>
      <c r="AD37" s="24"/>
      <c r="AE37" s="24"/>
      <c r="AF37" s="24"/>
      <c r="AG37" s="24"/>
      <c r="AH37" s="24"/>
      <c r="AI37" s="25"/>
    </row>
    <row r="38" spans="1:35" s="23" customFormat="1" ht="15.95">
      <c r="A38" s="20" t="s">
        <v>50</v>
      </c>
      <c r="B38" s="20" t="s">
        <v>141</v>
      </c>
      <c r="C38" s="20" t="s">
        <v>19</v>
      </c>
      <c r="D38" s="6" t="s">
        <v>60</v>
      </c>
      <c r="E38" s="21" t="s">
        <v>146</v>
      </c>
      <c r="F38" s="20" t="s">
        <v>53</v>
      </c>
      <c r="G38" s="20">
        <v>40</v>
      </c>
      <c r="H38" s="29">
        <v>67</v>
      </c>
      <c r="I38" s="22">
        <v>43865</v>
      </c>
      <c r="J38" s="30">
        <v>2</v>
      </c>
      <c r="K38" s="107">
        <v>53.5</v>
      </c>
      <c r="L38" s="107">
        <v>369.08</v>
      </c>
      <c r="M38" s="20" t="s">
        <v>54</v>
      </c>
      <c r="N38" s="107">
        <v>200</v>
      </c>
      <c r="O38" s="22" t="s">
        <v>24</v>
      </c>
      <c r="AC38" s="24"/>
      <c r="AD38" s="24"/>
      <c r="AE38" s="24"/>
      <c r="AF38" s="24"/>
      <c r="AG38" s="24"/>
      <c r="AH38" s="24"/>
      <c r="AI38" s="25"/>
    </row>
    <row r="39" spans="1:35" s="23" customFormat="1" ht="15.95">
      <c r="A39" s="20" t="s">
        <v>50</v>
      </c>
      <c r="B39" s="20" t="s">
        <v>139</v>
      </c>
      <c r="C39" s="20" t="s">
        <v>19</v>
      </c>
      <c r="D39" s="6" t="s">
        <v>52</v>
      </c>
      <c r="E39" s="21" t="s">
        <v>146</v>
      </c>
      <c r="F39" s="20" t="s">
        <v>53</v>
      </c>
      <c r="G39" s="20">
        <v>40</v>
      </c>
      <c r="H39" s="29">
        <v>67</v>
      </c>
      <c r="I39" s="22">
        <v>43865</v>
      </c>
      <c r="J39" s="30">
        <v>2</v>
      </c>
      <c r="K39" s="107">
        <v>53.5</v>
      </c>
      <c r="L39" s="107">
        <v>204.69</v>
      </c>
      <c r="M39" s="20" t="s">
        <v>54</v>
      </c>
      <c r="N39" s="107">
        <v>200</v>
      </c>
      <c r="O39" s="22" t="s">
        <v>24</v>
      </c>
      <c r="AC39" s="24"/>
      <c r="AD39" s="24"/>
      <c r="AE39" s="24"/>
      <c r="AF39" s="24"/>
      <c r="AG39" s="24"/>
      <c r="AH39" s="24"/>
      <c r="AI39" s="25"/>
    </row>
    <row r="40" spans="1:35" s="23" customFormat="1" ht="15.95">
      <c r="A40" s="20" t="s">
        <v>50</v>
      </c>
      <c r="B40" s="20" t="s">
        <v>145</v>
      </c>
      <c r="C40" s="20" t="s">
        <v>19</v>
      </c>
      <c r="D40" s="6" t="s">
        <v>60</v>
      </c>
      <c r="E40" s="21" t="s">
        <v>140</v>
      </c>
      <c r="F40" s="20" t="s">
        <v>53</v>
      </c>
      <c r="G40" s="20">
        <v>40</v>
      </c>
      <c r="H40" s="29">
        <v>67</v>
      </c>
      <c r="I40" s="22">
        <v>43865</v>
      </c>
      <c r="J40" s="30">
        <v>2</v>
      </c>
      <c r="K40" s="107">
        <v>50.1</v>
      </c>
      <c r="L40" s="107">
        <v>0</v>
      </c>
      <c r="M40" s="20" t="s">
        <v>54</v>
      </c>
      <c r="N40" s="107">
        <v>200</v>
      </c>
      <c r="O40" s="22" t="s">
        <v>24</v>
      </c>
      <c r="AC40" s="24"/>
      <c r="AD40" s="24"/>
      <c r="AE40" s="24"/>
      <c r="AF40" s="24"/>
      <c r="AG40" s="24"/>
      <c r="AH40" s="24"/>
      <c r="AI40" s="25"/>
    </row>
    <row r="41" spans="1:35" s="23" customFormat="1" ht="15.95">
      <c r="A41" s="20" t="s">
        <v>50</v>
      </c>
      <c r="B41" s="20" t="s">
        <v>142</v>
      </c>
      <c r="C41" s="20" t="s">
        <v>19</v>
      </c>
      <c r="D41" s="6" t="s">
        <v>60</v>
      </c>
      <c r="E41" s="21" t="s">
        <v>146</v>
      </c>
      <c r="F41" s="20" t="s">
        <v>53</v>
      </c>
      <c r="G41" s="20">
        <v>40</v>
      </c>
      <c r="H41" s="29">
        <v>67</v>
      </c>
      <c r="I41" s="22">
        <v>43865</v>
      </c>
      <c r="J41" s="30">
        <v>2</v>
      </c>
      <c r="K41" s="107">
        <v>53.5</v>
      </c>
      <c r="L41" s="107">
        <v>0</v>
      </c>
      <c r="M41" s="20" t="s">
        <v>54</v>
      </c>
      <c r="N41" s="107">
        <v>200</v>
      </c>
      <c r="O41" s="22" t="s">
        <v>24</v>
      </c>
      <c r="AC41" s="24"/>
      <c r="AD41" s="24"/>
      <c r="AE41" s="24"/>
      <c r="AF41" s="24"/>
      <c r="AG41" s="24"/>
      <c r="AH41" s="24"/>
      <c r="AI41" s="25"/>
    </row>
    <row r="42" spans="1:35" s="23" customFormat="1" ht="15.95">
      <c r="A42" s="20" t="s">
        <v>50</v>
      </c>
      <c r="B42" s="20" t="s">
        <v>152</v>
      </c>
      <c r="C42" s="20" t="s">
        <v>19</v>
      </c>
      <c r="D42" s="6" t="s">
        <v>52</v>
      </c>
      <c r="E42" s="21" t="s">
        <v>150</v>
      </c>
      <c r="F42" s="20" t="s">
        <v>53</v>
      </c>
      <c r="G42" s="20">
        <v>40</v>
      </c>
      <c r="H42" s="29">
        <v>67</v>
      </c>
      <c r="I42" s="22">
        <v>43862</v>
      </c>
      <c r="J42" s="30">
        <v>2</v>
      </c>
      <c r="K42" s="107">
        <v>72.819999999999993</v>
      </c>
      <c r="L42" s="107">
        <v>1265</v>
      </c>
      <c r="M42" s="20" t="s">
        <v>54</v>
      </c>
      <c r="N42" s="107">
        <v>200</v>
      </c>
      <c r="O42" s="22" t="s">
        <v>24</v>
      </c>
      <c r="AC42" s="24"/>
      <c r="AD42" s="24"/>
      <c r="AE42" s="24"/>
      <c r="AF42" s="24"/>
      <c r="AG42" s="24"/>
      <c r="AH42" s="24"/>
      <c r="AI42" s="25"/>
    </row>
    <row r="43" spans="1:35" s="23" customFormat="1" ht="15.95">
      <c r="A43" s="20" t="s">
        <v>50</v>
      </c>
      <c r="B43" s="20" t="s">
        <v>142</v>
      </c>
      <c r="C43" s="20" t="s">
        <v>19</v>
      </c>
      <c r="D43" s="6" t="s">
        <v>60</v>
      </c>
      <c r="E43" s="21" t="s">
        <v>140</v>
      </c>
      <c r="F43" s="20" t="s">
        <v>53</v>
      </c>
      <c r="G43" s="20">
        <v>40</v>
      </c>
      <c r="H43" s="29">
        <v>67</v>
      </c>
      <c r="I43" s="22">
        <v>43865</v>
      </c>
      <c r="J43" s="30">
        <v>2</v>
      </c>
      <c r="K43" s="107">
        <v>50.1</v>
      </c>
      <c r="L43" s="107">
        <v>0</v>
      </c>
      <c r="M43" s="20" t="s">
        <v>54</v>
      </c>
      <c r="N43" s="107">
        <v>400</v>
      </c>
      <c r="O43" s="22" t="s">
        <v>24</v>
      </c>
      <c r="AC43" s="24"/>
      <c r="AD43" s="24"/>
      <c r="AE43" s="24"/>
      <c r="AF43" s="24"/>
      <c r="AG43" s="24"/>
      <c r="AH43" s="24"/>
      <c r="AI43" s="25"/>
    </row>
    <row r="44" spans="1:35" s="23" customFormat="1" ht="15.95">
      <c r="A44" s="20" t="s">
        <v>50</v>
      </c>
      <c r="B44" s="20" t="s">
        <v>142</v>
      </c>
      <c r="C44" s="20" t="s">
        <v>19</v>
      </c>
      <c r="D44" s="6" t="s">
        <v>60</v>
      </c>
      <c r="E44" s="21" t="s">
        <v>140</v>
      </c>
      <c r="F44" s="20" t="s">
        <v>53</v>
      </c>
      <c r="G44" s="20">
        <v>40</v>
      </c>
      <c r="H44" s="29">
        <v>67</v>
      </c>
      <c r="I44" s="22">
        <v>43865</v>
      </c>
      <c r="J44" s="30">
        <v>2</v>
      </c>
      <c r="K44" s="107">
        <v>50.1</v>
      </c>
      <c r="L44" s="107">
        <v>0</v>
      </c>
      <c r="M44" s="20" t="s">
        <v>54</v>
      </c>
      <c r="N44" s="107">
        <v>200</v>
      </c>
      <c r="O44" s="22" t="s">
        <v>24</v>
      </c>
      <c r="AC44" s="24"/>
      <c r="AD44" s="24"/>
      <c r="AE44" s="24"/>
      <c r="AF44" s="24"/>
      <c r="AG44" s="24"/>
      <c r="AH44" s="24"/>
      <c r="AI44" s="25"/>
    </row>
    <row r="45" spans="1:35" s="23" customFormat="1" ht="15.95">
      <c r="A45" s="20" t="s">
        <v>50</v>
      </c>
      <c r="B45" s="20" t="s">
        <v>141</v>
      </c>
      <c r="C45" s="20" t="s">
        <v>19</v>
      </c>
      <c r="D45" s="6" t="s">
        <v>60</v>
      </c>
      <c r="E45" s="21" t="s">
        <v>143</v>
      </c>
      <c r="F45" s="20" t="s">
        <v>53</v>
      </c>
      <c r="G45" s="20">
        <v>40</v>
      </c>
      <c r="H45" s="29">
        <v>67</v>
      </c>
      <c r="I45" s="22">
        <v>43865</v>
      </c>
      <c r="J45" s="30">
        <v>2</v>
      </c>
      <c r="K45" s="107">
        <v>59.28</v>
      </c>
      <c r="L45" s="107">
        <v>250</v>
      </c>
      <c r="M45" s="20" t="s">
        <v>54</v>
      </c>
      <c r="N45" s="107">
        <v>200</v>
      </c>
      <c r="O45" s="22" t="s">
        <v>24</v>
      </c>
      <c r="AC45" s="24"/>
      <c r="AD45" s="24"/>
      <c r="AE45" s="24"/>
      <c r="AF45" s="24"/>
      <c r="AG45" s="24"/>
      <c r="AH45" s="24"/>
      <c r="AI45" s="25"/>
    </row>
    <row r="46" spans="1:35" s="23" customFormat="1" ht="15.95">
      <c r="A46" s="20" t="s">
        <v>50</v>
      </c>
      <c r="B46" s="20" t="s">
        <v>145</v>
      </c>
      <c r="C46" s="20" t="s">
        <v>19</v>
      </c>
      <c r="D46" s="6" t="s">
        <v>60</v>
      </c>
      <c r="E46" s="21" t="s">
        <v>143</v>
      </c>
      <c r="F46" s="20" t="s">
        <v>53</v>
      </c>
      <c r="G46" s="20">
        <v>40</v>
      </c>
      <c r="H46" s="29">
        <v>67</v>
      </c>
      <c r="I46" s="22">
        <v>43865</v>
      </c>
      <c r="J46" s="30">
        <v>2</v>
      </c>
      <c r="K46" s="107">
        <v>59.28</v>
      </c>
      <c r="L46" s="107">
        <v>0</v>
      </c>
      <c r="M46" s="20" t="s">
        <v>54</v>
      </c>
      <c r="N46" s="107">
        <v>400</v>
      </c>
      <c r="O46" s="22" t="s">
        <v>24</v>
      </c>
      <c r="AC46" s="24"/>
      <c r="AD46" s="24"/>
      <c r="AE46" s="24"/>
      <c r="AF46" s="24"/>
      <c r="AG46" s="24"/>
      <c r="AH46" s="24"/>
      <c r="AI46" s="25"/>
    </row>
    <row r="47" spans="1:35" s="23" customFormat="1" ht="15.95">
      <c r="A47" s="20" t="s">
        <v>50</v>
      </c>
      <c r="B47" s="20" t="s">
        <v>144</v>
      </c>
      <c r="C47" s="20" t="s">
        <v>19</v>
      </c>
      <c r="D47" s="6" t="s">
        <v>60</v>
      </c>
      <c r="E47" s="21" t="s">
        <v>140</v>
      </c>
      <c r="F47" s="20" t="s">
        <v>53</v>
      </c>
      <c r="G47" s="20">
        <v>40</v>
      </c>
      <c r="H47" s="29">
        <v>67</v>
      </c>
      <c r="I47" s="22">
        <v>43865</v>
      </c>
      <c r="J47" s="30">
        <v>2</v>
      </c>
      <c r="K47" s="107">
        <v>50.1</v>
      </c>
      <c r="L47" s="107">
        <v>0</v>
      </c>
      <c r="M47" s="20" t="s">
        <v>54</v>
      </c>
      <c r="N47" s="107">
        <v>200</v>
      </c>
      <c r="O47" s="22" t="s">
        <v>24</v>
      </c>
      <c r="AC47" s="24"/>
      <c r="AD47" s="24"/>
      <c r="AE47" s="24"/>
      <c r="AF47" s="24"/>
      <c r="AG47" s="24"/>
      <c r="AH47" s="24"/>
      <c r="AI47" s="25"/>
    </row>
    <row r="48" spans="1:35" s="23" customFormat="1" ht="15.95">
      <c r="A48" s="20" t="s">
        <v>50</v>
      </c>
      <c r="B48" s="20" t="s">
        <v>142</v>
      </c>
      <c r="C48" s="20" t="s">
        <v>19</v>
      </c>
      <c r="D48" s="6" t="s">
        <v>59</v>
      </c>
      <c r="E48" s="21" t="s">
        <v>140</v>
      </c>
      <c r="F48" s="20" t="s">
        <v>53</v>
      </c>
      <c r="G48" s="20">
        <v>40</v>
      </c>
      <c r="H48" s="29">
        <v>67</v>
      </c>
      <c r="I48" s="22">
        <v>43865</v>
      </c>
      <c r="J48" s="30">
        <v>2</v>
      </c>
      <c r="K48" s="107">
        <v>50.1</v>
      </c>
      <c r="L48" s="107">
        <v>0</v>
      </c>
      <c r="M48" s="20" t="s">
        <v>54</v>
      </c>
      <c r="N48" s="107">
        <v>200</v>
      </c>
      <c r="O48" s="22" t="s">
        <v>24</v>
      </c>
      <c r="AC48" s="24"/>
      <c r="AD48" s="24"/>
      <c r="AE48" s="24"/>
      <c r="AF48" s="24"/>
      <c r="AG48" s="24"/>
      <c r="AH48" s="24"/>
      <c r="AI48" s="25"/>
    </row>
    <row r="49" spans="1:35" s="23" customFormat="1" ht="15.95">
      <c r="A49" s="20" t="s">
        <v>50</v>
      </c>
      <c r="B49" s="20" t="s">
        <v>141</v>
      </c>
      <c r="C49" s="20" t="s">
        <v>19</v>
      </c>
      <c r="D49" s="6" t="s">
        <v>59</v>
      </c>
      <c r="E49" s="21" t="s">
        <v>143</v>
      </c>
      <c r="F49" s="20" t="s">
        <v>53</v>
      </c>
      <c r="G49" s="20">
        <v>40</v>
      </c>
      <c r="H49" s="29">
        <v>67</v>
      </c>
      <c r="I49" s="22">
        <v>43865</v>
      </c>
      <c r="J49" s="30">
        <v>2</v>
      </c>
      <c r="K49" s="107">
        <v>59.28</v>
      </c>
      <c r="L49" s="107">
        <v>0</v>
      </c>
      <c r="M49" s="20" t="s">
        <v>54</v>
      </c>
      <c r="N49" s="107">
        <v>200</v>
      </c>
      <c r="O49" s="22" t="s">
        <v>24</v>
      </c>
      <c r="AC49" s="24"/>
      <c r="AD49" s="24"/>
      <c r="AE49" s="24"/>
      <c r="AF49" s="24"/>
      <c r="AG49" s="24"/>
      <c r="AH49" s="24"/>
      <c r="AI49" s="25"/>
    </row>
    <row r="50" spans="1:35" s="23" customFormat="1" ht="15.95">
      <c r="A50" s="20" t="s">
        <v>50</v>
      </c>
      <c r="B50" s="20" t="s">
        <v>142</v>
      </c>
      <c r="C50" s="20" t="s">
        <v>19</v>
      </c>
      <c r="D50" s="6" t="s">
        <v>59</v>
      </c>
      <c r="E50" s="21" t="s">
        <v>146</v>
      </c>
      <c r="F50" s="20" t="s">
        <v>53</v>
      </c>
      <c r="G50" s="20">
        <v>40</v>
      </c>
      <c r="H50" s="29">
        <v>67</v>
      </c>
      <c r="I50" s="22">
        <v>43865</v>
      </c>
      <c r="J50" s="30">
        <v>2</v>
      </c>
      <c r="K50" s="107">
        <v>53.5</v>
      </c>
      <c r="L50" s="107">
        <v>107.9</v>
      </c>
      <c r="M50" s="20" t="s">
        <v>54</v>
      </c>
      <c r="N50" s="107">
        <v>200</v>
      </c>
      <c r="O50" s="22" t="s">
        <v>24</v>
      </c>
      <c r="AC50" s="24"/>
      <c r="AD50" s="24"/>
      <c r="AE50" s="24"/>
      <c r="AF50" s="24"/>
      <c r="AG50" s="24"/>
      <c r="AH50" s="24"/>
      <c r="AI50" s="25"/>
    </row>
    <row r="51" spans="1:35" s="23" customFormat="1" ht="15.95">
      <c r="A51" s="20" t="s">
        <v>50</v>
      </c>
      <c r="B51" s="20" t="s">
        <v>141</v>
      </c>
      <c r="C51" s="20" t="s">
        <v>19</v>
      </c>
      <c r="D51" s="6" t="s">
        <v>60</v>
      </c>
      <c r="E51" s="21" t="s">
        <v>143</v>
      </c>
      <c r="F51" s="20" t="s">
        <v>53</v>
      </c>
      <c r="G51" s="20">
        <v>40</v>
      </c>
      <c r="H51" s="29">
        <v>67</v>
      </c>
      <c r="I51" s="22">
        <v>43865</v>
      </c>
      <c r="J51" s="30">
        <v>2</v>
      </c>
      <c r="K51" s="107">
        <v>59.28</v>
      </c>
      <c r="L51" s="107">
        <v>0</v>
      </c>
      <c r="M51" s="20" t="s">
        <v>54</v>
      </c>
      <c r="N51" s="107">
        <v>200</v>
      </c>
      <c r="O51" s="22" t="s">
        <v>24</v>
      </c>
      <c r="AC51" s="24"/>
      <c r="AD51" s="24"/>
      <c r="AE51" s="24"/>
      <c r="AF51" s="24"/>
      <c r="AG51" s="24"/>
      <c r="AH51" s="24"/>
      <c r="AI51" s="25"/>
    </row>
    <row r="52" spans="1:35" s="23" customFormat="1" ht="15.95">
      <c r="A52" s="20" t="s">
        <v>50</v>
      </c>
      <c r="B52" s="20" t="s">
        <v>141</v>
      </c>
      <c r="C52" s="20" t="s">
        <v>19</v>
      </c>
      <c r="D52" s="6" t="s">
        <v>60</v>
      </c>
      <c r="E52" s="21" t="s">
        <v>140</v>
      </c>
      <c r="F52" s="20" t="s">
        <v>53</v>
      </c>
      <c r="G52" s="20">
        <v>40</v>
      </c>
      <c r="H52" s="29">
        <v>67</v>
      </c>
      <c r="I52" s="22">
        <v>43865</v>
      </c>
      <c r="J52" s="30">
        <v>2</v>
      </c>
      <c r="K52" s="107">
        <v>50.1</v>
      </c>
      <c r="L52" s="107">
        <v>0</v>
      </c>
      <c r="M52" s="20" t="s">
        <v>54</v>
      </c>
      <c r="N52" s="107">
        <v>200</v>
      </c>
      <c r="O52" s="22" t="s">
        <v>24</v>
      </c>
      <c r="AC52" s="24"/>
      <c r="AD52" s="24"/>
      <c r="AE52" s="24"/>
      <c r="AF52" s="24"/>
      <c r="AG52" s="24"/>
      <c r="AH52" s="24"/>
      <c r="AI52" s="25"/>
    </row>
    <row r="53" spans="1:35" s="23" customFormat="1" ht="15.95">
      <c r="A53" s="20" t="s">
        <v>50</v>
      </c>
      <c r="B53" s="20" t="s">
        <v>141</v>
      </c>
      <c r="C53" s="20" t="s">
        <v>19</v>
      </c>
      <c r="D53" s="6" t="s">
        <v>59</v>
      </c>
      <c r="E53" s="21" t="s">
        <v>146</v>
      </c>
      <c r="F53" s="20" t="s">
        <v>53</v>
      </c>
      <c r="G53" s="20">
        <v>40</v>
      </c>
      <c r="H53" s="29">
        <v>67</v>
      </c>
      <c r="I53" s="22">
        <v>43865</v>
      </c>
      <c r="J53" s="30">
        <v>2</v>
      </c>
      <c r="K53" s="107">
        <v>53.5</v>
      </c>
      <c r="L53" s="107">
        <v>0</v>
      </c>
      <c r="M53" s="20" t="s">
        <v>54</v>
      </c>
      <c r="N53" s="107">
        <v>200</v>
      </c>
      <c r="O53" s="22" t="s">
        <v>24</v>
      </c>
      <c r="AC53" s="24"/>
      <c r="AD53" s="24"/>
      <c r="AE53" s="24"/>
      <c r="AF53" s="24"/>
      <c r="AG53" s="24"/>
      <c r="AH53" s="24"/>
      <c r="AI53" s="25"/>
    </row>
    <row r="54" spans="1:35" s="23" customFormat="1" ht="15.95">
      <c r="A54" s="20" t="s">
        <v>50</v>
      </c>
      <c r="B54" s="20" t="s">
        <v>142</v>
      </c>
      <c r="C54" s="20" t="s">
        <v>19</v>
      </c>
      <c r="D54" s="6" t="s">
        <v>60</v>
      </c>
      <c r="E54" s="21" t="s">
        <v>140</v>
      </c>
      <c r="F54" s="20" t="s">
        <v>53</v>
      </c>
      <c r="G54" s="20">
        <v>40</v>
      </c>
      <c r="H54" s="29">
        <v>47</v>
      </c>
      <c r="I54" s="22">
        <v>44460</v>
      </c>
      <c r="J54" s="30">
        <v>1</v>
      </c>
      <c r="K54" s="107">
        <v>25.05</v>
      </c>
      <c r="L54" s="107">
        <v>0</v>
      </c>
      <c r="M54" s="20" t="s">
        <v>54</v>
      </c>
      <c r="N54" s="107">
        <v>400</v>
      </c>
      <c r="O54" s="22" t="s">
        <v>24</v>
      </c>
      <c r="AC54" s="24"/>
      <c r="AD54" s="24"/>
      <c r="AE54" s="24"/>
      <c r="AF54" s="24"/>
      <c r="AG54" s="24"/>
      <c r="AH54" s="24"/>
      <c r="AI54" s="25"/>
    </row>
    <row r="55" spans="1:35" s="23" customFormat="1" ht="15.95">
      <c r="A55" s="20" t="s">
        <v>50</v>
      </c>
      <c r="B55" s="20" t="s">
        <v>141</v>
      </c>
      <c r="C55" s="20" t="s">
        <v>19</v>
      </c>
      <c r="D55" s="6" t="s">
        <v>59</v>
      </c>
      <c r="E55" s="21" t="s">
        <v>143</v>
      </c>
      <c r="F55" s="20" t="s">
        <v>53</v>
      </c>
      <c r="G55" s="20">
        <v>40</v>
      </c>
      <c r="H55" s="29">
        <v>67</v>
      </c>
      <c r="I55" s="22">
        <v>43865</v>
      </c>
      <c r="J55" s="30">
        <v>2</v>
      </c>
      <c r="K55" s="107">
        <v>59.28</v>
      </c>
      <c r="L55" s="107">
        <v>0</v>
      </c>
      <c r="M55" s="20" t="s">
        <v>54</v>
      </c>
      <c r="N55" s="107">
        <v>200</v>
      </c>
      <c r="O55" s="22" t="s">
        <v>24</v>
      </c>
      <c r="AC55" s="24"/>
      <c r="AD55" s="24"/>
      <c r="AE55" s="24"/>
      <c r="AF55" s="24"/>
      <c r="AG55" s="24"/>
      <c r="AH55" s="24"/>
      <c r="AI55" s="25"/>
    </row>
    <row r="56" spans="1:35" s="23" customFormat="1" ht="15.95">
      <c r="A56" s="20" t="s">
        <v>50</v>
      </c>
      <c r="B56" s="20" t="s">
        <v>141</v>
      </c>
      <c r="C56" s="20" t="s">
        <v>19</v>
      </c>
      <c r="D56" s="6" t="s">
        <v>60</v>
      </c>
      <c r="E56" s="21" t="s">
        <v>140</v>
      </c>
      <c r="F56" s="20" t="s">
        <v>53</v>
      </c>
      <c r="G56" s="20">
        <v>40</v>
      </c>
      <c r="H56" s="29">
        <v>67</v>
      </c>
      <c r="I56" s="22">
        <v>43865</v>
      </c>
      <c r="J56" s="30">
        <v>2</v>
      </c>
      <c r="K56" s="107">
        <v>50.1</v>
      </c>
      <c r="L56" s="107">
        <v>0</v>
      </c>
      <c r="M56" s="20" t="s">
        <v>54</v>
      </c>
      <c r="N56" s="107">
        <v>400</v>
      </c>
      <c r="O56" s="22" t="s">
        <v>24</v>
      </c>
      <c r="AC56" s="24"/>
      <c r="AD56" s="24"/>
      <c r="AE56" s="24"/>
      <c r="AF56" s="24"/>
      <c r="AG56" s="24"/>
      <c r="AH56" s="24"/>
      <c r="AI56" s="25"/>
    </row>
    <row r="57" spans="1:35" s="23" customFormat="1" ht="15.95">
      <c r="A57" s="20" t="s">
        <v>50</v>
      </c>
      <c r="B57" s="20" t="s">
        <v>145</v>
      </c>
      <c r="C57" s="20" t="s">
        <v>19</v>
      </c>
      <c r="D57" s="6" t="s">
        <v>59</v>
      </c>
      <c r="E57" s="21" t="s">
        <v>140</v>
      </c>
      <c r="F57" s="20" t="s">
        <v>53</v>
      </c>
      <c r="G57" s="20">
        <v>40</v>
      </c>
      <c r="H57" s="29">
        <v>67</v>
      </c>
      <c r="I57" s="22">
        <v>43865</v>
      </c>
      <c r="J57" s="30">
        <v>2</v>
      </c>
      <c r="K57" s="107">
        <v>50.1</v>
      </c>
      <c r="L57" s="107">
        <v>167.95</v>
      </c>
      <c r="M57" s="20" t="s">
        <v>54</v>
      </c>
      <c r="N57" s="107">
        <v>200</v>
      </c>
      <c r="O57" s="22" t="s">
        <v>24</v>
      </c>
      <c r="AC57" s="24"/>
      <c r="AD57" s="24"/>
      <c r="AE57" s="24"/>
      <c r="AF57" s="24"/>
      <c r="AG57" s="24"/>
      <c r="AH57" s="24"/>
      <c r="AI57" s="25"/>
    </row>
    <row r="58" spans="1:35" s="26" customFormat="1" ht="15.95">
      <c r="A58" s="20" t="s">
        <v>50</v>
      </c>
      <c r="B58" s="20" t="s">
        <v>144</v>
      </c>
      <c r="C58" s="20" t="s">
        <v>19</v>
      </c>
      <c r="D58" s="6" t="s">
        <v>60</v>
      </c>
      <c r="E58" s="21" t="s">
        <v>140</v>
      </c>
      <c r="F58" s="20" t="s">
        <v>53</v>
      </c>
      <c r="G58" s="20">
        <v>40</v>
      </c>
      <c r="H58" s="29">
        <v>67</v>
      </c>
      <c r="I58" s="22">
        <v>43865</v>
      </c>
      <c r="J58" s="30">
        <v>2</v>
      </c>
      <c r="K58" s="107">
        <v>50.1</v>
      </c>
      <c r="L58" s="107">
        <v>0</v>
      </c>
      <c r="M58" s="20" t="s">
        <v>54</v>
      </c>
      <c r="N58" s="107">
        <v>200</v>
      </c>
      <c r="O58" s="22" t="s">
        <v>24</v>
      </c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</row>
    <row r="59" spans="1:35" s="26" customFormat="1" ht="15.95">
      <c r="A59" s="20" t="s">
        <v>50</v>
      </c>
      <c r="B59" s="20" t="s">
        <v>141</v>
      </c>
      <c r="C59" s="20" t="s">
        <v>19</v>
      </c>
      <c r="D59" s="6" t="s">
        <v>60</v>
      </c>
      <c r="E59" s="21" t="s">
        <v>140</v>
      </c>
      <c r="F59" s="20" t="s">
        <v>53</v>
      </c>
      <c r="G59" s="20">
        <v>40</v>
      </c>
      <c r="H59" s="29">
        <v>67</v>
      </c>
      <c r="I59" s="22">
        <v>43865</v>
      </c>
      <c r="J59" s="30">
        <v>2</v>
      </c>
      <c r="K59" s="107">
        <v>50.1</v>
      </c>
      <c r="L59" s="107">
        <v>0</v>
      </c>
      <c r="M59" s="20" t="s">
        <v>54</v>
      </c>
      <c r="N59" s="107">
        <v>200</v>
      </c>
      <c r="O59" s="22" t="s">
        <v>24</v>
      </c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</row>
    <row r="60" spans="1:35" s="26" customFormat="1" ht="15.95">
      <c r="D60" s="7"/>
      <c r="H60" s="32"/>
      <c r="I60" s="32"/>
      <c r="J60" s="32"/>
      <c r="K60" s="108"/>
      <c r="L60" s="108"/>
      <c r="M60" s="32"/>
      <c r="N60" s="108"/>
      <c r="O60" s="32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</row>
    <row r="61" spans="1:35" s="26" customFormat="1" ht="15.95">
      <c r="D61" s="7"/>
      <c r="H61" s="32"/>
      <c r="I61" s="32"/>
      <c r="J61" s="32"/>
      <c r="K61" s="108"/>
      <c r="L61" s="108"/>
      <c r="M61" s="32"/>
      <c r="N61" s="108"/>
      <c r="O61" s="32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 spans="1:35" s="26" customFormat="1" ht="15.95">
      <c r="D62" s="7"/>
      <c r="H62" s="32"/>
      <c r="I62" s="32"/>
      <c r="J62" s="32"/>
      <c r="K62" s="108"/>
      <c r="L62" s="108"/>
      <c r="M62" s="32"/>
      <c r="N62" s="108"/>
      <c r="O62" s="32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 spans="1:35" s="26" customFormat="1" ht="15.95">
      <c r="D63" s="7"/>
      <c r="H63" s="32"/>
      <c r="I63" s="32"/>
      <c r="J63" s="32"/>
      <c r="K63" s="108"/>
      <c r="L63" s="108"/>
      <c r="M63" s="32"/>
      <c r="N63" s="108"/>
      <c r="O63" s="32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 spans="1:35" s="26" customFormat="1" ht="15.95">
      <c r="D64" s="7"/>
      <c r="H64" s="32"/>
      <c r="I64" s="32"/>
      <c r="J64" s="32"/>
      <c r="K64" s="108"/>
      <c r="L64" s="108"/>
      <c r="M64" s="32"/>
      <c r="N64" s="108"/>
      <c r="O64" s="32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</row>
    <row r="65" spans="4:34" s="26" customFormat="1" ht="15.95">
      <c r="D65" s="7"/>
      <c r="H65" s="32"/>
      <c r="I65" s="32"/>
      <c r="J65" s="32"/>
      <c r="K65" s="108"/>
      <c r="L65" s="108"/>
      <c r="M65" s="32"/>
      <c r="N65" s="108"/>
      <c r="O65" s="32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</row>
    <row r="66" spans="4:34" s="26" customFormat="1" ht="15.95">
      <c r="D66" s="7"/>
      <c r="H66" s="32"/>
      <c r="I66" s="32"/>
      <c r="J66" s="32"/>
      <c r="K66" s="108"/>
      <c r="L66" s="108"/>
      <c r="M66" s="32"/>
      <c r="N66" s="108"/>
      <c r="O66" s="32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 spans="4:34" s="26" customFormat="1" ht="15.95">
      <c r="D67" s="7"/>
      <c r="H67" s="32"/>
      <c r="I67" s="32"/>
      <c r="J67" s="32"/>
      <c r="K67" s="108"/>
      <c r="L67" s="108"/>
      <c r="M67" s="32"/>
      <c r="N67" s="108"/>
      <c r="O67" s="32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 spans="4:34" s="26" customFormat="1" ht="15.95">
      <c r="D68" s="7"/>
      <c r="H68" s="32"/>
      <c r="I68" s="32"/>
      <c r="J68" s="32"/>
      <c r="K68" s="108"/>
      <c r="L68" s="108"/>
      <c r="M68" s="32"/>
      <c r="N68" s="108"/>
      <c r="O68" s="32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 spans="4:34" s="26" customFormat="1" ht="15.95">
      <c r="D69" s="7"/>
      <c r="H69" s="32"/>
      <c r="I69" s="32"/>
      <c r="J69" s="32"/>
      <c r="K69" s="108"/>
      <c r="L69" s="108"/>
      <c r="M69" s="32"/>
      <c r="N69" s="108"/>
      <c r="O69" s="32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 spans="4:34" s="26" customFormat="1" ht="15.95">
      <c r="D70" s="7"/>
      <c r="H70" s="32"/>
      <c r="I70" s="32"/>
      <c r="J70" s="32"/>
      <c r="K70" s="108"/>
      <c r="L70" s="108"/>
      <c r="M70" s="32"/>
      <c r="N70" s="108"/>
      <c r="O70" s="32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</row>
    <row r="71" spans="4:34" s="26" customFormat="1" ht="15.95">
      <c r="D71" s="7"/>
      <c r="H71" s="32"/>
      <c r="I71" s="32"/>
      <c r="J71" s="32"/>
      <c r="K71" s="108"/>
      <c r="L71" s="108"/>
      <c r="M71" s="32"/>
      <c r="N71" s="108"/>
      <c r="O71" s="32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</row>
    <row r="72" spans="4:34" s="26" customFormat="1" ht="15.95">
      <c r="D72" s="7"/>
      <c r="H72" s="32"/>
      <c r="I72" s="32"/>
      <c r="J72" s="32"/>
      <c r="K72" s="108"/>
      <c r="L72" s="108"/>
      <c r="M72" s="32"/>
      <c r="N72" s="108"/>
      <c r="O72" s="32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</row>
    <row r="73" spans="4:34" s="26" customFormat="1" ht="15.95">
      <c r="D73" s="7"/>
      <c r="H73" s="32"/>
      <c r="I73" s="32"/>
      <c r="J73" s="32"/>
      <c r="K73" s="108"/>
      <c r="L73" s="108"/>
      <c r="M73" s="32"/>
      <c r="N73" s="108"/>
      <c r="O73" s="32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spans="4:34" s="26" customFormat="1" ht="15.95">
      <c r="D74" s="7"/>
      <c r="H74" s="32"/>
      <c r="I74" s="32"/>
      <c r="J74" s="32"/>
      <c r="K74" s="108"/>
      <c r="L74" s="108"/>
      <c r="M74" s="32"/>
      <c r="N74" s="108"/>
      <c r="O74" s="32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4:34" s="26" customFormat="1" ht="15.95">
      <c r="D75" s="7"/>
      <c r="H75" s="32"/>
      <c r="I75" s="32"/>
      <c r="J75" s="32"/>
      <c r="K75" s="108"/>
      <c r="L75" s="108"/>
      <c r="M75" s="32"/>
      <c r="N75" s="108"/>
      <c r="O75" s="32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4:34" s="26" customFormat="1" ht="15.95">
      <c r="D76" s="7"/>
      <c r="H76" s="32"/>
      <c r="I76" s="32"/>
      <c r="J76" s="32"/>
      <c r="K76" s="108"/>
      <c r="L76" s="108"/>
      <c r="M76" s="32"/>
      <c r="N76" s="108"/>
      <c r="O76" s="32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4:34" s="26" customFormat="1" ht="15.95">
      <c r="D77" s="7"/>
      <c r="H77" s="32"/>
      <c r="I77" s="32"/>
      <c r="J77" s="32"/>
      <c r="K77" s="108"/>
      <c r="L77" s="108"/>
      <c r="M77" s="32"/>
      <c r="N77" s="108"/>
      <c r="O77" s="32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4:34" s="26" customFormat="1" ht="15.95">
      <c r="D78" s="7"/>
      <c r="H78" s="32"/>
      <c r="I78" s="32"/>
      <c r="J78" s="32"/>
      <c r="K78" s="108"/>
      <c r="L78" s="108"/>
      <c r="M78" s="32"/>
      <c r="N78" s="108"/>
      <c r="O78" s="32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</row>
    <row r="79" spans="4:34" s="26" customFormat="1" ht="15.95">
      <c r="D79" s="7"/>
      <c r="H79" s="32"/>
      <c r="I79" s="32"/>
      <c r="J79" s="32"/>
      <c r="K79" s="108"/>
      <c r="L79" s="108"/>
      <c r="M79" s="32"/>
      <c r="N79" s="108"/>
      <c r="O79" s="32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</row>
    <row r="80" spans="4:34" s="26" customFormat="1" ht="15.95">
      <c r="D80" s="7"/>
      <c r="H80" s="32"/>
      <c r="I80" s="32"/>
      <c r="J80" s="32"/>
      <c r="K80" s="108"/>
      <c r="L80" s="108"/>
      <c r="M80" s="32"/>
      <c r="N80" s="108"/>
      <c r="O80" s="32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</row>
    <row r="81" spans="4:34" s="26" customFormat="1" ht="15.95">
      <c r="D81" s="7"/>
      <c r="H81" s="32"/>
      <c r="I81" s="32"/>
      <c r="J81" s="32"/>
      <c r="K81" s="108"/>
      <c r="L81" s="108"/>
      <c r="M81" s="32"/>
      <c r="N81" s="108"/>
      <c r="O81" s="32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</row>
    <row r="82" spans="4:34" s="26" customFormat="1" ht="15.95">
      <c r="D82" s="7"/>
      <c r="H82" s="32"/>
      <c r="I82" s="32"/>
      <c r="J82" s="32"/>
      <c r="K82" s="108"/>
      <c r="L82" s="108"/>
      <c r="M82" s="32"/>
      <c r="N82" s="108"/>
      <c r="O82" s="32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</row>
    <row r="83" spans="4:34" s="26" customFormat="1" ht="15.95">
      <c r="D83" s="7"/>
      <c r="H83" s="32"/>
      <c r="I83" s="32"/>
      <c r="J83" s="32"/>
      <c r="K83" s="108"/>
      <c r="L83" s="108"/>
      <c r="M83" s="32"/>
      <c r="N83" s="108"/>
      <c r="O83" s="32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</row>
    <row r="84" spans="4:34" s="26" customFormat="1" ht="15.95">
      <c r="D84" s="7"/>
      <c r="H84" s="32"/>
      <c r="I84" s="32"/>
      <c r="J84" s="32"/>
      <c r="K84" s="108"/>
      <c r="L84" s="108"/>
      <c r="M84" s="32"/>
      <c r="N84" s="108"/>
      <c r="O84" s="32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</row>
    <row r="85" spans="4:34" s="26" customFormat="1" ht="15.95">
      <c r="D85" s="7"/>
      <c r="H85" s="32"/>
      <c r="I85" s="32"/>
      <c r="J85" s="32"/>
      <c r="K85" s="108"/>
      <c r="L85" s="108"/>
      <c r="M85" s="32"/>
      <c r="N85" s="108"/>
      <c r="O85" s="32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</row>
    <row r="86" spans="4:34" s="26" customFormat="1" ht="15.95">
      <c r="D86" s="7"/>
      <c r="H86" s="32"/>
      <c r="I86" s="32"/>
      <c r="J86" s="32"/>
      <c r="K86" s="108"/>
      <c r="L86" s="108"/>
      <c r="M86" s="32"/>
      <c r="N86" s="108"/>
      <c r="O86" s="32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 spans="4:34" s="26" customFormat="1" ht="15.95">
      <c r="D87" s="7"/>
      <c r="H87" s="32"/>
      <c r="I87" s="32"/>
      <c r="J87" s="32"/>
      <c r="K87" s="108"/>
      <c r="L87" s="108"/>
      <c r="M87" s="32"/>
      <c r="N87" s="108"/>
      <c r="O87" s="32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</row>
    <row r="88" spans="4:34" s="26" customFormat="1" ht="15.95">
      <c r="D88" s="7"/>
      <c r="H88" s="32"/>
      <c r="I88" s="32"/>
      <c r="J88" s="32"/>
      <c r="K88" s="108"/>
      <c r="L88" s="108"/>
      <c r="M88" s="32"/>
      <c r="N88" s="108"/>
      <c r="O88" s="32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</row>
    <row r="89" spans="4:34" s="26" customFormat="1" ht="15.95">
      <c r="D89" s="7"/>
      <c r="H89" s="32"/>
      <c r="I89" s="32"/>
      <c r="J89" s="32"/>
      <c r="K89" s="108"/>
      <c r="L89" s="108"/>
      <c r="M89" s="32"/>
      <c r="N89" s="108"/>
      <c r="O89" s="32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</row>
    <row r="90" spans="4:34" s="26" customFormat="1" ht="15.95">
      <c r="D90" s="7"/>
      <c r="H90" s="32"/>
      <c r="I90" s="32"/>
      <c r="J90" s="32"/>
      <c r="K90" s="108"/>
      <c r="L90" s="108"/>
      <c r="M90" s="32"/>
      <c r="N90" s="108"/>
      <c r="O90" s="32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</row>
    <row r="91" spans="4:34" s="26" customFormat="1" ht="15.95">
      <c r="D91" s="7"/>
      <c r="H91" s="32"/>
      <c r="I91" s="32"/>
      <c r="J91" s="32"/>
      <c r="K91" s="108"/>
      <c r="L91" s="108"/>
      <c r="M91" s="32"/>
      <c r="N91" s="108"/>
      <c r="O91" s="32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</row>
    <row r="92" spans="4:34" s="26" customFormat="1" ht="15.95">
      <c r="D92" s="7"/>
      <c r="H92" s="32"/>
      <c r="I92" s="32"/>
      <c r="J92" s="32"/>
      <c r="K92" s="108"/>
      <c r="L92" s="108"/>
      <c r="M92" s="32"/>
      <c r="N92" s="108"/>
      <c r="O92" s="32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</row>
    <row r="93" spans="4:34" s="26" customFormat="1" ht="15.95">
      <c r="D93" s="7"/>
      <c r="H93" s="32"/>
      <c r="I93" s="32"/>
      <c r="J93" s="32"/>
      <c r="K93" s="108"/>
      <c r="L93" s="108"/>
      <c r="M93" s="32"/>
      <c r="N93" s="108"/>
      <c r="O93" s="32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</row>
    <row r="94" spans="4:34" s="26" customFormat="1" ht="15.95">
      <c r="D94" s="7"/>
      <c r="H94" s="32"/>
      <c r="I94" s="32"/>
      <c r="J94" s="32"/>
      <c r="K94" s="108"/>
      <c r="L94" s="108"/>
      <c r="M94" s="32"/>
      <c r="N94" s="108"/>
      <c r="O94" s="32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</row>
    <row r="95" spans="4:34" s="26" customFormat="1" ht="15.95">
      <c r="D95" s="7"/>
      <c r="H95" s="32"/>
      <c r="I95" s="32"/>
      <c r="J95" s="32"/>
      <c r="K95" s="108"/>
      <c r="L95" s="108"/>
      <c r="M95" s="32"/>
      <c r="N95" s="108"/>
      <c r="O95" s="32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</row>
    <row r="96" spans="4:34" s="26" customFormat="1" ht="15.95">
      <c r="D96" s="7"/>
      <c r="H96" s="32"/>
      <c r="I96" s="32"/>
      <c r="J96" s="32"/>
      <c r="K96" s="108"/>
      <c r="L96" s="108"/>
      <c r="M96" s="32"/>
      <c r="N96" s="108"/>
      <c r="O96" s="32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</row>
    <row r="97" spans="4:34" s="26" customFormat="1" ht="15.95">
      <c r="D97" s="7"/>
      <c r="H97" s="32"/>
      <c r="I97" s="32"/>
      <c r="J97" s="32"/>
      <c r="K97" s="108"/>
      <c r="L97" s="108"/>
      <c r="M97" s="32"/>
      <c r="N97" s="108"/>
      <c r="O97" s="32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</row>
    <row r="98" spans="4:34" s="26" customFormat="1" ht="15.95">
      <c r="D98" s="7"/>
      <c r="H98" s="32"/>
      <c r="I98" s="32"/>
      <c r="J98" s="32"/>
      <c r="K98" s="108"/>
      <c r="L98" s="108"/>
      <c r="M98" s="32"/>
      <c r="N98" s="108"/>
      <c r="O98" s="32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</row>
    <row r="99" spans="4:34" s="26" customFormat="1" ht="15.95">
      <c r="D99" s="7"/>
      <c r="H99" s="32"/>
      <c r="I99" s="32"/>
      <c r="J99" s="32"/>
      <c r="K99" s="108"/>
      <c r="L99" s="108"/>
      <c r="M99" s="32"/>
      <c r="N99" s="108"/>
      <c r="O99" s="32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</row>
    <row r="100" spans="4:34" s="26" customFormat="1" ht="15.95">
      <c r="D100" s="7"/>
      <c r="H100" s="32"/>
      <c r="I100" s="32"/>
      <c r="J100" s="32"/>
      <c r="K100" s="108"/>
      <c r="L100" s="108"/>
      <c r="M100" s="32"/>
      <c r="N100" s="108"/>
      <c r="O100" s="32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</row>
    <row r="101" spans="4:34" s="26" customFormat="1" ht="15.95">
      <c r="D101" s="7"/>
      <c r="H101" s="32"/>
      <c r="I101" s="32"/>
      <c r="J101" s="32"/>
      <c r="K101" s="108"/>
      <c r="L101" s="108"/>
      <c r="M101" s="32"/>
      <c r="N101" s="108"/>
      <c r="O101" s="32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</row>
    <row r="102" spans="4:34" s="26" customFormat="1" ht="15.95">
      <c r="D102" s="7"/>
      <c r="H102" s="32"/>
      <c r="I102" s="32"/>
      <c r="J102" s="32"/>
      <c r="K102" s="108"/>
      <c r="L102" s="108"/>
      <c r="M102" s="32"/>
      <c r="N102" s="108"/>
      <c r="O102" s="32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</row>
    <row r="103" spans="4:34" s="26" customFormat="1" ht="15.95">
      <c r="D103" s="7"/>
      <c r="H103" s="32"/>
      <c r="I103" s="32"/>
      <c r="J103" s="32"/>
      <c r="K103" s="108"/>
      <c r="L103" s="108"/>
      <c r="M103" s="32"/>
      <c r="N103" s="108"/>
      <c r="O103" s="32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</row>
    <row r="104" spans="4:34" s="26" customFormat="1" ht="15.95">
      <c r="D104" s="7"/>
      <c r="H104" s="32"/>
      <c r="I104" s="32"/>
      <c r="J104" s="32"/>
      <c r="K104" s="108"/>
      <c r="L104" s="108"/>
      <c r="M104" s="32"/>
      <c r="N104" s="108"/>
      <c r="O104" s="32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</row>
    <row r="105" spans="4:34" s="26" customFormat="1" ht="15.95">
      <c r="D105" s="7"/>
      <c r="H105" s="32"/>
      <c r="I105" s="32"/>
      <c r="J105" s="32"/>
      <c r="K105" s="108"/>
      <c r="L105" s="108"/>
      <c r="M105" s="32"/>
      <c r="N105" s="108"/>
      <c r="O105" s="32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</row>
    <row r="106" spans="4:34" s="26" customFormat="1" ht="15.95">
      <c r="D106" s="7"/>
      <c r="H106" s="32"/>
      <c r="I106" s="32"/>
      <c r="J106" s="32"/>
      <c r="K106" s="108"/>
      <c r="L106" s="108"/>
      <c r="M106" s="32"/>
      <c r="N106" s="108"/>
      <c r="O106" s="32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</row>
    <row r="107" spans="4:34" s="26" customFormat="1" ht="15.95">
      <c r="D107" s="7"/>
      <c r="H107" s="32"/>
      <c r="I107" s="32"/>
      <c r="J107" s="32"/>
      <c r="K107" s="108"/>
      <c r="L107" s="108"/>
      <c r="M107" s="32"/>
      <c r="N107" s="108"/>
      <c r="O107" s="32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</row>
    <row r="108" spans="4:34" s="26" customFormat="1" ht="15.95">
      <c r="D108" s="7"/>
      <c r="H108" s="32"/>
      <c r="I108" s="32"/>
      <c r="J108" s="32"/>
      <c r="K108" s="108"/>
      <c r="L108" s="108"/>
      <c r="M108" s="32"/>
      <c r="N108" s="108"/>
      <c r="O108" s="32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 spans="4:34" s="26" customFormat="1" ht="15.95">
      <c r="D109" s="7"/>
      <c r="H109" s="32"/>
      <c r="I109" s="32"/>
      <c r="J109" s="32"/>
      <c r="K109" s="108"/>
      <c r="L109" s="108"/>
      <c r="M109" s="32"/>
      <c r="N109" s="108"/>
      <c r="O109" s="32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</row>
    <row r="110" spans="4:34" s="26" customFormat="1" ht="15.95">
      <c r="D110" s="7"/>
      <c r="H110" s="32"/>
      <c r="I110" s="32"/>
      <c r="J110" s="32"/>
      <c r="K110" s="108"/>
      <c r="L110" s="108"/>
      <c r="M110" s="32"/>
      <c r="N110" s="108"/>
      <c r="O110" s="32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 spans="4:34" s="26" customFormat="1" ht="15.95">
      <c r="D111" s="7"/>
      <c r="H111" s="32"/>
      <c r="I111" s="32"/>
      <c r="J111" s="32"/>
      <c r="K111" s="108"/>
      <c r="L111" s="108"/>
      <c r="M111" s="32"/>
      <c r="N111" s="108"/>
      <c r="O111" s="32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 spans="4:34" s="26" customFormat="1" ht="15.95">
      <c r="D112" s="7"/>
      <c r="H112" s="32"/>
      <c r="I112" s="32"/>
      <c r="J112" s="32"/>
      <c r="K112" s="108"/>
      <c r="L112" s="108"/>
      <c r="M112" s="32"/>
      <c r="N112" s="108"/>
      <c r="O112" s="32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</row>
    <row r="113" spans="4:34" s="26" customFormat="1" ht="15.95">
      <c r="D113" s="7"/>
      <c r="H113" s="32"/>
      <c r="I113" s="32"/>
      <c r="J113" s="32"/>
      <c r="K113" s="108"/>
      <c r="L113" s="108"/>
      <c r="M113" s="32"/>
      <c r="N113" s="108"/>
      <c r="O113" s="32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 spans="4:34" s="26" customFormat="1" ht="15.95">
      <c r="D114" s="7"/>
      <c r="H114" s="32"/>
      <c r="I114" s="32"/>
      <c r="J114" s="32"/>
      <c r="K114" s="108"/>
      <c r="L114" s="108"/>
      <c r="M114" s="32"/>
      <c r="N114" s="108"/>
      <c r="O114" s="32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</row>
    <row r="115" spans="4:34" s="26" customFormat="1" ht="15.95">
      <c r="D115" s="7"/>
      <c r="H115" s="32"/>
      <c r="I115" s="32"/>
      <c r="J115" s="32"/>
      <c r="K115" s="108"/>
      <c r="L115" s="108"/>
      <c r="M115" s="32"/>
      <c r="N115" s="108"/>
      <c r="O115" s="32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 spans="4:34" s="26" customFormat="1" ht="15.95">
      <c r="D116" s="7"/>
      <c r="H116" s="32"/>
      <c r="I116" s="32"/>
      <c r="J116" s="32"/>
      <c r="K116" s="108"/>
      <c r="L116" s="108"/>
      <c r="M116" s="32"/>
      <c r="N116" s="108"/>
      <c r="O116" s="32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 spans="4:34" s="26" customFormat="1" ht="15.95">
      <c r="D117" s="7"/>
      <c r="H117" s="32"/>
      <c r="I117" s="32"/>
      <c r="J117" s="32"/>
      <c r="K117" s="108"/>
      <c r="L117" s="108"/>
      <c r="M117" s="32"/>
      <c r="N117" s="108"/>
      <c r="O117" s="32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</row>
    <row r="118" spans="4:34" s="26" customFormat="1" ht="15.95">
      <c r="D118" s="7"/>
      <c r="H118" s="32"/>
      <c r="I118" s="32"/>
      <c r="J118" s="32"/>
      <c r="K118" s="108"/>
      <c r="L118" s="108"/>
      <c r="M118" s="32"/>
      <c r="N118" s="108"/>
      <c r="O118" s="32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 spans="4:34" s="26" customFormat="1" ht="15.95">
      <c r="D119" s="7"/>
      <c r="H119" s="32"/>
      <c r="I119" s="32"/>
      <c r="J119" s="32"/>
      <c r="K119" s="108"/>
      <c r="L119" s="108"/>
      <c r="M119" s="32"/>
      <c r="N119" s="108"/>
      <c r="O119" s="32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 spans="4:34" s="26" customFormat="1" ht="15.95">
      <c r="D120" s="7"/>
      <c r="H120" s="32"/>
      <c r="I120" s="32"/>
      <c r="J120" s="32"/>
      <c r="K120" s="108"/>
      <c r="L120" s="108"/>
      <c r="M120" s="32"/>
      <c r="N120" s="108"/>
      <c r="O120" s="32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</row>
    <row r="121" spans="4:34" s="26" customFormat="1" ht="15.95">
      <c r="D121" s="7"/>
      <c r="H121" s="32"/>
      <c r="I121" s="32"/>
      <c r="J121" s="32"/>
      <c r="K121" s="108"/>
      <c r="L121" s="108"/>
      <c r="M121" s="32"/>
      <c r="N121" s="108"/>
      <c r="O121" s="32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</row>
    <row r="122" spans="4:34" s="26" customFormat="1" ht="15.95">
      <c r="D122" s="7"/>
      <c r="H122" s="32"/>
      <c r="I122" s="32"/>
      <c r="J122" s="32"/>
      <c r="K122" s="108"/>
      <c r="L122" s="108"/>
      <c r="M122" s="32"/>
      <c r="N122" s="108"/>
      <c r="O122" s="32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 spans="4:34" s="26" customFormat="1" ht="15.95">
      <c r="D123" s="7"/>
      <c r="H123" s="32"/>
      <c r="I123" s="32"/>
      <c r="J123" s="32"/>
      <c r="K123" s="108"/>
      <c r="L123" s="108"/>
      <c r="M123" s="32"/>
      <c r="N123" s="108"/>
      <c r="O123" s="32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</row>
    <row r="124" spans="4:34" s="26" customFormat="1" ht="15.95">
      <c r="D124" s="7"/>
      <c r="H124" s="32"/>
      <c r="I124" s="32"/>
      <c r="J124" s="32"/>
      <c r="K124" s="108"/>
      <c r="L124" s="108"/>
      <c r="M124" s="32"/>
      <c r="N124" s="108"/>
      <c r="O124" s="32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</row>
    <row r="125" spans="4:34" s="26" customFormat="1" ht="15.95">
      <c r="D125" s="7"/>
      <c r="H125" s="32"/>
      <c r="I125" s="32"/>
      <c r="J125" s="32"/>
      <c r="K125" s="108"/>
      <c r="L125" s="108"/>
      <c r="M125" s="32"/>
      <c r="N125" s="108"/>
      <c r="O125" s="32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</row>
    <row r="126" spans="4:34" s="26" customFormat="1" ht="15.95">
      <c r="D126" s="7"/>
      <c r="H126" s="32"/>
      <c r="I126" s="32"/>
      <c r="J126" s="32"/>
      <c r="K126" s="108"/>
      <c r="L126" s="108"/>
      <c r="M126" s="32"/>
      <c r="N126" s="108"/>
      <c r="O126" s="32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</row>
    <row r="127" spans="4:34" s="26" customFormat="1" ht="15.95">
      <c r="D127" s="7"/>
      <c r="H127" s="32"/>
      <c r="I127" s="32"/>
      <c r="J127" s="32"/>
      <c r="K127" s="108"/>
      <c r="L127" s="108"/>
      <c r="M127" s="32"/>
      <c r="N127" s="108"/>
      <c r="O127" s="32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</row>
    <row r="128" spans="4:34" s="26" customFormat="1" ht="15.95">
      <c r="D128" s="7"/>
      <c r="H128" s="32"/>
      <c r="I128" s="32"/>
      <c r="J128" s="32"/>
      <c r="K128" s="108"/>
      <c r="L128" s="108"/>
      <c r="M128" s="32"/>
      <c r="N128" s="108"/>
      <c r="O128" s="32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</row>
    <row r="129" spans="4:34" s="26" customFormat="1" ht="15.95">
      <c r="D129" s="7"/>
      <c r="H129" s="32"/>
      <c r="I129" s="32"/>
      <c r="J129" s="32"/>
      <c r="K129" s="108"/>
      <c r="L129" s="108"/>
      <c r="M129" s="32"/>
      <c r="N129" s="108"/>
      <c r="O129" s="32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</row>
    <row r="130" spans="4:34" s="26" customFormat="1" ht="15.95">
      <c r="D130" s="7"/>
      <c r="H130" s="32"/>
      <c r="I130" s="32"/>
      <c r="J130" s="32"/>
      <c r="K130" s="108"/>
      <c r="L130" s="108"/>
      <c r="M130" s="32"/>
      <c r="N130" s="108"/>
      <c r="O130" s="32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</row>
    <row r="131" spans="4:34" s="26" customFormat="1" ht="15.95">
      <c r="D131" s="7"/>
      <c r="H131" s="32"/>
      <c r="I131" s="32"/>
      <c r="J131" s="32"/>
      <c r="K131" s="108"/>
      <c r="L131" s="108"/>
      <c r="M131" s="32"/>
      <c r="N131" s="108"/>
      <c r="O131" s="32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</row>
    <row r="132" spans="4:34" s="26" customFormat="1" ht="15.95">
      <c r="D132" s="7"/>
      <c r="H132" s="32"/>
      <c r="I132" s="32"/>
      <c r="J132" s="32"/>
      <c r="K132" s="108"/>
      <c r="L132" s="108"/>
      <c r="M132" s="32"/>
      <c r="N132" s="108"/>
      <c r="O132" s="32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</row>
    <row r="133" spans="4:34" s="26" customFormat="1" ht="15.95">
      <c r="D133" s="7"/>
      <c r="H133" s="32"/>
      <c r="I133" s="32"/>
      <c r="J133" s="32"/>
      <c r="K133" s="108"/>
      <c r="L133" s="108"/>
      <c r="M133" s="32"/>
      <c r="N133" s="108"/>
      <c r="O133" s="32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</row>
    <row r="134" spans="4:34" s="26" customFormat="1" ht="15.95">
      <c r="D134" s="7"/>
      <c r="H134" s="32"/>
      <c r="I134" s="32"/>
      <c r="J134" s="32"/>
      <c r="K134" s="108"/>
      <c r="L134" s="108"/>
      <c r="M134" s="32"/>
      <c r="N134" s="108"/>
      <c r="O134" s="32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 spans="4:34" s="26" customFormat="1" ht="15.95">
      <c r="D135" s="7"/>
      <c r="H135" s="32"/>
      <c r="I135" s="32"/>
      <c r="J135" s="32"/>
      <c r="K135" s="108"/>
      <c r="L135" s="108"/>
      <c r="M135" s="32"/>
      <c r="N135" s="108"/>
      <c r="O135" s="32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</row>
    <row r="136" spans="4:34" s="26" customFormat="1" ht="15.95">
      <c r="D136" s="7"/>
      <c r="H136" s="32"/>
      <c r="I136" s="32"/>
      <c r="J136" s="32"/>
      <c r="K136" s="108"/>
      <c r="L136" s="108"/>
      <c r="M136" s="32"/>
      <c r="N136" s="108"/>
      <c r="O136" s="32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</row>
    <row r="137" spans="4:34" s="26" customFormat="1" ht="15.95">
      <c r="D137" s="7"/>
      <c r="H137" s="32"/>
      <c r="I137" s="32"/>
      <c r="J137" s="32"/>
      <c r="K137" s="108"/>
      <c r="L137" s="108"/>
      <c r="M137" s="32"/>
      <c r="N137" s="108"/>
      <c r="O137" s="32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 spans="4:34" s="26" customFormat="1" ht="15.95">
      <c r="D138" s="7"/>
      <c r="H138" s="32"/>
      <c r="I138" s="32"/>
      <c r="J138" s="32"/>
      <c r="K138" s="108"/>
      <c r="L138" s="108"/>
      <c r="M138" s="32"/>
      <c r="N138" s="108"/>
      <c r="O138" s="32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</row>
    <row r="139" spans="4:34" s="26" customFormat="1" ht="15.95">
      <c r="D139" s="7"/>
      <c r="H139" s="32"/>
      <c r="I139" s="32"/>
      <c r="J139" s="32"/>
      <c r="K139" s="108"/>
      <c r="L139" s="108"/>
      <c r="M139" s="32"/>
      <c r="N139" s="108"/>
      <c r="O139" s="32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</row>
    <row r="140" spans="4:34" s="26" customFormat="1" ht="15.95">
      <c r="D140" s="7"/>
      <c r="H140" s="32"/>
      <c r="I140" s="32"/>
      <c r="J140" s="32"/>
      <c r="K140" s="108"/>
      <c r="L140" s="108"/>
      <c r="M140" s="32"/>
      <c r="N140" s="108"/>
      <c r="O140" s="32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 spans="4:34" s="26" customFormat="1" ht="15.95">
      <c r="D141" s="7"/>
      <c r="H141" s="32"/>
      <c r="I141" s="32"/>
      <c r="J141" s="32"/>
      <c r="K141" s="108"/>
      <c r="L141" s="108"/>
      <c r="M141" s="32"/>
      <c r="N141" s="108"/>
      <c r="O141" s="32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</row>
    <row r="142" spans="4:34" s="26" customFormat="1" ht="15.95">
      <c r="D142" s="7"/>
      <c r="H142" s="32"/>
      <c r="I142" s="32"/>
      <c r="J142" s="32"/>
      <c r="K142" s="108"/>
      <c r="L142" s="108"/>
      <c r="M142" s="32"/>
      <c r="N142" s="108"/>
      <c r="O142" s="32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</row>
    <row r="143" spans="4:34" s="26" customFormat="1" ht="15.95">
      <c r="D143" s="7"/>
      <c r="H143" s="32"/>
      <c r="I143" s="32"/>
      <c r="J143" s="32"/>
      <c r="K143" s="108"/>
      <c r="L143" s="108"/>
      <c r="M143" s="32"/>
      <c r="N143" s="108"/>
      <c r="O143" s="32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</row>
    <row r="144" spans="4:34" s="26" customFormat="1" ht="15.95">
      <c r="D144" s="7"/>
      <c r="H144" s="32"/>
      <c r="I144" s="32"/>
      <c r="J144" s="32"/>
      <c r="K144" s="108"/>
      <c r="L144" s="108"/>
      <c r="M144" s="32"/>
      <c r="N144" s="108"/>
      <c r="O144" s="32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</row>
    <row r="145" spans="4:34" s="26" customFormat="1" ht="15.95">
      <c r="D145" s="7"/>
      <c r="H145" s="32"/>
      <c r="I145" s="32"/>
      <c r="J145" s="32"/>
      <c r="K145" s="108"/>
      <c r="L145" s="108"/>
      <c r="M145" s="32"/>
      <c r="N145" s="108"/>
      <c r="O145" s="32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</row>
    <row r="146" spans="4:34" s="26" customFormat="1" ht="15.95">
      <c r="D146" s="7"/>
      <c r="H146" s="32"/>
      <c r="I146" s="32"/>
      <c r="J146" s="32"/>
      <c r="K146" s="108"/>
      <c r="L146" s="108"/>
      <c r="M146" s="32"/>
      <c r="N146" s="108"/>
      <c r="O146" s="32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</row>
    <row r="147" spans="4:34" s="26" customFormat="1" ht="15.95">
      <c r="D147" s="7"/>
      <c r="H147" s="32"/>
      <c r="I147" s="32"/>
      <c r="J147" s="32"/>
      <c r="K147" s="108"/>
      <c r="L147" s="108"/>
      <c r="M147" s="32"/>
      <c r="N147" s="108"/>
      <c r="O147" s="32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</row>
    <row r="148" spans="4:34" s="26" customFormat="1" ht="15.95">
      <c r="D148" s="7"/>
      <c r="H148" s="32"/>
      <c r="I148" s="32"/>
      <c r="J148" s="32"/>
      <c r="K148" s="108"/>
      <c r="L148" s="108"/>
      <c r="M148" s="32"/>
      <c r="N148" s="108"/>
      <c r="O148" s="32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</row>
    <row r="149" spans="4:34" s="26" customFormat="1" ht="15.95">
      <c r="D149" s="7"/>
      <c r="H149" s="32"/>
      <c r="I149" s="32"/>
      <c r="J149" s="32"/>
      <c r="K149" s="108"/>
      <c r="L149" s="108"/>
      <c r="M149" s="32"/>
      <c r="N149" s="108"/>
      <c r="O149" s="32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</row>
    <row r="150" spans="4:34" s="26" customFormat="1" ht="15.95">
      <c r="D150" s="7"/>
      <c r="H150" s="32"/>
      <c r="I150" s="32"/>
      <c r="J150" s="32"/>
      <c r="K150" s="108"/>
      <c r="L150" s="108"/>
      <c r="M150" s="32"/>
      <c r="N150" s="108"/>
      <c r="O150" s="32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</row>
    <row r="151" spans="4:34" s="26" customFormat="1" ht="15.95">
      <c r="D151" s="7"/>
      <c r="H151" s="32"/>
      <c r="I151" s="32"/>
      <c r="J151" s="32"/>
      <c r="K151" s="108"/>
      <c r="L151" s="108"/>
      <c r="M151" s="32"/>
      <c r="N151" s="108"/>
      <c r="O151" s="32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</row>
    <row r="152" spans="4:34" s="26" customFormat="1" ht="15.95">
      <c r="D152" s="7"/>
      <c r="H152" s="32"/>
      <c r="I152" s="32"/>
      <c r="J152" s="32"/>
      <c r="K152" s="108"/>
      <c r="L152" s="108"/>
      <c r="M152" s="32"/>
      <c r="N152" s="108"/>
      <c r="O152" s="32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</row>
    <row r="153" spans="4:34" s="26" customFormat="1" ht="15.95">
      <c r="D153" s="7"/>
      <c r="H153" s="32"/>
      <c r="I153" s="32"/>
      <c r="J153" s="32"/>
      <c r="K153" s="108"/>
      <c r="L153" s="108"/>
      <c r="M153" s="32"/>
      <c r="N153" s="108"/>
      <c r="O153" s="32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</row>
    <row r="154" spans="4:34" s="26" customFormat="1" ht="15.95">
      <c r="D154" s="7"/>
      <c r="H154" s="32"/>
      <c r="I154" s="32"/>
      <c r="J154" s="32"/>
      <c r="K154" s="108"/>
      <c r="L154" s="108"/>
      <c r="M154" s="32"/>
      <c r="N154" s="108"/>
      <c r="O154" s="32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 spans="4:34" s="26" customFormat="1" ht="15.95">
      <c r="D155" s="7"/>
      <c r="H155" s="32"/>
      <c r="I155" s="32"/>
      <c r="J155" s="32"/>
      <c r="K155" s="108"/>
      <c r="L155" s="108"/>
      <c r="M155" s="32"/>
      <c r="N155" s="108"/>
      <c r="O155" s="32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</row>
    <row r="156" spans="4:34" s="26" customFormat="1" ht="15.95">
      <c r="D156" s="7"/>
      <c r="H156" s="32"/>
      <c r="I156" s="32"/>
      <c r="J156" s="32"/>
      <c r="K156" s="108"/>
      <c r="L156" s="108"/>
      <c r="M156" s="32"/>
      <c r="N156" s="108"/>
      <c r="O156" s="32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</row>
    <row r="157" spans="4:34" s="26" customFormat="1" ht="15.95">
      <c r="D157" s="7"/>
      <c r="H157" s="32"/>
      <c r="I157" s="32"/>
      <c r="J157" s="32"/>
      <c r="K157" s="108"/>
      <c r="L157" s="108"/>
      <c r="M157" s="32"/>
      <c r="N157" s="108"/>
      <c r="O157" s="32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</row>
    <row r="158" spans="4:34" s="26" customFormat="1" ht="15.95">
      <c r="D158" s="7"/>
      <c r="H158" s="32"/>
      <c r="I158" s="32"/>
      <c r="J158" s="32"/>
      <c r="K158" s="108"/>
      <c r="L158" s="108"/>
      <c r="M158" s="32"/>
      <c r="N158" s="108"/>
      <c r="O158" s="32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</row>
    <row r="159" spans="4:34" s="26" customFormat="1" ht="15.95">
      <c r="D159" s="7"/>
      <c r="H159" s="32"/>
      <c r="I159" s="32"/>
      <c r="J159" s="32"/>
      <c r="K159" s="108"/>
      <c r="L159" s="108"/>
      <c r="M159" s="32"/>
      <c r="N159" s="108"/>
      <c r="O159" s="32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</row>
    <row r="160" spans="4:34" s="26" customFormat="1" ht="15.95">
      <c r="D160" s="7"/>
      <c r="H160" s="32"/>
      <c r="I160" s="32"/>
      <c r="J160" s="32"/>
      <c r="K160" s="108"/>
      <c r="L160" s="108"/>
      <c r="M160" s="32"/>
      <c r="N160" s="108"/>
      <c r="O160" s="32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</row>
    <row r="161" spans="4:34" s="26" customFormat="1" ht="15.95">
      <c r="D161" s="7"/>
      <c r="H161" s="32"/>
      <c r="I161" s="32"/>
      <c r="J161" s="32"/>
      <c r="K161" s="108"/>
      <c r="L161" s="108"/>
      <c r="M161" s="32"/>
      <c r="N161" s="108"/>
      <c r="O161" s="32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</row>
    <row r="162" spans="4:34" s="26" customFormat="1" ht="15.95">
      <c r="D162" s="7"/>
      <c r="H162" s="32"/>
      <c r="I162" s="32"/>
      <c r="J162" s="32"/>
      <c r="K162" s="108"/>
      <c r="L162" s="108"/>
      <c r="M162" s="32"/>
      <c r="N162" s="108"/>
      <c r="O162" s="32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</row>
    <row r="163" spans="4:34" s="26" customFormat="1" ht="15.95">
      <c r="D163" s="7"/>
      <c r="H163" s="32"/>
      <c r="I163" s="32"/>
      <c r="J163" s="32"/>
      <c r="K163" s="108"/>
      <c r="L163" s="108"/>
      <c r="M163" s="32"/>
      <c r="N163" s="108"/>
      <c r="O163" s="32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</row>
    <row r="164" spans="4:34" s="26" customFormat="1" ht="15.95">
      <c r="D164" s="7"/>
      <c r="H164" s="32"/>
      <c r="I164" s="32"/>
      <c r="J164" s="32"/>
      <c r="K164" s="108"/>
      <c r="L164" s="108"/>
      <c r="M164" s="32"/>
      <c r="N164" s="108"/>
      <c r="O164" s="32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</row>
    <row r="165" spans="4:34" s="26" customFormat="1" ht="15.95">
      <c r="D165" s="7"/>
      <c r="H165" s="32"/>
      <c r="I165" s="32"/>
      <c r="J165" s="32"/>
      <c r="K165" s="108"/>
      <c r="L165" s="108"/>
      <c r="M165" s="32"/>
      <c r="N165" s="108"/>
      <c r="O165" s="32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</row>
    <row r="166" spans="4:34" s="26" customFormat="1" ht="15.95">
      <c r="D166" s="7"/>
      <c r="H166" s="32"/>
      <c r="I166" s="32"/>
      <c r="J166" s="32"/>
      <c r="K166" s="108"/>
      <c r="L166" s="108"/>
      <c r="M166" s="32"/>
      <c r="N166" s="108"/>
      <c r="O166" s="32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</row>
    <row r="167" spans="4:34" s="26" customFormat="1" ht="15.95">
      <c r="D167" s="7"/>
      <c r="H167" s="32"/>
      <c r="I167" s="32"/>
      <c r="J167" s="32"/>
      <c r="K167" s="108"/>
      <c r="L167" s="108"/>
      <c r="M167" s="32"/>
      <c r="N167" s="108"/>
      <c r="O167" s="32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</row>
    <row r="168" spans="4:34" s="26" customFormat="1" ht="15.95">
      <c r="D168" s="7"/>
      <c r="H168" s="32"/>
      <c r="I168" s="32"/>
      <c r="J168" s="32"/>
      <c r="K168" s="108"/>
      <c r="L168" s="108"/>
      <c r="M168" s="32"/>
      <c r="N168" s="108"/>
      <c r="O168" s="32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</row>
    <row r="169" spans="4:34" s="26" customFormat="1" ht="15.95">
      <c r="D169" s="7"/>
      <c r="H169" s="32"/>
      <c r="I169" s="32"/>
      <c r="J169" s="32"/>
      <c r="K169" s="108"/>
      <c r="L169" s="108"/>
      <c r="M169" s="32"/>
      <c r="N169" s="108"/>
      <c r="O169" s="32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</row>
    <row r="170" spans="4:34" s="26" customFormat="1" ht="15.95">
      <c r="D170" s="7"/>
      <c r="H170" s="32"/>
      <c r="I170" s="32"/>
      <c r="J170" s="32"/>
      <c r="K170" s="108"/>
      <c r="L170" s="108"/>
      <c r="M170" s="32"/>
      <c r="N170" s="108"/>
      <c r="O170" s="32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</row>
    <row r="171" spans="4:34" s="26" customFormat="1" ht="15.95">
      <c r="D171" s="7"/>
      <c r="H171" s="32"/>
      <c r="I171" s="32"/>
      <c r="J171" s="32"/>
      <c r="K171" s="108"/>
      <c r="L171" s="108"/>
      <c r="M171" s="32"/>
      <c r="N171" s="108"/>
      <c r="O171" s="32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</row>
    <row r="172" spans="4:34" s="26" customFormat="1" ht="15.95">
      <c r="D172" s="7"/>
      <c r="H172" s="32"/>
      <c r="I172" s="32"/>
      <c r="J172" s="32"/>
      <c r="K172" s="108"/>
      <c r="L172" s="108"/>
      <c r="M172" s="32"/>
      <c r="N172" s="108"/>
      <c r="O172" s="32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</row>
    <row r="173" spans="4:34" s="26" customFormat="1" ht="15.95">
      <c r="D173" s="7"/>
      <c r="H173" s="32"/>
      <c r="I173" s="32"/>
      <c r="J173" s="32"/>
      <c r="K173" s="108"/>
      <c r="L173" s="108"/>
      <c r="M173" s="32"/>
      <c r="N173" s="108"/>
      <c r="O173" s="32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</row>
    <row r="174" spans="4:34" s="26" customFormat="1" ht="15.95">
      <c r="D174" s="7"/>
      <c r="H174" s="32"/>
      <c r="I174" s="32"/>
      <c r="J174" s="32"/>
      <c r="K174" s="108"/>
      <c r="L174" s="108"/>
      <c r="M174" s="32"/>
      <c r="N174" s="108"/>
      <c r="O174" s="32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</row>
    <row r="175" spans="4:34" s="26" customFormat="1" ht="15.95">
      <c r="D175" s="7"/>
      <c r="H175" s="32"/>
      <c r="I175" s="32"/>
      <c r="J175" s="32"/>
      <c r="K175" s="108"/>
      <c r="L175" s="108"/>
      <c r="M175" s="32"/>
      <c r="N175" s="108"/>
      <c r="O175" s="32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</row>
    <row r="176" spans="4:34" s="26" customFormat="1" ht="15.95">
      <c r="D176" s="7"/>
      <c r="H176" s="32"/>
      <c r="I176" s="32"/>
      <c r="J176" s="32"/>
      <c r="K176" s="108"/>
      <c r="L176" s="108"/>
      <c r="M176" s="32"/>
      <c r="N176" s="108"/>
      <c r="O176" s="32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</row>
    <row r="177" spans="4:34" s="26" customFormat="1" ht="15.95">
      <c r="D177" s="7"/>
      <c r="H177" s="32"/>
      <c r="I177" s="32"/>
      <c r="J177" s="32"/>
      <c r="K177" s="108"/>
      <c r="L177" s="108"/>
      <c r="M177" s="32"/>
      <c r="N177" s="108"/>
      <c r="O177" s="32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</row>
    <row r="178" spans="4:34" s="26" customFormat="1" ht="15.95">
      <c r="D178" s="7"/>
      <c r="H178" s="32"/>
      <c r="I178" s="32"/>
      <c r="J178" s="32"/>
      <c r="K178" s="108"/>
      <c r="L178" s="108"/>
      <c r="M178" s="32"/>
      <c r="N178" s="108"/>
      <c r="O178" s="32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</row>
    <row r="179" spans="4:34" s="26" customFormat="1" ht="15.95">
      <c r="D179" s="7"/>
      <c r="H179" s="32"/>
      <c r="I179" s="32"/>
      <c r="J179" s="32"/>
      <c r="K179" s="108"/>
      <c r="L179" s="108"/>
      <c r="M179" s="32"/>
      <c r="N179" s="108"/>
      <c r="O179" s="32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</row>
    <row r="180" spans="4:34" s="26" customFormat="1" ht="15.95">
      <c r="D180" s="7"/>
      <c r="H180" s="32"/>
      <c r="I180" s="32"/>
      <c r="J180" s="32"/>
      <c r="K180" s="108"/>
      <c r="L180" s="108"/>
      <c r="M180" s="32"/>
      <c r="N180" s="108"/>
      <c r="O180" s="32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</row>
    <row r="181" spans="4:34" s="26" customFormat="1" ht="15.95">
      <c r="D181" s="7"/>
      <c r="H181" s="32"/>
      <c r="I181" s="32"/>
      <c r="J181" s="32"/>
      <c r="K181" s="108"/>
      <c r="L181" s="108"/>
      <c r="M181" s="32"/>
      <c r="N181" s="108"/>
      <c r="O181" s="32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</row>
    <row r="182" spans="4:34" s="26" customFormat="1" ht="15.95">
      <c r="D182" s="7"/>
      <c r="H182" s="32"/>
      <c r="I182" s="32"/>
      <c r="J182" s="32"/>
      <c r="K182" s="108"/>
      <c r="L182" s="108"/>
      <c r="M182" s="32"/>
      <c r="N182" s="108"/>
      <c r="O182" s="32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</row>
    <row r="183" spans="4:34" s="26" customFormat="1" ht="15.95">
      <c r="D183" s="7"/>
      <c r="H183" s="32"/>
      <c r="I183" s="32"/>
      <c r="J183" s="32"/>
      <c r="K183" s="108"/>
      <c r="L183" s="108"/>
      <c r="M183" s="32"/>
      <c r="N183" s="108"/>
      <c r="O183" s="32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</row>
    <row r="184" spans="4:34" s="26" customFormat="1" ht="15.95">
      <c r="D184" s="7"/>
      <c r="H184" s="32"/>
      <c r="I184" s="32"/>
      <c r="J184" s="32"/>
      <c r="K184" s="108"/>
      <c r="L184" s="108"/>
      <c r="M184" s="32"/>
      <c r="N184" s="108"/>
      <c r="O184" s="32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</row>
    <row r="185" spans="4:34" s="26" customFormat="1" ht="15.95">
      <c r="D185" s="7"/>
      <c r="H185" s="32"/>
      <c r="I185" s="32"/>
      <c r="J185" s="32"/>
      <c r="K185" s="108"/>
      <c r="L185" s="108"/>
      <c r="M185" s="32"/>
      <c r="N185" s="108"/>
      <c r="O185" s="32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</row>
    <row r="186" spans="4:34" s="26" customFormat="1" ht="15.95">
      <c r="D186" s="7"/>
      <c r="H186" s="32"/>
      <c r="I186" s="32"/>
      <c r="J186" s="32"/>
      <c r="K186" s="108"/>
      <c r="L186" s="108"/>
      <c r="M186" s="32"/>
      <c r="N186" s="108"/>
      <c r="O186" s="32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</row>
    <row r="187" spans="4:34" s="26" customFormat="1" ht="15.95">
      <c r="D187" s="7"/>
      <c r="H187" s="32"/>
      <c r="I187" s="32"/>
      <c r="J187" s="32"/>
      <c r="K187" s="108"/>
      <c r="L187" s="108"/>
      <c r="M187" s="32"/>
      <c r="N187" s="108"/>
      <c r="O187" s="32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</row>
    <row r="188" spans="4:34" s="26" customFormat="1" ht="15.95">
      <c r="D188" s="7"/>
      <c r="H188" s="32"/>
      <c r="I188" s="32"/>
      <c r="J188" s="32"/>
      <c r="K188" s="108"/>
      <c r="L188" s="108"/>
      <c r="M188" s="32"/>
      <c r="N188" s="108"/>
      <c r="O188" s="32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</row>
    <row r="189" spans="4:34" s="26" customFormat="1" ht="15.95">
      <c r="D189" s="7"/>
      <c r="H189" s="32"/>
      <c r="I189" s="32"/>
      <c r="J189" s="32"/>
      <c r="K189" s="108"/>
      <c r="L189" s="108"/>
      <c r="M189" s="32"/>
      <c r="N189" s="108"/>
      <c r="O189" s="32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</row>
    <row r="190" spans="4:34" s="26" customFormat="1" ht="15.95">
      <c r="D190" s="7"/>
      <c r="H190" s="32"/>
      <c r="I190" s="32"/>
      <c r="J190" s="32"/>
      <c r="K190" s="108"/>
      <c r="L190" s="108"/>
      <c r="M190" s="32"/>
      <c r="N190" s="108"/>
      <c r="O190" s="32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</row>
    <row r="191" spans="4:34" s="26" customFormat="1" ht="15.95">
      <c r="D191" s="7"/>
      <c r="H191" s="32"/>
      <c r="I191" s="32"/>
      <c r="J191" s="32"/>
      <c r="K191" s="108"/>
      <c r="L191" s="108"/>
      <c r="M191" s="32"/>
      <c r="N191" s="108"/>
      <c r="O191" s="32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</row>
    <row r="192" spans="4:34" s="26" customFormat="1" ht="15.95">
      <c r="D192" s="7"/>
      <c r="H192" s="32"/>
      <c r="I192" s="32"/>
      <c r="J192" s="32"/>
      <c r="K192" s="108"/>
      <c r="L192" s="108"/>
      <c r="M192" s="32"/>
      <c r="N192" s="108"/>
      <c r="O192" s="32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</row>
    <row r="193" spans="4:34" s="26" customFormat="1" ht="15.95">
      <c r="D193" s="7"/>
      <c r="H193" s="32"/>
      <c r="I193" s="32"/>
      <c r="J193" s="32"/>
      <c r="K193" s="108"/>
      <c r="L193" s="108"/>
      <c r="M193" s="32"/>
      <c r="N193" s="108"/>
      <c r="O193" s="32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</row>
    <row r="194" spans="4:34" s="26" customFormat="1" ht="15.95">
      <c r="D194" s="7"/>
      <c r="H194" s="32"/>
      <c r="I194" s="32"/>
      <c r="J194" s="32"/>
      <c r="K194" s="108"/>
      <c r="L194" s="108"/>
      <c r="M194" s="32"/>
      <c r="N194" s="108"/>
      <c r="O194" s="32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</row>
    <row r="195" spans="4:34" s="26" customFormat="1" ht="15.95">
      <c r="D195" s="7"/>
      <c r="H195" s="32"/>
      <c r="I195" s="32"/>
      <c r="J195" s="32"/>
      <c r="K195" s="108"/>
      <c r="L195" s="108"/>
      <c r="M195" s="32"/>
      <c r="N195" s="108"/>
      <c r="O195" s="32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</row>
    <row r="196" spans="4:34" s="26" customFormat="1" ht="15.95">
      <c r="D196" s="7"/>
      <c r="H196" s="32"/>
      <c r="I196" s="32"/>
      <c r="J196" s="32"/>
      <c r="K196" s="108"/>
      <c r="L196" s="108"/>
      <c r="M196" s="32"/>
      <c r="N196" s="108"/>
      <c r="O196" s="32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</row>
    <row r="197" spans="4:34" s="26" customFormat="1" ht="15.95">
      <c r="D197" s="7"/>
      <c r="H197" s="32"/>
      <c r="I197" s="32"/>
      <c r="J197" s="32"/>
      <c r="K197" s="108"/>
      <c r="L197" s="108"/>
      <c r="M197" s="32"/>
      <c r="N197" s="108"/>
      <c r="O197" s="32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</row>
    <row r="198" spans="4:34" s="26" customFormat="1" ht="15.95">
      <c r="D198" s="7"/>
      <c r="H198" s="32"/>
      <c r="I198" s="32"/>
      <c r="J198" s="32"/>
      <c r="K198" s="108"/>
      <c r="L198" s="108"/>
      <c r="M198" s="32"/>
      <c r="N198" s="108"/>
      <c r="O198" s="32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</row>
    <row r="199" spans="4:34" s="26" customFormat="1" ht="15.95">
      <c r="D199" s="7"/>
      <c r="H199" s="32"/>
      <c r="I199" s="32"/>
      <c r="J199" s="32"/>
      <c r="K199" s="108"/>
      <c r="L199" s="108"/>
      <c r="M199" s="32"/>
      <c r="N199" s="108"/>
      <c r="O199" s="32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</row>
    <row r="200" spans="4:34" s="26" customFormat="1" ht="15.95">
      <c r="D200" s="7"/>
      <c r="H200" s="32"/>
      <c r="I200" s="32"/>
      <c r="J200" s="32"/>
      <c r="K200" s="108"/>
      <c r="L200" s="108"/>
      <c r="M200" s="32"/>
      <c r="N200" s="108"/>
      <c r="O200" s="32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</row>
    <row r="201" spans="4:34" s="26" customFormat="1" ht="15.95">
      <c r="D201" s="7"/>
      <c r="H201" s="32"/>
      <c r="I201" s="32"/>
      <c r="J201" s="32"/>
      <c r="K201" s="108"/>
      <c r="L201" s="108"/>
      <c r="M201" s="32"/>
      <c r="N201" s="108"/>
      <c r="O201" s="32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</row>
    <row r="202" spans="4:34" s="26" customFormat="1" ht="15.95">
      <c r="D202" s="7"/>
      <c r="H202" s="32"/>
      <c r="I202" s="32"/>
      <c r="J202" s="32"/>
      <c r="K202" s="108"/>
      <c r="L202" s="108"/>
      <c r="M202" s="32"/>
      <c r="N202" s="108"/>
      <c r="O202" s="32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</row>
    <row r="203" spans="4:34" s="26" customFormat="1" ht="15.95">
      <c r="D203" s="7"/>
      <c r="H203" s="32"/>
      <c r="I203" s="32"/>
      <c r="J203" s="32"/>
      <c r="K203" s="108"/>
      <c r="L203" s="108"/>
      <c r="M203" s="32"/>
      <c r="N203" s="108"/>
      <c r="O203" s="32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</row>
    <row r="204" spans="4:34" s="26" customFormat="1" ht="15.95">
      <c r="D204" s="7"/>
      <c r="H204" s="32"/>
      <c r="I204" s="32"/>
      <c r="J204" s="32"/>
      <c r="K204" s="108"/>
      <c r="L204" s="108"/>
      <c r="M204" s="32"/>
      <c r="N204" s="108"/>
      <c r="O204" s="32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</row>
    <row r="205" spans="4:34" s="26" customFormat="1" ht="15.95">
      <c r="D205" s="7"/>
      <c r="H205" s="32"/>
      <c r="I205" s="32"/>
      <c r="J205" s="32"/>
      <c r="K205" s="108"/>
      <c r="L205" s="108"/>
      <c r="M205" s="32"/>
      <c r="N205" s="108"/>
      <c r="O205" s="32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</row>
    <row r="206" spans="4:34" s="26" customFormat="1" ht="15.95">
      <c r="D206" s="7"/>
      <c r="H206" s="32"/>
      <c r="I206" s="32"/>
      <c r="J206" s="32"/>
      <c r="K206" s="108"/>
      <c r="L206" s="108"/>
      <c r="M206" s="32"/>
      <c r="N206" s="108"/>
      <c r="O206" s="32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</row>
    <row r="207" spans="4:34" s="26" customFormat="1" ht="15.95">
      <c r="D207" s="7"/>
      <c r="H207" s="32"/>
      <c r="I207" s="32"/>
      <c r="J207" s="32"/>
      <c r="K207" s="108"/>
      <c r="L207" s="108"/>
      <c r="M207" s="32"/>
      <c r="N207" s="108"/>
      <c r="O207" s="32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</row>
    <row r="208" spans="4:34" s="26" customFormat="1" ht="15.95">
      <c r="D208" s="7"/>
      <c r="H208" s="32"/>
      <c r="I208" s="32"/>
      <c r="J208" s="32"/>
      <c r="K208" s="108"/>
      <c r="L208" s="108"/>
      <c r="M208" s="32"/>
      <c r="N208" s="108"/>
      <c r="O208" s="32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</row>
    <row r="209" spans="4:34" s="26" customFormat="1" ht="15.95">
      <c r="D209" s="7"/>
      <c r="H209" s="32"/>
      <c r="I209" s="32"/>
      <c r="J209" s="32"/>
      <c r="K209" s="108"/>
      <c r="L209" s="108"/>
      <c r="M209" s="32"/>
      <c r="N209" s="108"/>
      <c r="O209" s="32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</row>
    <row r="210" spans="4:34" s="26" customFormat="1" ht="15.95">
      <c r="D210" s="7"/>
      <c r="H210" s="32"/>
      <c r="I210" s="32"/>
      <c r="J210" s="32"/>
      <c r="K210" s="108"/>
      <c r="L210" s="108"/>
      <c r="M210" s="32"/>
      <c r="N210" s="108"/>
      <c r="O210" s="32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</row>
    <row r="211" spans="4:34" s="26" customFormat="1" ht="15.95">
      <c r="D211" s="7"/>
      <c r="H211" s="32"/>
      <c r="I211" s="32"/>
      <c r="J211" s="32"/>
      <c r="K211" s="108"/>
      <c r="L211" s="108"/>
      <c r="M211" s="32"/>
      <c r="N211" s="108"/>
      <c r="O211" s="32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</row>
    <row r="212" spans="4:34" s="26" customFormat="1" ht="15.95">
      <c r="D212" s="7"/>
      <c r="H212" s="32"/>
      <c r="I212" s="32"/>
      <c r="J212" s="32"/>
      <c r="K212" s="108"/>
      <c r="L212" s="108"/>
      <c r="M212" s="32"/>
      <c r="N212" s="108"/>
      <c r="O212" s="32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</row>
    <row r="213" spans="4:34" s="26" customFormat="1" ht="15.95">
      <c r="D213" s="7"/>
      <c r="H213" s="32"/>
      <c r="I213" s="32"/>
      <c r="J213" s="32"/>
      <c r="K213" s="108"/>
      <c r="L213" s="108"/>
      <c r="M213" s="32"/>
      <c r="N213" s="108"/>
      <c r="O213" s="32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</row>
    <row r="214" spans="4:34" s="26" customFormat="1" ht="15.95">
      <c r="D214" s="7"/>
      <c r="H214" s="32"/>
      <c r="I214" s="32"/>
      <c r="J214" s="32"/>
      <c r="K214" s="108"/>
      <c r="L214" s="108"/>
      <c r="M214" s="32"/>
      <c r="N214" s="108"/>
      <c r="O214" s="32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</row>
    <row r="215" spans="4:34" s="26" customFormat="1" ht="15.95">
      <c r="D215" s="7"/>
      <c r="H215" s="32"/>
      <c r="I215" s="32"/>
      <c r="J215" s="32"/>
      <c r="K215" s="108"/>
      <c r="L215" s="108"/>
      <c r="M215" s="32"/>
      <c r="N215" s="108"/>
      <c r="O215" s="32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</row>
    <row r="216" spans="4:34" s="26" customFormat="1" ht="15.95">
      <c r="D216" s="7"/>
      <c r="H216" s="32"/>
      <c r="I216" s="32"/>
      <c r="J216" s="32"/>
      <c r="K216" s="108"/>
      <c r="L216" s="108"/>
      <c r="M216" s="32"/>
      <c r="N216" s="108"/>
      <c r="O216" s="32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</row>
    <row r="217" spans="4:34" s="26" customFormat="1" ht="15.95">
      <c r="D217" s="7"/>
      <c r="H217" s="32"/>
      <c r="I217" s="32"/>
      <c r="J217" s="32"/>
      <c r="K217" s="108"/>
      <c r="L217" s="108"/>
      <c r="M217" s="32"/>
      <c r="N217" s="108"/>
      <c r="O217" s="32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</row>
    <row r="218" spans="4:34" s="26" customFormat="1" ht="15.95">
      <c r="D218" s="7"/>
      <c r="H218" s="32"/>
      <c r="I218" s="32"/>
      <c r="J218" s="32"/>
      <c r="K218" s="108"/>
      <c r="L218" s="108"/>
      <c r="M218" s="32"/>
      <c r="N218" s="108"/>
      <c r="O218" s="32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</row>
    <row r="219" spans="4:34" s="26" customFormat="1" ht="15.95">
      <c r="D219" s="7"/>
      <c r="H219" s="32"/>
      <c r="I219" s="32"/>
      <c r="J219" s="32"/>
      <c r="K219" s="108"/>
      <c r="L219" s="108"/>
      <c r="M219" s="32"/>
      <c r="N219" s="108"/>
      <c r="O219" s="32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</row>
    <row r="220" spans="4:34" s="26" customFormat="1" ht="15.95">
      <c r="D220" s="10"/>
      <c r="H220" s="32"/>
      <c r="I220" s="32"/>
      <c r="J220" s="32"/>
      <c r="K220" s="108"/>
      <c r="L220" s="108"/>
      <c r="M220" s="32"/>
      <c r="N220" s="108"/>
      <c r="O220" s="32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</row>
    <row r="221" spans="4:34" s="26" customFormat="1" ht="15.95">
      <c r="D221" s="10"/>
      <c r="H221" s="32"/>
      <c r="I221" s="32"/>
      <c r="J221" s="32"/>
      <c r="K221" s="108"/>
      <c r="L221" s="108"/>
      <c r="M221" s="32"/>
      <c r="N221" s="108"/>
      <c r="O221" s="32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</row>
    <row r="222" spans="4:34" s="26" customFormat="1" ht="15.95">
      <c r="D222" s="10"/>
      <c r="H222" s="32"/>
      <c r="I222" s="32"/>
      <c r="J222" s="32"/>
      <c r="K222" s="108"/>
      <c r="L222" s="108"/>
      <c r="M222" s="32"/>
      <c r="N222" s="108"/>
      <c r="O222" s="32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</row>
    <row r="223" spans="4:34" s="26" customFormat="1" ht="15.95">
      <c r="D223" s="10"/>
      <c r="H223" s="32"/>
      <c r="I223" s="32"/>
      <c r="J223" s="32"/>
      <c r="K223" s="108"/>
      <c r="L223" s="108"/>
      <c r="M223" s="32"/>
      <c r="N223" s="108"/>
      <c r="O223" s="32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</row>
    <row r="224" spans="4:34" s="26" customFormat="1" ht="15.95">
      <c r="D224" s="10"/>
      <c r="H224" s="32"/>
      <c r="I224" s="32"/>
      <c r="J224" s="32"/>
      <c r="K224" s="108"/>
      <c r="L224" s="108"/>
      <c r="M224" s="32"/>
      <c r="N224" s="108"/>
      <c r="O224" s="32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</row>
    <row r="225" spans="4:34" s="26" customFormat="1" ht="15.95">
      <c r="D225" s="10"/>
      <c r="H225" s="32"/>
      <c r="I225" s="32"/>
      <c r="J225" s="32"/>
      <c r="K225" s="108"/>
      <c r="L225" s="108"/>
      <c r="M225" s="32"/>
      <c r="N225" s="108"/>
      <c r="O225" s="32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</row>
    <row r="226" spans="4:34" s="26" customFormat="1" ht="15.95">
      <c r="D226" s="10"/>
      <c r="H226" s="32"/>
      <c r="I226" s="32"/>
      <c r="J226" s="32"/>
      <c r="K226" s="108"/>
      <c r="L226" s="108"/>
      <c r="M226" s="32"/>
      <c r="N226" s="108"/>
      <c r="O226" s="32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</row>
    <row r="227" spans="4:34" s="26" customFormat="1" ht="15.95">
      <c r="D227" s="10"/>
      <c r="H227" s="32"/>
      <c r="I227" s="32"/>
      <c r="J227" s="32"/>
      <c r="K227" s="108"/>
      <c r="L227" s="108"/>
      <c r="M227" s="32"/>
      <c r="N227" s="108"/>
      <c r="O227" s="32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</row>
    <row r="228" spans="4:34" s="26" customFormat="1" ht="15.95">
      <c r="D228" s="10"/>
      <c r="H228" s="32"/>
      <c r="I228" s="32"/>
      <c r="J228" s="32"/>
      <c r="K228" s="108"/>
      <c r="L228" s="108"/>
      <c r="M228" s="32"/>
      <c r="N228" s="108"/>
      <c r="O228" s="32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</row>
    <row r="229" spans="4:34" s="26" customFormat="1" ht="15.95">
      <c r="D229" s="10"/>
      <c r="H229" s="32"/>
      <c r="I229" s="32"/>
      <c r="J229" s="32"/>
      <c r="K229" s="108"/>
      <c r="L229" s="108"/>
      <c r="M229" s="32"/>
      <c r="N229" s="108"/>
      <c r="O229" s="32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</row>
    <row r="230" spans="4:34" s="26" customFormat="1" ht="15.95">
      <c r="D230" s="10"/>
      <c r="H230" s="32"/>
      <c r="I230" s="32"/>
      <c r="J230" s="32"/>
      <c r="K230" s="108"/>
      <c r="L230" s="108"/>
      <c r="M230" s="32"/>
      <c r="N230" s="108"/>
      <c r="O230" s="32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</row>
    <row r="231" spans="4:34" s="26" customFormat="1" ht="15.95">
      <c r="D231" s="10"/>
      <c r="H231" s="32"/>
      <c r="I231" s="32"/>
      <c r="J231" s="32"/>
      <c r="K231" s="108"/>
      <c r="L231" s="108"/>
      <c r="M231" s="32"/>
      <c r="N231" s="108"/>
      <c r="O231" s="32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</row>
    <row r="232" spans="4:34" s="26" customFormat="1" ht="15.95">
      <c r="D232" s="10"/>
      <c r="H232" s="32"/>
      <c r="I232" s="32"/>
      <c r="J232" s="32"/>
      <c r="K232" s="108"/>
      <c r="L232" s="108"/>
      <c r="M232" s="32"/>
      <c r="N232" s="108"/>
      <c r="O232" s="32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</row>
    <row r="233" spans="4:34" s="26" customFormat="1" ht="15.95">
      <c r="D233" s="10"/>
      <c r="H233" s="32"/>
      <c r="I233" s="32"/>
      <c r="J233" s="32"/>
      <c r="K233" s="108"/>
      <c r="L233" s="108"/>
      <c r="M233" s="32"/>
      <c r="N233" s="108"/>
      <c r="O233" s="32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</row>
    <row r="234" spans="4:34" s="26" customFormat="1" ht="15.95">
      <c r="D234" s="10"/>
      <c r="H234" s="32"/>
      <c r="I234" s="32"/>
      <c r="J234" s="32"/>
      <c r="K234" s="108"/>
      <c r="L234" s="108"/>
      <c r="M234" s="32"/>
      <c r="N234" s="108"/>
      <c r="O234" s="32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</row>
    <row r="235" spans="4:34" s="26" customFormat="1" ht="15.95">
      <c r="D235" s="10"/>
      <c r="H235" s="32"/>
      <c r="I235" s="32"/>
      <c r="J235" s="32"/>
      <c r="K235" s="108"/>
      <c r="L235" s="108"/>
      <c r="M235" s="32"/>
      <c r="N235" s="108"/>
      <c r="O235" s="32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</row>
    <row r="236" spans="4:34" s="26" customFormat="1" ht="15.95">
      <c r="D236" s="10"/>
      <c r="H236" s="32"/>
      <c r="I236" s="32"/>
      <c r="J236" s="32"/>
      <c r="K236" s="108"/>
      <c r="L236" s="108"/>
      <c r="M236" s="32"/>
      <c r="N236" s="108"/>
      <c r="O236" s="32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</row>
    <row r="237" spans="4:34" s="26" customFormat="1" ht="15.95">
      <c r="D237" s="10"/>
      <c r="H237" s="32"/>
      <c r="I237" s="32"/>
      <c r="J237" s="32"/>
      <c r="K237" s="108"/>
      <c r="L237" s="108"/>
      <c r="M237" s="32"/>
      <c r="N237" s="108"/>
      <c r="O237" s="32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</row>
    <row r="238" spans="4:34" ht="15.95">
      <c r="D238" s="10"/>
    </row>
    <row r="239" spans="4:34" ht="15.95">
      <c r="D239" s="10"/>
    </row>
    <row r="240" spans="4:34" ht="15.95">
      <c r="D240" s="10"/>
    </row>
    <row r="241" spans="4:4" ht="15.95">
      <c r="D241" s="10"/>
    </row>
    <row r="242" spans="4:4" ht="15.95">
      <c r="D242" s="10"/>
    </row>
    <row r="243" spans="4:4" ht="15.95">
      <c r="D243" s="10"/>
    </row>
    <row r="244" spans="4:4" ht="15.95">
      <c r="D244" s="10"/>
    </row>
    <row r="245" spans="4:4" ht="15.95">
      <c r="D245" s="10"/>
    </row>
    <row r="246" spans="4:4" ht="15.95">
      <c r="D246" s="10"/>
    </row>
    <row r="247" spans="4:4" ht="15.95">
      <c r="D247" s="10"/>
    </row>
    <row r="248" spans="4:4" ht="15.95">
      <c r="D248" s="10"/>
    </row>
    <row r="249" spans="4:4" ht="15.95">
      <c r="D249" s="10"/>
    </row>
    <row r="250" spans="4:4" ht="15.95">
      <c r="D250" s="10"/>
    </row>
    <row r="251" spans="4:4" ht="15.95">
      <c r="D251" s="10"/>
    </row>
    <row r="252" spans="4:4" ht="15.95">
      <c r="D252" s="10"/>
    </row>
    <row r="253" spans="4:4" ht="15.95">
      <c r="D253" s="10"/>
    </row>
    <row r="254" spans="4:4" ht="15.95">
      <c r="D254" s="10"/>
    </row>
    <row r="255" spans="4:4" ht="15.95">
      <c r="D255" s="10"/>
    </row>
    <row r="256" spans="4:4" ht="15.95">
      <c r="D256" s="10"/>
    </row>
    <row r="257" spans="4:4" ht="15.95">
      <c r="D257" s="10"/>
    </row>
    <row r="258" spans="4:4" ht="15.95">
      <c r="D258" s="10"/>
    </row>
  </sheetData>
  <mergeCells count="1">
    <mergeCell ref="A1:B1"/>
  </mergeCells>
  <pageMargins left="0.23622047244094491" right="0.31496062992125984" top="0.74803149606299213" bottom="0.74803149606299213" header="0.51181102362204722" footer="0.51181102362204722"/>
  <pageSetup paperSize="9" scale="30" fitToHeight="1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5BB9-D44B-4B79-A17F-7605887DD0BB}">
  <sheetPr codeName="Sheet6"/>
  <dimension ref="A1:AG995"/>
  <sheetViews>
    <sheetView showGridLines="0" view="pageBreakPreview" topLeftCell="A62" zoomScale="60" zoomScaleNormal="80" workbookViewId="0">
      <selection activeCell="D78" sqref="D78"/>
    </sheetView>
  </sheetViews>
  <sheetFormatPr defaultColWidth="14.42578125" defaultRowHeight="15" customHeight="1"/>
  <cols>
    <col min="1" max="1" width="27.7109375" style="2" customWidth="1"/>
    <col min="2" max="2" width="50.85546875" style="2" customWidth="1"/>
    <col min="3" max="3" width="21.42578125" style="2" customWidth="1"/>
    <col min="4" max="4" width="41.5703125" style="2" customWidth="1"/>
    <col min="5" max="5" width="17.28515625" style="2" customWidth="1"/>
    <col min="6" max="6" width="26.42578125" style="2" bestFit="1" customWidth="1"/>
    <col min="7" max="7" width="17.7109375" style="2" customWidth="1"/>
    <col min="8" max="8" width="15.7109375" style="2" customWidth="1"/>
    <col min="9" max="9" width="15.140625" style="2" customWidth="1"/>
    <col min="10" max="10" width="16" style="2" customWidth="1"/>
    <col min="11" max="11" width="12.85546875" style="106" customWidth="1"/>
    <col min="12" max="12" width="12.85546875" style="2" customWidth="1"/>
    <col min="13" max="13" width="14.85546875" style="2" customWidth="1"/>
    <col min="14" max="14" width="16.28515625" style="2" customWidth="1"/>
    <col min="15" max="33" width="8.7109375" style="2" customWidth="1"/>
    <col min="34" max="16384" width="14.42578125" style="2"/>
  </cols>
  <sheetData>
    <row r="1" spans="1:33" ht="59.45" customHeight="1">
      <c r="A1" s="127" t="s">
        <v>153</v>
      </c>
      <c r="B1" s="127"/>
      <c r="C1" s="11"/>
      <c r="D1" s="11"/>
      <c r="E1" s="11"/>
      <c r="F1" s="11"/>
      <c r="G1" s="11"/>
      <c r="H1" s="11"/>
      <c r="I1" s="11"/>
      <c r="J1" s="11"/>
      <c r="K1" s="103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s="12" customFormat="1" ht="4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46</v>
      </c>
      <c r="J2" s="14" t="s">
        <v>10</v>
      </c>
      <c r="K2" s="101" t="s">
        <v>11</v>
      </c>
      <c r="L2" s="3" t="s">
        <v>13</v>
      </c>
      <c r="M2" s="3" t="s">
        <v>49</v>
      </c>
      <c r="N2" s="4" t="s">
        <v>16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5"/>
      <c r="AG2" s="5"/>
    </row>
    <row r="3" spans="1:33" s="12" customFormat="1" ht="15.75" customHeight="1">
      <c r="A3" s="6" t="s">
        <v>154</v>
      </c>
      <c r="B3" s="6" t="s">
        <v>155</v>
      </c>
      <c r="C3" s="6" t="s">
        <v>68</v>
      </c>
      <c r="D3" s="6" t="s">
        <v>156</v>
      </c>
      <c r="E3" s="6" t="s">
        <v>28</v>
      </c>
      <c r="F3" s="6" t="s">
        <v>53</v>
      </c>
      <c r="G3" s="6">
        <v>40</v>
      </c>
      <c r="H3" s="6" t="s">
        <v>157</v>
      </c>
      <c r="I3" s="13">
        <v>33637</v>
      </c>
      <c r="J3" s="6">
        <v>5</v>
      </c>
      <c r="K3" s="102">
        <v>55.06</v>
      </c>
      <c r="L3" s="6" t="s">
        <v>158</v>
      </c>
      <c r="M3" s="6" t="s">
        <v>158</v>
      </c>
      <c r="N3" s="66" t="s">
        <v>70</v>
      </c>
    </row>
    <row r="4" spans="1:33" s="12" customFormat="1" ht="15.75" customHeight="1">
      <c r="A4" s="6" t="s">
        <v>154</v>
      </c>
      <c r="B4" s="6" t="s">
        <v>155</v>
      </c>
      <c r="C4" s="6" t="s">
        <v>68</v>
      </c>
      <c r="D4" s="6" t="s">
        <v>86</v>
      </c>
      <c r="E4" s="6" t="s">
        <v>21</v>
      </c>
      <c r="F4" s="6" t="s">
        <v>53</v>
      </c>
      <c r="G4" s="6">
        <v>40</v>
      </c>
      <c r="H4" s="6" t="s">
        <v>157</v>
      </c>
      <c r="I4" s="13">
        <v>36299</v>
      </c>
      <c r="J4" s="6">
        <v>5</v>
      </c>
      <c r="K4" s="102">
        <v>65.069999999999993</v>
      </c>
      <c r="L4" s="6" t="s">
        <v>158</v>
      </c>
      <c r="M4" s="6" t="s">
        <v>158</v>
      </c>
      <c r="N4" s="66" t="s">
        <v>70</v>
      </c>
    </row>
    <row r="5" spans="1:33" s="12" customFormat="1" ht="15.75" customHeight="1">
      <c r="A5" s="6" t="s">
        <v>154</v>
      </c>
      <c r="B5" s="6" t="s">
        <v>155</v>
      </c>
      <c r="C5" s="6" t="s">
        <v>68</v>
      </c>
      <c r="D5" s="6" t="s">
        <v>86</v>
      </c>
      <c r="E5" s="6" t="s">
        <v>21</v>
      </c>
      <c r="F5" s="6" t="s">
        <v>53</v>
      </c>
      <c r="G5" s="6">
        <v>40</v>
      </c>
      <c r="H5" s="6" t="s">
        <v>157</v>
      </c>
      <c r="I5" s="13">
        <v>36906</v>
      </c>
      <c r="J5" s="6">
        <v>5</v>
      </c>
      <c r="K5" s="102" t="s">
        <v>157</v>
      </c>
      <c r="L5" s="6" t="s">
        <v>158</v>
      </c>
      <c r="M5" s="6" t="s">
        <v>159</v>
      </c>
      <c r="N5" s="66" t="s">
        <v>70</v>
      </c>
    </row>
    <row r="6" spans="1:33" s="12" customFormat="1" ht="15.75" customHeight="1">
      <c r="A6" s="6" t="s">
        <v>154</v>
      </c>
      <c r="B6" s="6" t="s">
        <v>155</v>
      </c>
      <c r="C6" s="6" t="s">
        <v>68</v>
      </c>
      <c r="D6" s="6" t="s">
        <v>69</v>
      </c>
      <c r="E6" s="6" t="s">
        <v>21</v>
      </c>
      <c r="F6" s="6" t="s">
        <v>53</v>
      </c>
      <c r="G6" s="6">
        <v>40</v>
      </c>
      <c r="H6" s="6" t="s">
        <v>157</v>
      </c>
      <c r="I6" s="13">
        <v>36941</v>
      </c>
      <c r="J6" s="6">
        <v>5</v>
      </c>
      <c r="K6" s="102" t="s">
        <v>157</v>
      </c>
      <c r="L6" s="6" t="s">
        <v>158</v>
      </c>
      <c r="M6" s="6" t="s">
        <v>159</v>
      </c>
      <c r="N6" s="66" t="s">
        <v>70</v>
      </c>
    </row>
    <row r="7" spans="1:33" s="12" customFormat="1" ht="15.75" customHeight="1">
      <c r="A7" s="6" t="s">
        <v>154</v>
      </c>
      <c r="B7" s="6" t="s">
        <v>155</v>
      </c>
      <c r="C7" s="6" t="s">
        <v>68</v>
      </c>
      <c r="D7" s="6" t="s">
        <v>69</v>
      </c>
      <c r="E7" s="6" t="s">
        <v>21</v>
      </c>
      <c r="F7" s="6" t="s">
        <v>53</v>
      </c>
      <c r="G7" s="6">
        <v>40</v>
      </c>
      <c r="H7" s="6" t="s">
        <v>157</v>
      </c>
      <c r="I7" s="13">
        <v>33239</v>
      </c>
      <c r="J7" s="6">
        <v>5</v>
      </c>
      <c r="K7" s="102">
        <v>131.03</v>
      </c>
      <c r="L7" s="6" t="s">
        <v>158</v>
      </c>
      <c r="M7" s="6" t="s">
        <v>158</v>
      </c>
      <c r="N7" s="66" t="s">
        <v>70</v>
      </c>
    </row>
    <row r="8" spans="1:33" s="12" customFormat="1" ht="15.75" customHeight="1">
      <c r="A8" s="6" t="s">
        <v>160</v>
      </c>
      <c r="B8" s="6" t="s">
        <v>161</v>
      </c>
      <c r="C8" s="6" t="s">
        <v>68</v>
      </c>
      <c r="D8" s="6" t="s">
        <v>69</v>
      </c>
      <c r="E8" s="6" t="s">
        <v>21</v>
      </c>
      <c r="F8" s="6" t="s">
        <v>162</v>
      </c>
      <c r="G8" s="6">
        <v>40</v>
      </c>
      <c r="H8" s="6" t="s">
        <v>163</v>
      </c>
      <c r="I8" s="13">
        <v>45689</v>
      </c>
      <c r="J8" s="6" t="s">
        <v>164</v>
      </c>
      <c r="K8" s="102" t="s">
        <v>165</v>
      </c>
      <c r="L8" s="6" t="s">
        <v>158</v>
      </c>
      <c r="M8" s="6" t="s">
        <v>158</v>
      </c>
      <c r="N8" s="6" t="s">
        <v>166</v>
      </c>
    </row>
    <row r="9" spans="1:33" s="12" customFormat="1" ht="15.75" customHeight="1">
      <c r="A9" s="6" t="s">
        <v>160</v>
      </c>
      <c r="B9" s="6" t="s">
        <v>161</v>
      </c>
      <c r="C9" s="6" t="s">
        <v>68</v>
      </c>
      <c r="D9" s="6" t="s">
        <v>69</v>
      </c>
      <c r="E9" s="6" t="s">
        <v>21</v>
      </c>
      <c r="F9" s="6" t="s">
        <v>162</v>
      </c>
      <c r="G9" s="6">
        <v>40</v>
      </c>
      <c r="H9" s="6" t="s">
        <v>163</v>
      </c>
      <c r="I9" s="13">
        <v>45689</v>
      </c>
      <c r="J9" s="6" t="s">
        <v>164</v>
      </c>
      <c r="K9" s="102" t="s">
        <v>165</v>
      </c>
      <c r="L9" s="6" t="s">
        <v>158</v>
      </c>
      <c r="M9" s="6" t="s">
        <v>158</v>
      </c>
      <c r="N9" s="6" t="s">
        <v>166</v>
      </c>
    </row>
    <row r="10" spans="1:33" s="12" customFormat="1" ht="15.75" customHeight="1">
      <c r="A10" s="6" t="s">
        <v>160</v>
      </c>
      <c r="B10" s="6" t="s">
        <v>161</v>
      </c>
      <c r="C10" s="6" t="s">
        <v>68</v>
      </c>
      <c r="D10" s="6" t="s">
        <v>69</v>
      </c>
      <c r="E10" s="6" t="s">
        <v>21</v>
      </c>
      <c r="F10" s="6" t="s">
        <v>162</v>
      </c>
      <c r="G10" s="6">
        <v>40</v>
      </c>
      <c r="H10" s="6" t="s">
        <v>163</v>
      </c>
      <c r="I10" s="13">
        <v>45689</v>
      </c>
      <c r="J10" s="6" t="s">
        <v>164</v>
      </c>
      <c r="K10" s="102" t="s">
        <v>165</v>
      </c>
      <c r="L10" s="6" t="s">
        <v>158</v>
      </c>
      <c r="M10" s="6" t="s">
        <v>158</v>
      </c>
      <c r="N10" s="6" t="s">
        <v>166</v>
      </c>
    </row>
    <row r="11" spans="1:33" s="12" customFormat="1" ht="15.75" customHeight="1">
      <c r="A11" s="6" t="s">
        <v>160</v>
      </c>
      <c r="B11" s="6" t="s">
        <v>161</v>
      </c>
      <c r="C11" s="6" t="s">
        <v>68</v>
      </c>
      <c r="D11" s="6" t="s">
        <v>69</v>
      </c>
      <c r="E11" s="6" t="s">
        <v>21</v>
      </c>
      <c r="F11" s="6" t="s">
        <v>162</v>
      </c>
      <c r="G11" s="6">
        <v>40</v>
      </c>
      <c r="H11" s="6" t="s">
        <v>163</v>
      </c>
      <c r="I11" s="13">
        <v>45689</v>
      </c>
      <c r="J11" s="6" t="s">
        <v>164</v>
      </c>
      <c r="K11" s="102" t="s">
        <v>165</v>
      </c>
      <c r="L11" s="6" t="s">
        <v>158</v>
      </c>
      <c r="M11" s="6" t="s">
        <v>158</v>
      </c>
      <c r="N11" s="6" t="s">
        <v>166</v>
      </c>
    </row>
    <row r="12" spans="1:33" s="12" customFormat="1" ht="15.75" customHeight="1">
      <c r="A12" s="6" t="s">
        <v>160</v>
      </c>
      <c r="B12" s="6" t="s">
        <v>161</v>
      </c>
      <c r="C12" s="6" t="s">
        <v>68</v>
      </c>
      <c r="D12" s="6" t="s">
        <v>167</v>
      </c>
      <c r="E12" s="6" t="s">
        <v>36</v>
      </c>
      <c r="F12" s="6" t="s">
        <v>162</v>
      </c>
      <c r="G12" s="6">
        <v>40</v>
      </c>
      <c r="H12" s="6" t="s">
        <v>163</v>
      </c>
      <c r="I12" s="13">
        <v>45689</v>
      </c>
      <c r="J12" s="6" t="s">
        <v>164</v>
      </c>
      <c r="K12" s="102" t="s">
        <v>168</v>
      </c>
      <c r="L12" s="6" t="s">
        <v>158</v>
      </c>
      <c r="M12" s="6" t="s">
        <v>158</v>
      </c>
      <c r="N12" s="6" t="s">
        <v>166</v>
      </c>
    </row>
    <row r="13" spans="1:33" s="12" customFormat="1" ht="15.75" customHeight="1">
      <c r="A13" s="6" t="s">
        <v>154</v>
      </c>
      <c r="B13" s="6" t="s">
        <v>169</v>
      </c>
      <c r="C13" s="6" t="s">
        <v>68</v>
      </c>
      <c r="D13" s="6" t="s">
        <v>69</v>
      </c>
      <c r="E13" s="6" t="s">
        <v>21</v>
      </c>
      <c r="F13" s="6" t="s">
        <v>92</v>
      </c>
      <c r="G13" s="6">
        <v>40</v>
      </c>
      <c r="H13" s="6" t="s">
        <v>157</v>
      </c>
      <c r="I13" s="13">
        <v>35359</v>
      </c>
      <c r="J13" s="6">
        <v>5</v>
      </c>
      <c r="K13" s="102">
        <v>5.78</v>
      </c>
      <c r="L13" s="6" t="s">
        <v>158</v>
      </c>
      <c r="M13" s="6" t="s">
        <v>158</v>
      </c>
      <c r="N13" s="66" t="s">
        <v>70</v>
      </c>
    </row>
    <row r="14" spans="1:33" s="12" customFormat="1" ht="15.75" customHeight="1">
      <c r="A14" s="6" t="s">
        <v>154</v>
      </c>
      <c r="B14" s="6" t="s">
        <v>169</v>
      </c>
      <c r="C14" s="6" t="s">
        <v>68</v>
      </c>
      <c r="D14" s="6" t="s">
        <v>86</v>
      </c>
      <c r="E14" s="6" t="s">
        <v>28</v>
      </c>
      <c r="F14" s="6" t="s">
        <v>92</v>
      </c>
      <c r="G14" s="6">
        <v>40</v>
      </c>
      <c r="H14" s="6" t="s">
        <v>157</v>
      </c>
      <c r="I14" s="13">
        <v>32660</v>
      </c>
      <c r="J14" s="6">
        <v>5</v>
      </c>
      <c r="K14" s="102">
        <v>227.09</v>
      </c>
      <c r="L14" s="6" t="s">
        <v>158</v>
      </c>
      <c r="M14" s="6" t="s">
        <v>158</v>
      </c>
      <c r="N14" s="66" t="s">
        <v>70</v>
      </c>
    </row>
    <row r="15" spans="1:33" s="12" customFormat="1" ht="15.75" customHeight="1">
      <c r="A15" s="6" t="s">
        <v>154</v>
      </c>
      <c r="B15" s="6" t="s">
        <v>169</v>
      </c>
      <c r="C15" s="6" t="s">
        <v>68</v>
      </c>
      <c r="D15" s="6" t="s">
        <v>69</v>
      </c>
      <c r="E15" s="6" t="s">
        <v>28</v>
      </c>
      <c r="F15" s="6" t="s">
        <v>92</v>
      </c>
      <c r="G15" s="6">
        <v>40</v>
      </c>
      <c r="H15" s="6" t="s">
        <v>157</v>
      </c>
      <c r="I15" s="13">
        <v>43405</v>
      </c>
      <c r="J15" s="6">
        <v>5</v>
      </c>
      <c r="K15" s="102">
        <v>117.55</v>
      </c>
      <c r="L15" s="6" t="s">
        <v>158</v>
      </c>
      <c r="M15" s="6" t="s">
        <v>158</v>
      </c>
      <c r="N15" s="66" t="s">
        <v>70</v>
      </c>
    </row>
    <row r="16" spans="1:33" s="12" customFormat="1" ht="15.75" customHeight="1">
      <c r="A16" s="6" t="s">
        <v>154</v>
      </c>
      <c r="B16" s="6" t="s">
        <v>169</v>
      </c>
      <c r="C16" s="6" t="s">
        <v>68</v>
      </c>
      <c r="D16" s="6" t="s">
        <v>69</v>
      </c>
      <c r="E16" s="6" t="s">
        <v>21</v>
      </c>
      <c r="F16" s="6" t="s">
        <v>92</v>
      </c>
      <c r="G16" s="6">
        <v>40</v>
      </c>
      <c r="H16" s="6" t="s">
        <v>157</v>
      </c>
      <c r="I16" s="13">
        <v>35282</v>
      </c>
      <c r="J16" s="6">
        <v>5</v>
      </c>
      <c r="K16" s="102">
        <v>4.96</v>
      </c>
      <c r="L16" s="6" t="s">
        <v>158</v>
      </c>
      <c r="M16" s="6" t="s">
        <v>159</v>
      </c>
      <c r="N16" s="66" t="s">
        <v>70</v>
      </c>
    </row>
    <row r="17" spans="1:14" s="12" customFormat="1" ht="15.75" customHeight="1">
      <c r="A17" s="6" t="s">
        <v>154</v>
      </c>
      <c r="B17" s="6" t="s">
        <v>169</v>
      </c>
      <c r="C17" s="6" t="s">
        <v>68</v>
      </c>
      <c r="D17" s="6" t="s">
        <v>69</v>
      </c>
      <c r="E17" s="6" t="s">
        <v>21</v>
      </c>
      <c r="F17" s="6" t="s">
        <v>92</v>
      </c>
      <c r="G17" s="6">
        <v>40</v>
      </c>
      <c r="H17" s="6" t="s">
        <v>157</v>
      </c>
      <c r="I17" s="13">
        <v>37165</v>
      </c>
      <c r="J17" s="6">
        <v>5</v>
      </c>
      <c r="K17" s="102">
        <v>28.49</v>
      </c>
      <c r="L17" s="6" t="s">
        <v>158</v>
      </c>
      <c r="M17" s="6" t="s">
        <v>159</v>
      </c>
      <c r="N17" s="66" t="s">
        <v>70</v>
      </c>
    </row>
    <row r="18" spans="1:14" s="12" customFormat="1" ht="15.75" customHeight="1">
      <c r="A18" s="6" t="s">
        <v>154</v>
      </c>
      <c r="B18" s="6" t="s">
        <v>169</v>
      </c>
      <c r="C18" s="6" t="s">
        <v>68</v>
      </c>
      <c r="D18" s="6" t="s">
        <v>69</v>
      </c>
      <c r="E18" s="6" t="s">
        <v>21</v>
      </c>
      <c r="F18" s="6" t="s">
        <v>92</v>
      </c>
      <c r="G18" s="6">
        <v>40</v>
      </c>
      <c r="H18" s="6" t="s">
        <v>157</v>
      </c>
      <c r="I18" s="13">
        <v>44652</v>
      </c>
      <c r="J18" s="6">
        <v>1</v>
      </c>
      <c r="K18" s="102" t="s">
        <v>158</v>
      </c>
      <c r="L18" s="6" t="s">
        <v>158</v>
      </c>
      <c r="M18" s="6" t="s">
        <v>158</v>
      </c>
      <c r="N18" s="66" t="s">
        <v>70</v>
      </c>
    </row>
    <row r="19" spans="1:14" s="12" customFormat="1" ht="15.75" customHeight="1">
      <c r="A19" s="6" t="s">
        <v>154</v>
      </c>
      <c r="B19" s="6" t="s">
        <v>169</v>
      </c>
      <c r="C19" s="6" t="s">
        <v>68</v>
      </c>
      <c r="D19" s="6" t="s">
        <v>69</v>
      </c>
      <c r="E19" s="6" t="s">
        <v>21</v>
      </c>
      <c r="F19" s="6" t="s">
        <v>92</v>
      </c>
      <c r="G19" s="6">
        <v>40</v>
      </c>
      <c r="H19" s="6" t="s">
        <v>157</v>
      </c>
      <c r="I19" s="13">
        <v>34617</v>
      </c>
      <c r="J19" s="6">
        <v>5</v>
      </c>
      <c r="K19" s="102">
        <v>30.01</v>
      </c>
      <c r="L19" s="6" t="s">
        <v>158</v>
      </c>
      <c r="M19" s="6" t="s">
        <v>158</v>
      </c>
      <c r="N19" s="66" t="s">
        <v>70</v>
      </c>
    </row>
    <row r="20" spans="1:14" s="12" customFormat="1" ht="15.75" customHeight="1">
      <c r="A20" s="6" t="s">
        <v>154</v>
      </c>
      <c r="B20" s="6" t="s">
        <v>170</v>
      </c>
      <c r="C20" s="6" t="s">
        <v>68</v>
      </c>
      <c r="D20" s="6" t="s">
        <v>156</v>
      </c>
      <c r="E20" s="6" t="s">
        <v>28</v>
      </c>
      <c r="F20" s="6" t="s">
        <v>92</v>
      </c>
      <c r="G20" s="6">
        <v>40</v>
      </c>
      <c r="H20" s="6" t="s">
        <v>157</v>
      </c>
      <c r="I20" s="13">
        <v>31854</v>
      </c>
      <c r="J20" s="6">
        <v>5</v>
      </c>
      <c r="K20" s="102">
        <v>278.7</v>
      </c>
      <c r="L20" s="6" t="s">
        <v>158</v>
      </c>
      <c r="M20" s="6" t="s">
        <v>158</v>
      </c>
      <c r="N20" s="66" t="s">
        <v>70</v>
      </c>
    </row>
    <row r="21" spans="1:14" s="12" customFormat="1" ht="15.75" customHeight="1">
      <c r="A21" s="6" t="s">
        <v>154</v>
      </c>
      <c r="B21" s="6" t="s">
        <v>170</v>
      </c>
      <c r="C21" s="6" t="s">
        <v>68</v>
      </c>
      <c r="D21" s="6" t="s">
        <v>156</v>
      </c>
      <c r="E21" s="6" t="s">
        <v>28</v>
      </c>
      <c r="F21" s="6" t="s">
        <v>92</v>
      </c>
      <c r="G21" s="6">
        <v>40</v>
      </c>
      <c r="H21" s="6" t="s">
        <v>157</v>
      </c>
      <c r="I21" s="13">
        <v>39052</v>
      </c>
      <c r="J21" s="6">
        <v>5</v>
      </c>
      <c r="K21" s="102">
        <v>267.91000000000003</v>
      </c>
      <c r="L21" s="6" t="s">
        <v>158</v>
      </c>
      <c r="M21" s="6" t="s">
        <v>158</v>
      </c>
      <c r="N21" s="66" t="s">
        <v>70</v>
      </c>
    </row>
    <row r="22" spans="1:14" s="12" customFormat="1" ht="15.75" customHeight="1">
      <c r="A22" s="6" t="s">
        <v>154</v>
      </c>
      <c r="B22" s="6" t="s">
        <v>170</v>
      </c>
      <c r="C22" s="6" t="s">
        <v>68</v>
      </c>
      <c r="D22" s="6" t="s">
        <v>86</v>
      </c>
      <c r="E22" s="6" t="s">
        <v>21</v>
      </c>
      <c r="F22" s="6" t="s">
        <v>92</v>
      </c>
      <c r="G22" s="6">
        <v>40</v>
      </c>
      <c r="H22" s="6" t="s">
        <v>157</v>
      </c>
      <c r="I22" s="13">
        <v>34997</v>
      </c>
      <c r="J22" s="6">
        <v>5</v>
      </c>
      <c r="K22" s="102">
        <v>30.01</v>
      </c>
      <c r="L22" s="6" t="s">
        <v>158</v>
      </c>
      <c r="M22" s="6" t="s">
        <v>158</v>
      </c>
      <c r="N22" s="66" t="s">
        <v>70</v>
      </c>
    </row>
    <row r="23" spans="1:14" s="12" customFormat="1" ht="15.75" customHeight="1">
      <c r="A23" s="6" t="s">
        <v>171</v>
      </c>
      <c r="B23" s="6" t="s">
        <v>172</v>
      </c>
      <c r="C23" s="6" t="s">
        <v>68</v>
      </c>
      <c r="D23" s="6" t="s">
        <v>69</v>
      </c>
      <c r="E23" s="6" t="s">
        <v>21</v>
      </c>
      <c r="F23" s="6" t="s">
        <v>92</v>
      </c>
      <c r="G23" s="6">
        <v>40</v>
      </c>
      <c r="H23" s="6">
        <v>84</v>
      </c>
      <c r="I23" s="6" t="s">
        <v>173</v>
      </c>
      <c r="J23" s="6">
        <v>3</v>
      </c>
      <c r="K23" s="102" t="s">
        <v>158</v>
      </c>
      <c r="L23" s="6" t="s">
        <v>158</v>
      </c>
      <c r="M23" s="6" t="s">
        <v>158</v>
      </c>
      <c r="N23" s="6" t="s">
        <v>166</v>
      </c>
    </row>
    <row r="24" spans="1:14" s="12" customFormat="1" ht="15.75" customHeight="1">
      <c r="A24" s="6" t="s">
        <v>171</v>
      </c>
      <c r="B24" s="6" t="s">
        <v>172</v>
      </c>
      <c r="C24" s="6" t="s">
        <v>68</v>
      </c>
      <c r="D24" s="6" t="s">
        <v>69</v>
      </c>
      <c r="E24" s="6" t="s">
        <v>21</v>
      </c>
      <c r="F24" s="6" t="s">
        <v>92</v>
      </c>
      <c r="G24" s="6">
        <v>40</v>
      </c>
      <c r="H24" s="6">
        <v>81</v>
      </c>
      <c r="I24" s="6" t="s">
        <v>174</v>
      </c>
      <c r="J24" s="6">
        <v>3</v>
      </c>
      <c r="K24" s="102" t="s">
        <v>158</v>
      </c>
      <c r="L24" s="6" t="s">
        <v>158</v>
      </c>
      <c r="M24" s="6" t="s">
        <v>158</v>
      </c>
      <c r="N24" s="6" t="s">
        <v>166</v>
      </c>
    </row>
    <row r="25" spans="1:14" s="12" customFormat="1" ht="15.75" customHeight="1">
      <c r="A25" s="6" t="s">
        <v>171</v>
      </c>
      <c r="B25" s="6" t="s">
        <v>172</v>
      </c>
      <c r="C25" s="6" t="s">
        <v>68</v>
      </c>
      <c r="D25" s="6" t="s">
        <v>69</v>
      </c>
      <c r="E25" s="6" t="s">
        <v>21</v>
      </c>
      <c r="F25" s="6" t="s">
        <v>92</v>
      </c>
      <c r="G25" s="6">
        <v>40</v>
      </c>
      <c r="H25" s="6">
        <v>77</v>
      </c>
      <c r="I25" s="13">
        <v>43622</v>
      </c>
      <c r="J25" s="6">
        <v>3</v>
      </c>
      <c r="K25" s="102" t="s">
        <v>158</v>
      </c>
      <c r="L25" s="6" t="s">
        <v>158</v>
      </c>
      <c r="M25" s="6" t="s">
        <v>158</v>
      </c>
      <c r="N25" s="6" t="s">
        <v>166</v>
      </c>
    </row>
    <row r="26" spans="1:14" s="12" customFormat="1" ht="15.75" customHeight="1">
      <c r="A26" s="6" t="s">
        <v>171</v>
      </c>
      <c r="B26" s="6" t="s">
        <v>172</v>
      </c>
      <c r="C26" s="6" t="s">
        <v>68</v>
      </c>
      <c r="D26" s="6" t="s">
        <v>69</v>
      </c>
      <c r="E26" s="6" t="s">
        <v>21</v>
      </c>
      <c r="F26" s="6" t="s">
        <v>92</v>
      </c>
      <c r="G26" s="6">
        <v>40</v>
      </c>
      <c r="H26" s="6">
        <v>216</v>
      </c>
      <c r="I26" s="6" t="s">
        <v>175</v>
      </c>
      <c r="J26" s="6">
        <v>9</v>
      </c>
      <c r="K26" s="102" t="s">
        <v>158</v>
      </c>
      <c r="L26" s="6" t="s">
        <v>158</v>
      </c>
      <c r="M26" s="6" t="s">
        <v>158</v>
      </c>
      <c r="N26" s="6" t="s">
        <v>166</v>
      </c>
    </row>
    <row r="27" spans="1:14" s="12" customFormat="1" ht="15.75" customHeight="1">
      <c r="A27" s="6" t="s">
        <v>171</v>
      </c>
      <c r="B27" s="6" t="s">
        <v>172</v>
      </c>
      <c r="C27" s="6" t="s">
        <v>68</v>
      </c>
      <c r="D27" s="6" t="s">
        <v>69</v>
      </c>
      <c r="E27" s="6" t="s">
        <v>21</v>
      </c>
      <c r="F27" s="6" t="s">
        <v>92</v>
      </c>
      <c r="G27" s="6">
        <v>40</v>
      </c>
      <c r="H27" s="6">
        <v>151</v>
      </c>
      <c r="I27" s="13">
        <v>41337</v>
      </c>
      <c r="J27" s="6">
        <v>6</v>
      </c>
      <c r="K27" s="102" t="s">
        <v>158</v>
      </c>
      <c r="L27" s="6" t="s">
        <v>158</v>
      </c>
      <c r="M27" s="6" t="s">
        <v>158</v>
      </c>
      <c r="N27" s="6" t="s">
        <v>166</v>
      </c>
    </row>
    <row r="28" spans="1:14" s="12" customFormat="1" ht="15.75" customHeight="1">
      <c r="A28" s="6" t="s">
        <v>171</v>
      </c>
      <c r="B28" s="6" t="s">
        <v>172</v>
      </c>
      <c r="C28" s="6" t="s">
        <v>68</v>
      </c>
      <c r="D28" s="6" t="s">
        <v>69</v>
      </c>
      <c r="E28" s="6" t="s">
        <v>21</v>
      </c>
      <c r="F28" s="6" t="s">
        <v>92</v>
      </c>
      <c r="G28" s="6">
        <v>40</v>
      </c>
      <c r="H28" s="6">
        <v>95</v>
      </c>
      <c r="I28" s="13">
        <v>42928</v>
      </c>
      <c r="J28" s="6">
        <v>3</v>
      </c>
      <c r="K28" s="102" t="s">
        <v>158</v>
      </c>
      <c r="L28" s="6" t="s">
        <v>158</v>
      </c>
      <c r="M28" s="6" t="s">
        <v>158</v>
      </c>
      <c r="N28" s="6" t="s">
        <v>166</v>
      </c>
    </row>
    <row r="29" spans="1:14" s="12" customFormat="1" ht="15.75" customHeight="1">
      <c r="A29" s="6" t="s">
        <v>154</v>
      </c>
      <c r="B29" s="6" t="s">
        <v>176</v>
      </c>
      <c r="C29" s="6" t="s">
        <v>68</v>
      </c>
      <c r="D29" s="6" t="s">
        <v>177</v>
      </c>
      <c r="E29" s="6" t="s">
        <v>21</v>
      </c>
      <c r="F29" s="6" t="s">
        <v>92</v>
      </c>
      <c r="G29" s="6">
        <v>40</v>
      </c>
      <c r="H29" s="6" t="s">
        <v>157</v>
      </c>
      <c r="I29" s="13">
        <v>44044</v>
      </c>
      <c r="J29" s="6">
        <v>2</v>
      </c>
      <c r="K29" s="102">
        <v>38.46</v>
      </c>
      <c r="L29" s="6" t="s">
        <v>158</v>
      </c>
      <c r="M29" s="6" t="s">
        <v>158</v>
      </c>
      <c r="N29" s="66" t="s">
        <v>70</v>
      </c>
    </row>
    <row r="30" spans="1:14" s="12" customFormat="1" ht="15.75" customHeight="1">
      <c r="A30" s="6" t="s">
        <v>154</v>
      </c>
      <c r="B30" s="6" t="s">
        <v>176</v>
      </c>
      <c r="C30" s="6" t="s">
        <v>68</v>
      </c>
      <c r="D30" s="6" t="s">
        <v>86</v>
      </c>
      <c r="E30" s="6" t="s">
        <v>28</v>
      </c>
      <c r="F30" s="6" t="s">
        <v>92</v>
      </c>
      <c r="G30" s="6">
        <v>40</v>
      </c>
      <c r="H30" s="6" t="s">
        <v>157</v>
      </c>
      <c r="I30" s="13">
        <v>41913</v>
      </c>
      <c r="J30" s="6">
        <v>5</v>
      </c>
      <c r="K30" s="102">
        <v>209.62</v>
      </c>
      <c r="L30" s="6" t="s">
        <v>158</v>
      </c>
      <c r="M30" s="6" t="s">
        <v>158</v>
      </c>
      <c r="N30" s="66" t="s">
        <v>70</v>
      </c>
    </row>
    <row r="31" spans="1:14" s="12" customFormat="1" ht="15.75" customHeight="1">
      <c r="A31" s="6" t="s">
        <v>154</v>
      </c>
      <c r="B31" s="6" t="s">
        <v>176</v>
      </c>
      <c r="C31" s="6" t="s">
        <v>68</v>
      </c>
      <c r="D31" s="6" t="s">
        <v>178</v>
      </c>
      <c r="E31" s="6" t="s">
        <v>28</v>
      </c>
      <c r="F31" s="6" t="s">
        <v>92</v>
      </c>
      <c r="G31" s="6">
        <v>40</v>
      </c>
      <c r="H31" s="6" t="s">
        <v>157</v>
      </c>
      <c r="I31" s="13">
        <v>34702</v>
      </c>
      <c r="J31" s="6">
        <v>5</v>
      </c>
      <c r="K31" s="102">
        <v>35.119999999999997</v>
      </c>
      <c r="L31" s="6" t="s">
        <v>158</v>
      </c>
      <c r="M31" s="6" t="s">
        <v>159</v>
      </c>
      <c r="N31" s="66" t="s">
        <v>70</v>
      </c>
    </row>
    <row r="32" spans="1:14" s="12" customFormat="1" ht="15.75" customHeight="1">
      <c r="A32" s="6" t="s">
        <v>154</v>
      </c>
      <c r="B32" s="6" t="s">
        <v>176</v>
      </c>
      <c r="C32" s="6" t="s">
        <v>68</v>
      </c>
      <c r="D32" s="6" t="s">
        <v>69</v>
      </c>
      <c r="E32" s="6" t="s">
        <v>21</v>
      </c>
      <c r="F32" s="6" t="s">
        <v>92</v>
      </c>
      <c r="G32" s="6">
        <v>40</v>
      </c>
      <c r="H32" s="6" t="s">
        <v>157</v>
      </c>
      <c r="I32" s="13">
        <v>35340</v>
      </c>
      <c r="J32" s="6">
        <v>5</v>
      </c>
      <c r="K32" s="102">
        <v>4.96</v>
      </c>
      <c r="L32" s="6" t="s">
        <v>158</v>
      </c>
      <c r="M32" s="6" t="s">
        <v>159</v>
      </c>
      <c r="N32" s="66" t="s">
        <v>70</v>
      </c>
    </row>
    <row r="33" spans="1:14" s="12" customFormat="1" ht="15.75" customHeight="1">
      <c r="A33" s="6" t="s">
        <v>154</v>
      </c>
      <c r="B33" s="6" t="s">
        <v>176</v>
      </c>
      <c r="C33" s="6" t="s">
        <v>68</v>
      </c>
      <c r="D33" s="6" t="s">
        <v>178</v>
      </c>
      <c r="E33" s="6" t="s">
        <v>28</v>
      </c>
      <c r="F33" s="6" t="s">
        <v>92</v>
      </c>
      <c r="G33" s="6">
        <v>30</v>
      </c>
      <c r="H33" s="6" t="s">
        <v>157</v>
      </c>
      <c r="I33" s="13">
        <v>39234</v>
      </c>
      <c r="J33" s="6">
        <v>5</v>
      </c>
      <c r="K33" s="102">
        <v>200</v>
      </c>
      <c r="L33" s="6" t="s">
        <v>158</v>
      </c>
      <c r="M33" s="6" t="s">
        <v>159</v>
      </c>
      <c r="N33" s="66" t="s">
        <v>70</v>
      </c>
    </row>
    <row r="34" spans="1:14" s="12" customFormat="1" ht="15.75" customHeight="1">
      <c r="A34" s="6" t="s">
        <v>154</v>
      </c>
      <c r="B34" s="6" t="s">
        <v>176</v>
      </c>
      <c r="C34" s="6" t="s">
        <v>68</v>
      </c>
      <c r="D34" s="6" t="s">
        <v>86</v>
      </c>
      <c r="E34" s="6" t="s">
        <v>21</v>
      </c>
      <c r="F34" s="6" t="s">
        <v>92</v>
      </c>
      <c r="G34" s="6">
        <v>40</v>
      </c>
      <c r="H34" s="6" t="s">
        <v>157</v>
      </c>
      <c r="I34" s="13">
        <v>32027</v>
      </c>
      <c r="J34" s="6">
        <v>5</v>
      </c>
      <c r="K34" s="102">
        <v>89.86</v>
      </c>
      <c r="L34" s="6" t="s">
        <v>158</v>
      </c>
      <c r="M34" s="6" t="s">
        <v>158</v>
      </c>
      <c r="N34" s="6" t="s">
        <v>166</v>
      </c>
    </row>
    <row r="35" spans="1:14" s="12" customFormat="1" ht="15.75" customHeight="1">
      <c r="A35" s="6" t="s">
        <v>154</v>
      </c>
      <c r="B35" s="6" t="s">
        <v>176</v>
      </c>
      <c r="C35" s="6" t="s">
        <v>68</v>
      </c>
      <c r="D35" s="6" t="s">
        <v>69</v>
      </c>
      <c r="E35" s="6" t="s">
        <v>21</v>
      </c>
      <c r="F35" s="6" t="s">
        <v>92</v>
      </c>
      <c r="G35" s="6">
        <v>40</v>
      </c>
      <c r="H35" s="6" t="s">
        <v>157</v>
      </c>
      <c r="I35" s="13">
        <v>43668</v>
      </c>
      <c r="J35" s="6">
        <v>3</v>
      </c>
      <c r="K35" s="102">
        <v>9.19</v>
      </c>
      <c r="L35" s="6" t="s">
        <v>158</v>
      </c>
      <c r="M35" s="6" t="s">
        <v>158</v>
      </c>
      <c r="N35" s="6" t="s">
        <v>166</v>
      </c>
    </row>
    <row r="36" spans="1:14" s="12" customFormat="1" ht="15.75" customHeight="1">
      <c r="A36" s="6" t="s">
        <v>154</v>
      </c>
      <c r="B36" s="6" t="s">
        <v>176</v>
      </c>
      <c r="C36" s="6" t="s">
        <v>68</v>
      </c>
      <c r="D36" s="6" t="s">
        <v>86</v>
      </c>
      <c r="E36" s="6" t="s">
        <v>21</v>
      </c>
      <c r="F36" s="6" t="s">
        <v>92</v>
      </c>
      <c r="G36" s="6">
        <v>40</v>
      </c>
      <c r="H36" s="6" t="s">
        <v>157</v>
      </c>
      <c r="I36" s="13">
        <v>43514</v>
      </c>
      <c r="J36" s="6">
        <v>3</v>
      </c>
      <c r="K36" s="102">
        <v>38.47</v>
      </c>
      <c r="L36" s="6" t="s">
        <v>158</v>
      </c>
      <c r="M36" s="6" t="s">
        <v>158</v>
      </c>
      <c r="N36" s="6" t="s">
        <v>166</v>
      </c>
    </row>
    <row r="37" spans="1:14" s="12" customFormat="1" ht="15.75" customHeight="1">
      <c r="A37" s="6" t="s">
        <v>154</v>
      </c>
      <c r="B37" s="6" t="s">
        <v>176</v>
      </c>
      <c r="C37" s="6" t="s">
        <v>68</v>
      </c>
      <c r="D37" s="6" t="s">
        <v>86</v>
      </c>
      <c r="E37" s="6" t="s">
        <v>21</v>
      </c>
      <c r="F37" s="6" t="s">
        <v>92</v>
      </c>
      <c r="G37" s="6">
        <v>40</v>
      </c>
      <c r="H37" s="6" t="s">
        <v>157</v>
      </c>
      <c r="I37" s="13">
        <v>36297</v>
      </c>
      <c r="J37" s="6">
        <v>5</v>
      </c>
      <c r="K37" s="102">
        <v>115.07</v>
      </c>
      <c r="L37" s="6" t="s">
        <v>158</v>
      </c>
      <c r="M37" s="6" t="s">
        <v>159</v>
      </c>
      <c r="N37" s="6" t="s">
        <v>166</v>
      </c>
    </row>
    <row r="38" spans="1:14" s="12" customFormat="1" ht="15.75" customHeight="1">
      <c r="A38" s="6" t="s">
        <v>171</v>
      </c>
      <c r="B38" s="6" t="s">
        <v>179</v>
      </c>
      <c r="C38" s="6" t="s">
        <v>68</v>
      </c>
      <c r="D38" s="6" t="s">
        <v>69</v>
      </c>
      <c r="E38" s="6" t="s">
        <v>21</v>
      </c>
      <c r="F38" s="6" t="s">
        <v>92</v>
      </c>
      <c r="G38" s="6">
        <v>40</v>
      </c>
      <c r="H38" s="6">
        <v>81</v>
      </c>
      <c r="I38" s="13">
        <v>43498</v>
      </c>
      <c r="J38" s="6">
        <v>3</v>
      </c>
      <c r="K38" s="102" t="s">
        <v>158</v>
      </c>
      <c r="L38" s="6" t="s">
        <v>158</v>
      </c>
      <c r="M38" s="6" t="s">
        <v>158</v>
      </c>
      <c r="N38" s="66" t="s">
        <v>70</v>
      </c>
    </row>
    <row r="39" spans="1:14" s="12" customFormat="1" ht="15.75" customHeight="1">
      <c r="A39" s="6" t="s">
        <v>171</v>
      </c>
      <c r="B39" s="6" t="s">
        <v>179</v>
      </c>
      <c r="C39" s="6" t="s">
        <v>68</v>
      </c>
      <c r="D39" s="6" t="s">
        <v>86</v>
      </c>
      <c r="E39" s="6" t="s">
        <v>21</v>
      </c>
      <c r="F39" s="6" t="s">
        <v>92</v>
      </c>
      <c r="G39" s="6">
        <v>40</v>
      </c>
      <c r="H39" s="6">
        <v>96</v>
      </c>
      <c r="I39" s="13">
        <v>42742</v>
      </c>
      <c r="J39" s="6">
        <v>4</v>
      </c>
      <c r="K39" s="102" t="s">
        <v>158</v>
      </c>
      <c r="L39" s="6" t="s">
        <v>158</v>
      </c>
      <c r="M39" s="6" t="s">
        <v>158</v>
      </c>
      <c r="N39" s="6" t="s">
        <v>180</v>
      </c>
    </row>
    <row r="40" spans="1:14" s="12" customFormat="1" ht="15.75" customHeight="1">
      <c r="A40" s="6" t="s">
        <v>171</v>
      </c>
      <c r="B40" s="6" t="s">
        <v>179</v>
      </c>
      <c r="C40" s="6" t="s">
        <v>68</v>
      </c>
      <c r="D40" s="6" t="s">
        <v>69</v>
      </c>
      <c r="E40" s="6" t="s">
        <v>21</v>
      </c>
      <c r="F40" s="6" t="s">
        <v>92</v>
      </c>
      <c r="G40" s="6">
        <v>40</v>
      </c>
      <c r="H40" s="6">
        <v>96</v>
      </c>
      <c r="I40" s="13">
        <v>42742</v>
      </c>
      <c r="J40" s="6">
        <v>4</v>
      </c>
      <c r="K40" s="102" t="s">
        <v>158</v>
      </c>
      <c r="L40" s="6" t="s">
        <v>158</v>
      </c>
      <c r="M40" s="6" t="s">
        <v>158</v>
      </c>
      <c r="N40" s="6" t="s">
        <v>180</v>
      </c>
    </row>
    <row r="41" spans="1:14" s="12" customFormat="1" ht="15.75" customHeight="1">
      <c r="A41" s="6" t="s">
        <v>171</v>
      </c>
      <c r="B41" s="6" t="s">
        <v>179</v>
      </c>
      <c r="C41" s="6" t="s">
        <v>68</v>
      </c>
      <c r="D41" s="6" t="s">
        <v>69</v>
      </c>
      <c r="E41" s="6" t="s">
        <v>21</v>
      </c>
      <c r="F41" s="6" t="s">
        <v>92</v>
      </c>
      <c r="G41" s="6">
        <v>40</v>
      </c>
      <c r="H41" s="6">
        <v>20</v>
      </c>
      <c r="I41" s="6" t="s">
        <v>181</v>
      </c>
      <c r="J41" s="6">
        <v>0</v>
      </c>
      <c r="K41" s="102" t="s">
        <v>158</v>
      </c>
      <c r="L41" s="6" t="s">
        <v>158</v>
      </c>
      <c r="M41" s="6" t="s">
        <v>158</v>
      </c>
      <c r="N41" s="6" t="s">
        <v>180</v>
      </c>
    </row>
    <row r="42" spans="1:14" s="12" customFormat="1" ht="15.75" customHeight="1">
      <c r="A42" s="6" t="s">
        <v>171</v>
      </c>
      <c r="B42" s="6" t="s">
        <v>179</v>
      </c>
      <c r="C42" s="6" t="s">
        <v>68</v>
      </c>
      <c r="D42" s="6" t="s">
        <v>69</v>
      </c>
      <c r="E42" s="6" t="s">
        <v>21</v>
      </c>
      <c r="F42" s="6" t="s">
        <v>92</v>
      </c>
      <c r="G42" s="6">
        <v>40</v>
      </c>
      <c r="H42" s="6">
        <v>17</v>
      </c>
      <c r="I42" s="13">
        <v>45388</v>
      </c>
      <c r="J42" s="6">
        <v>0</v>
      </c>
      <c r="K42" s="102" t="s">
        <v>158</v>
      </c>
      <c r="L42" s="6" t="s">
        <v>158</v>
      </c>
      <c r="M42" s="6" t="s">
        <v>158</v>
      </c>
      <c r="N42" s="6" t="s">
        <v>180</v>
      </c>
    </row>
    <row r="43" spans="1:14" s="12" customFormat="1" ht="15.75" customHeight="1">
      <c r="A43" s="6" t="s">
        <v>182</v>
      </c>
      <c r="B43" s="6" t="s">
        <v>183</v>
      </c>
      <c r="C43" s="6" t="s">
        <v>68</v>
      </c>
      <c r="D43" s="6" t="s">
        <v>69</v>
      </c>
      <c r="E43" s="6" t="s">
        <v>21</v>
      </c>
      <c r="F43" s="6" t="s">
        <v>92</v>
      </c>
      <c r="G43" s="6">
        <v>40</v>
      </c>
      <c r="H43" s="6">
        <v>162</v>
      </c>
      <c r="I43" s="13">
        <v>41050</v>
      </c>
      <c r="J43" s="6">
        <v>10</v>
      </c>
      <c r="K43" s="102" t="s">
        <v>157</v>
      </c>
      <c r="L43" s="6" t="s">
        <v>158</v>
      </c>
      <c r="M43" s="6" t="s">
        <v>158</v>
      </c>
      <c r="N43" s="6" t="s">
        <v>184</v>
      </c>
    </row>
    <row r="44" spans="1:14" s="12" customFormat="1" ht="15.75" customHeight="1">
      <c r="A44" s="6" t="s">
        <v>182</v>
      </c>
      <c r="B44" s="6" t="s">
        <v>183</v>
      </c>
      <c r="C44" s="6" t="s">
        <v>68</v>
      </c>
      <c r="D44" s="6" t="s">
        <v>69</v>
      </c>
      <c r="E44" s="6" t="s">
        <v>28</v>
      </c>
      <c r="F44" s="6" t="s">
        <v>92</v>
      </c>
      <c r="G44" s="6">
        <v>40</v>
      </c>
      <c r="H44" s="6">
        <v>256</v>
      </c>
      <c r="I44" s="13">
        <v>38194</v>
      </c>
      <c r="J44" s="6">
        <v>10</v>
      </c>
      <c r="K44" s="102" t="s">
        <v>157</v>
      </c>
      <c r="L44" s="6" t="s">
        <v>158</v>
      </c>
      <c r="M44" s="6" t="s">
        <v>158</v>
      </c>
      <c r="N44" s="6" t="s">
        <v>184</v>
      </c>
    </row>
    <row r="45" spans="1:14" s="12" customFormat="1" ht="15.75" customHeight="1">
      <c r="A45" s="6" t="s">
        <v>182</v>
      </c>
      <c r="B45" s="6" t="s">
        <v>183</v>
      </c>
      <c r="C45" s="6" t="s">
        <v>68</v>
      </c>
      <c r="D45" s="6" t="s">
        <v>69</v>
      </c>
      <c r="E45" s="6" t="s">
        <v>21</v>
      </c>
      <c r="F45" s="6" t="s">
        <v>92</v>
      </c>
      <c r="G45" s="6">
        <v>40</v>
      </c>
      <c r="H45" s="6">
        <v>66</v>
      </c>
      <c r="I45" s="13">
        <v>43591</v>
      </c>
      <c r="J45" s="6">
        <v>4</v>
      </c>
      <c r="K45" s="102" t="s">
        <v>157</v>
      </c>
      <c r="L45" s="6" t="s">
        <v>158</v>
      </c>
      <c r="M45" s="6" t="s">
        <v>158</v>
      </c>
      <c r="N45" s="6" t="s">
        <v>184</v>
      </c>
    </row>
    <row r="46" spans="1:14" s="12" customFormat="1" ht="15.75" customHeight="1">
      <c r="A46" s="6" t="s">
        <v>182</v>
      </c>
      <c r="B46" s="6" t="s">
        <v>183</v>
      </c>
      <c r="C46" s="6" t="s">
        <v>68</v>
      </c>
      <c r="D46" s="6" t="s">
        <v>69</v>
      </c>
      <c r="E46" s="6" t="s">
        <v>31</v>
      </c>
      <c r="F46" s="6" t="s">
        <v>92</v>
      </c>
      <c r="G46" s="6">
        <v>40</v>
      </c>
      <c r="H46" s="6">
        <v>131</v>
      </c>
      <c r="I46" s="13">
        <v>42016</v>
      </c>
      <c r="J46" s="6">
        <v>10</v>
      </c>
      <c r="K46" s="102" t="s">
        <v>157</v>
      </c>
      <c r="L46" s="6" t="s">
        <v>158</v>
      </c>
      <c r="M46" s="6" t="s">
        <v>158</v>
      </c>
      <c r="N46" s="6" t="s">
        <v>184</v>
      </c>
    </row>
    <row r="47" spans="1:14" s="12" customFormat="1" ht="15.75" customHeight="1">
      <c r="A47" s="6" t="s">
        <v>182</v>
      </c>
      <c r="B47" s="6" t="s">
        <v>183</v>
      </c>
      <c r="C47" s="6" t="s">
        <v>68</v>
      </c>
      <c r="D47" s="6" t="s">
        <v>69</v>
      </c>
      <c r="E47" s="6" t="s">
        <v>30</v>
      </c>
      <c r="F47" s="6" t="s">
        <v>92</v>
      </c>
      <c r="G47" s="6">
        <v>40</v>
      </c>
      <c r="H47" s="6">
        <v>292</v>
      </c>
      <c r="I47" s="13">
        <v>37086</v>
      </c>
      <c r="J47" s="6">
        <v>10</v>
      </c>
      <c r="K47" s="102" t="s">
        <v>157</v>
      </c>
      <c r="L47" s="6" t="s">
        <v>158</v>
      </c>
      <c r="M47" s="6" t="s">
        <v>158</v>
      </c>
      <c r="N47" s="6" t="s">
        <v>184</v>
      </c>
    </row>
    <row r="48" spans="1:14" s="12" customFormat="1" ht="15.75" customHeight="1">
      <c r="A48" s="6" t="s">
        <v>182</v>
      </c>
      <c r="B48" s="6" t="s">
        <v>183</v>
      </c>
      <c r="C48" s="6" t="s">
        <v>68</v>
      </c>
      <c r="D48" s="6" t="s">
        <v>69</v>
      </c>
      <c r="E48" s="6" t="s">
        <v>21</v>
      </c>
      <c r="F48" s="6" t="s">
        <v>92</v>
      </c>
      <c r="G48" s="6">
        <v>40</v>
      </c>
      <c r="H48" s="6">
        <v>138</v>
      </c>
      <c r="I48" s="13">
        <v>41766</v>
      </c>
      <c r="J48" s="6">
        <v>10</v>
      </c>
      <c r="K48" s="102" t="s">
        <v>157</v>
      </c>
      <c r="L48" s="6" t="s">
        <v>158</v>
      </c>
      <c r="M48" s="6" t="s">
        <v>158</v>
      </c>
      <c r="N48" s="6" t="s">
        <v>184</v>
      </c>
    </row>
    <row r="49" spans="1:14" s="12" customFormat="1" ht="15.75" customHeight="1">
      <c r="A49" s="6" t="s">
        <v>182</v>
      </c>
      <c r="B49" s="6" t="s">
        <v>183</v>
      </c>
      <c r="C49" s="6" t="s">
        <v>68</v>
      </c>
      <c r="D49" s="6" t="s">
        <v>185</v>
      </c>
      <c r="E49" s="6" t="s">
        <v>42</v>
      </c>
      <c r="F49" s="6" t="s">
        <v>92</v>
      </c>
      <c r="G49" s="6">
        <v>40</v>
      </c>
      <c r="H49" s="6">
        <v>35</v>
      </c>
      <c r="I49" s="13">
        <v>44957</v>
      </c>
      <c r="J49" s="6">
        <v>3</v>
      </c>
      <c r="K49" s="102" t="s">
        <v>157</v>
      </c>
      <c r="L49" s="6" t="s">
        <v>158</v>
      </c>
      <c r="M49" s="6" t="s">
        <v>158</v>
      </c>
      <c r="N49" s="6" t="s">
        <v>184</v>
      </c>
    </row>
    <row r="50" spans="1:14" s="12" customFormat="1" ht="15.75" customHeight="1">
      <c r="A50" s="6" t="s">
        <v>182</v>
      </c>
      <c r="B50" s="6" t="s">
        <v>183</v>
      </c>
      <c r="C50" s="6" t="s">
        <v>68</v>
      </c>
      <c r="D50" s="6" t="s">
        <v>185</v>
      </c>
      <c r="E50" s="6" t="s">
        <v>31</v>
      </c>
      <c r="F50" s="6" t="s">
        <v>92</v>
      </c>
      <c r="G50" s="6">
        <v>40</v>
      </c>
      <c r="H50" s="6">
        <v>55</v>
      </c>
      <c r="I50" s="13">
        <v>44293</v>
      </c>
      <c r="J50" s="6">
        <v>4</v>
      </c>
      <c r="K50" s="102" t="s">
        <v>157</v>
      </c>
      <c r="L50" s="6" t="s">
        <v>158</v>
      </c>
      <c r="M50" s="6" t="s">
        <v>158</v>
      </c>
      <c r="N50" s="6" t="s">
        <v>184</v>
      </c>
    </row>
    <row r="51" spans="1:14" s="12" customFormat="1" ht="15.75" customHeight="1">
      <c r="A51" s="6" t="s">
        <v>154</v>
      </c>
      <c r="B51" s="6" t="s">
        <v>186</v>
      </c>
      <c r="C51" s="6" t="s">
        <v>68</v>
      </c>
      <c r="D51" s="6" t="s">
        <v>187</v>
      </c>
      <c r="E51" s="6" t="s">
        <v>28</v>
      </c>
      <c r="F51" s="6" t="s">
        <v>92</v>
      </c>
      <c r="G51" s="6">
        <v>40</v>
      </c>
      <c r="H51" s="6" t="s">
        <v>157</v>
      </c>
      <c r="I51" s="13">
        <v>36286</v>
      </c>
      <c r="J51" s="6">
        <v>5</v>
      </c>
      <c r="K51" s="102" t="s">
        <v>157</v>
      </c>
      <c r="L51" s="6" t="s">
        <v>158</v>
      </c>
      <c r="M51" s="6" t="s">
        <v>158</v>
      </c>
      <c r="N51" s="66" t="s">
        <v>70</v>
      </c>
    </row>
    <row r="52" spans="1:14" s="12" customFormat="1" ht="15.75" customHeight="1">
      <c r="A52" s="6" t="s">
        <v>154</v>
      </c>
      <c r="B52" s="6" t="s">
        <v>186</v>
      </c>
      <c r="C52" s="6" t="s">
        <v>68</v>
      </c>
      <c r="D52" s="6" t="s">
        <v>86</v>
      </c>
      <c r="E52" s="6" t="s">
        <v>21</v>
      </c>
      <c r="F52" s="6" t="s">
        <v>92</v>
      </c>
      <c r="G52" s="6">
        <v>40</v>
      </c>
      <c r="H52" s="6" t="s">
        <v>157</v>
      </c>
      <c r="I52" s="13">
        <v>44166</v>
      </c>
      <c r="J52" s="6">
        <v>2</v>
      </c>
      <c r="K52" s="102" t="s">
        <v>157</v>
      </c>
      <c r="L52" s="6" t="s">
        <v>158</v>
      </c>
      <c r="M52" s="6" t="s">
        <v>158</v>
      </c>
      <c r="N52" s="66" t="s">
        <v>70</v>
      </c>
    </row>
    <row r="53" spans="1:14" s="12" customFormat="1" ht="15.75" customHeight="1">
      <c r="A53" s="6" t="s">
        <v>154</v>
      </c>
      <c r="B53" s="6" t="s">
        <v>186</v>
      </c>
      <c r="C53" s="6" t="s">
        <v>68</v>
      </c>
      <c r="D53" s="6" t="s">
        <v>156</v>
      </c>
      <c r="E53" s="6" t="s">
        <v>30</v>
      </c>
      <c r="F53" s="6" t="s">
        <v>92</v>
      </c>
      <c r="G53" s="6">
        <v>40</v>
      </c>
      <c r="H53" s="6" t="s">
        <v>157</v>
      </c>
      <c r="I53" s="13">
        <v>32204</v>
      </c>
      <c r="J53" s="6">
        <v>5</v>
      </c>
      <c r="K53" s="102">
        <v>504.18</v>
      </c>
      <c r="L53" s="6" t="s">
        <v>158</v>
      </c>
      <c r="M53" s="6" t="s">
        <v>158</v>
      </c>
      <c r="N53" s="66" t="s">
        <v>70</v>
      </c>
    </row>
    <row r="54" spans="1:14" s="12" customFormat="1" ht="15.75" customHeight="1">
      <c r="A54" s="6" t="s">
        <v>154</v>
      </c>
      <c r="B54" s="6" t="s">
        <v>186</v>
      </c>
      <c r="C54" s="6" t="s">
        <v>68</v>
      </c>
      <c r="D54" s="6" t="s">
        <v>188</v>
      </c>
      <c r="E54" s="6" t="s">
        <v>28</v>
      </c>
      <c r="F54" s="6" t="s">
        <v>92</v>
      </c>
      <c r="G54" s="6">
        <v>40</v>
      </c>
      <c r="H54" s="6" t="s">
        <v>157</v>
      </c>
      <c r="I54" s="13">
        <v>35962</v>
      </c>
      <c r="J54" s="6">
        <v>5</v>
      </c>
      <c r="K54" s="102">
        <v>2.89</v>
      </c>
      <c r="L54" s="6" t="s">
        <v>158</v>
      </c>
      <c r="M54" s="6" t="s">
        <v>158</v>
      </c>
      <c r="N54" s="66" t="s">
        <v>70</v>
      </c>
    </row>
    <row r="55" spans="1:14" s="12" customFormat="1" ht="15.75" customHeight="1">
      <c r="A55" s="6" t="s">
        <v>154</v>
      </c>
      <c r="B55" s="6" t="s">
        <v>186</v>
      </c>
      <c r="C55" s="6" t="s">
        <v>68</v>
      </c>
      <c r="D55" s="6" t="s">
        <v>69</v>
      </c>
      <c r="E55" s="6" t="s">
        <v>28</v>
      </c>
      <c r="F55" s="6" t="s">
        <v>92</v>
      </c>
      <c r="G55" s="6">
        <v>40</v>
      </c>
      <c r="H55" s="6" t="s">
        <v>157</v>
      </c>
      <c r="I55" s="13">
        <v>34001</v>
      </c>
      <c r="J55" s="6">
        <v>5</v>
      </c>
      <c r="K55" s="102">
        <v>121.9</v>
      </c>
      <c r="L55" s="6" t="s">
        <v>158</v>
      </c>
      <c r="M55" s="6" t="s">
        <v>158</v>
      </c>
      <c r="N55" s="66" t="s">
        <v>70</v>
      </c>
    </row>
    <row r="56" spans="1:14" s="12" customFormat="1" ht="15.75" customHeight="1">
      <c r="A56" s="6" t="s">
        <v>154</v>
      </c>
      <c r="B56" s="6" t="s">
        <v>186</v>
      </c>
      <c r="C56" s="6" t="s">
        <v>68</v>
      </c>
      <c r="D56" s="6" t="s">
        <v>86</v>
      </c>
      <c r="E56" s="6" t="s">
        <v>28</v>
      </c>
      <c r="F56" s="6" t="s">
        <v>92</v>
      </c>
      <c r="G56" s="6">
        <v>40</v>
      </c>
      <c r="H56" s="6" t="s">
        <v>157</v>
      </c>
      <c r="I56" s="13">
        <v>31868</v>
      </c>
      <c r="J56" s="6">
        <v>5</v>
      </c>
      <c r="K56" s="102">
        <v>88.63</v>
      </c>
      <c r="L56" s="6" t="s">
        <v>158</v>
      </c>
      <c r="M56" s="6" t="s">
        <v>158</v>
      </c>
      <c r="N56" s="66" t="s">
        <v>70</v>
      </c>
    </row>
    <row r="57" spans="1:14" s="12" customFormat="1" ht="15.75" customHeight="1">
      <c r="A57" s="6" t="s">
        <v>154</v>
      </c>
      <c r="B57" s="6" t="s">
        <v>186</v>
      </c>
      <c r="C57" s="6" t="s">
        <v>68</v>
      </c>
      <c r="D57" s="6" t="s">
        <v>69</v>
      </c>
      <c r="E57" s="6" t="s">
        <v>21</v>
      </c>
      <c r="F57" s="6" t="s">
        <v>92</v>
      </c>
      <c r="G57" s="6">
        <v>40</v>
      </c>
      <c r="H57" s="6" t="s">
        <v>157</v>
      </c>
      <c r="I57" s="13">
        <v>34702</v>
      </c>
      <c r="J57" s="6">
        <v>5</v>
      </c>
      <c r="K57" s="102">
        <v>80.010000000000005</v>
      </c>
      <c r="L57" s="6" t="s">
        <v>158</v>
      </c>
      <c r="M57" s="6" t="s">
        <v>158</v>
      </c>
      <c r="N57" s="66" t="s">
        <v>70</v>
      </c>
    </row>
    <row r="58" spans="1:14" s="12" customFormat="1" ht="15.75" customHeight="1">
      <c r="A58" s="6" t="s">
        <v>154</v>
      </c>
      <c r="B58" s="6" t="s">
        <v>186</v>
      </c>
      <c r="C58" s="6" t="s">
        <v>68</v>
      </c>
      <c r="D58" s="6" t="s">
        <v>69</v>
      </c>
      <c r="E58" s="6" t="s">
        <v>31</v>
      </c>
      <c r="F58" s="6" t="s">
        <v>92</v>
      </c>
      <c r="G58" s="6">
        <v>40</v>
      </c>
      <c r="H58" s="6" t="s">
        <v>157</v>
      </c>
      <c r="I58" s="13">
        <v>44180</v>
      </c>
      <c r="J58" s="6">
        <v>2</v>
      </c>
      <c r="K58" s="102" t="s">
        <v>157</v>
      </c>
      <c r="L58" s="6" t="s">
        <v>158</v>
      </c>
      <c r="M58" s="6" t="s">
        <v>158</v>
      </c>
      <c r="N58" s="66" t="s">
        <v>70</v>
      </c>
    </row>
    <row r="59" spans="1:14" s="12" customFormat="1" ht="15.75" customHeight="1">
      <c r="A59" s="6" t="s">
        <v>154</v>
      </c>
      <c r="B59" s="6" t="s">
        <v>189</v>
      </c>
      <c r="C59" s="6" t="s">
        <v>68</v>
      </c>
      <c r="D59" s="6" t="s">
        <v>190</v>
      </c>
      <c r="E59" s="6" t="s">
        <v>38</v>
      </c>
      <c r="F59" s="6" t="s">
        <v>92</v>
      </c>
      <c r="G59" s="6">
        <v>40</v>
      </c>
      <c r="H59" s="6" t="s">
        <v>157</v>
      </c>
      <c r="I59" s="13">
        <v>38018</v>
      </c>
      <c r="J59" s="6">
        <v>5</v>
      </c>
      <c r="K59" s="102">
        <v>1624.45</v>
      </c>
      <c r="L59" s="6" t="s">
        <v>158</v>
      </c>
      <c r="M59" s="6" t="s">
        <v>158</v>
      </c>
      <c r="N59" s="66" t="s">
        <v>70</v>
      </c>
    </row>
    <row r="60" spans="1:14" s="12" customFormat="1" ht="15.75" customHeight="1">
      <c r="A60" s="6" t="s">
        <v>154</v>
      </c>
      <c r="B60" s="6" t="s">
        <v>189</v>
      </c>
      <c r="C60" s="6" t="s">
        <v>68</v>
      </c>
      <c r="D60" s="6" t="s">
        <v>191</v>
      </c>
      <c r="E60" s="6" t="s">
        <v>38</v>
      </c>
      <c r="F60" s="6" t="s">
        <v>92</v>
      </c>
      <c r="G60" s="6">
        <v>40</v>
      </c>
      <c r="H60" s="6" t="s">
        <v>157</v>
      </c>
      <c r="I60" s="13">
        <v>37200</v>
      </c>
      <c r="J60" s="6">
        <v>5</v>
      </c>
      <c r="K60" s="102">
        <v>1493.75</v>
      </c>
      <c r="L60" s="6" t="s">
        <v>158</v>
      </c>
      <c r="M60" s="6" t="s">
        <v>158</v>
      </c>
      <c r="N60" s="66" t="s">
        <v>70</v>
      </c>
    </row>
    <row r="61" spans="1:14" s="12" customFormat="1" ht="15.75" customHeight="1">
      <c r="A61" s="6" t="s">
        <v>154</v>
      </c>
      <c r="B61" s="6" t="s">
        <v>189</v>
      </c>
      <c r="C61" s="6" t="s">
        <v>68</v>
      </c>
      <c r="D61" s="6" t="s">
        <v>79</v>
      </c>
      <c r="E61" s="6" t="s">
        <v>38</v>
      </c>
      <c r="F61" s="6" t="s">
        <v>92</v>
      </c>
      <c r="G61" s="6">
        <v>40</v>
      </c>
      <c r="H61" s="6" t="s">
        <v>157</v>
      </c>
      <c r="I61" s="13">
        <v>39052</v>
      </c>
      <c r="J61" s="6">
        <v>5</v>
      </c>
      <c r="K61" s="102">
        <v>1133.68</v>
      </c>
      <c r="L61" s="6" t="s">
        <v>158</v>
      </c>
      <c r="M61" s="6" t="s">
        <v>158</v>
      </c>
      <c r="N61" s="66" t="s">
        <v>70</v>
      </c>
    </row>
    <row r="62" spans="1:14" s="12" customFormat="1" ht="15.75" customHeight="1">
      <c r="A62" s="6" t="s">
        <v>154</v>
      </c>
      <c r="B62" s="6" t="s">
        <v>189</v>
      </c>
      <c r="C62" s="6" t="s">
        <v>68</v>
      </c>
      <c r="D62" s="6" t="s">
        <v>192</v>
      </c>
      <c r="E62" s="6" t="s">
        <v>38</v>
      </c>
      <c r="F62" s="6" t="s">
        <v>92</v>
      </c>
      <c r="G62" s="6">
        <v>40</v>
      </c>
      <c r="H62" s="6" t="s">
        <v>157</v>
      </c>
      <c r="I62" s="13">
        <v>35394</v>
      </c>
      <c r="J62" s="6">
        <v>5</v>
      </c>
      <c r="K62" s="102">
        <v>515.72</v>
      </c>
      <c r="L62" s="6" t="s">
        <v>158</v>
      </c>
      <c r="M62" s="6" t="s">
        <v>158</v>
      </c>
      <c r="N62" s="66" t="s">
        <v>70</v>
      </c>
    </row>
    <row r="63" spans="1:14" s="12" customFormat="1" ht="15.75" customHeight="1">
      <c r="A63" s="6" t="s">
        <v>182</v>
      </c>
      <c r="B63" s="6" t="s">
        <v>189</v>
      </c>
      <c r="C63" s="6" t="s">
        <v>68</v>
      </c>
      <c r="D63" s="6" t="s">
        <v>193</v>
      </c>
      <c r="E63" s="6" t="s">
        <v>28</v>
      </c>
      <c r="F63" s="6" t="s">
        <v>92</v>
      </c>
      <c r="G63" s="6">
        <v>40</v>
      </c>
      <c r="H63" s="6" t="s">
        <v>157</v>
      </c>
      <c r="I63" s="6" t="s">
        <v>157</v>
      </c>
      <c r="J63" s="6" t="s">
        <v>157</v>
      </c>
      <c r="K63" s="102" t="s">
        <v>157</v>
      </c>
      <c r="L63" s="6" t="s">
        <v>158</v>
      </c>
      <c r="M63" s="6" t="s">
        <v>158</v>
      </c>
      <c r="N63" s="66" t="s">
        <v>70</v>
      </c>
    </row>
    <row r="64" spans="1:14" s="12" customFormat="1" ht="15.75" customHeight="1">
      <c r="A64" s="6" t="s">
        <v>154</v>
      </c>
      <c r="B64" s="6" t="s">
        <v>90</v>
      </c>
      <c r="C64" s="6" t="s">
        <v>68</v>
      </c>
      <c r="D64" s="6" t="s">
        <v>194</v>
      </c>
      <c r="E64" s="6" t="s">
        <v>30</v>
      </c>
      <c r="F64" s="6" t="s">
        <v>92</v>
      </c>
      <c r="G64" s="6">
        <v>25</v>
      </c>
      <c r="H64" s="6" t="s">
        <v>157</v>
      </c>
      <c r="I64" s="13">
        <v>36893</v>
      </c>
      <c r="J64" s="6">
        <v>5</v>
      </c>
      <c r="K64" s="102">
        <v>350.46</v>
      </c>
      <c r="L64" s="6" t="s">
        <v>158</v>
      </c>
      <c r="M64" s="6" t="s">
        <v>158</v>
      </c>
      <c r="N64" s="66" t="s">
        <v>70</v>
      </c>
    </row>
    <row r="65" spans="1:33" s="12" customFormat="1" ht="15.75" customHeight="1">
      <c r="A65" s="6" t="s">
        <v>154</v>
      </c>
      <c r="B65" s="6" t="s">
        <v>90</v>
      </c>
      <c r="C65" s="6" t="s">
        <v>68</v>
      </c>
      <c r="D65" s="6" t="s">
        <v>194</v>
      </c>
      <c r="E65" s="6" t="s">
        <v>28</v>
      </c>
      <c r="F65" s="6" t="s">
        <v>92</v>
      </c>
      <c r="G65" s="6">
        <v>40</v>
      </c>
      <c r="H65" s="6" t="s">
        <v>157</v>
      </c>
      <c r="I65" s="13">
        <v>35758</v>
      </c>
      <c r="J65" s="6">
        <v>5</v>
      </c>
      <c r="K65" s="102">
        <v>115.17</v>
      </c>
      <c r="L65" s="6" t="s">
        <v>158</v>
      </c>
      <c r="M65" s="6" t="s">
        <v>159</v>
      </c>
      <c r="N65" s="66" t="s">
        <v>70</v>
      </c>
    </row>
    <row r="66" spans="1:33" s="12" customFormat="1" ht="15.75" customHeight="1">
      <c r="A66" s="6" t="s">
        <v>154</v>
      </c>
      <c r="B66" s="6" t="s">
        <v>189</v>
      </c>
      <c r="C66" s="6" t="s">
        <v>68</v>
      </c>
      <c r="D66" s="6" t="s">
        <v>195</v>
      </c>
      <c r="E66" s="6" t="s">
        <v>30</v>
      </c>
      <c r="F66" s="6" t="s">
        <v>92</v>
      </c>
      <c r="G66" s="6">
        <v>40</v>
      </c>
      <c r="H66" s="6" t="s">
        <v>157</v>
      </c>
      <c r="I66" s="13">
        <v>36299</v>
      </c>
      <c r="J66" s="6">
        <v>5</v>
      </c>
      <c r="K66" s="102">
        <v>124.68</v>
      </c>
      <c r="L66" s="6" t="s">
        <v>158</v>
      </c>
      <c r="M66" s="6" t="s">
        <v>158</v>
      </c>
      <c r="N66" s="66" t="s">
        <v>70</v>
      </c>
    </row>
    <row r="67" spans="1:33" s="12" customFormat="1" ht="15.75" customHeight="1">
      <c r="A67" s="6" t="s">
        <v>154</v>
      </c>
      <c r="B67" s="6" t="s">
        <v>189</v>
      </c>
      <c r="C67" s="6" t="s">
        <v>68</v>
      </c>
      <c r="D67" s="6" t="s">
        <v>196</v>
      </c>
      <c r="E67" s="6" t="s">
        <v>28</v>
      </c>
      <c r="F67" s="6" t="s">
        <v>92</v>
      </c>
      <c r="G67" s="6">
        <v>40</v>
      </c>
      <c r="H67" s="6" t="s">
        <v>157</v>
      </c>
      <c r="I67" s="13">
        <v>35681</v>
      </c>
      <c r="J67" s="6">
        <v>5</v>
      </c>
      <c r="K67" s="102">
        <v>62.64</v>
      </c>
      <c r="L67" s="6" t="s">
        <v>158</v>
      </c>
      <c r="M67" s="6" t="s">
        <v>158</v>
      </c>
      <c r="N67" s="66" t="s">
        <v>70</v>
      </c>
    </row>
    <row r="68" spans="1:33" s="12" customFormat="1" ht="15.75" customHeight="1">
      <c r="A68" s="6" t="s">
        <v>154</v>
      </c>
      <c r="B68" s="6" t="s">
        <v>90</v>
      </c>
      <c r="C68" s="6" t="s">
        <v>68</v>
      </c>
      <c r="D68" s="6" t="s">
        <v>196</v>
      </c>
      <c r="E68" s="6" t="s">
        <v>38</v>
      </c>
      <c r="F68" s="6" t="s">
        <v>92</v>
      </c>
      <c r="G68" s="6">
        <v>40</v>
      </c>
      <c r="H68" s="6" t="s">
        <v>157</v>
      </c>
      <c r="I68" s="13">
        <v>36373</v>
      </c>
      <c r="J68" s="6">
        <v>5</v>
      </c>
      <c r="K68" s="102" t="s">
        <v>157</v>
      </c>
      <c r="L68" s="6" t="s">
        <v>158</v>
      </c>
      <c r="M68" s="6" t="s">
        <v>158</v>
      </c>
      <c r="N68" s="66" t="s">
        <v>70</v>
      </c>
    </row>
    <row r="69" spans="1:33" s="12" customFormat="1" ht="15.75" customHeight="1">
      <c r="A69" s="6" t="s">
        <v>154</v>
      </c>
      <c r="B69" s="6" t="s">
        <v>90</v>
      </c>
      <c r="C69" s="6" t="s">
        <v>68</v>
      </c>
      <c r="D69" s="6" t="s">
        <v>196</v>
      </c>
      <c r="E69" s="6" t="s">
        <v>82</v>
      </c>
      <c r="F69" s="6" t="s">
        <v>92</v>
      </c>
      <c r="G69" s="6">
        <v>40</v>
      </c>
      <c r="H69" s="6" t="s">
        <v>157</v>
      </c>
      <c r="I69" s="13">
        <v>40725</v>
      </c>
      <c r="J69" s="6">
        <v>5</v>
      </c>
      <c r="K69" s="102" t="s">
        <v>157</v>
      </c>
      <c r="L69" s="6" t="s">
        <v>158</v>
      </c>
      <c r="M69" s="6" t="s">
        <v>158</v>
      </c>
      <c r="N69" s="66" t="s">
        <v>70</v>
      </c>
    </row>
    <row r="70" spans="1:33" s="12" customFormat="1" ht="15.75" customHeight="1">
      <c r="A70" s="6" t="s">
        <v>154</v>
      </c>
      <c r="B70" s="6" t="s">
        <v>189</v>
      </c>
      <c r="C70" s="6" t="s">
        <v>68</v>
      </c>
      <c r="D70" s="6" t="s">
        <v>197</v>
      </c>
      <c r="E70" s="6" t="s">
        <v>38</v>
      </c>
      <c r="F70" s="6" t="s">
        <v>92</v>
      </c>
      <c r="G70" s="6">
        <v>40</v>
      </c>
      <c r="H70" s="6" t="s">
        <v>157</v>
      </c>
      <c r="I70" s="13">
        <v>43990</v>
      </c>
      <c r="J70" s="6">
        <v>2</v>
      </c>
      <c r="K70" s="102">
        <v>450.9</v>
      </c>
      <c r="L70" s="6" t="s">
        <v>158</v>
      </c>
      <c r="M70" s="6" t="s">
        <v>158</v>
      </c>
      <c r="N70" s="66" t="s">
        <v>70</v>
      </c>
    </row>
    <row r="71" spans="1:33" s="12" customFormat="1" ht="15.75" customHeight="1">
      <c r="A71" s="6" t="s">
        <v>154</v>
      </c>
      <c r="B71" s="6" t="s">
        <v>189</v>
      </c>
      <c r="C71" s="6" t="s">
        <v>68</v>
      </c>
      <c r="D71" s="6" t="s">
        <v>93</v>
      </c>
      <c r="E71" s="6" t="s">
        <v>30</v>
      </c>
      <c r="F71" s="6" t="s">
        <v>92</v>
      </c>
      <c r="G71" s="6">
        <v>40</v>
      </c>
      <c r="H71" s="6" t="s">
        <v>157</v>
      </c>
      <c r="I71" s="13">
        <v>38658</v>
      </c>
      <c r="J71" s="6">
        <v>5</v>
      </c>
      <c r="K71" s="102">
        <v>176.92</v>
      </c>
      <c r="L71" s="6" t="s">
        <v>158</v>
      </c>
      <c r="M71" s="6" t="s">
        <v>158</v>
      </c>
      <c r="N71" s="66" t="s">
        <v>70</v>
      </c>
    </row>
    <row r="72" spans="1:33" s="12" customFormat="1" ht="15.75" customHeight="1">
      <c r="A72" s="6" t="s">
        <v>154</v>
      </c>
      <c r="B72" s="6" t="s">
        <v>189</v>
      </c>
      <c r="C72" s="6" t="s">
        <v>68</v>
      </c>
      <c r="D72" s="6" t="s">
        <v>198</v>
      </c>
      <c r="E72" s="6" t="s">
        <v>28</v>
      </c>
      <c r="F72" s="6" t="s">
        <v>92</v>
      </c>
      <c r="G72" s="6">
        <v>40</v>
      </c>
      <c r="H72" s="6" t="s">
        <v>157</v>
      </c>
      <c r="I72" s="13">
        <v>44690</v>
      </c>
      <c r="J72" s="6">
        <v>1</v>
      </c>
      <c r="K72" s="102" t="s">
        <v>157</v>
      </c>
      <c r="L72" s="6" t="s">
        <v>158</v>
      </c>
      <c r="M72" s="6" t="s">
        <v>158</v>
      </c>
      <c r="N72" s="66" t="s">
        <v>70</v>
      </c>
    </row>
    <row r="73" spans="1:3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104"/>
      <c r="L73" s="7"/>
      <c r="M73" s="7"/>
      <c r="N73" s="7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spans="1:33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104"/>
      <c r="L74" s="7"/>
      <c r="M74" s="7"/>
      <c r="N74" s="7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spans="1:33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104"/>
      <c r="L75" s="7"/>
      <c r="M75" s="7"/>
      <c r="N75" s="7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spans="1:33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104"/>
      <c r="L76" s="7"/>
      <c r="M76" s="7"/>
      <c r="N76" s="7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spans="1:33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104"/>
      <c r="L77" s="7"/>
      <c r="M77" s="7"/>
      <c r="N77" s="7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spans="1:33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104"/>
      <c r="L78" s="7"/>
      <c r="M78" s="7"/>
      <c r="N78" s="7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spans="1:33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104"/>
      <c r="L79" s="7"/>
      <c r="M79" s="7"/>
      <c r="N79" s="7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spans="1:33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104"/>
      <c r="L80" s="7"/>
      <c r="M80" s="7"/>
      <c r="N80" s="7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spans="1:33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104"/>
      <c r="L81" s="7"/>
      <c r="M81" s="7"/>
      <c r="N81" s="7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spans="1:33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104"/>
      <c r="L82" s="7"/>
      <c r="M82" s="7"/>
      <c r="N82" s="7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spans="1:3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104"/>
      <c r="L83" s="7"/>
      <c r="M83" s="7"/>
      <c r="N83" s="7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spans="1:33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104"/>
      <c r="L84" s="7"/>
      <c r="M84" s="7"/>
      <c r="N84" s="7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spans="1:33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104"/>
      <c r="L85" s="7"/>
      <c r="M85" s="7"/>
      <c r="N85" s="7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spans="1:33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104"/>
      <c r="L86" s="7"/>
      <c r="M86" s="7"/>
      <c r="N86" s="7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spans="1:33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104"/>
      <c r="L87" s="7"/>
      <c r="M87" s="7"/>
      <c r="N87" s="7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spans="1:33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104"/>
      <c r="L88" s="7"/>
      <c r="M88" s="7"/>
      <c r="N88" s="7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spans="1:33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104"/>
      <c r="L89" s="7"/>
      <c r="M89" s="7"/>
      <c r="N89" s="7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spans="1:33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104"/>
      <c r="L90" s="7"/>
      <c r="M90" s="7"/>
      <c r="N90" s="7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spans="1:33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104"/>
      <c r="L91" s="7"/>
      <c r="M91" s="7"/>
      <c r="N91" s="7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spans="1:33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104"/>
      <c r="L92" s="7"/>
      <c r="M92" s="7"/>
      <c r="N92" s="7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spans="1:3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104"/>
      <c r="L93" s="7"/>
      <c r="M93" s="7"/>
      <c r="N93" s="7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spans="1:33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104"/>
      <c r="L94" s="7"/>
      <c r="M94" s="7"/>
      <c r="N94" s="7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spans="1:33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104"/>
      <c r="L95" s="7"/>
      <c r="M95" s="7"/>
      <c r="N95" s="7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spans="1:33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104"/>
      <c r="L96" s="7"/>
      <c r="M96" s="7"/>
      <c r="N96" s="7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spans="1:33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104"/>
      <c r="L97" s="7"/>
      <c r="M97" s="7"/>
      <c r="N97" s="7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spans="1:33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104"/>
      <c r="L98" s="7"/>
      <c r="M98" s="7"/>
      <c r="N98" s="7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spans="1:33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104"/>
      <c r="L99" s="7"/>
      <c r="M99" s="7"/>
      <c r="N99" s="7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spans="1:33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104"/>
      <c r="L100" s="7"/>
      <c r="M100" s="7"/>
      <c r="N100" s="7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spans="1:33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104"/>
      <c r="L101" s="7"/>
      <c r="M101" s="7"/>
      <c r="N101" s="7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spans="1:33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104"/>
      <c r="L102" s="7"/>
      <c r="M102" s="7"/>
      <c r="N102" s="7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spans="1:3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104"/>
      <c r="L103" s="7"/>
      <c r="M103" s="7"/>
      <c r="N103" s="7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spans="1:33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104"/>
      <c r="L104" s="7"/>
      <c r="M104" s="7"/>
      <c r="N104" s="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spans="1:33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104"/>
      <c r="L105" s="7"/>
      <c r="M105" s="7"/>
      <c r="N105" s="7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spans="1:33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104"/>
      <c r="L106" s="7"/>
      <c r="M106" s="7"/>
      <c r="N106" s="7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spans="1:33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104"/>
      <c r="L107" s="7"/>
      <c r="M107" s="7"/>
      <c r="N107" s="7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spans="1:33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104"/>
      <c r="L108" s="7"/>
      <c r="M108" s="7"/>
      <c r="N108" s="7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spans="1:33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104"/>
      <c r="L109" s="7"/>
      <c r="M109" s="7"/>
      <c r="N109" s="7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spans="1:33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104"/>
      <c r="L110" s="7"/>
      <c r="M110" s="7"/>
      <c r="N110" s="7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spans="1:33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104"/>
      <c r="L111" s="7"/>
      <c r="M111" s="7"/>
      <c r="N111" s="7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spans="1:33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104"/>
      <c r="L112" s="7"/>
      <c r="M112" s="7"/>
      <c r="N112" s="7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spans="1:3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104"/>
      <c r="L113" s="7"/>
      <c r="M113" s="7"/>
      <c r="N113" s="7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spans="1:33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104"/>
      <c r="L114" s="7"/>
      <c r="M114" s="7"/>
      <c r="N114" s="7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spans="1:33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104"/>
      <c r="L115" s="7"/>
      <c r="M115" s="7"/>
      <c r="N115" s="7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spans="1:33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104"/>
      <c r="L116" s="7"/>
      <c r="M116" s="7"/>
      <c r="N116" s="7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spans="1:33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104"/>
      <c r="L117" s="7"/>
      <c r="M117" s="7"/>
      <c r="N117" s="7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spans="1:33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104"/>
      <c r="L118" s="7"/>
      <c r="M118" s="7"/>
      <c r="N118" s="7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spans="1:33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104"/>
      <c r="L119" s="7"/>
      <c r="M119" s="7"/>
      <c r="N119" s="7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spans="1:33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104"/>
      <c r="L120" s="7"/>
      <c r="M120" s="7"/>
      <c r="N120" s="7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spans="1:33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104"/>
      <c r="L121" s="7"/>
      <c r="M121" s="7"/>
      <c r="N121" s="7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spans="1:33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104"/>
      <c r="L122" s="7"/>
      <c r="M122" s="7"/>
      <c r="N122" s="7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spans="1:3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104"/>
      <c r="L123" s="7"/>
      <c r="M123" s="7"/>
      <c r="N123" s="7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spans="1:33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104"/>
      <c r="L124" s="7"/>
      <c r="M124" s="7"/>
      <c r="N124" s="7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spans="1:33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104"/>
      <c r="L125" s="7"/>
      <c r="M125" s="7"/>
      <c r="N125" s="7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spans="1:33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104"/>
      <c r="L126" s="7"/>
      <c r="M126" s="7"/>
      <c r="N126" s="7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spans="1:33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104"/>
      <c r="L127" s="7"/>
      <c r="M127" s="7"/>
      <c r="N127" s="7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spans="1:33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104"/>
      <c r="L128" s="7"/>
      <c r="M128" s="7"/>
      <c r="N128" s="7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spans="1:33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104"/>
      <c r="L129" s="7"/>
      <c r="M129" s="7"/>
      <c r="N129" s="7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spans="1:33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104"/>
      <c r="L130" s="7"/>
      <c r="M130" s="7"/>
      <c r="N130" s="7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spans="1:33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104"/>
      <c r="L131" s="7"/>
      <c r="M131" s="7"/>
      <c r="N131" s="7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spans="1:33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104"/>
      <c r="L132" s="7"/>
      <c r="M132" s="7"/>
      <c r="N132" s="7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spans="1: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104"/>
      <c r="L133" s="7"/>
      <c r="M133" s="7"/>
      <c r="N133" s="7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spans="1:33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104"/>
      <c r="L134" s="7"/>
      <c r="M134" s="7"/>
      <c r="N134" s="7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spans="1:33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104"/>
      <c r="L135" s="7"/>
      <c r="M135" s="7"/>
      <c r="N135" s="7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spans="1:33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104"/>
      <c r="L136" s="7"/>
      <c r="M136" s="7"/>
      <c r="N136" s="7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spans="1:33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104"/>
      <c r="L137" s="7"/>
      <c r="M137" s="7"/>
      <c r="N137" s="7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spans="1:33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104"/>
      <c r="L138" s="7"/>
      <c r="M138" s="7"/>
      <c r="N138" s="7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spans="1:33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104"/>
      <c r="L139" s="7"/>
      <c r="M139" s="7"/>
      <c r="N139" s="7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spans="1:33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104"/>
      <c r="L140" s="7"/>
      <c r="M140" s="7"/>
      <c r="N140" s="7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spans="1:33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104"/>
      <c r="L141" s="7"/>
      <c r="M141" s="7"/>
      <c r="N141" s="7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spans="1:33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104"/>
      <c r="L142" s="7"/>
      <c r="M142" s="7"/>
      <c r="N142" s="7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spans="1:3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104"/>
      <c r="L143" s="7"/>
      <c r="M143" s="7"/>
      <c r="N143" s="7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spans="1:33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104"/>
      <c r="L144" s="7"/>
      <c r="M144" s="7"/>
      <c r="N144" s="7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spans="1:33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104"/>
      <c r="L145" s="7"/>
      <c r="M145" s="7"/>
      <c r="N145" s="7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spans="1:33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104"/>
      <c r="L146" s="7"/>
      <c r="M146" s="7"/>
      <c r="N146" s="7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spans="1:33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104"/>
      <c r="L147" s="7"/>
      <c r="M147" s="7"/>
      <c r="N147" s="7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spans="1:33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104"/>
      <c r="L148" s="7"/>
      <c r="M148" s="7"/>
      <c r="N148" s="7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spans="1:33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104"/>
      <c r="L149" s="7"/>
      <c r="M149" s="7"/>
      <c r="N149" s="7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spans="1:33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104"/>
      <c r="L150" s="7"/>
      <c r="M150" s="7"/>
      <c r="N150" s="7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spans="1:33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104"/>
      <c r="L151" s="7"/>
      <c r="M151" s="7"/>
      <c r="N151" s="7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spans="1:33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104"/>
      <c r="L152" s="7"/>
      <c r="M152" s="7"/>
      <c r="N152" s="7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spans="1:3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104"/>
      <c r="L153" s="7"/>
      <c r="M153" s="7"/>
      <c r="N153" s="7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spans="1:33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104"/>
      <c r="L154" s="7"/>
      <c r="M154" s="7"/>
      <c r="N154" s="7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spans="1:33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104"/>
      <c r="L155" s="7"/>
      <c r="M155" s="7"/>
      <c r="N155" s="7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spans="1:33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104"/>
      <c r="L156" s="7"/>
      <c r="M156" s="7"/>
      <c r="N156" s="7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spans="1:33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104"/>
      <c r="L157" s="7"/>
      <c r="M157" s="7"/>
      <c r="N157" s="7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spans="1:33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104"/>
      <c r="L158" s="7"/>
      <c r="M158" s="7"/>
      <c r="N158" s="7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spans="1:33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104"/>
      <c r="L159" s="7"/>
      <c r="M159" s="7"/>
      <c r="N159" s="7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spans="1:33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104"/>
      <c r="L160" s="7"/>
      <c r="M160" s="7"/>
      <c r="N160" s="7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spans="1:33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104"/>
      <c r="L161" s="7"/>
      <c r="M161" s="7"/>
      <c r="N161" s="7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spans="1:33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104"/>
      <c r="L162" s="7"/>
      <c r="M162" s="7"/>
      <c r="N162" s="7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spans="1:3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104"/>
      <c r="L163" s="7"/>
      <c r="M163" s="7"/>
      <c r="N163" s="7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spans="1:33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104"/>
      <c r="L164" s="7"/>
      <c r="M164" s="7"/>
      <c r="N164" s="7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spans="1:33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104"/>
      <c r="L165" s="7"/>
      <c r="M165" s="7"/>
      <c r="N165" s="7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spans="1:33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104"/>
      <c r="L166" s="7"/>
      <c r="M166" s="7"/>
      <c r="N166" s="7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spans="1:33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104"/>
      <c r="L167" s="7"/>
      <c r="M167" s="7"/>
      <c r="N167" s="7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spans="1:33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104"/>
      <c r="L168" s="7"/>
      <c r="M168" s="7"/>
      <c r="N168" s="7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spans="1:33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104"/>
      <c r="L169" s="7"/>
      <c r="M169" s="7"/>
      <c r="N169" s="7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spans="1:33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104"/>
      <c r="L170" s="7"/>
      <c r="M170" s="7"/>
      <c r="N170" s="7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spans="1:33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104"/>
      <c r="L171" s="7"/>
      <c r="M171" s="7"/>
      <c r="N171" s="7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spans="1:33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104"/>
      <c r="L172" s="7"/>
      <c r="M172" s="7"/>
      <c r="N172" s="7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spans="1:3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104"/>
      <c r="L173" s="7"/>
      <c r="M173" s="7"/>
      <c r="N173" s="7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spans="1:33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104"/>
      <c r="L174" s="7"/>
      <c r="M174" s="7"/>
      <c r="N174" s="7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spans="1:33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104"/>
      <c r="L175" s="7"/>
      <c r="M175" s="7"/>
      <c r="N175" s="7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spans="1:33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104"/>
      <c r="L176" s="7"/>
      <c r="M176" s="7"/>
      <c r="N176" s="7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spans="1:33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104"/>
      <c r="L177" s="7"/>
      <c r="M177" s="7"/>
      <c r="N177" s="7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spans="1:33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104"/>
      <c r="L178" s="7"/>
      <c r="M178" s="7"/>
      <c r="N178" s="7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spans="1:33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104"/>
      <c r="L179" s="7"/>
      <c r="M179" s="7"/>
      <c r="N179" s="7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spans="1:33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104"/>
      <c r="L180" s="7"/>
      <c r="M180" s="7"/>
      <c r="N180" s="7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spans="1:33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104"/>
      <c r="L181" s="7"/>
      <c r="M181" s="7"/>
      <c r="N181" s="7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spans="1:33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104"/>
      <c r="L182" s="7"/>
      <c r="M182" s="7"/>
      <c r="N182" s="7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spans="1:3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104"/>
      <c r="L183" s="7"/>
      <c r="M183" s="7"/>
      <c r="N183" s="7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spans="1:33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104"/>
      <c r="L184" s="7"/>
      <c r="M184" s="7"/>
      <c r="N184" s="7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spans="1:33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104"/>
      <c r="L185" s="7"/>
      <c r="M185" s="7"/>
      <c r="N185" s="7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spans="1:33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104"/>
      <c r="L186" s="7"/>
      <c r="M186" s="7"/>
      <c r="N186" s="7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spans="1:33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104"/>
      <c r="L187" s="7"/>
      <c r="M187" s="7"/>
      <c r="N187" s="7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 spans="1:33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104"/>
      <c r="L188" s="7"/>
      <c r="M188" s="7"/>
      <c r="N188" s="7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 spans="1:33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104"/>
      <c r="L189" s="7"/>
      <c r="M189" s="7"/>
      <c r="N189" s="7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 spans="1:33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104"/>
      <c r="L190" s="7"/>
      <c r="M190" s="7"/>
      <c r="N190" s="7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spans="1:33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104"/>
      <c r="L191" s="7"/>
      <c r="M191" s="7"/>
      <c r="N191" s="7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 spans="1:33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104"/>
      <c r="L192" s="7"/>
      <c r="M192" s="7"/>
      <c r="N192" s="7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 spans="1:3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104"/>
      <c r="L193" s="7"/>
      <c r="M193" s="7"/>
      <c r="N193" s="7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 spans="1:33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104"/>
      <c r="L194" s="7"/>
      <c r="M194" s="7"/>
      <c r="N194" s="7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 spans="1:33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104"/>
      <c r="L195" s="7"/>
      <c r="M195" s="7"/>
      <c r="N195" s="7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 spans="1:33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104"/>
      <c r="L196" s="7"/>
      <c r="M196" s="7"/>
      <c r="N196" s="7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 spans="1:33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104"/>
      <c r="L197" s="7"/>
      <c r="M197" s="7"/>
      <c r="N197" s="7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 spans="1:33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104"/>
      <c r="L198" s="7"/>
      <c r="M198" s="7"/>
      <c r="N198" s="7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 spans="1:33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104"/>
      <c r="L199" s="7"/>
      <c r="M199" s="7"/>
      <c r="N199" s="7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 spans="1:33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104"/>
      <c r="L200" s="7"/>
      <c r="M200" s="7"/>
      <c r="N200" s="7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 spans="1:33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104"/>
      <c r="L201" s="7"/>
      <c r="M201" s="7"/>
      <c r="N201" s="7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 spans="1:33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104"/>
      <c r="L202" s="7"/>
      <c r="M202" s="7"/>
      <c r="N202" s="7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 spans="1:3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104"/>
      <c r="L203" s="7"/>
      <c r="M203" s="7"/>
      <c r="N203" s="7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 spans="1:33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104"/>
      <c r="L204" s="7"/>
      <c r="M204" s="7"/>
      <c r="N204" s="7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 spans="1:33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104"/>
      <c r="L205" s="7"/>
      <c r="M205" s="7"/>
      <c r="N205" s="7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 spans="1:33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104"/>
      <c r="L206" s="7"/>
      <c r="M206" s="7"/>
      <c r="N206" s="7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 spans="1:33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104"/>
      <c r="L207" s="7"/>
      <c r="M207" s="7"/>
      <c r="N207" s="7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 spans="1:33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104"/>
      <c r="L208" s="7"/>
      <c r="M208" s="7"/>
      <c r="N208" s="7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 spans="1:33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104"/>
      <c r="L209" s="7"/>
      <c r="M209" s="7"/>
      <c r="N209" s="7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 spans="1:33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104"/>
      <c r="L210" s="7"/>
      <c r="M210" s="7"/>
      <c r="N210" s="7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 spans="1:33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104"/>
      <c r="L211" s="7"/>
      <c r="M211" s="7"/>
      <c r="N211" s="7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 spans="1:33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104"/>
      <c r="L212" s="7"/>
      <c r="M212" s="7"/>
      <c r="N212" s="7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 spans="1:3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104"/>
      <c r="L213" s="7"/>
      <c r="M213" s="7"/>
      <c r="N213" s="7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 spans="1:33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104"/>
      <c r="L214" s="7"/>
      <c r="M214" s="7"/>
      <c r="N214" s="7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 spans="1:33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104"/>
      <c r="L215" s="7"/>
      <c r="M215" s="7"/>
      <c r="N215" s="7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 spans="1:33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104"/>
      <c r="L216" s="7"/>
      <c r="M216" s="7"/>
      <c r="N216" s="7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 spans="1:33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104"/>
      <c r="L217" s="7"/>
      <c r="M217" s="7"/>
      <c r="N217" s="7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 spans="1:33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104"/>
      <c r="L218" s="7"/>
      <c r="M218" s="7"/>
      <c r="N218" s="7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 spans="1:33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104"/>
      <c r="L219" s="7"/>
      <c r="M219" s="7"/>
      <c r="N219" s="7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 spans="1:33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104"/>
      <c r="L220" s="7"/>
      <c r="M220" s="7"/>
      <c r="N220" s="7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 spans="1:33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104"/>
      <c r="L221" s="7"/>
      <c r="M221" s="7"/>
      <c r="N221" s="7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 spans="1:33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104"/>
      <c r="L222" s="7"/>
      <c r="M222" s="7"/>
      <c r="N222" s="7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 spans="1:3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104"/>
      <c r="L223" s="7"/>
      <c r="M223" s="7"/>
      <c r="N223" s="7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 spans="1:33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104"/>
      <c r="L224" s="7"/>
      <c r="M224" s="7"/>
      <c r="N224" s="7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 spans="1:33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104"/>
      <c r="L225" s="7"/>
      <c r="M225" s="7"/>
      <c r="N225" s="7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 spans="1:33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104"/>
      <c r="L226" s="7"/>
      <c r="M226" s="7"/>
      <c r="N226" s="7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 spans="1:33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104"/>
      <c r="L227" s="7"/>
      <c r="M227" s="7"/>
      <c r="N227" s="7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 spans="1:33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104"/>
      <c r="L228" s="7"/>
      <c r="M228" s="7"/>
      <c r="N228" s="7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 spans="1:33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104"/>
      <c r="L229" s="7"/>
      <c r="M229" s="7"/>
      <c r="N229" s="7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 spans="1:33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104"/>
      <c r="L230" s="7"/>
      <c r="M230" s="7"/>
      <c r="N230" s="7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 spans="1:33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104"/>
      <c r="L231" s="7"/>
      <c r="M231" s="7"/>
      <c r="N231" s="7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 spans="1:33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104"/>
      <c r="L232" s="7"/>
      <c r="M232" s="7"/>
      <c r="N232" s="7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 spans="1: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104"/>
      <c r="L233" s="7"/>
      <c r="M233" s="7"/>
      <c r="N233" s="7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 spans="1:33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5"/>
      <c r="L234" s="10"/>
      <c r="M234" s="10"/>
      <c r="N234" s="10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1"/>
      <c r="AE234" s="1"/>
      <c r="AF234" s="1"/>
      <c r="AG234" s="1"/>
    </row>
    <row r="235" spans="1:33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5"/>
      <c r="L235" s="10"/>
      <c r="M235" s="10"/>
      <c r="N235" s="10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1"/>
      <c r="AE235" s="1"/>
      <c r="AF235" s="1"/>
      <c r="AG235" s="1"/>
    </row>
    <row r="236" spans="1:33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5"/>
      <c r="L236" s="10"/>
      <c r="M236" s="10"/>
      <c r="N236" s="10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1"/>
      <c r="AE236" s="1"/>
      <c r="AF236" s="1"/>
      <c r="AG236" s="1"/>
    </row>
    <row r="237" spans="1:33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5"/>
      <c r="L237" s="10"/>
      <c r="M237" s="10"/>
      <c r="N237" s="10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1"/>
      <c r="AE237" s="1"/>
      <c r="AF237" s="1"/>
      <c r="AG237" s="1"/>
    </row>
    <row r="238" spans="1:33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5"/>
      <c r="L238" s="10"/>
      <c r="M238" s="10"/>
      <c r="N238" s="10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1"/>
      <c r="AE238" s="1"/>
      <c r="AF238" s="1"/>
      <c r="AG238" s="1"/>
    </row>
    <row r="239" spans="1:33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5"/>
      <c r="L239" s="10"/>
      <c r="M239" s="10"/>
      <c r="N239" s="10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1"/>
      <c r="AE239" s="1"/>
      <c r="AF239" s="1"/>
      <c r="AG239" s="1"/>
    </row>
    <row r="240" spans="1:33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5"/>
      <c r="L240" s="10"/>
      <c r="M240" s="10"/>
      <c r="N240" s="10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1"/>
      <c r="AE240" s="1"/>
      <c r="AF240" s="1"/>
      <c r="AG240" s="1"/>
    </row>
    <row r="241" spans="1:33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5"/>
      <c r="L241" s="10"/>
      <c r="M241" s="10"/>
      <c r="N241" s="10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1"/>
      <c r="AE241" s="1"/>
      <c r="AF241" s="1"/>
      <c r="AG241" s="1"/>
    </row>
    <row r="242" spans="1:33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5"/>
      <c r="L242" s="10"/>
      <c r="M242" s="10"/>
      <c r="N242" s="10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1"/>
      <c r="AE242" s="1"/>
      <c r="AF242" s="1"/>
      <c r="AG242" s="1"/>
    </row>
    <row r="243" spans="1:3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5"/>
      <c r="L243" s="10"/>
      <c r="M243" s="10"/>
      <c r="N243" s="10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1"/>
      <c r="AE243" s="1"/>
      <c r="AF243" s="1"/>
      <c r="AG243" s="1"/>
    </row>
    <row r="244" spans="1:33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5"/>
      <c r="L244" s="10"/>
      <c r="M244" s="10"/>
      <c r="N244" s="10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1"/>
      <c r="AE244" s="1"/>
      <c r="AF244" s="1"/>
      <c r="AG244" s="1"/>
    </row>
    <row r="245" spans="1:33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5"/>
      <c r="L245" s="10"/>
      <c r="M245" s="10"/>
      <c r="N245" s="10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1"/>
      <c r="AE245" s="1"/>
      <c r="AF245" s="1"/>
      <c r="AG245" s="1"/>
    </row>
    <row r="246" spans="1:33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5"/>
      <c r="L246" s="10"/>
      <c r="M246" s="10"/>
      <c r="N246" s="10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1"/>
      <c r="AE246" s="1"/>
      <c r="AF246" s="1"/>
      <c r="AG246" s="1"/>
    </row>
    <row r="247" spans="1:33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5"/>
      <c r="L247" s="10"/>
      <c r="M247" s="10"/>
      <c r="N247" s="10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1"/>
      <c r="AE247" s="1"/>
      <c r="AF247" s="1"/>
      <c r="AG247" s="1"/>
    </row>
    <row r="248" spans="1:33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5"/>
      <c r="L248" s="10"/>
      <c r="M248" s="10"/>
      <c r="N248" s="10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1"/>
      <c r="AE248" s="1"/>
      <c r="AF248" s="1"/>
      <c r="AG248" s="1"/>
    </row>
    <row r="249" spans="1:33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5"/>
      <c r="L249" s="10"/>
      <c r="M249" s="10"/>
      <c r="N249" s="10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1"/>
      <c r="AE249" s="1"/>
      <c r="AF249" s="1"/>
      <c r="AG249" s="1"/>
    </row>
    <row r="250" spans="1:33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5"/>
      <c r="L250" s="10"/>
      <c r="M250" s="10"/>
      <c r="N250" s="10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1"/>
      <c r="AE250" s="1"/>
      <c r="AF250" s="1"/>
      <c r="AG250" s="1"/>
    </row>
    <row r="251" spans="1:33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5"/>
      <c r="L251" s="10"/>
      <c r="M251" s="10"/>
      <c r="N251" s="10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1"/>
      <c r="AE251" s="1"/>
      <c r="AF251" s="1"/>
      <c r="AG251" s="1"/>
    </row>
    <row r="252" spans="1:33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5"/>
      <c r="L252" s="10"/>
      <c r="M252" s="10"/>
      <c r="N252" s="10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1"/>
      <c r="AE252" s="1"/>
      <c r="AF252" s="1"/>
      <c r="AG252" s="1"/>
    </row>
    <row r="253" spans="1:3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5"/>
      <c r="L253" s="10"/>
      <c r="M253" s="10"/>
      <c r="N253" s="10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1"/>
      <c r="AE253" s="1"/>
      <c r="AF253" s="1"/>
      <c r="AG253" s="1"/>
    </row>
    <row r="254" spans="1:33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5"/>
      <c r="L254" s="10"/>
      <c r="M254" s="10"/>
      <c r="N254" s="10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1"/>
      <c r="AE254" s="1"/>
      <c r="AF254" s="1"/>
      <c r="AG254" s="1"/>
    </row>
    <row r="255" spans="1:33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5"/>
      <c r="L255" s="10"/>
      <c r="M255" s="10"/>
      <c r="N255" s="10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1"/>
      <c r="AE255" s="1"/>
      <c r="AF255" s="1"/>
      <c r="AG255" s="1"/>
    </row>
    <row r="256" spans="1:33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5"/>
      <c r="L256" s="10"/>
      <c r="M256" s="10"/>
      <c r="N256" s="10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1"/>
      <c r="AE256" s="1"/>
      <c r="AF256" s="1"/>
      <c r="AG256" s="1"/>
    </row>
    <row r="257" spans="1:33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5"/>
      <c r="L257" s="10"/>
      <c r="M257" s="10"/>
      <c r="N257" s="10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1"/>
      <c r="AE257" s="1"/>
      <c r="AF257" s="1"/>
      <c r="AG257" s="1"/>
    </row>
    <row r="258" spans="1:33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5"/>
      <c r="L258" s="10"/>
      <c r="M258" s="10"/>
      <c r="N258" s="10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1"/>
      <c r="AE258" s="1"/>
      <c r="AF258" s="1"/>
      <c r="AG258" s="1"/>
    </row>
    <row r="259" spans="1:33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5"/>
      <c r="L259" s="10"/>
      <c r="M259" s="10"/>
      <c r="N259" s="10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1"/>
      <c r="AE259" s="1"/>
      <c r="AF259" s="1"/>
      <c r="AG259" s="1"/>
    </row>
    <row r="260" spans="1:33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5"/>
      <c r="L260" s="10"/>
      <c r="M260" s="10"/>
      <c r="N260" s="10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1"/>
      <c r="AE260" s="1"/>
      <c r="AF260" s="1"/>
      <c r="AG260" s="1"/>
    </row>
    <row r="261" spans="1:33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5"/>
      <c r="L261" s="10"/>
      <c r="M261" s="10"/>
      <c r="N261" s="10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1"/>
      <c r="AE261" s="1"/>
      <c r="AF261" s="1"/>
      <c r="AG261" s="1"/>
    </row>
    <row r="262" spans="1:33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5"/>
      <c r="L262" s="10"/>
      <c r="M262" s="10"/>
      <c r="N262" s="10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1"/>
      <c r="AE262" s="1"/>
      <c r="AF262" s="1"/>
      <c r="AG262" s="1"/>
    </row>
    <row r="263" spans="1:3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5"/>
      <c r="L263" s="10"/>
      <c r="M263" s="10"/>
      <c r="N263" s="10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1"/>
      <c r="AE263" s="1"/>
      <c r="AF263" s="1"/>
      <c r="AG263" s="1"/>
    </row>
    <row r="264" spans="1:33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5"/>
      <c r="L264" s="10"/>
      <c r="M264" s="10"/>
      <c r="N264" s="10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1"/>
      <c r="AE264" s="1"/>
      <c r="AF264" s="1"/>
      <c r="AG264" s="1"/>
    </row>
    <row r="265" spans="1:33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5"/>
      <c r="L265" s="10"/>
      <c r="M265" s="10"/>
      <c r="N265" s="10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1"/>
      <c r="AE265" s="1"/>
      <c r="AF265" s="1"/>
      <c r="AG265" s="1"/>
    </row>
    <row r="266" spans="1:33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5"/>
      <c r="L266" s="10"/>
      <c r="M266" s="10"/>
      <c r="N266" s="10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1"/>
      <c r="AE266" s="1"/>
      <c r="AF266" s="1"/>
      <c r="AG266" s="1"/>
    </row>
    <row r="267" spans="1:33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5"/>
      <c r="L267" s="10"/>
      <c r="M267" s="10"/>
      <c r="N267" s="10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1"/>
      <c r="AE267" s="1"/>
      <c r="AF267" s="1"/>
      <c r="AG267" s="1"/>
    </row>
    <row r="268" spans="1:33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5"/>
      <c r="L268" s="10"/>
      <c r="M268" s="10"/>
      <c r="N268" s="10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1"/>
      <c r="AE268" s="1"/>
      <c r="AF268" s="1"/>
      <c r="AG268" s="1"/>
    </row>
    <row r="269" spans="1:33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5"/>
      <c r="L269" s="10"/>
      <c r="M269" s="10"/>
      <c r="N269" s="10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1"/>
      <c r="AE269" s="1"/>
      <c r="AF269" s="1"/>
      <c r="AG269" s="1"/>
    </row>
    <row r="270" spans="1:33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5"/>
      <c r="L270" s="10"/>
      <c r="M270" s="10"/>
      <c r="N270" s="10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1"/>
      <c r="AE270" s="1"/>
      <c r="AF270" s="1"/>
      <c r="AG270" s="1"/>
    </row>
    <row r="271" spans="1:33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5"/>
      <c r="L271" s="10"/>
      <c r="M271" s="10"/>
      <c r="N271" s="10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1"/>
      <c r="AE271" s="1"/>
      <c r="AF271" s="1"/>
      <c r="AG271" s="1"/>
    </row>
    <row r="272" spans="1:33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5"/>
      <c r="L272" s="10"/>
      <c r="M272" s="10"/>
      <c r="N272" s="10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1"/>
      <c r="AE272" s="1"/>
      <c r="AF272" s="1"/>
      <c r="AG272" s="1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A1:B1"/>
  </mergeCells>
  <pageMargins left="0.23622047244094491" right="0.31496062992125984" top="0.74803149606299213" bottom="0.74803149606299213" header="0.51181102362204722" footer="0.51181102362204722"/>
  <pageSetup paperSize="9" scale="46" fitToHeight="14" orientation="landscape" r:id="rId1"/>
  <rowBreaks count="2" manualBreakCount="2">
    <brk id="72" max="13" man="1"/>
    <brk id="135" max="1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619BD-D524-4BF8-8621-5F2282420187}">
  <sheetPr codeName="Sheet7">
    <pageSetUpPr fitToPage="1"/>
  </sheetPr>
  <dimension ref="A1:AJ211"/>
  <sheetViews>
    <sheetView showGridLines="0" zoomScale="80" zoomScaleNormal="80" workbookViewId="0">
      <selection activeCell="B77" sqref="B77"/>
    </sheetView>
  </sheetViews>
  <sheetFormatPr defaultColWidth="8.7109375" defaultRowHeight="12.95"/>
  <cols>
    <col min="1" max="1" width="26" style="64" customWidth="1"/>
    <col min="2" max="2" width="28.85546875" style="64" bestFit="1" customWidth="1"/>
    <col min="3" max="3" width="35.7109375" style="64" bestFit="1" customWidth="1"/>
    <col min="4" max="4" width="33.42578125" style="64" customWidth="1"/>
    <col min="5" max="5" width="23" style="64" customWidth="1"/>
    <col min="6" max="6" width="18.5703125" style="64" customWidth="1"/>
    <col min="7" max="9" width="15.28515625" style="64" customWidth="1"/>
    <col min="10" max="10" width="12.7109375" style="64" customWidth="1"/>
    <col min="11" max="11" width="14.5703125" style="64" bestFit="1" customWidth="1"/>
    <col min="12" max="12" width="12.7109375" style="64" customWidth="1"/>
    <col min="13" max="13" width="14.7109375" style="64" customWidth="1"/>
    <col min="14" max="14" width="22.28515625" style="64" customWidth="1"/>
    <col min="15" max="30" width="8.7109375" style="37"/>
    <col min="31" max="36" width="8.7109375" style="38"/>
    <col min="37" max="16384" width="8.7109375" style="39"/>
  </cols>
  <sheetData>
    <row r="1" spans="1:33" s="2" customFormat="1" ht="59.45" customHeight="1">
      <c r="A1" s="127" t="s">
        <v>199</v>
      </c>
      <c r="B1" s="127"/>
      <c r="C1" s="11"/>
      <c r="D1" s="11"/>
      <c r="E1" s="11"/>
      <c r="F1" s="11"/>
      <c r="G1" s="11"/>
      <c r="H1" s="11"/>
      <c r="I1" s="11"/>
      <c r="J1" s="11"/>
      <c r="K1" s="103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s="12" customFormat="1" ht="4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46</v>
      </c>
      <c r="J2" s="14" t="s">
        <v>10</v>
      </c>
      <c r="K2" s="101" t="s">
        <v>11</v>
      </c>
      <c r="L2" s="3" t="s">
        <v>13</v>
      </c>
      <c r="M2" s="3" t="s">
        <v>49</v>
      </c>
      <c r="N2" s="4" t="s">
        <v>16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5"/>
      <c r="AG2" s="5"/>
    </row>
    <row r="3" spans="1:33" s="12" customFormat="1" ht="15.75" customHeight="1">
      <c r="A3" s="6" t="s">
        <v>200</v>
      </c>
      <c r="B3" s="6" t="s">
        <v>201</v>
      </c>
      <c r="C3" s="6" t="s">
        <v>202</v>
      </c>
      <c r="D3" s="6" t="s">
        <v>203</v>
      </c>
      <c r="E3" s="6" t="s">
        <v>28</v>
      </c>
      <c r="F3" s="6" t="s">
        <v>204</v>
      </c>
      <c r="G3" s="6">
        <v>31</v>
      </c>
      <c r="H3" s="6">
        <v>98</v>
      </c>
      <c r="I3" s="13">
        <v>42767</v>
      </c>
      <c r="J3" s="6">
        <v>4</v>
      </c>
      <c r="K3" s="102">
        <v>53.5</v>
      </c>
      <c r="L3" s="6"/>
      <c r="M3" s="6" t="s">
        <v>24</v>
      </c>
      <c r="N3" s="66"/>
    </row>
    <row r="4" spans="1:33" s="12" customFormat="1" ht="15.75" customHeight="1">
      <c r="A4" s="6" t="s">
        <v>200</v>
      </c>
      <c r="B4" s="6" t="s">
        <v>201</v>
      </c>
      <c r="C4" s="6" t="s">
        <v>202</v>
      </c>
      <c r="D4" s="6" t="s">
        <v>205</v>
      </c>
      <c r="E4" s="6" t="s">
        <v>30</v>
      </c>
      <c r="F4" s="6" t="s">
        <v>22</v>
      </c>
      <c r="G4" s="6">
        <v>40</v>
      </c>
      <c r="H4" s="6">
        <v>98</v>
      </c>
      <c r="I4" s="13">
        <v>42767</v>
      </c>
      <c r="J4" s="6">
        <v>4</v>
      </c>
      <c r="K4" s="102">
        <v>327.29000000000002</v>
      </c>
      <c r="L4" s="6"/>
      <c r="M4" s="6" t="s">
        <v>24</v>
      </c>
      <c r="N4" s="66"/>
    </row>
    <row r="5" spans="1:33" s="12" customFormat="1" ht="15.75" customHeight="1">
      <c r="A5" s="6" t="s">
        <v>200</v>
      </c>
      <c r="B5" s="6" t="s">
        <v>201</v>
      </c>
      <c r="C5" s="6" t="s">
        <v>202</v>
      </c>
      <c r="D5" s="6" t="s">
        <v>206</v>
      </c>
      <c r="E5" s="6" t="s">
        <v>28</v>
      </c>
      <c r="F5" s="6" t="s">
        <v>22</v>
      </c>
      <c r="G5" s="6">
        <v>40</v>
      </c>
      <c r="H5" s="6">
        <v>35</v>
      </c>
      <c r="I5" s="13">
        <v>44697</v>
      </c>
      <c r="J5" s="6">
        <v>1</v>
      </c>
      <c r="K5" s="102"/>
      <c r="L5" s="6"/>
      <c r="M5" s="6" t="s">
        <v>24</v>
      </c>
      <c r="N5" s="66"/>
    </row>
    <row r="6" spans="1:33" s="12" customFormat="1" ht="15.75" customHeight="1">
      <c r="A6" s="6" t="s">
        <v>200</v>
      </c>
      <c r="B6" s="6" t="s">
        <v>201</v>
      </c>
      <c r="C6" s="6" t="s">
        <v>202</v>
      </c>
      <c r="D6" s="6" t="s">
        <v>207</v>
      </c>
      <c r="E6" s="6" t="s">
        <v>28</v>
      </c>
      <c r="F6" s="6" t="s">
        <v>22</v>
      </c>
      <c r="G6" s="6">
        <v>40</v>
      </c>
      <c r="H6" s="6">
        <v>98</v>
      </c>
      <c r="I6" s="13">
        <v>42767</v>
      </c>
      <c r="J6" s="6">
        <v>4</v>
      </c>
      <c r="K6" s="102">
        <v>53.5</v>
      </c>
      <c r="L6" s="6"/>
      <c r="M6" s="6" t="s">
        <v>24</v>
      </c>
      <c r="N6" s="66"/>
    </row>
    <row r="7" spans="1:33" s="12" customFormat="1" ht="15.75" customHeight="1">
      <c r="A7" s="6" t="s">
        <v>200</v>
      </c>
      <c r="B7" s="6" t="s">
        <v>201</v>
      </c>
      <c r="C7" s="6" t="s">
        <v>202</v>
      </c>
      <c r="D7" s="6" t="s">
        <v>208</v>
      </c>
      <c r="E7" s="6" t="s">
        <v>28</v>
      </c>
      <c r="F7" s="6" t="s">
        <v>22</v>
      </c>
      <c r="G7" s="6">
        <v>40</v>
      </c>
      <c r="H7" s="6">
        <v>98</v>
      </c>
      <c r="I7" s="13">
        <v>42767</v>
      </c>
      <c r="J7" s="6">
        <v>4</v>
      </c>
      <c r="K7" s="102">
        <v>77.36</v>
      </c>
      <c r="L7" s="6"/>
      <c r="M7" s="6" t="s">
        <v>24</v>
      </c>
      <c r="N7" s="66"/>
    </row>
    <row r="8" spans="1:33" s="12" customFormat="1" ht="15.75" customHeight="1">
      <c r="A8" s="6" t="s">
        <v>200</v>
      </c>
      <c r="B8" s="6" t="s">
        <v>209</v>
      </c>
      <c r="C8" s="6" t="s">
        <v>202</v>
      </c>
      <c r="D8" s="6" t="s">
        <v>210</v>
      </c>
      <c r="E8" s="6" t="s">
        <v>28</v>
      </c>
      <c r="F8" s="6" t="s">
        <v>22</v>
      </c>
      <c r="G8" s="6">
        <v>40</v>
      </c>
      <c r="H8" s="6">
        <v>98</v>
      </c>
      <c r="I8" s="13">
        <v>42767</v>
      </c>
      <c r="J8" s="6">
        <v>4</v>
      </c>
      <c r="K8" s="102"/>
      <c r="L8" s="6"/>
      <c r="M8" s="6" t="s">
        <v>24</v>
      </c>
      <c r="N8" s="66"/>
    </row>
    <row r="9" spans="1:33" s="12" customFormat="1" ht="15.75" customHeight="1">
      <c r="A9" s="6" t="s">
        <v>200</v>
      </c>
      <c r="B9" s="6" t="s">
        <v>211</v>
      </c>
      <c r="C9" s="6" t="s">
        <v>202</v>
      </c>
      <c r="D9" s="6" t="s">
        <v>207</v>
      </c>
      <c r="E9" s="6" t="s">
        <v>28</v>
      </c>
      <c r="F9" s="6" t="s">
        <v>22</v>
      </c>
      <c r="G9" s="6">
        <v>40</v>
      </c>
      <c r="H9" s="6">
        <v>98</v>
      </c>
      <c r="I9" s="13">
        <v>42767</v>
      </c>
      <c r="J9" s="6">
        <v>4</v>
      </c>
      <c r="K9" s="102">
        <v>158.91999999999999</v>
      </c>
      <c r="L9" s="6"/>
      <c r="M9" s="6" t="s">
        <v>24</v>
      </c>
      <c r="N9" s="66"/>
    </row>
    <row r="10" spans="1:33" s="12" customFormat="1" ht="15.75" customHeight="1">
      <c r="A10" s="6" t="s">
        <v>200</v>
      </c>
      <c r="B10" s="6" t="s">
        <v>209</v>
      </c>
      <c r="C10" s="6" t="s">
        <v>202</v>
      </c>
      <c r="D10" s="6" t="s">
        <v>207</v>
      </c>
      <c r="E10" s="6" t="s">
        <v>21</v>
      </c>
      <c r="F10" s="6" t="s">
        <v>22</v>
      </c>
      <c r="G10" s="6">
        <v>40</v>
      </c>
      <c r="H10" s="6">
        <v>98</v>
      </c>
      <c r="I10" s="13">
        <v>42767</v>
      </c>
      <c r="J10" s="6">
        <v>4</v>
      </c>
      <c r="K10" s="102"/>
      <c r="L10" s="6"/>
      <c r="M10" s="6" t="s">
        <v>24</v>
      </c>
      <c r="N10" s="66"/>
    </row>
    <row r="11" spans="1:33" s="12" customFormat="1" ht="15.75" customHeight="1">
      <c r="A11" s="6" t="s">
        <v>200</v>
      </c>
      <c r="B11" s="6" t="s">
        <v>201</v>
      </c>
      <c r="C11" s="6" t="s">
        <v>202</v>
      </c>
      <c r="D11" s="6" t="s">
        <v>208</v>
      </c>
      <c r="E11" s="6" t="s">
        <v>21</v>
      </c>
      <c r="F11" s="6" t="s">
        <v>22</v>
      </c>
      <c r="G11" s="6">
        <v>40</v>
      </c>
      <c r="H11" s="6">
        <v>98</v>
      </c>
      <c r="I11" s="13">
        <v>42767</v>
      </c>
      <c r="J11" s="6">
        <v>4</v>
      </c>
      <c r="K11" s="102"/>
      <c r="L11" s="6"/>
      <c r="M11" s="6" t="s">
        <v>24</v>
      </c>
      <c r="N11" s="66"/>
    </row>
    <row r="12" spans="1:33" s="12" customFormat="1" ht="15.75" customHeight="1">
      <c r="A12" s="6" t="s">
        <v>200</v>
      </c>
      <c r="B12" s="6" t="s">
        <v>201</v>
      </c>
      <c r="C12" s="6" t="s">
        <v>202</v>
      </c>
      <c r="D12" s="6" t="s">
        <v>212</v>
      </c>
      <c r="E12" s="6" t="s">
        <v>28</v>
      </c>
      <c r="F12" s="6" t="s">
        <v>22</v>
      </c>
      <c r="G12" s="6">
        <v>40</v>
      </c>
      <c r="H12" s="6">
        <v>98</v>
      </c>
      <c r="I12" s="13">
        <v>42767</v>
      </c>
      <c r="J12" s="6">
        <v>4</v>
      </c>
      <c r="K12" s="102">
        <v>47.72</v>
      </c>
      <c r="L12" s="6"/>
      <c r="M12" s="6" t="s">
        <v>24</v>
      </c>
      <c r="N12" s="66"/>
    </row>
    <row r="13" spans="1:33" s="12" customFormat="1" ht="15.75" customHeight="1">
      <c r="A13" s="6" t="s">
        <v>200</v>
      </c>
      <c r="B13" s="6" t="s">
        <v>201</v>
      </c>
      <c r="C13" s="6" t="s">
        <v>202</v>
      </c>
      <c r="D13" s="6" t="s">
        <v>206</v>
      </c>
      <c r="E13" s="6" t="s">
        <v>36</v>
      </c>
      <c r="F13" s="6" t="s">
        <v>22</v>
      </c>
      <c r="G13" s="6">
        <v>40</v>
      </c>
      <c r="H13" s="6">
        <v>35</v>
      </c>
      <c r="I13" s="13">
        <v>44690</v>
      </c>
      <c r="J13" s="6">
        <v>1</v>
      </c>
      <c r="K13" s="102"/>
      <c r="L13" s="6"/>
      <c r="M13" s="6" t="s">
        <v>24</v>
      </c>
      <c r="N13" s="66"/>
    </row>
    <row r="14" spans="1:33" s="12" customFormat="1" ht="15.75" customHeight="1">
      <c r="A14" s="6" t="s">
        <v>200</v>
      </c>
      <c r="B14" s="6" t="s">
        <v>201</v>
      </c>
      <c r="C14" s="6" t="s">
        <v>202</v>
      </c>
      <c r="D14" s="6" t="s">
        <v>208</v>
      </c>
      <c r="E14" s="6" t="s">
        <v>21</v>
      </c>
      <c r="F14" s="6" t="s">
        <v>22</v>
      </c>
      <c r="G14" s="6">
        <v>40</v>
      </c>
      <c r="H14" s="6">
        <v>98</v>
      </c>
      <c r="I14" s="13">
        <v>42767</v>
      </c>
      <c r="J14" s="6">
        <v>4</v>
      </c>
      <c r="K14" s="102">
        <v>53.5</v>
      </c>
      <c r="L14" s="6"/>
      <c r="M14" s="6" t="s">
        <v>24</v>
      </c>
      <c r="N14" s="66"/>
    </row>
    <row r="15" spans="1:33" s="12" customFormat="1" ht="15.75" customHeight="1">
      <c r="A15" s="6" t="s">
        <v>200</v>
      </c>
      <c r="B15" s="6" t="s">
        <v>213</v>
      </c>
      <c r="C15" s="6" t="s">
        <v>202</v>
      </c>
      <c r="D15" s="6" t="s">
        <v>207</v>
      </c>
      <c r="E15" s="6" t="s">
        <v>28</v>
      </c>
      <c r="F15" s="6" t="s">
        <v>22</v>
      </c>
      <c r="G15" s="6">
        <v>40</v>
      </c>
      <c r="H15" s="6">
        <v>81</v>
      </c>
      <c r="I15" s="13">
        <v>43282</v>
      </c>
      <c r="J15" s="6">
        <v>3</v>
      </c>
      <c r="K15" s="102">
        <v>100</v>
      </c>
      <c r="L15" s="6"/>
      <c r="M15" s="6" t="s">
        <v>24</v>
      </c>
      <c r="N15" s="66" t="s">
        <v>214</v>
      </c>
    </row>
    <row r="16" spans="1:33" s="12" customFormat="1" ht="15.75" customHeight="1">
      <c r="A16" s="6" t="s">
        <v>200</v>
      </c>
      <c r="B16" s="6" t="s">
        <v>211</v>
      </c>
      <c r="C16" s="6" t="s">
        <v>202</v>
      </c>
      <c r="D16" s="6" t="s">
        <v>207</v>
      </c>
      <c r="E16" s="6" t="s">
        <v>28</v>
      </c>
      <c r="F16" s="6" t="s">
        <v>22</v>
      </c>
      <c r="G16" s="6">
        <v>40</v>
      </c>
      <c r="H16" s="6">
        <v>98</v>
      </c>
      <c r="I16" s="13">
        <v>42767</v>
      </c>
      <c r="J16" s="6">
        <v>4</v>
      </c>
      <c r="K16" s="102">
        <v>158.91999999999999</v>
      </c>
      <c r="L16" s="6"/>
      <c r="M16" s="6" t="s">
        <v>24</v>
      </c>
      <c r="N16" s="66"/>
    </row>
    <row r="17" spans="1:14" s="12" customFormat="1" ht="15.75" customHeight="1">
      <c r="A17" s="6" t="s">
        <v>200</v>
      </c>
      <c r="B17" s="6" t="s">
        <v>201</v>
      </c>
      <c r="C17" s="6" t="s">
        <v>202</v>
      </c>
      <c r="D17" s="6" t="s">
        <v>215</v>
      </c>
      <c r="E17" s="6" t="s">
        <v>30</v>
      </c>
      <c r="F17" s="6" t="s">
        <v>22</v>
      </c>
      <c r="G17" s="6">
        <v>40</v>
      </c>
      <c r="H17" s="6">
        <v>98</v>
      </c>
      <c r="I17" s="13">
        <v>42767</v>
      </c>
      <c r="J17" s="6">
        <v>4</v>
      </c>
      <c r="K17" s="102">
        <v>316.13</v>
      </c>
      <c r="L17" s="6"/>
      <c r="M17" s="6" t="s">
        <v>24</v>
      </c>
      <c r="N17" s="66" t="s">
        <v>216</v>
      </c>
    </row>
    <row r="18" spans="1:14" s="12" customFormat="1" ht="15.75" customHeight="1">
      <c r="A18" s="6" t="s">
        <v>200</v>
      </c>
      <c r="B18" s="6" t="s">
        <v>201</v>
      </c>
      <c r="C18" s="6" t="s">
        <v>202</v>
      </c>
      <c r="D18" s="6" t="s">
        <v>217</v>
      </c>
      <c r="E18" s="6" t="s">
        <v>38</v>
      </c>
      <c r="F18" s="6" t="s">
        <v>22</v>
      </c>
      <c r="G18" s="6">
        <v>40</v>
      </c>
      <c r="H18" s="6">
        <v>276</v>
      </c>
      <c r="I18" s="13">
        <v>37361</v>
      </c>
      <c r="J18" s="6">
        <v>5</v>
      </c>
      <c r="K18" s="102">
        <v>574.95000000000005</v>
      </c>
      <c r="L18" s="6"/>
      <c r="M18" s="6" t="s">
        <v>24</v>
      </c>
      <c r="N18" s="66"/>
    </row>
    <row r="19" spans="1:14" s="12" customFormat="1" ht="15.75" customHeight="1">
      <c r="A19" s="6" t="s">
        <v>200</v>
      </c>
      <c r="B19" s="6" t="s">
        <v>209</v>
      </c>
      <c r="C19" s="6" t="s">
        <v>202</v>
      </c>
      <c r="D19" s="6" t="s">
        <v>215</v>
      </c>
      <c r="E19" s="6" t="s">
        <v>28</v>
      </c>
      <c r="F19" s="6" t="s">
        <v>22</v>
      </c>
      <c r="G19" s="6">
        <v>40</v>
      </c>
      <c r="H19" s="6">
        <v>21</v>
      </c>
      <c r="I19" s="13">
        <v>45112</v>
      </c>
      <c r="J19" s="6">
        <v>0</v>
      </c>
      <c r="K19" s="102"/>
      <c r="L19" s="6"/>
      <c r="M19" s="6" t="s">
        <v>24</v>
      </c>
      <c r="N19" s="66"/>
    </row>
    <row r="20" spans="1:14" s="12" customFormat="1" ht="15.75" customHeight="1">
      <c r="A20" s="6" t="s">
        <v>200</v>
      </c>
      <c r="B20" s="6" t="s">
        <v>201</v>
      </c>
      <c r="C20" s="6" t="s">
        <v>202</v>
      </c>
      <c r="D20" s="6" t="s">
        <v>212</v>
      </c>
      <c r="E20" s="6" t="s">
        <v>28</v>
      </c>
      <c r="F20" s="6" t="s">
        <v>22</v>
      </c>
      <c r="G20" s="6">
        <v>40</v>
      </c>
      <c r="H20" s="6">
        <v>98</v>
      </c>
      <c r="I20" s="13">
        <v>42767</v>
      </c>
      <c r="J20" s="6">
        <v>4</v>
      </c>
      <c r="K20" s="102">
        <v>208.31</v>
      </c>
      <c r="L20" s="6"/>
      <c r="M20" s="6" t="s">
        <v>24</v>
      </c>
      <c r="N20" s="66" t="s">
        <v>218</v>
      </c>
    </row>
    <row r="21" spans="1:14" s="12" customFormat="1" ht="15.75" customHeight="1">
      <c r="A21" s="6" t="s">
        <v>200</v>
      </c>
      <c r="B21" s="6" t="s">
        <v>201</v>
      </c>
      <c r="C21" s="6" t="s">
        <v>202</v>
      </c>
      <c r="D21" s="6" t="s">
        <v>208</v>
      </c>
      <c r="E21" s="6" t="s">
        <v>28</v>
      </c>
      <c r="F21" s="6" t="s">
        <v>22</v>
      </c>
      <c r="G21" s="6">
        <v>40</v>
      </c>
      <c r="H21" s="6">
        <v>98</v>
      </c>
      <c r="I21" s="13">
        <v>42767</v>
      </c>
      <c r="J21" s="6">
        <v>4</v>
      </c>
      <c r="K21" s="102">
        <v>208.92</v>
      </c>
      <c r="L21" s="6"/>
      <c r="M21" s="6" t="s">
        <v>24</v>
      </c>
      <c r="N21" s="66"/>
    </row>
    <row r="22" spans="1:14" s="12" customFormat="1" ht="15.75" customHeight="1">
      <c r="A22" s="6" t="s">
        <v>200</v>
      </c>
      <c r="B22" s="6" t="s">
        <v>201</v>
      </c>
      <c r="C22" s="6" t="s">
        <v>202</v>
      </c>
      <c r="D22" s="6" t="s">
        <v>215</v>
      </c>
      <c r="E22" s="6" t="s">
        <v>28</v>
      </c>
      <c r="F22" s="6" t="s">
        <v>22</v>
      </c>
      <c r="G22" s="6">
        <v>40</v>
      </c>
      <c r="H22" s="6">
        <v>98</v>
      </c>
      <c r="I22" s="13">
        <v>42767</v>
      </c>
      <c r="J22" s="6">
        <v>4</v>
      </c>
      <c r="K22" s="102">
        <v>271.05</v>
      </c>
      <c r="L22" s="6"/>
      <c r="M22" s="6" t="s">
        <v>24</v>
      </c>
      <c r="N22" s="66"/>
    </row>
    <row r="23" spans="1:14" s="12" customFormat="1" ht="15.75" customHeight="1">
      <c r="A23" s="6" t="s">
        <v>200</v>
      </c>
      <c r="B23" s="6" t="s">
        <v>201</v>
      </c>
      <c r="C23" s="6" t="s">
        <v>202</v>
      </c>
      <c r="D23" s="6" t="s">
        <v>217</v>
      </c>
      <c r="E23" s="6" t="s">
        <v>30</v>
      </c>
      <c r="F23" s="6" t="s">
        <v>22</v>
      </c>
      <c r="G23" s="6">
        <v>40</v>
      </c>
      <c r="H23" s="6">
        <v>267</v>
      </c>
      <c r="I23" s="13">
        <v>37628</v>
      </c>
      <c r="J23" s="6">
        <v>5</v>
      </c>
      <c r="K23" s="102">
        <v>255.47</v>
      </c>
      <c r="L23" s="6"/>
      <c r="M23" s="6" t="s">
        <v>24</v>
      </c>
      <c r="N23" s="66"/>
    </row>
    <row r="24" spans="1:14" s="12" customFormat="1" ht="15.75" customHeight="1">
      <c r="A24" s="6" t="s">
        <v>200</v>
      </c>
      <c r="B24" s="6" t="s">
        <v>209</v>
      </c>
      <c r="C24" s="6" t="s">
        <v>202</v>
      </c>
      <c r="D24" s="6" t="s">
        <v>215</v>
      </c>
      <c r="E24" s="6" t="s">
        <v>28</v>
      </c>
      <c r="F24" s="6" t="s">
        <v>22</v>
      </c>
      <c r="G24" s="6">
        <v>40</v>
      </c>
      <c r="H24" s="6">
        <v>98</v>
      </c>
      <c r="I24" s="13">
        <v>42767</v>
      </c>
      <c r="J24" s="6">
        <v>4</v>
      </c>
      <c r="K24" s="102"/>
      <c r="L24" s="6"/>
      <c r="M24" s="6" t="s">
        <v>24</v>
      </c>
      <c r="N24" s="66"/>
    </row>
    <row r="25" spans="1:14" s="12" customFormat="1" ht="15.75" customHeight="1">
      <c r="A25" s="6" t="s">
        <v>200</v>
      </c>
      <c r="B25" s="6" t="s">
        <v>201</v>
      </c>
      <c r="C25" s="6" t="s">
        <v>202</v>
      </c>
      <c r="D25" s="6" t="s">
        <v>215</v>
      </c>
      <c r="E25" s="6" t="s">
        <v>30</v>
      </c>
      <c r="F25" s="6" t="s">
        <v>22</v>
      </c>
      <c r="G25" s="6">
        <v>40</v>
      </c>
      <c r="H25" s="6">
        <v>98</v>
      </c>
      <c r="I25" s="13">
        <v>42767</v>
      </c>
      <c r="J25" s="6">
        <v>4</v>
      </c>
      <c r="K25" s="102">
        <v>316.13</v>
      </c>
      <c r="L25" s="6"/>
      <c r="M25" s="6" t="s">
        <v>24</v>
      </c>
      <c r="N25" s="66"/>
    </row>
    <row r="26" spans="1:14" s="12" customFormat="1" ht="15.75" customHeight="1">
      <c r="A26" s="6" t="s">
        <v>200</v>
      </c>
      <c r="B26" s="6" t="s">
        <v>201</v>
      </c>
      <c r="C26" s="6" t="s">
        <v>202</v>
      </c>
      <c r="D26" s="6" t="s">
        <v>219</v>
      </c>
      <c r="E26" s="6" t="s">
        <v>31</v>
      </c>
      <c r="F26" s="6" t="s">
        <v>22</v>
      </c>
      <c r="G26" s="6">
        <v>40</v>
      </c>
      <c r="H26" s="6">
        <v>8</v>
      </c>
      <c r="I26" s="13">
        <v>45502</v>
      </c>
      <c r="J26" s="6">
        <v>0</v>
      </c>
      <c r="K26" s="102"/>
      <c r="L26" s="6"/>
      <c r="M26" s="6" t="s">
        <v>24</v>
      </c>
      <c r="N26" s="66"/>
    </row>
    <row r="27" spans="1:14" s="12" customFormat="1" ht="15.75" customHeight="1">
      <c r="A27" s="6" t="s">
        <v>200</v>
      </c>
      <c r="B27" s="6" t="s">
        <v>201</v>
      </c>
      <c r="C27" s="6" t="s">
        <v>202</v>
      </c>
      <c r="D27" s="6" t="s">
        <v>220</v>
      </c>
      <c r="E27" s="6" t="s">
        <v>221</v>
      </c>
      <c r="F27" s="6" t="s">
        <v>22</v>
      </c>
      <c r="G27" s="6">
        <v>40</v>
      </c>
      <c r="H27" s="6">
        <v>217</v>
      </c>
      <c r="I27" s="13">
        <v>39142</v>
      </c>
      <c r="J27" s="6">
        <v>5</v>
      </c>
      <c r="K27" s="102">
        <v>1600</v>
      </c>
      <c r="L27" s="6" t="s">
        <v>222</v>
      </c>
      <c r="M27" s="6" t="s">
        <v>24</v>
      </c>
      <c r="N27" s="66"/>
    </row>
    <row r="28" spans="1:14" s="12" customFormat="1" ht="15.75" customHeight="1">
      <c r="A28" s="6" t="s">
        <v>200</v>
      </c>
      <c r="B28" s="6" t="s">
        <v>201</v>
      </c>
      <c r="C28" s="6" t="s">
        <v>202</v>
      </c>
      <c r="D28" s="6" t="s">
        <v>223</v>
      </c>
      <c r="E28" s="6" t="s">
        <v>28</v>
      </c>
      <c r="F28" s="6" t="s">
        <v>22</v>
      </c>
      <c r="G28" s="6">
        <v>40</v>
      </c>
      <c r="H28" s="6">
        <v>98</v>
      </c>
      <c r="I28" s="13">
        <v>42767</v>
      </c>
      <c r="J28" s="6">
        <v>4</v>
      </c>
      <c r="K28" s="102">
        <v>280.25</v>
      </c>
      <c r="L28" s="6"/>
      <c r="M28" s="6" t="s">
        <v>24</v>
      </c>
      <c r="N28" s="66"/>
    </row>
    <row r="29" spans="1:14" s="12" customFormat="1" ht="15.75" customHeight="1">
      <c r="A29" s="6" t="s">
        <v>200</v>
      </c>
      <c r="B29" s="6" t="s">
        <v>201</v>
      </c>
      <c r="C29" s="6" t="s">
        <v>202</v>
      </c>
      <c r="D29" s="6" t="s">
        <v>224</v>
      </c>
      <c r="E29" s="6" t="s">
        <v>30</v>
      </c>
      <c r="F29" s="6" t="s">
        <v>22</v>
      </c>
      <c r="G29" s="6">
        <v>40</v>
      </c>
      <c r="H29" s="6">
        <v>98</v>
      </c>
      <c r="I29" s="13">
        <v>42767</v>
      </c>
      <c r="J29" s="6">
        <v>4</v>
      </c>
      <c r="K29" s="102">
        <v>383.34</v>
      </c>
      <c r="L29" s="6"/>
      <c r="M29" s="6" t="s">
        <v>24</v>
      </c>
      <c r="N29" s="66" t="s">
        <v>225</v>
      </c>
    </row>
    <row r="30" spans="1:14" s="12" customFormat="1" ht="15.75" customHeight="1">
      <c r="A30" s="6" t="s">
        <v>200</v>
      </c>
      <c r="B30" s="6" t="s">
        <v>201</v>
      </c>
      <c r="C30" s="6" t="s">
        <v>202</v>
      </c>
      <c r="D30" s="6" t="s">
        <v>215</v>
      </c>
      <c r="E30" s="6" t="s">
        <v>30</v>
      </c>
      <c r="F30" s="6" t="s">
        <v>22</v>
      </c>
      <c r="G30" s="6">
        <v>40</v>
      </c>
      <c r="H30" s="6">
        <v>98</v>
      </c>
      <c r="I30" s="13">
        <v>42767</v>
      </c>
      <c r="J30" s="6">
        <v>4</v>
      </c>
      <c r="K30" s="102">
        <v>314.86</v>
      </c>
      <c r="L30" s="6"/>
      <c r="M30" s="6" t="s">
        <v>24</v>
      </c>
      <c r="N30" s="66"/>
    </row>
    <row r="31" spans="1:14" s="12" customFormat="1" ht="15.75" customHeight="1">
      <c r="A31" s="6" t="s">
        <v>200</v>
      </c>
      <c r="B31" s="6" t="s">
        <v>213</v>
      </c>
      <c r="C31" s="6" t="s">
        <v>202</v>
      </c>
      <c r="D31" s="6" t="s">
        <v>215</v>
      </c>
      <c r="E31" s="6" t="s">
        <v>28</v>
      </c>
      <c r="F31" s="6" t="s">
        <v>22</v>
      </c>
      <c r="G31" s="6">
        <v>40</v>
      </c>
      <c r="H31" s="6">
        <v>98</v>
      </c>
      <c r="I31" s="13">
        <v>42767</v>
      </c>
      <c r="J31" s="6">
        <v>4</v>
      </c>
      <c r="K31" s="102">
        <v>59.28</v>
      </c>
      <c r="L31" s="6"/>
      <c r="M31" s="6" t="s">
        <v>24</v>
      </c>
      <c r="N31" s="66"/>
    </row>
    <row r="32" spans="1:14" s="12" customFormat="1" ht="15.75" customHeight="1">
      <c r="A32" s="6" t="s">
        <v>200</v>
      </c>
      <c r="B32" s="6" t="s">
        <v>209</v>
      </c>
      <c r="C32" s="6" t="s">
        <v>202</v>
      </c>
      <c r="D32" s="6" t="s">
        <v>224</v>
      </c>
      <c r="E32" s="6" t="s">
        <v>30</v>
      </c>
      <c r="F32" s="6" t="s">
        <v>22</v>
      </c>
      <c r="G32" s="6">
        <v>40</v>
      </c>
      <c r="H32" s="6">
        <v>98</v>
      </c>
      <c r="I32" s="13">
        <v>42767</v>
      </c>
      <c r="J32" s="6">
        <v>4</v>
      </c>
      <c r="K32" s="102">
        <v>383.34</v>
      </c>
      <c r="L32" s="6"/>
      <c r="M32" s="6" t="s">
        <v>24</v>
      </c>
      <c r="N32" s="66" t="s">
        <v>225</v>
      </c>
    </row>
    <row r="33" spans="1:36" s="12" customFormat="1" ht="15.75" customHeight="1">
      <c r="A33" s="6" t="s">
        <v>200</v>
      </c>
      <c r="B33" s="6" t="s">
        <v>209</v>
      </c>
      <c r="C33" s="6" t="s">
        <v>202</v>
      </c>
      <c r="D33" s="6" t="s">
        <v>203</v>
      </c>
      <c r="E33" s="6" t="s">
        <v>36</v>
      </c>
      <c r="F33" s="6" t="s">
        <v>22</v>
      </c>
      <c r="G33" s="119">
        <v>40</v>
      </c>
      <c r="H33" s="119">
        <v>39</v>
      </c>
      <c r="I33" s="120">
        <v>44571</v>
      </c>
      <c r="J33" s="119">
        <v>1</v>
      </c>
      <c r="K33" s="102"/>
      <c r="L33" s="6"/>
      <c r="M33" s="6" t="s">
        <v>24</v>
      </c>
      <c r="N33" s="66"/>
    </row>
    <row r="34" spans="1:36" s="41" customFormat="1" ht="48">
      <c r="A34" s="3" t="s">
        <v>1</v>
      </c>
      <c r="B34" s="3" t="s">
        <v>2</v>
      </c>
      <c r="C34" s="3" t="s">
        <v>3</v>
      </c>
      <c r="D34" s="3" t="s">
        <v>4</v>
      </c>
      <c r="E34" s="3" t="s">
        <v>5</v>
      </c>
      <c r="F34" s="3" t="s">
        <v>6</v>
      </c>
      <c r="G34" s="121" t="s">
        <v>226</v>
      </c>
      <c r="H34" s="122" t="s">
        <v>8</v>
      </c>
      <c r="I34" s="122" t="s">
        <v>46</v>
      </c>
      <c r="J34" s="123" t="s">
        <v>10</v>
      </c>
      <c r="K34" s="101" t="s">
        <v>11</v>
      </c>
      <c r="L34" s="3" t="s">
        <v>13</v>
      </c>
      <c r="M34" s="3" t="s">
        <v>49</v>
      </c>
      <c r="N34" s="4" t="s">
        <v>16</v>
      </c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</row>
    <row r="35" spans="1:36" s="12" customFormat="1" ht="15.75" customHeight="1">
      <c r="A35" s="6" t="s">
        <v>227</v>
      </c>
      <c r="B35" s="6" t="s">
        <v>228</v>
      </c>
      <c r="C35" s="6" t="s">
        <v>229</v>
      </c>
      <c r="D35" s="6" t="s">
        <v>35</v>
      </c>
      <c r="E35" s="6">
        <v>5</v>
      </c>
      <c r="F35" s="6" t="s">
        <v>22</v>
      </c>
      <c r="G35" s="118">
        <v>1650</v>
      </c>
      <c r="H35" s="6">
        <v>108</v>
      </c>
      <c r="I35" s="13">
        <v>42767</v>
      </c>
      <c r="J35" s="6">
        <v>4</v>
      </c>
      <c r="K35" s="102">
        <v>0</v>
      </c>
      <c r="L35" s="6">
        <v>0</v>
      </c>
      <c r="M35" s="6" t="s">
        <v>24</v>
      </c>
      <c r="N35" s="66"/>
    </row>
    <row r="36" spans="1:36" s="12" customFormat="1" ht="15.75" customHeight="1">
      <c r="A36" s="6" t="s">
        <v>227</v>
      </c>
      <c r="B36" s="6" t="s">
        <v>228</v>
      </c>
      <c r="C36" s="6" t="s">
        <v>229</v>
      </c>
      <c r="D36" s="6" t="s">
        <v>34</v>
      </c>
      <c r="E36" s="6">
        <v>3</v>
      </c>
      <c r="F36" s="6" t="s">
        <v>22</v>
      </c>
      <c r="G36" s="118">
        <v>1650</v>
      </c>
      <c r="H36" s="6">
        <v>106</v>
      </c>
      <c r="I36" s="13">
        <v>42826</v>
      </c>
      <c r="J36" s="6">
        <v>4</v>
      </c>
      <c r="K36" s="102">
        <v>0</v>
      </c>
      <c r="L36" s="6">
        <v>0</v>
      </c>
      <c r="M36" s="6" t="s">
        <v>24</v>
      </c>
      <c r="N36" s="66"/>
    </row>
    <row r="37" spans="1:36" s="12" customFormat="1" ht="15.75" customHeight="1">
      <c r="A37" s="6" t="s">
        <v>227</v>
      </c>
      <c r="B37" s="6" t="s">
        <v>230</v>
      </c>
      <c r="C37" s="6" t="s">
        <v>229</v>
      </c>
      <c r="D37" s="6" t="s">
        <v>35</v>
      </c>
      <c r="E37" s="6">
        <v>4</v>
      </c>
      <c r="F37" s="6" t="s">
        <v>22</v>
      </c>
      <c r="G37" s="118">
        <v>1650</v>
      </c>
      <c r="H37" s="6">
        <v>95</v>
      </c>
      <c r="I37" s="13">
        <v>43165</v>
      </c>
      <c r="J37" s="6">
        <v>3</v>
      </c>
      <c r="K37" s="102">
        <v>0</v>
      </c>
      <c r="L37" s="6">
        <v>0</v>
      </c>
      <c r="M37" s="6" t="s">
        <v>24</v>
      </c>
      <c r="N37" s="66"/>
    </row>
    <row r="38" spans="1:36" s="12" customFormat="1" ht="15.75" customHeight="1">
      <c r="A38" s="6" t="s">
        <v>227</v>
      </c>
      <c r="B38" s="6" t="s">
        <v>230</v>
      </c>
      <c r="C38" s="6" t="s">
        <v>229</v>
      </c>
      <c r="D38" s="6" t="s">
        <v>231</v>
      </c>
      <c r="E38" s="6">
        <v>3</v>
      </c>
      <c r="F38" s="6" t="s">
        <v>22</v>
      </c>
      <c r="G38" s="118">
        <v>1650</v>
      </c>
      <c r="H38" s="6">
        <v>96</v>
      </c>
      <c r="I38" s="13">
        <v>43132</v>
      </c>
      <c r="J38" s="6">
        <v>3</v>
      </c>
      <c r="K38" s="102">
        <v>0</v>
      </c>
      <c r="L38" s="6">
        <v>0</v>
      </c>
      <c r="M38" s="6" t="s">
        <v>24</v>
      </c>
      <c r="N38" s="66"/>
    </row>
    <row r="39" spans="1:36" s="12" customFormat="1" ht="15.75" customHeight="1">
      <c r="A39" s="6" t="s">
        <v>227</v>
      </c>
      <c r="B39" s="6" t="s">
        <v>232</v>
      </c>
      <c r="C39" s="6" t="s">
        <v>229</v>
      </c>
      <c r="D39" s="6" t="s">
        <v>231</v>
      </c>
      <c r="E39" s="6">
        <v>3</v>
      </c>
      <c r="F39" s="6" t="s">
        <v>22</v>
      </c>
      <c r="G39" s="118">
        <v>1650</v>
      </c>
      <c r="H39" s="6">
        <v>79</v>
      </c>
      <c r="I39" s="13">
        <v>43640</v>
      </c>
      <c r="J39" s="6">
        <v>3</v>
      </c>
      <c r="K39" s="102">
        <v>0</v>
      </c>
      <c r="L39" s="6">
        <v>0</v>
      </c>
      <c r="M39" s="6" t="s">
        <v>24</v>
      </c>
      <c r="N39" s="66"/>
    </row>
    <row r="40" spans="1:36" s="12" customFormat="1" ht="15.75" customHeight="1">
      <c r="A40" s="6" t="s">
        <v>227</v>
      </c>
      <c r="B40" s="6" t="s">
        <v>232</v>
      </c>
      <c r="C40" s="6" t="s">
        <v>229</v>
      </c>
      <c r="D40" s="6" t="s">
        <v>34</v>
      </c>
      <c r="E40" s="6">
        <v>2</v>
      </c>
      <c r="F40" s="6" t="s">
        <v>22</v>
      </c>
      <c r="G40" s="118">
        <v>1650</v>
      </c>
      <c r="H40" s="6">
        <v>31</v>
      </c>
      <c r="I40" s="13">
        <v>45117</v>
      </c>
      <c r="J40" s="6">
        <v>1</v>
      </c>
      <c r="K40" s="102">
        <v>0</v>
      </c>
      <c r="L40" s="6">
        <v>0</v>
      </c>
      <c r="M40" s="6" t="s">
        <v>24</v>
      </c>
      <c r="N40" s="66"/>
    </row>
    <row r="41" spans="1:36" s="12" customFormat="1" ht="15.75" customHeight="1">
      <c r="A41" s="6" t="s">
        <v>227</v>
      </c>
      <c r="B41" s="6" t="s">
        <v>233</v>
      </c>
      <c r="C41" s="6" t="s">
        <v>229</v>
      </c>
      <c r="D41" s="6" t="s">
        <v>34</v>
      </c>
      <c r="E41" s="6">
        <v>3</v>
      </c>
      <c r="F41" s="6" t="s">
        <v>22</v>
      </c>
      <c r="G41" s="118">
        <v>1650</v>
      </c>
      <c r="H41" s="6">
        <v>101</v>
      </c>
      <c r="I41" s="13">
        <v>42929</v>
      </c>
      <c r="J41" s="6">
        <v>4</v>
      </c>
      <c r="K41" s="102">
        <v>0</v>
      </c>
      <c r="L41" s="6">
        <v>0</v>
      </c>
      <c r="M41" s="6" t="s">
        <v>24</v>
      </c>
      <c r="N41" s="66"/>
    </row>
    <row r="42" spans="1:36" s="12" customFormat="1" ht="15.75" customHeight="1">
      <c r="A42" s="6" t="s">
        <v>227</v>
      </c>
      <c r="B42" s="6" t="s">
        <v>233</v>
      </c>
      <c r="C42" s="6" t="s">
        <v>229</v>
      </c>
      <c r="D42" s="6" t="s">
        <v>26</v>
      </c>
      <c r="E42" s="6">
        <v>5</v>
      </c>
      <c r="F42" s="6" t="s">
        <v>22</v>
      </c>
      <c r="G42" s="118">
        <v>1650</v>
      </c>
      <c r="H42" s="6">
        <v>109</v>
      </c>
      <c r="I42" s="13">
        <v>42767</v>
      </c>
      <c r="J42" s="6">
        <v>4</v>
      </c>
      <c r="K42" s="102">
        <v>0</v>
      </c>
      <c r="L42" s="6">
        <v>0</v>
      </c>
      <c r="M42" s="6" t="s">
        <v>24</v>
      </c>
      <c r="N42" s="66"/>
    </row>
    <row r="43" spans="1:36" s="12" customFormat="1" ht="15.75" customHeight="1">
      <c r="A43" s="6" t="s">
        <v>234</v>
      </c>
      <c r="B43" s="6" t="s">
        <v>235</v>
      </c>
      <c r="C43" s="6" t="s">
        <v>229</v>
      </c>
      <c r="D43" s="6" t="s">
        <v>231</v>
      </c>
      <c r="E43" s="6">
        <v>2</v>
      </c>
      <c r="F43" s="6" t="s">
        <v>22</v>
      </c>
      <c r="G43" s="118">
        <v>1300</v>
      </c>
      <c r="H43" s="6">
        <v>28</v>
      </c>
      <c r="I43" s="13">
        <v>45208</v>
      </c>
      <c r="J43" s="6">
        <v>1</v>
      </c>
      <c r="K43" s="102">
        <v>0</v>
      </c>
      <c r="L43" s="6">
        <v>0</v>
      </c>
      <c r="M43" s="6" t="s">
        <v>24</v>
      </c>
      <c r="N43" s="66"/>
    </row>
    <row r="44" spans="1:36" s="12" customFormat="1" ht="15.75" customHeight="1">
      <c r="A44" s="6" t="s">
        <v>234</v>
      </c>
      <c r="B44" s="6" t="s">
        <v>235</v>
      </c>
      <c r="C44" s="6" t="s">
        <v>229</v>
      </c>
      <c r="D44" s="6" t="s">
        <v>34</v>
      </c>
      <c r="E44" s="6">
        <v>3</v>
      </c>
      <c r="F44" s="6" t="s">
        <v>22</v>
      </c>
      <c r="G44" s="118">
        <v>1300</v>
      </c>
      <c r="H44" s="6">
        <v>28</v>
      </c>
      <c r="I44" s="13">
        <v>45201</v>
      </c>
      <c r="J44" s="6">
        <v>3</v>
      </c>
      <c r="K44" s="102">
        <v>0</v>
      </c>
      <c r="L44" s="6">
        <v>0</v>
      </c>
      <c r="M44" s="6" t="s">
        <v>24</v>
      </c>
      <c r="N44" s="66"/>
    </row>
    <row r="45" spans="1:36" s="12" customFormat="1" ht="15.75" customHeight="1">
      <c r="A45" s="6" t="s">
        <v>234</v>
      </c>
      <c r="B45" s="6" t="s">
        <v>235</v>
      </c>
      <c r="C45" s="6" t="s">
        <v>229</v>
      </c>
      <c r="D45" s="6" t="s">
        <v>236</v>
      </c>
      <c r="E45" s="6">
        <v>4</v>
      </c>
      <c r="F45" s="6" t="s">
        <v>22</v>
      </c>
      <c r="G45" s="118">
        <v>1300</v>
      </c>
      <c r="H45" s="6">
        <v>56</v>
      </c>
      <c r="I45" s="13">
        <v>44348</v>
      </c>
      <c r="J45" s="6">
        <v>2</v>
      </c>
      <c r="K45" s="102">
        <v>0</v>
      </c>
      <c r="L45" s="6">
        <v>0</v>
      </c>
      <c r="M45" s="6" t="s">
        <v>24</v>
      </c>
      <c r="N45" s="66"/>
    </row>
    <row r="46" spans="1:36" s="12" customFormat="1" ht="15.75" customHeight="1">
      <c r="A46" s="6" t="s">
        <v>234</v>
      </c>
      <c r="B46" s="6" t="s">
        <v>235</v>
      </c>
      <c r="C46" s="6" t="s">
        <v>229</v>
      </c>
      <c r="D46" s="6" t="s">
        <v>35</v>
      </c>
      <c r="E46" s="6">
        <v>5</v>
      </c>
      <c r="F46" s="6" t="s">
        <v>22</v>
      </c>
      <c r="G46" s="118">
        <v>1300</v>
      </c>
      <c r="H46" s="6">
        <v>28</v>
      </c>
      <c r="I46" s="13">
        <v>45208</v>
      </c>
      <c r="J46" s="6">
        <v>1</v>
      </c>
      <c r="K46" s="102">
        <v>0</v>
      </c>
      <c r="L46" s="6">
        <v>0</v>
      </c>
      <c r="M46" s="6" t="s">
        <v>24</v>
      </c>
      <c r="N46" s="66"/>
    </row>
    <row r="47" spans="1:36" s="12" customFormat="1" ht="15.75" customHeight="1">
      <c r="A47" s="6" t="s">
        <v>237</v>
      </c>
      <c r="B47" s="6" t="s">
        <v>238</v>
      </c>
      <c r="C47" s="6" t="s">
        <v>239</v>
      </c>
      <c r="D47" s="6" t="s">
        <v>34</v>
      </c>
      <c r="E47" s="6" t="s">
        <v>240</v>
      </c>
      <c r="F47" s="6" t="s">
        <v>22</v>
      </c>
      <c r="G47" s="118">
        <v>450</v>
      </c>
      <c r="H47" s="6" t="s">
        <v>241</v>
      </c>
      <c r="I47" s="13">
        <v>42986</v>
      </c>
      <c r="J47" s="6">
        <v>4</v>
      </c>
      <c r="K47" s="102" t="s">
        <v>242</v>
      </c>
      <c r="L47" s="6" t="s">
        <v>243</v>
      </c>
      <c r="M47" s="6" t="s">
        <v>24</v>
      </c>
      <c r="N47" s="66"/>
    </row>
    <row r="48" spans="1:36" s="12" customFormat="1" ht="15.75" customHeight="1">
      <c r="A48" s="6" t="s">
        <v>237</v>
      </c>
      <c r="B48" s="6" t="s">
        <v>238</v>
      </c>
      <c r="C48" s="6" t="s">
        <v>239</v>
      </c>
      <c r="D48" s="6" t="s">
        <v>121</v>
      </c>
      <c r="E48" s="6" t="s">
        <v>240</v>
      </c>
      <c r="F48" s="6" t="s">
        <v>22</v>
      </c>
      <c r="G48" s="118">
        <v>450</v>
      </c>
      <c r="H48" s="6" t="s">
        <v>244</v>
      </c>
      <c r="I48" s="13">
        <v>44994</v>
      </c>
      <c r="J48" s="6">
        <v>1</v>
      </c>
      <c r="K48" s="102" t="s">
        <v>245</v>
      </c>
      <c r="L48" s="6" t="s">
        <v>243</v>
      </c>
      <c r="M48" s="6" t="s">
        <v>24</v>
      </c>
      <c r="N48" s="66"/>
    </row>
    <row r="49" spans="1:14" s="12" customFormat="1" ht="15.75" customHeight="1">
      <c r="A49" s="6" t="s">
        <v>246</v>
      </c>
      <c r="B49" s="6" t="s">
        <v>199</v>
      </c>
      <c r="C49" s="6" t="s">
        <v>247</v>
      </c>
      <c r="D49" s="6" t="s">
        <v>248</v>
      </c>
      <c r="E49" s="6" t="s">
        <v>31</v>
      </c>
      <c r="F49" s="6" t="s">
        <v>249</v>
      </c>
      <c r="G49" s="118">
        <v>300</v>
      </c>
      <c r="H49" s="6">
        <v>50.1</v>
      </c>
      <c r="I49" s="13">
        <v>44713</v>
      </c>
      <c r="J49" s="6"/>
      <c r="K49" s="102">
        <v>0</v>
      </c>
      <c r="L49" s="6">
        <v>0</v>
      </c>
      <c r="M49" s="6" t="s">
        <v>24</v>
      </c>
      <c r="N49" s="66"/>
    </row>
    <row r="50" spans="1:14" s="12" customFormat="1" ht="15.75" customHeight="1">
      <c r="A50" s="6" t="s">
        <v>246</v>
      </c>
      <c r="B50" s="6" t="s">
        <v>199</v>
      </c>
      <c r="C50" s="6" t="s">
        <v>247</v>
      </c>
      <c r="D50" s="6" t="s">
        <v>248</v>
      </c>
      <c r="E50" s="6" t="s">
        <v>36</v>
      </c>
      <c r="F50" s="6" t="s">
        <v>249</v>
      </c>
      <c r="G50" s="118">
        <v>300</v>
      </c>
      <c r="H50" s="6">
        <v>25.05</v>
      </c>
      <c r="I50" s="13">
        <v>44896</v>
      </c>
      <c r="J50" s="6"/>
      <c r="K50" s="102">
        <v>0</v>
      </c>
      <c r="L50" s="6">
        <v>0</v>
      </c>
      <c r="M50" s="6" t="s">
        <v>24</v>
      </c>
      <c r="N50" s="66"/>
    </row>
    <row r="51" spans="1:14" s="12" customFormat="1" ht="15.75" customHeight="1">
      <c r="A51" s="6" t="s">
        <v>250</v>
      </c>
      <c r="B51" s="6" t="s">
        <v>199</v>
      </c>
      <c r="C51" s="6" t="s">
        <v>251</v>
      </c>
      <c r="D51" s="6" t="s">
        <v>252</v>
      </c>
      <c r="E51" s="6" t="s">
        <v>253</v>
      </c>
      <c r="F51" s="6" t="s">
        <v>249</v>
      </c>
      <c r="G51" s="118">
        <f>96/2</f>
        <v>48</v>
      </c>
      <c r="H51" s="6">
        <v>36</v>
      </c>
      <c r="I51" s="13">
        <v>44835</v>
      </c>
      <c r="J51" s="6"/>
      <c r="K51" s="102">
        <v>0</v>
      </c>
      <c r="L51" s="6">
        <v>0</v>
      </c>
      <c r="M51" s="6" t="s">
        <v>24</v>
      </c>
      <c r="N51" s="66"/>
    </row>
    <row r="52" spans="1:14" s="12" customFormat="1" ht="15.75" customHeight="1">
      <c r="A52" s="6" t="s">
        <v>250</v>
      </c>
      <c r="B52" s="6" t="s">
        <v>199</v>
      </c>
      <c r="C52" s="6" t="s">
        <v>251</v>
      </c>
      <c r="D52" s="6" t="s">
        <v>252</v>
      </c>
      <c r="E52" s="6" t="s">
        <v>254</v>
      </c>
      <c r="F52" s="6" t="s">
        <v>249</v>
      </c>
      <c r="G52" s="118">
        <f>96/2</f>
        <v>48</v>
      </c>
      <c r="H52" s="6">
        <v>132</v>
      </c>
      <c r="I52" s="13">
        <v>41640</v>
      </c>
      <c r="J52" s="6">
        <v>2</v>
      </c>
      <c r="K52" s="102">
        <v>0</v>
      </c>
      <c r="L52" s="6">
        <v>0</v>
      </c>
      <c r="M52" s="6" t="s">
        <v>24</v>
      </c>
      <c r="N52" s="66"/>
    </row>
    <row r="53" spans="1:14" s="12" customFormat="1" ht="15.75" customHeight="1">
      <c r="A53" s="6" t="s">
        <v>255</v>
      </c>
      <c r="B53" s="6" t="s">
        <v>256</v>
      </c>
      <c r="C53" s="6" t="s">
        <v>247</v>
      </c>
      <c r="D53" s="6" t="s">
        <v>257</v>
      </c>
      <c r="E53" s="6" t="s">
        <v>21</v>
      </c>
      <c r="F53" s="6" t="s">
        <v>249</v>
      </c>
      <c r="G53" s="118">
        <v>48</v>
      </c>
      <c r="H53" s="6">
        <v>94</v>
      </c>
      <c r="I53" s="13">
        <v>43193</v>
      </c>
      <c r="J53" s="6">
        <v>3</v>
      </c>
      <c r="K53" s="102">
        <v>0</v>
      </c>
      <c r="L53" s="6">
        <v>0</v>
      </c>
      <c r="M53" s="6" t="s">
        <v>24</v>
      </c>
      <c r="N53" s="66"/>
    </row>
    <row r="54" spans="1:14" s="12" customFormat="1" ht="15.75" customHeight="1">
      <c r="A54" s="6" t="s">
        <v>255</v>
      </c>
      <c r="B54" s="6" t="s">
        <v>256</v>
      </c>
      <c r="C54" s="6" t="s">
        <v>247</v>
      </c>
      <c r="D54" s="6" t="s">
        <v>258</v>
      </c>
      <c r="E54" s="6" t="s">
        <v>21</v>
      </c>
      <c r="F54" s="6" t="s">
        <v>249</v>
      </c>
      <c r="G54" s="118">
        <v>48</v>
      </c>
      <c r="H54" s="6">
        <v>94</v>
      </c>
      <c r="I54" s="13">
        <v>43193</v>
      </c>
      <c r="J54" s="6">
        <v>3</v>
      </c>
      <c r="K54" s="102">
        <v>0</v>
      </c>
      <c r="L54" s="6">
        <v>0</v>
      </c>
      <c r="M54" s="6" t="s">
        <v>24</v>
      </c>
      <c r="N54" s="66"/>
    </row>
    <row r="55" spans="1:14" s="12" customFormat="1" ht="15.75" customHeight="1">
      <c r="A55" s="6" t="s">
        <v>259</v>
      </c>
      <c r="B55" s="6" t="s">
        <v>199</v>
      </c>
      <c r="C55" s="6" t="s">
        <v>260</v>
      </c>
      <c r="D55" s="6" t="s">
        <v>261</v>
      </c>
      <c r="E55" s="6">
        <v>1</v>
      </c>
      <c r="F55" s="6" t="s">
        <v>53</v>
      </c>
      <c r="G55" s="118">
        <v>1000</v>
      </c>
      <c r="H55" s="6">
        <v>45</v>
      </c>
      <c r="I55" s="13">
        <v>44666</v>
      </c>
      <c r="J55" s="6"/>
      <c r="K55" s="102">
        <v>0</v>
      </c>
      <c r="L55" s="6">
        <v>0</v>
      </c>
      <c r="M55" s="6" t="s">
        <v>24</v>
      </c>
      <c r="N55" s="66"/>
    </row>
    <row r="56" spans="1:14" s="12" customFormat="1" ht="15.75" customHeight="1">
      <c r="A56" s="6" t="s">
        <v>259</v>
      </c>
      <c r="B56" s="6" t="s">
        <v>199</v>
      </c>
      <c r="C56" s="6" t="s">
        <v>260</v>
      </c>
      <c r="D56" s="6" t="s">
        <v>261</v>
      </c>
      <c r="E56" s="6">
        <v>1</v>
      </c>
      <c r="F56" s="6" t="s">
        <v>53</v>
      </c>
      <c r="G56" s="118">
        <v>1000</v>
      </c>
      <c r="H56" s="6">
        <v>50</v>
      </c>
      <c r="I56" s="13">
        <v>44509</v>
      </c>
      <c r="J56" s="6"/>
      <c r="K56" s="102">
        <v>0</v>
      </c>
      <c r="L56" s="6">
        <v>0</v>
      </c>
      <c r="M56" s="6" t="s">
        <v>24</v>
      </c>
      <c r="N56" s="66"/>
    </row>
    <row r="57" spans="1:14" s="12" customFormat="1" ht="15.75" customHeight="1">
      <c r="A57" s="6" t="s">
        <v>259</v>
      </c>
      <c r="B57" s="6" t="s">
        <v>199</v>
      </c>
      <c r="C57" s="6" t="s">
        <v>260</v>
      </c>
      <c r="D57" s="6" t="s">
        <v>261</v>
      </c>
      <c r="E57" s="6">
        <v>2</v>
      </c>
      <c r="F57" s="6" t="s">
        <v>33</v>
      </c>
      <c r="G57" s="118">
        <v>300</v>
      </c>
      <c r="H57" s="6">
        <v>36</v>
      </c>
      <c r="I57" s="13">
        <v>44935</v>
      </c>
      <c r="J57" s="6"/>
      <c r="K57" s="102">
        <v>0</v>
      </c>
      <c r="L57" s="6">
        <v>0</v>
      </c>
      <c r="M57" s="6" t="s">
        <v>24</v>
      </c>
      <c r="N57" s="66"/>
    </row>
    <row r="58" spans="1:14" s="12" customFormat="1" ht="15.75" customHeight="1">
      <c r="A58" s="6" t="s">
        <v>259</v>
      </c>
      <c r="B58" s="6" t="s">
        <v>199</v>
      </c>
      <c r="C58" s="6" t="s">
        <v>260</v>
      </c>
      <c r="D58" s="6" t="s">
        <v>261</v>
      </c>
      <c r="E58" s="6">
        <v>3</v>
      </c>
      <c r="F58" s="6" t="s">
        <v>53</v>
      </c>
      <c r="G58" s="118">
        <v>300</v>
      </c>
      <c r="H58" s="6">
        <v>98</v>
      </c>
      <c r="I58" s="13">
        <v>43045</v>
      </c>
      <c r="J58" s="6"/>
      <c r="K58" s="102">
        <v>0</v>
      </c>
      <c r="L58" s="6">
        <v>0</v>
      </c>
      <c r="M58" s="6" t="s">
        <v>24</v>
      </c>
      <c r="N58" s="66"/>
    </row>
    <row r="59" spans="1:14" s="12" customFormat="1" ht="15.75" customHeight="1">
      <c r="A59" s="6" t="s">
        <v>259</v>
      </c>
      <c r="B59" s="6" t="s">
        <v>199</v>
      </c>
      <c r="C59" s="6" t="s">
        <v>260</v>
      </c>
      <c r="D59" s="6" t="s">
        <v>261</v>
      </c>
      <c r="E59" s="6">
        <v>2</v>
      </c>
      <c r="F59" s="6" t="s">
        <v>53</v>
      </c>
      <c r="G59" s="118">
        <v>300</v>
      </c>
      <c r="H59" s="6">
        <v>54</v>
      </c>
      <c r="I59" s="13">
        <v>44390</v>
      </c>
      <c r="J59" s="6"/>
      <c r="K59" s="102">
        <v>0</v>
      </c>
      <c r="L59" s="6">
        <v>0</v>
      </c>
      <c r="M59" s="6" t="s">
        <v>24</v>
      </c>
      <c r="N59" s="66"/>
    </row>
    <row r="60" spans="1:14" s="12" customFormat="1" ht="15.75" customHeight="1">
      <c r="A60" s="6" t="s">
        <v>259</v>
      </c>
      <c r="B60" s="6" t="s">
        <v>199</v>
      </c>
      <c r="C60" s="6" t="s">
        <v>260</v>
      </c>
      <c r="D60" s="6" t="s">
        <v>261</v>
      </c>
      <c r="E60" s="6">
        <v>3</v>
      </c>
      <c r="F60" s="6" t="s">
        <v>53</v>
      </c>
      <c r="G60" s="118">
        <v>300</v>
      </c>
      <c r="H60" s="6">
        <v>21</v>
      </c>
      <c r="I60" s="13">
        <v>45390</v>
      </c>
      <c r="J60" s="6"/>
      <c r="K60" s="102">
        <v>0</v>
      </c>
      <c r="L60" s="6">
        <v>0</v>
      </c>
      <c r="M60" s="6" t="s">
        <v>24</v>
      </c>
      <c r="N60" s="66"/>
    </row>
    <row r="61" spans="1:14" s="12" customFormat="1" ht="15.75" customHeight="1">
      <c r="A61" s="6" t="s">
        <v>259</v>
      </c>
      <c r="B61" s="6" t="s">
        <v>199</v>
      </c>
      <c r="C61" s="6" t="s">
        <v>262</v>
      </c>
      <c r="D61" s="6" t="s">
        <v>86</v>
      </c>
      <c r="E61" s="6" t="s">
        <v>263</v>
      </c>
      <c r="F61" s="6" t="s">
        <v>53</v>
      </c>
      <c r="G61" s="118">
        <v>500</v>
      </c>
      <c r="H61" s="6">
        <v>64</v>
      </c>
      <c r="I61" s="13">
        <v>44102</v>
      </c>
      <c r="J61" s="6">
        <v>1</v>
      </c>
      <c r="K61" s="102">
        <v>0</v>
      </c>
      <c r="L61" s="6">
        <v>0</v>
      </c>
      <c r="M61" s="6" t="s">
        <v>24</v>
      </c>
      <c r="N61" s="66"/>
    </row>
    <row r="62" spans="1:14" s="12" customFormat="1" ht="15.75" customHeight="1">
      <c r="A62" s="6" t="s">
        <v>259</v>
      </c>
      <c r="B62" s="6" t="s">
        <v>199</v>
      </c>
      <c r="C62" s="6" t="s">
        <v>262</v>
      </c>
      <c r="D62" s="6" t="s">
        <v>86</v>
      </c>
      <c r="E62" s="6">
        <v>2</v>
      </c>
      <c r="F62" s="6" t="s">
        <v>53</v>
      </c>
      <c r="G62" s="118">
        <v>500</v>
      </c>
      <c r="H62" s="6">
        <v>87</v>
      </c>
      <c r="I62" s="13">
        <v>43381</v>
      </c>
      <c r="J62" s="6"/>
      <c r="K62" s="102">
        <v>0</v>
      </c>
      <c r="L62" s="6">
        <v>0</v>
      </c>
      <c r="M62" s="6" t="s">
        <v>24</v>
      </c>
      <c r="N62" s="66"/>
    </row>
    <row r="63" spans="1:14" s="12" customFormat="1" ht="15.75" customHeight="1">
      <c r="A63" s="6" t="s">
        <v>259</v>
      </c>
      <c r="B63" s="6" t="s">
        <v>199</v>
      </c>
      <c r="C63" s="6" t="s">
        <v>262</v>
      </c>
      <c r="D63" s="6" t="s">
        <v>86</v>
      </c>
      <c r="E63" s="6">
        <v>1</v>
      </c>
      <c r="F63" s="6" t="s">
        <v>53</v>
      </c>
      <c r="G63" s="118">
        <v>500</v>
      </c>
      <c r="H63" s="6">
        <v>19</v>
      </c>
      <c r="I63" s="13">
        <v>45453</v>
      </c>
      <c r="J63" s="6"/>
      <c r="K63" s="102">
        <v>0</v>
      </c>
      <c r="L63" s="6">
        <v>0</v>
      </c>
      <c r="M63" s="6" t="s">
        <v>24</v>
      </c>
      <c r="N63" s="66"/>
    </row>
    <row r="64" spans="1:14" s="12" customFormat="1" ht="15.75" customHeight="1">
      <c r="A64" s="6" t="s">
        <v>259</v>
      </c>
      <c r="B64" s="6" t="s">
        <v>199</v>
      </c>
      <c r="C64" s="6" t="s">
        <v>262</v>
      </c>
      <c r="D64" s="6" t="s">
        <v>86</v>
      </c>
      <c r="E64" s="6">
        <v>3</v>
      </c>
      <c r="F64" s="6" t="s">
        <v>53</v>
      </c>
      <c r="G64" s="118">
        <v>500</v>
      </c>
      <c r="H64" s="6">
        <v>85</v>
      </c>
      <c r="I64" s="13">
        <v>43444</v>
      </c>
      <c r="J64" s="6">
        <v>3</v>
      </c>
      <c r="K64" s="102">
        <v>0</v>
      </c>
      <c r="L64" s="6">
        <v>0</v>
      </c>
      <c r="M64" s="6" t="s">
        <v>24</v>
      </c>
      <c r="N64" s="66"/>
    </row>
    <row r="65" spans="1:14" s="12" customFormat="1" ht="15.75" customHeight="1">
      <c r="A65" s="6" t="s">
        <v>259</v>
      </c>
      <c r="B65" s="6" t="s">
        <v>199</v>
      </c>
      <c r="C65" s="6" t="s">
        <v>262</v>
      </c>
      <c r="D65" s="6" t="s">
        <v>86</v>
      </c>
      <c r="E65" s="6">
        <v>3</v>
      </c>
      <c r="F65" s="6" t="s">
        <v>33</v>
      </c>
      <c r="G65" s="118">
        <v>1600</v>
      </c>
      <c r="H65" s="6">
        <v>33</v>
      </c>
      <c r="I65" s="13">
        <v>45030</v>
      </c>
      <c r="J65" s="6">
        <v>1</v>
      </c>
      <c r="K65" s="102">
        <v>0</v>
      </c>
      <c r="L65" s="6">
        <v>0</v>
      </c>
      <c r="M65" s="6" t="s">
        <v>24</v>
      </c>
      <c r="N65" s="66"/>
    </row>
    <row r="66" spans="1:14" s="12" customFormat="1" ht="15.75" customHeight="1">
      <c r="A66" s="6" t="s">
        <v>259</v>
      </c>
      <c r="B66" s="6" t="s">
        <v>199</v>
      </c>
      <c r="C66" s="6" t="s">
        <v>262</v>
      </c>
      <c r="D66" s="6" t="s">
        <v>86</v>
      </c>
      <c r="E66" s="6">
        <v>3</v>
      </c>
      <c r="F66" s="6" t="s">
        <v>53</v>
      </c>
      <c r="G66" s="118">
        <v>1600</v>
      </c>
      <c r="H66" s="6">
        <v>72</v>
      </c>
      <c r="I66" s="13">
        <v>43851</v>
      </c>
      <c r="J66" s="6">
        <v>2</v>
      </c>
      <c r="K66" s="102">
        <v>0</v>
      </c>
      <c r="L66" s="6">
        <v>0</v>
      </c>
      <c r="M66" s="6" t="s">
        <v>24</v>
      </c>
      <c r="N66" s="66"/>
    </row>
    <row r="67" spans="1:14" s="12" customFormat="1" ht="15.75" customHeight="1">
      <c r="A67" s="6" t="s">
        <v>259</v>
      </c>
      <c r="B67" s="6" t="s">
        <v>199</v>
      </c>
      <c r="C67" s="6" t="s">
        <v>262</v>
      </c>
      <c r="D67" s="6" t="s">
        <v>86</v>
      </c>
      <c r="E67" s="6">
        <v>4</v>
      </c>
      <c r="F67" s="6" t="s">
        <v>53</v>
      </c>
      <c r="G67" s="118">
        <v>1600</v>
      </c>
      <c r="H67" s="6">
        <v>77</v>
      </c>
      <c r="I67" s="13">
        <v>43682</v>
      </c>
      <c r="J67" s="6">
        <v>3</v>
      </c>
      <c r="K67" s="102">
        <v>0</v>
      </c>
      <c r="L67" s="6">
        <v>0</v>
      </c>
      <c r="M67" s="6" t="s">
        <v>24</v>
      </c>
      <c r="N67" s="66"/>
    </row>
    <row r="68" spans="1:14" s="12" customFormat="1" ht="15.75" customHeight="1">
      <c r="A68" s="6" t="s">
        <v>259</v>
      </c>
      <c r="B68" s="6" t="s">
        <v>199</v>
      </c>
      <c r="C68" s="6" t="s">
        <v>262</v>
      </c>
      <c r="D68" s="6" t="s">
        <v>86</v>
      </c>
      <c r="E68" s="6">
        <v>3</v>
      </c>
      <c r="F68" s="6" t="s">
        <v>53</v>
      </c>
      <c r="G68" s="118">
        <v>1600</v>
      </c>
      <c r="H68" s="6">
        <v>48</v>
      </c>
      <c r="I68" s="13">
        <v>44575</v>
      </c>
      <c r="J68" s="6">
        <v>1</v>
      </c>
      <c r="K68" s="102">
        <v>0</v>
      </c>
      <c r="L68" s="6">
        <v>0</v>
      </c>
      <c r="M68" s="6" t="s">
        <v>24</v>
      </c>
      <c r="N68" s="66"/>
    </row>
    <row r="69" spans="1:14" s="12" customFormat="1" ht="15.75" customHeight="1">
      <c r="A69" s="6" t="s">
        <v>259</v>
      </c>
      <c r="B69" s="6" t="s">
        <v>199</v>
      </c>
      <c r="C69" s="6" t="s">
        <v>264</v>
      </c>
      <c r="D69" s="6" t="s">
        <v>265</v>
      </c>
      <c r="E69" s="6" t="s">
        <v>266</v>
      </c>
      <c r="F69" s="6" t="s">
        <v>53</v>
      </c>
      <c r="G69" s="118">
        <v>800</v>
      </c>
      <c r="H69" s="6">
        <v>24</v>
      </c>
      <c r="I69" s="13">
        <v>45306</v>
      </c>
      <c r="J69" s="6"/>
      <c r="K69" s="102">
        <v>0</v>
      </c>
      <c r="L69" s="6">
        <v>0</v>
      </c>
      <c r="M69" s="6" t="s">
        <v>24</v>
      </c>
      <c r="N69" s="66"/>
    </row>
    <row r="70" spans="1:14" s="12" customFormat="1" ht="15.75" customHeight="1">
      <c r="A70" s="6" t="s">
        <v>259</v>
      </c>
      <c r="B70" s="6" t="s">
        <v>199</v>
      </c>
      <c r="C70" s="6" t="s">
        <v>264</v>
      </c>
      <c r="D70" s="6" t="s">
        <v>265</v>
      </c>
      <c r="E70" s="6" t="s">
        <v>263</v>
      </c>
      <c r="F70" s="6" t="s">
        <v>53</v>
      </c>
      <c r="G70" s="118">
        <v>800</v>
      </c>
      <c r="H70" s="6">
        <v>97</v>
      </c>
      <c r="I70" s="13">
        <v>43087</v>
      </c>
      <c r="J70" s="6">
        <v>2</v>
      </c>
      <c r="K70" s="102">
        <v>0</v>
      </c>
      <c r="L70" s="6">
        <v>0</v>
      </c>
      <c r="M70" s="6" t="s">
        <v>24</v>
      </c>
      <c r="N70" s="66"/>
    </row>
    <row r="71" spans="1:14" s="12" customFormat="1" ht="15.75" customHeight="1">
      <c r="A71" s="6" t="s">
        <v>259</v>
      </c>
      <c r="B71" s="6" t="s">
        <v>199</v>
      </c>
      <c r="C71" s="6" t="s">
        <v>264</v>
      </c>
      <c r="D71" s="6" t="s">
        <v>265</v>
      </c>
      <c r="E71" s="6" t="s">
        <v>263</v>
      </c>
      <c r="F71" s="6" t="s">
        <v>53</v>
      </c>
      <c r="G71" s="118">
        <v>300</v>
      </c>
      <c r="H71" s="6">
        <v>5</v>
      </c>
      <c r="I71" s="13">
        <v>45887</v>
      </c>
      <c r="J71" s="6"/>
      <c r="K71" s="102">
        <v>0</v>
      </c>
      <c r="L71" s="6">
        <v>0</v>
      </c>
      <c r="M71" s="6" t="s">
        <v>24</v>
      </c>
      <c r="N71" s="66"/>
    </row>
    <row r="72" spans="1:14" s="12" customFormat="1" ht="15.75" customHeight="1">
      <c r="A72" s="6" t="s">
        <v>259</v>
      </c>
      <c r="B72" s="6" t="s">
        <v>199</v>
      </c>
      <c r="C72" s="6" t="s">
        <v>264</v>
      </c>
      <c r="D72" s="6" t="s">
        <v>265</v>
      </c>
      <c r="E72" s="6" t="s">
        <v>240</v>
      </c>
      <c r="F72" s="6" t="s">
        <v>53</v>
      </c>
      <c r="G72" s="118">
        <v>300</v>
      </c>
      <c r="H72" s="6">
        <v>19</v>
      </c>
      <c r="I72" s="13">
        <v>45460</v>
      </c>
      <c r="J72" s="6"/>
      <c r="K72" s="102">
        <v>0</v>
      </c>
      <c r="L72" s="6">
        <v>0</v>
      </c>
      <c r="M72" s="6" t="s">
        <v>24</v>
      </c>
      <c r="N72" s="66"/>
    </row>
    <row r="73" spans="1:14" s="12" customFormat="1" ht="15.75" customHeight="1">
      <c r="A73" s="6" t="s">
        <v>259</v>
      </c>
      <c r="B73" s="6" t="s">
        <v>199</v>
      </c>
      <c r="C73" s="6" t="s">
        <v>264</v>
      </c>
      <c r="D73" s="6" t="s">
        <v>265</v>
      </c>
      <c r="E73" s="6" t="s">
        <v>240</v>
      </c>
      <c r="F73" s="6" t="s">
        <v>33</v>
      </c>
      <c r="G73" s="118">
        <v>300</v>
      </c>
      <c r="H73" s="6">
        <v>27</v>
      </c>
      <c r="I73" s="13">
        <v>45222</v>
      </c>
      <c r="J73" s="6"/>
      <c r="K73" s="102">
        <v>0</v>
      </c>
      <c r="L73" s="6">
        <v>0</v>
      </c>
      <c r="M73" s="6" t="s">
        <v>24</v>
      </c>
      <c r="N73" s="66"/>
    </row>
    <row r="74" spans="1:14" s="12" customFormat="1" ht="15.75" customHeight="1">
      <c r="A74" s="6" t="s">
        <v>267</v>
      </c>
      <c r="B74" s="6" t="s">
        <v>199</v>
      </c>
      <c r="C74" s="6" t="s">
        <v>247</v>
      </c>
      <c r="D74" s="6" t="s">
        <v>268</v>
      </c>
      <c r="E74" s="6" t="s">
        <v>36</v>
      </c>
      <c r="F74" s="6" t="s">
        <v>269</v>
      </c>
      <c r="G74" s="118">
        <v>200</v>
      </c>
      <c r="H74" s="6" t="s">
        <v>270</v>
      </c>
      <c r="I74" s="13">
        <v>45443</v>
      </c>
      <c r="J74" s="6">
        <v>19</v>
      </c>
      <c r="K74" s="102">
        <v>1738.6</v>
      </c>
      <c r="L74" s="6">
        <v>0</v>
      </c>
      <c r="M74" s="6" t="s">
        <v>24</v>
      </c>
      <c r="N74" s="66"/>
    </row>
    <row r="75" spans="1:14" s="12" customFormat="1" ht="15.75" customHeight="1">
      <c r="A75" s="6" t="s">
        <v>267</v>
      </c>
      <c r="B75" s="6" t="s">
        <v>199</v>
      </c>
      <c r="C75" s="6" t="s">
        <v>247</v>
      </c>
      <c r="D75" s="6" t="s">
        <v>268</v>
      </c>
      <c r="E75" s="6" t="s">
        <v>36</v>
      </c>
      <c r="F75" s="6" t="s">
        <v>269</v>
      </c>
      <c r="G75" s="118">
        <v>200</v>
      </c>
      <c r="H75" s="6" t="s">
        <v>271</v>
      </c>
      <c r="I75" s="13">
        <v>42917</v>
      </c>
      <c r="J75" s="6">
        <v>24</v>
      </c>
      <c r="K75" s="102">
        <v>1931.78</v>
      </c>
      <c r="L75" s="6">
        <v>0</v>
      </c>
      <c r="M75" s="6" t="s">
        <v>24</v>
      </c>
      <c r="N75" s="66"/>
    </row>
    <row r="76" spans="1:14" s="12" customFormat="1" ht="15.75" customHeight="1">
      <c r="A76" s="6" t="s">
        <v>267</v>
      </c>
      <c r="B76" s="6" t="s">
        <v>199</v>
      </c>
      <c r="C76" s="6" t="s">
        <v>247</v>
      </c>
      <c r="D76" s="6" t="s">
        <v>272</v>
      </c>
      <c r="E76" s="6" t="s">
        <v>28</v>
      </c>
      <c r="F76" s="6" t="s">
        <v>269</v>
      </c>
      <c r="G76" s="118">
        <v>300</v>
      </c>
      <c r="H76" s="6" t="s">
        <v>273</v>
      </c>
      <c r="I76" s="13">
        <v>43188</v>
      </c>
      <c r="J76" s="6">
        <v>102</v>
      </c>
      <c r="K76" s="102">
        <v>2158.2600000000002</v>
      </c>
      <c r="L76" s="6">
        <v>0</v>
      </c>
      <c r="M76" s="6" t="s">
        <v>24</v>
      </c>
      <c r="N76" s="66"/>
    </row>
    <row r="77" spans="1:14" s="12" customFormat="1" ht="15.75" customHeight="1">
      <c r="A77" s="6" t="s">
        <v>267</v>
      </c>
      <c r="B77" s="6" t="s">
        <v>199</v>
      </c>
      <c r="C77" s="6" t="s">
        <v>247</v>
      </c>
      <c r="D77" s="6" t="s">
        <v>272</v>
      </c>
      <c r="E77" s="6" t="s">
        <v>36</v>
      </c>
      <c r="F77" s="6" t="s">
        <v>269</v>
      </c>
      <c r="G77" s="118">
        <v>300</v>
      </c>
      <c r="H77" s="6" t="s">
        <v>271</v>
      </c>
      <c r="I77" s="13">
        <v>42917</v>
      </c>
      <c r="J77" s="6">
        <v>93</v>
      </c>
      <c r="K77" s="102">
        <v>1931.78</v>
      </c>
      <c r="L77" s="6">
        <v>0</v>
      </c>
      <c r="M77" s="6" t="s">
        <v>24</v>
      </c>
      <c r="N77" s="66"/>
    </row>
    <row r="78" spans="1:14" s="12" customFormat="1" ht="15.75" customHeight="1">
      <c r="A78" s="6" t="s">
        <v>267</v>
      </c>
      <c r="B78" s="6" t="s">
        <v>199</v>
      </c>
      <c r="C78" s="6" t="s">
        <v>247</v>
      </c>
      <c r="D78" s="6" t="s">
        <v>274</v>
      </c>
      <c r="E78" s="6" t="s">
        <v>36</v>
      </c>
      <c r="F78" s="6" t="s">
        <v>269</v>
      </c>
      <c r="G78" s="118">
        <v>600</v>
      </c>
      <c r="H78" s="6" t="s">
        <v>275</v>
      </c>
      <c r="I78" s="13">
        <v>45839</v>
      </c>
      <c r="J78" s="6">
        <v>102</v>
      </c>
      <c r="K78" s="102">
        <v>1642.01</v>
      </c>
      <c r="L78" s="6">
        <v>0</v>
      </c>
      <c r="M78" s="6" t="s">
        <v>24</v>
      </c>
      <c r="N78" s="66"/>
    </row>
    <row r="79" spans="1:14" s="12" customFormat="1" ht="15.75" customHeight="1">
      <c r="A79" s="6" t="s">
        <v>267</v>
      </c>
      <c r="B79" s="6" t="s">
        <v>199</v>
      </c>
      <c r="C79" s="6" t="s">
        <v>247</v>
      </c>
      <c r="D79" s="6" t="s">
        <v>276</v>
      </c>
      <c r="E79" s="6" t="s">
        <v>42</v>
      </c>
      <c r="F79" s="6" t="s">
        <v>269</v>
      </c>
      <c r="G79" s="118">
        <v>600</v>
      </c>
      <c r="H79" s="6" t="s">
        <v>277</v>
      </c>
      <c r="I79" s="13">
        <v>45659</v>
      </c>
      <c r="J79" s="6">
        <v>6</v>
      </c>
      <c r="K79" s="102">
        <v>1742.03</v>
      </c>
      <c r="L79" s="6">
        <v>0</v>
      </c>
      <c r="M79" s="6" t="s">
        <v>24</v>
      </c>
      <c r="N79" s="66"/>
    </row>
    <row r="80" spans="1:14" s="12" customFormat="1" ht="15.75" customHeight="1">
      <c r="A80" s="6" t="s">
        <v>267</v>
      </c>
      <c r="B80" s="6" t="s">
        <v>199</v>
      </c>
      <c r="C80" s="6" t="s">
        <v>247</v>
      </c>
      <c r="D80" s="6" t="s">
        <v>278</v>
      </c>
      <c r="E80" s="6" t="s">
        <v>28</v>
      </c>
      <c r="F80" s="6" t="s">
        <v>269</v>
      </c>
      <c r="G80" s="118">
        <v>300</v>
      </c>
      <c r="H80" s="6" t="s">
        <v>279</v>
      </c>
      <c r="I80" s="13">
        <v>45292</v>
      </c>
      <c r="J80" s="6">
        <v>12</v>
      </c>
      <c r="K80" s="102">
        <v>2158.2600000000002</v>
      </c>
      <c r="L80" s="6">
        <v>0</v>
      </c>
      <c r="M80" s="6" t="s">
        <v>24</v>
      </c>
      <c r="N80" s="66"/>
    </row>
    <row r="81" spans="1:36" s="12" customFormat="1" ht="15.75" customHeight="1">
      <c r="A81" s="6" t="s">
        <v>267</v>
      </c>
      <c r="B81" s="6" t="s">
        <v>199</v>
      </c>
      <c r="C81" s="6" t="s">
        <v>247</v>
      </c>
      <c r="D81" s="6" t="s">
        <v>278</v>
      </c>
      <c r="E81" s="6" t="s">
        <v>42</v>
      </c>
      <c r="F81" s="6" t="s">
        <v>269</v>
      </c>
      <c r="G81" s="118">
        <v>300</v>
      </c>
      <c r="H81" s="6" t="s">
        <v>280</v>
      </c>
      <c r="I81" s="13">
        <v>45566</v>
      </c>
      <c r="J81" s="6">
        <v>15</v>
      </c>
      <c r="K81" s="102">
        <v>1742.03</v>
      </c>
      <c r="L81" s="6">
        <v>0</v>
      </c>
      <c r="M81" s="6" t="s">
        <v>24</v>
      </c>
      <c r="N81" s="66"/>
    </row>
    <row r="82" spans="1:36" s="12" customFormat="1" ht="15.75" customHeight="1">
      <c r="A82" s="6" t="s">
        <v>281</v>
      </c>
      <c r="B82" s="6" t="s">
        <v>199</v>
      </c>
      <c r="C82" s="6" t="s">
        <v>282</v>
      </c>
      <c r="D82" s="6" t="s">
        <v>283</v>
      </c>
      <c r="E82" s="6">
        <v>5</v>
      </c>
      <c r="F82" s="6" t="s">
        <v>249</v>
      </c>
      <c r="G82" s="118">
        <v>360</v>
      </c>
      <c r="H82" s="6">
        <v>259</v>
      </c>
      <c r="I82" s="13">
        <v>38169</v>
      </c>
      <c r="J82" s="6">
        <v>5</v>
      </c>
      <c r="K82" s="102">
        <v>0</v>
      </c>
      <c r="L82" s="6">
        <v>0</v>
      </c>
      <c r="M82" s="6" t="s">
        <v>24</v>
      </c>
      <c r="N82" s="66"/>
    </row>
    <row r="83" spans="1:36" s="12" customFormat="1" ht="15.75" customHeight="1">
      <c r="A83" s="6" t="s">
        <v>281</v>
      </c>
      <c r="B83" s="6" t="s">
        <v>199</v>
      </c>
      <c r="C83" s="6" t="s">
        <v>282</v>
      </c>
      <c r="D83" s="6" t="s">
        <v>283</v>
      </c>
      <c r="E83" s="6">
        <v>4</v>
      </c>
      <c r="F83" s="6" t="s">
        <v>249</v>
      </c>
      <c r="G83" s="118">
        <v>360</v>
      </c>
      <c r="H83" s="6">
        <v>6</v>
      </c>
      <c r="I83" s="13">
        <v>45870</v>
      </c>
      <c r="J83" s="6">
        <v>0</v>
      </c>
      <c r="K83" s="102">
        <v>0</v>
      </c>
      <c r="L83" s="6">
        <v>0</v>
      </c>
      <c r="M83" s="6" t="s">
        <v>24</v>
      </c>
      <c r="N83" s="66"/>
    </row>
    <row r="84" spans="1:36" s="12" customFormat="1" ht="15.75" customHeight="1">
      <c r="A84" s="6" t="s">
        <v>281</v>
      </c>
      <c r="B84" s="6" t="s">
        <v>199</v>
      </c>
      <c r="C84" s="6" t="s">
        <v>282</v>
      </c>
      <c r="D84" s="6" t="s">
        <v>283</v>
      </c>
      <c r="E84" s="6">
        <v>3</v>
      </c>
      <c r="F84" s="6" t="s">
        <v>249</v>
      </c>
      <c r="G84" s="118">
        <v>360</v>
      </c>
      <c r="H84" s="6">
        <v>75</v>
      </c>
      <c r="I84" s="13">
        <v>43780</v>
      </c>
      <c r="J84" s="6">
        <v>3</v>
      </c>
      <c r="K84" s="102">
        <v>0</v>
      </c>
      <c r="L84" s="6">
        <v>0</v>
      </c>
      <c r="M84" s="6" t="s">
        <v>24</v>
      </c>
      <c r="N84" s="66"/>
    </row>
    <row r="85" spans="1:36" s="12" customFormat="1" ht="15.75" customHeight="1">
      <c r="A85" s="6" t="s">
        <v>284</v>
      </c>
      <c r="B85" s="6" t="s">
        <v>199</v>
      </c>
      <c r="C85" s="6" t="s">
        <v>285</v>
      </c>
      <c r="D85" s="6" t="s">
        <v>286</v>
      </c>
      <c r="E85" s="6" t="s">
        <v>287</v>
      </c>
      <c r="F85" s="6" t="s">
        <v>288</v>
      </c>
      <c r="G85" s="118">
        <v>500</v>
      </c>
      <c r="H85" s="6">
        <v>348</v>
      </c>
      <c r="I85" s="13">
        <v>35765</v>
      </c>
      <c r="J85" s="6">
        <v>5</v>
      </c>
      <c r="K85" s="102">
        <v>0</v>
      </c>
      <c r="L85" s="6">
        <v>0</v>
      </c>
      <c r="M85" s="6" t="s">
        <v>24</v>
      </c>
      <c r="N85" s="66"/>
    </row>
    <row r="86" spans="1:36" s="12" customFormat="1" ht="15.75" customHeight="1">
      <c r="A86" s="6" t="s">
        <v>284</v>
      </c>
      <c r="B86" s="6" t="s">
        <v>199</v>
      </c>
      <c r="C86" s="6" t="s">
        <v>285</v>
      </c>
      <c r="D86" s="6" t="s">
        <v>286</v>
      </c>
      <c r="E86" s="6" t="s">
        <v>289</v>
      </c>
      <c r="F86" s="6" t="s">
        <v>288</v>
      </c>
      <c r="G86" s="118">
        <v>500</v>
      </c>
      <c r="H86" s="6">
        <v>348</v>
      </c>
      <c r="I86" s="13">
        <v>40441</v>
      </c>
      <c r="J86" s="6">
        <v>5</v>
      </c>
      <c r="K86" s="102">
        <v>0</v>
      </c>
      <c r="L86" s="6">
        <v>0</v>
      </c>
      <c r="M86" s="6" t="s">
        <v>24</v>
      </c>
      <c r="N86" s="66"/>
    </row>
    <row r="87" spans="1:36" s="41" customForma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</row>
    <row r="88" spans="1:36" s="41" customForma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</row>
    <row r="89" spans="1:36" s="41" customForma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</row>
    <row r="90" spans="1:36" s="41" customForma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</row>
    <row r="91" spans="1:36" s="41" customForma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</row>
    <row r="92" spans="1:36" s="41" customForma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</row>
    <row r="93" spans="1:36" s="41" customForma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</row>
    <row r="94" spans="1:36" s="41" customForma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</row>
    <row r="95" spans="1:36" s="41" customForma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</row>
    <row r="96" spans="1:36" s="41" customForma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</row>
    <row r="97" spans="1:36" s="41" customForma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</row>
    <row r="98" spans="1:36" s="41" customForma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</row>
    <row r="99" spans="1:36" s="41" customForma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</row>
    <row r="100" spans="1:36" s="41" customForma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</row>
    <row r="101" spans="1:36" s="41" customForma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</row>
    <row r="102" spans="1:36" s="41" customForma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</row>
    <row r="103" spans="1:36" s="41" customForma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</row>
    <row r="104" spans="1:36" s="41" customForma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</row>
    <row r="105" spans="1:36" s="41" customForma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</row>
    <row r="106" spans="1:36" s="41" customForma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</row>
    <row r="107" spans="1:36" s="41" customForma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</row>
    <row r="108" spans="1:36" s="41" customForma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</row>
    <row r="109" spans="1:36" s="41" customForma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</row>
    <row r="110" spans="1:36" s="41" customForma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</row>
    <row r="111" spans="1:36" s="41" customForma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</row>
    <row r="112" spans="1:36" s="41" customForma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</row>
    <row r="113" spans="1:36" s="41" customForma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</row>
    <row r="114" spans="1:36" s="41" customForma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</row>
    <row r="115" spans="1:36" s="41" customForma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</row>
    <row r="116" spans="1:36" s="41" customForma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</row>
    <row r="117" spans="1:36" s="41" customForma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</row>
    <row r="118" spans="1:36" s="41" customForma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</row>
    <row r="119" spans="1:36" s="41" customForma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</row>
    <row r="120" spans="1:36" s="41" customForma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</row>
    <row r="121" spans="1:36" s="41" customForma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</row>
    <row r="122" spans="1:36" s="41" customForma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</row>
    <row r="123" spans="1:36" s="41" customForma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</row>
    <row r="124" spans="1:36" s="41" customForma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</row>
    <row r="125" spans="1:36" s="41" customForma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</row>
    <row r="126" spans="1:36" s="41" customForma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</row>
    <row r="127" spans="1:36" s="41" customForma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</row>
    <row r="128" spans="1:36" s="41" customForma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</row>
    <row r="129" spans="1:36" s="41" customForma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</row>
    <row r="130" spans="1:36" s="41" customForma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</row>
    <row r="131" spans="1:36" s="41" customForma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</row>
    <row r="132" spans="1:36" s="41" customForma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</row>
    <row r="133" spans="1:36" s="41" customForma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</row>
    <row r="134" spans="1:36" s="41" customForma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</row>
    <row r="135" spans="1:36" s="41" customForma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</row>
    <row r="136" spans="1:36" s="41" customForma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</row>
    <row r="137" spans="1:36" s="41" customForma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</row>
    <row r="138" spans="1:36" s="41" customForma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</row>
    <row r="139" spans="1:36" s="41" customForma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</row>
    <row r="140" spans="1:36" s="41" customForma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</row>
    <row r="141" spans="1:36" s="41" customForma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</row>
    <row r="142" spans="1:36" s="41" customForma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</row>
    <row r="143" spans="1:36" s="41" customForma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</row>
    <row r="144" spans="1:36" s="41" customForma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</row>
    <row r="145" spans="1:36" s="41" customForma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</row>
    <row r="146" spans="1:36" s="41" customForma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</row>
    <row r="147" spans="1:36" s="41" customForma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</row>
    <row r="148" spans="1:36" s="41" customForma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</row>
    <row r="149" spans="1:36" s="41" customForma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</row>
    <row r="150" spans="1:36" s="41" customForma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</row>
    <row r="151" spans="1:36" s="41" customForma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</row>
    <row r="152" spans="1:36" s="41" customForma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</row>
    <row r="153" spans="1:36" s="41" customForma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</row>
    <row r="154" spans="1:36" s="41" customForma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</row>
    <row r="155" spans="1:36" s="41" customForma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</row>
    <row r="156" spans="1:36" s="41" customForma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</row>
    <row r="157" spans="1:36" s="41" customForma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</row>
    <row r="158" spans="1:36" s="41" customForma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</row>
    <row r="159" spans="1:36" s="41" customForma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</row>
    <row r="160" spans="1:36" s="41" customForma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</row>
    <row r="161" spans="1:36" s="41" customForma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</row>
    <row r="162" spans="1:36" s="41" customForma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</row>
    <row r="163" spans="1:36" s="41" customForma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</row>
    <row r="164" spans="1:36" s="41" customForma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</row>
    <row r="165" spans="1:36" s="41" customForma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</row>
    <row r="166" spans="1:36" s="41" customForma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</row>
    <row r="167" spans="1:36" s="41" customForma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</row>
    <row r="168" spans="1:36" s="41" customForma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</row>
    <row r="169" spans="1:36" s="41" customForma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</row>
    <row r="170" spans="1:36" s="41" customForma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</row>
    <row r="171" spans="1:36" s="41" customForma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</row>
    <row r="172" spans="1:36" s="41" customForma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</row>
    <row r="173" spans="1:36" s="41" customForma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</row>
    <row r="174" spans="1:36" s="41" customForma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</row>
    <row r="175" spans="1:36" s="41" customForma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</row>
    <row r="176" spans="1:36" s="41" customForma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</row>
    <row r="177" spans="1:36" s="41" customForma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</row>
    <row r="178" spans="1:36" s="41" customForma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</row>
    <row r="179" spans="1:36" s="41" customForma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</row>
    <row r="180" spans="1:36" s="41" customForma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</row>
    <row r="181" spans="1:36" s="41" customForma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</row>
    <row r="182" spans="1:36" s="41" customForma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</row>
    <row r="183" spans="1:36" s="41" customForma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</row>
    <row r="184" spans="1:36" s="41" customForma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</row>
    <row r="185" spans="1:36" s="41" customForma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</row>
    <row r="186" spans="1:36" s="41" customForma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</row>
    <row r="187" spans="1:36" s="41" customForma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</row>
    <row r="188" spans="1:36" s="41" customForma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</row>
    <row r="189" spans="1:36" s="41" customForma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</row>
    <row r="190" spans="1:36" s="41" customForma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</row>
    <row r="191" spans="1:36" s="41" customForma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</row>
    <row r="192" spans="1:36" s="41" customForma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</row>
    <row r="193" spans="1:36" s="41" customForma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</row>
    <row r="194" spans="1:36" s="41" customForma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</row>
    <row r="195" spans="1:36" s="41" customForma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</row>
    <row r="196" spans="1:36" s="41" customForma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</row>
    <row r="197" spans="1:36" s="41" customForma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</row>
    <row r="198" spans="1:36" s="41" customForma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</row>
    <row r="199" spans="1:36" s="41" customForma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</row>
    <row r="200" spans="1:36" s="41" customForma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</row>
    <row r="201" spans="1:36" s="41" customForma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</row>
    <row r="202" spans="1:36" s="41" customForma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</row>
    <row r="203" spans="1:36" s="41" customForma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</row>
    <row r="204" spans="1:36" s="41" customForma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</row>
    <row r="205" spans="1:36" s="41" customForma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</row>
    <row r="206" spans="1:36" s="41" customForma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</row>
    <row r="207" spans="1:36" s="41" customForma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</row>
    <row r="208" spans="1:36" s="41" customForma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</row>
    <row r="209" spans="1:36" s="41" customForma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</row>
    <row r="210" spans="1:36" s="41" customForma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</row>
    <row r="211" spans="1:36" s="41" customForma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</row>
  </sheetData>
  <autoFilter ref="A2:AJ2" xr:uid="{EE5619BD-D524-4BF8-8621-5F2282420187}"/>
  <mergeCells count="1">
    <mergeCell ref="A1:B1"/>
  </mergeCells>
  <pageMargins left="0.23622047244094491" right="0.31496062992125984" top="0.74803149606299213" bottom="0.74803149606299213" header="0.51181102362204722" footer="0.51181102362204722"/>
  <pageSetup paperSize="9" scale="49" fitToHeight="1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CF2D-B8F1-41A6-B726-670D80D7C57A}">
  <sheetPr codeName="Sheet8">
    <pageSetUpPr fitToPage="1"/>
  </sheetPr>
  <dimension ref="A1:S165"/>
  <sheetViews>
    <sheetView showGridLines="0" topLeftCell="A30" zoomScale="85" zoomScaleNormal="85" zoomScaleSheetLayoutView="85" workbookViewId="0">
      <selection activeCell="B77" sqref="B77"/>
    </sheetView>
  </sheetViews>
  <sheetFormatPr defaultColWidth="8.7109375" defaultRowHeight="15.95"/>
  <cols>
    <col min="1" max="1" width="32.140625" style="49" bestFit="1" customWidth="1"/>
    <col min="2" max="2" width="38.140625" style="49" customWidth="1"/>
    <col min="3" max="3" width="21.140625" style="49" bestFit="1" customWidth="1"/>
    <col min="4" max="4" width="35.28515625" style="45" bestFit="1" customWidth="1"/>
    <col min="5" max="5" width="17.28515625" style="49" customWidth="1"/>
    <col min="6" max="6" width="20.28515625" style="19" customWidth="1"/>
    <col min="7" max="7" width="15.28515625" style="45" customWidth="1"/>
    <col min="8" max="8" width="15.28515625" style="49" customWidth="1"/>
    <col min="9" max="9" width="15.28515625" style="19" customWidth="1"/>
    <col min="10" max="10" width="12.7109375" style="49" customWidth="1"/>
    <col min="11" max="11" width="14.140625" style="49" bestFit="1" customWidth="1"/>
    <col min="12" max="12" width="22.42578125" style="49" bestFit="1" customWidth="1"/>
    <col min="13" max="13" width="19.42578125" style="98" customWidth="1"/>
    <col min="14" max="14" width="14.7109375" style="49" customWidth="1"/>
    <col min="15" max="15" width="24.28515625" style="49" bestFit="1" customWidth="1"/>
    <col min="16" max="18" width="8.7109375" style="48"/>
    <col min="19" max="16384" width="8.7109375" style="49"/>
  </cols>
  <sheetData>
    <row r="1" spans="1:18" s="67" customFormat="1" ht="59.45" customHeight="1">
      <c r="A1" s="127" t="s">
        <v>290</v>
      </c>
      <c r="B1" s="127"/>
      <c r="C1" s="27"/>
      <c r="D1" s="28"/>
      <c r="E1" s="27"/>
      <c r="F1" s="27"/>
      <c r="G1" s="27"/>
      <c r="H1" s="28"/>
      <c r="I1" s="28"/>
      <c r="J1" s="28"/>
      <c r="K1" s="28"/>
      <c r="L1" s="28"/>
      <c r="M1" s="86"/>
      <c r="N1" s="28"/>
      <c r="O1" s="28"/>
    </row>
    <row r="2" spans="1:18" s="45" customFormat="1" ht="48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95</v>
      </c>
      <c r="G2" s="14" t="s">
        <v>7</v>
      </c>
      <c r="H2" s="14" t="s">
        <v>8</v>
      </c>
      <c r="I2" s="14" t="s">
        <v>46</v>
      </c>
      <c r="J2" s="14" t="s">
        <v>10</v>
      </c>
      <c r="K2" s="14" t="s">
        <v>11</v>
      </c>
      <c r="L2" s="15" t="s">
        <v>47</v>
      </c>
      <c r="M2" s="95" t="s">
        <v>48</v>
      </c>
      <c r="N2" s="14" t="s">
        <v>49</v>
      </c>
      <c r="O2" s="16" t="s">
        <v>16</v>
      </c>
      <c r="P2" s="44"/>
      <c r="Q2" s="44"/>
      <c r="R2" s="44"/>
    </row>
    <row r="3" spans="1:18">
      <c r="A3" s="20" t="s">
        <v>50</v>
      </c>
      <c r="B3" s="20" t="s">
        <v>291</v>
      </c>
      <c r="C3" s="20" t="s">
        <v>19</v>
      </c>
      <c r="D3" s="21" t="s">
        <v>60</v>
      </c>
      <c r="E3" s="30" t="s">
        <v>36</v>
      </c>
      <c r="F3" s="20" t="s">
        <v>53</v>
      </c>
      <c r="G3" s="20">
        <v>40</v>
      </c>
      <c r="H3" s="20">
        <v>68</v>
      </c>
      <c r="I3" s="22" t="s">
        <v>292</v>
      </c>
      <c r="J3" s="20">
        <v>2</v>
      </c>
      <c r="K3" s="20" t="s">
        <v>70</v>
      </c>
      <c r="L3" s="20" t="s">
        <v>54</v>
      </c>
      <c r="M3" s="96">
        <v>400</v>
      </c>
      <c r="N3" s="20" t="s">
        <v>24</v>
      </c>
      <c r="O3" s="79" t="s">
        <v>70</v>
      </c>
    </row>
    <row r="4" spans="1:18">
      <c r="A4" s="20" t="s">
        <v>50</v>
      </c>
      <c r="B4" s="20" t="s">
        <v>291</v>
      </c>
      <c r="C4" s="20" t="s">
        <v>19</v>
      </c>
      <c r="D4" s="21" t="s">
        <v>59</v>
      </c>
      <c r="E4" s="30" t="s">
        <v>36</v>
      </c>
      <c r="F4" s="20" t="s">
        <v>53</v>
      </c>
      <c r="G4" s="20">
        <v>40</v>
      </c>
      <c r="H4" s="20">
        <v>68</v>
      </c>
      <c r="I4" s="22" t="s">
        <v>292</v>
      </c>
      <c r="J4" s="20">
        <v>2</v>
      </c>
      <c r="K4" s="20" t="s">
        <v>70</v>
      </c>
      <c r="L4" s="20" t="s">
        <v>54</v>
      </c>
      <c r="M4" s="96">
        <v>200</v>
      </c>
      <c r="N4" s="20" t="s">
        <v>24</v>
      </c>
      <c r="O4" s="79" t="s">
        <v>70</v>
      </c>
    </row>
    <row r="5" spans="1:18">
      <c r="A5" s="20" t="s">
        <v>50</v>
      </c>
      <c r="B5" s="20" t="s">
        <v>291</v>
      </c>
      <c r="C5" s="20" t="s">
        <v>19</v>
      </c>
      <c r="D5" s="21" t="s">
        <v>59</v>
      </c>
      <c r="E5" s="30" t="s">
        <v>36</v>
      </c>
      <c r="F5" s="20" t="s">
        <v>53</v>
      </c>
      <c r="G5" s="20">
        <v>40</v>
      </c>
      <c r="H5" s="20">
        <v>68</v>
      </c>
      <c r="I5" s="22" t="s">
        <v>292</v>
      </c>
      <c r="J5" s="20">
        <v>2</v>
      </c>
      <c r="K5" s="20" t="s">
        <v>70</v>
      </c>
      <c r="L5" s="20" t="s">
        <v>54</v>
      </c>
      <c r="M5" s="96">
        <v>200</v>
      </c>
      <c r="N5" s="20" t="s">
        <v>24</v>
      </c>
      <c r="O5" s="79" t="s">
        <v>70</v>
      </c>
    </row>
    <row r="6" spans="1:18">
      <c r="A6" s="20" t="s">
        <v>50</v>
      </c>
      <c r="B6" s="20" t="s">
        <v>291</v>
      </c>
      <c r="C6" s="20" t="s">
        <v>19</v>
      </c>
      <c r="D6" s="21" t="s">
        <v>59</v>
      </c>
      <c r="E6" s="30" t="s">
        <v>36</v>
      </c>
      <c r="F6" s="20" t="s">
        <v>53</v>
      </c>
      <c r="G6" s="20">
        <v>40</v>
      </c>
      <c r="H6" s="20">
        <v>68</v>
      </c>
      <c r="I6" s="22" t="s">
        <v>292</v>
      </c>
      <c r="J6" s="20">
        <v>2</v>
      </c>
      <c r="K6" s="20" t="s">
        <v>70</v>
      </c>
      <c r="L6" s="20" t="s">
        <v>54</v>
      </c>
      <c r="M6" s="96">
        <v>200</v>
      </c>
      <c r="N6" s="20" t="s">
        <v>23</v>
      </c>
      <c r="O6" s="79" t="s">
        <v>70</v>
      </c>
    </row>
    <row r="7" spans="1:18">
      <c r="A7" s="20" t="s">
        <v>50</v>
      </c>
      <c r="B7" s="20" t="s">
        <v>291</v>
      </c>
      <c r="C7" s="20" t="s">
        <v>19</v>
      </c>
      <c r="D7" s="21" t="s">
        <v>60</v>
      </c>
      <c r="E7" s="30" t="s">
        <v>36</v>
      </c>
      <c r="F7" s="20" t="s">
        <v>53</v>
      </c>
      <c r="G7" s="20">
        <v>40</v>
      </c>
      <c r="H7" s="20">
        <v>68</v>
      </c>
      <c r="I7" s="22" t="s">
        <v>292</v>
      </c>
      <c r="J7" s="20">
        <v>2</v>
      </c>
      <c r="K7" s="20" t="s">
        <v>70</v>
      </c>
      <c r="L7" s="20" t="s">
        <v>54</v>
      </c>
      <c r="M7" s="96">
        <v>200</v>
      </c>
      <c r="N7" s="20" t="s">
        <v>24</v>
      </c>
      <c r="O7" s="79" t="s">
        <v>70</v>
      </c>
    </row>
    <row r="8" spans="1:18">
      <c r="A8" s="20" t="s">
        <v>50</v>
      </c>
      <c r="B8" s="20" t="s">
        <v>291</v>
      </c>
      <c r="C8" s="20" t="s">
        <v>19</v>
      </c>
      <c r="D8" s="21" t="s">
        <v>59</v>
      </c>
      <c r="E8" s="30" t="s">
        <v>36</v>
      </c>
      <c r="F8" s="20" t="s">
        <v>53</v>
      </c>
      <c r="G8" s="20">
        <v>40</v>
      </c>
      <c r="H8" s="20">
        <v>68</v>
      </c>
      <c r="I8" s="22" t="s">
        <v>292</v>
      </c>
      <c r="J8" s="20">
        <v>2</v>
      </c>
      <c r="K8" s="20" t="s">
        <v>70</v>
      </c>
      <c r="L8" s="20" t="s">
        <v>54</v>
      </c>
      <c r="M8" s="96">
        <v>200</v>
      </c>
      <c r="N8" s="20" t="s">
        <v>24</v>
      </c>
      <c r="O8" s="79" t="s">
        <v>70</v>
      </c>
    </row>
    <row r="9" spans="1:18">
      <c r="A9" s="20" t="s">
        <v>50</v>
      </c>
      <c r="B9" s="20" t="s">
        <v>293</v>
      </c>
      <c r="C9" s="20" t="s">
        <v>19</v>
      </c>
      <c r="D9" s="21" t="s">
        <v>59</v>
      </c>
      <c r="E9" s="30" t="s">
        <v>36</v>
      </c>
      <c r="F9" s="20" t="s">
        <v>53</v>
      </c>
      <c r="G9" s="20">
        <v>40</v>
      </c>
      <c r="H9" s="20">
        <v>68</v>
      </c>
      <c r="I9" s="22" t="s">
        <v>294</v>
      </c>
      <c r="J9" s="20">
        <v>2</v>
      </c>
      <c r="K9" s="20" t="s">
        <v>70</v>
      </c>
      <c r="L9" s="20" t="s">
        <v>54</v>
      </c>
      <c r="M9" s="96">
        <v>200</v>
      </c>
      <c r="N9" s="20" t="s">
        <v>24</v>
      </c>
      <c r="O9" s="79" t="s">
        <v>70</v>
      </c>
    </row>
    <row r="10" spans="1:18">
      <c r="A10" s="20" t="s">
        <v>50</v>
      </c>
      <c r="B10" s="20" t="s">
        <v>291</v>
      </c>
      <c r="C10" s="20" t="s">
        <v>19</v>
      </c>
      <c r="D10" s="21" t="s">
        <v>59</v>
      </c>
      <c r="E10" s="30" t="s">
        <v>21</v>
      </c>
      <c r="F10" s="20" t="s">
        <v>53</v>
      </c>
      <c r="G10" s="20">
        <v>40</v>
      </c>
      <c r="H10" s="20">
        <v>68</v>
      </c>
      <c r="I10" s="22" t="s">
        <v>292</v>
      </c>
      <c r="J10" s="20">
        <v>2</v>
      </c>
      <c r="K10" s="20" t="s">
        <v>70</v>
      </c>
      <c r="L10" s="20" t="s">
        <v>54</v>
      </c>
      <c r="M10" s="96">
        <v>200</v>
      </c>
      <c r="N10" s="20" t="s">
        <v>24</v>
      </c>
      <c r="O10" s="79" t="s">
        <v>70</v>
      </c>
    </row>
    <row r="11" spans="1:18">
      <c r="A11" s="20" t="s">
        <v>50</v>
      </c>
      <c r="B11" s="20" t="s">
        <v>295</v>
      </c>
      <c r="C11" s="20" t="s">
        <v>19</v>
      </c>
      <c r="D11" s="21" t="s">
        <v>55</v>
      </c>
      <c r="E11" s="30" t="s">
        <v>21</v>
      </c>
      <c r="F11" s="20" t="s">
        <v>53</v>
      </c>
      <c r="G11" s="20">
        <v>40</v>
      </c>
      <c r="H11" s="20">
        <v>36</v>
      </c>
      <c r="I11" s="22">
        <v>44805</v>
      </c>
      <c r="J11" s="20">
        <v>1</v>
      </c>
      <c r="K11" s="20" t="s">
        <v>70</v>
      </c>
      <c r="L11" s="20" t="s">
        <v>54</v>
      </c>
      <c r="M11" s="96">
        <v>200</v>
      </c>
      <c r="N11" s="20" t="s">
        <v>24</v>
      </c>
      <c r="O11" s="79" t="s">
        <v>70</v>
      </c>
    </row>
    <row r="12" spans="1:18">
      <c r="A12" s="20" t="s">
        <v>50</v>
      </c>
      <c r="B12" s="20" t="s">
        <v>295</v>
      </c>
      <c r="C12" s="20" t="s">
        <v>19</v>
      </c>
      <c r="D12" s="21" t="s">
        <v>296</v>
      </c>
      <c r="E12" s="30" t="s">
        <v>36</v>
      </c>
      <c r="F12" s="20" t="s">
        <v>297</v>
      </c>
      <c r="G12" s="20">
        <v>25</v>
      </c>
      <c r="H12" s="20">
        <v>42</v>
      </c>
      <c r="I12" s="22" t="s">
        <v>298</v>
      </c>
      <c r="J12" s="20">
        <v>1</v>
      </c>
      <c r="K12" s="20" t="s">
        <v>70</v>
      </c>
      <c r="L12" s="20" t="s">
        <v>299</v>
      </c>
      <c r="M12" s="96">
        <v>400</v>
      </c>
      <c r="N12" s="20" t="s">
        <v>24</v>
      </c>
      <c r="O12" s="79" t="s">
        <v>70</v>
      </c>
    </row>
    <row r="13" spans="1:18">
      <c r="A13" s="20" t="s">
        <v>50</v>
      </c>
      <c r="B13" s="20" t="s">
        <v>300</v>
      </c>
      <c r="C13" s="20" t="s">
        <v>19</v>
      </c>
      <c r="D13" s="21" t="s">
        <v>301</v>
      </c>
      <c r="E13" s="30" t="s">
        <v>38</v>
      </c>
      <c r="F13" s="20" t="s">
        <v>53</v>
      </c>
      <c r="G13" s="20">
        <v>40</v>
      </c>
      <c r="H13" s="20">
        <v>73</v>
      </c>
      <c r="I13" s="22" t="s">
        <v>302</v>
      </c>
      <c r="J13" s="20">
        <v>2</v>
      </c>
      <c r="K13" s="77">
        <v>500</v>
      </c>
      <c r="L13" s="20" t="s">
        <v>54</v>
      </c>
      <c r="M13" s="96">
        <v>200</v>
      </c>
      <c r="N13" s="20" t="s">
        <v>24</v>
      </c>
      <c r="O13" s="79" t="s">
        <v>70</v>
      </c>
    </row>
    <row r="14" spans="1:18">
      <c r="A14" s="20" t="s">
        <v>50</v>
      </c>
      <c r="B14" s="20" t="s">
        <v>293</v>
      </c>
      <c r="C14" s="20" t="s">
        <v>19</v>
      </c>
      <c r="D14" s="21" t="s">
        <v>60</v>
      </c>
      <c r="E14" s="30" t="s">
        <v>36</v>
      </c>
      <c r="F14" s="20" t="s">
        <v>53</v>
      </c>
      <c r="G14" s="20">
        <v>40</v>
      </c>
      <c r="H14" s="20">
        <v>68</v>
      </c>
      <c r="I14" s="22" t="s">
        <v>292</v>
      </c>
      <c r="J14" s="20">
        <v>2</v>
      </c>
      <c r="K14" s="20" t="s">
        <v>70</v>
      </c>
      <c r="L14" s="20" t="s">
        <v>54</v>
      </c>
      <c r="M14" s="96">
        <v>200</v>
      </c>
      <c r="N14" s="20" t="s">
        <v>24</v>
      </c>
      <c r="O14" s="79" t="s">
        <v>70</v>
      </c>
    </row>
    <row r="15" spans="1:18">
      <c r="A15" s="20" t="s">
        <v>50</v>
      </c>
      <c r="B15" s="20" t="s">
        <v>291</v>
      </c>
      <c r="C15" s="20" t="s">
        <v>19</v>
      </c>
      <c r="D15" s="21" t="s">
        <v>60</v>
      </c>
      <c r="E15" s="30" t="s">
        <v>36</v>
      </c>
      <c r="F15" s="20" t="s">
        <v>53</v>
      </c>
      <c r="G15" s="20">
        <v>40</v>
      </c>
      <c r="H15" s="20">
        <v>68</v>
      </c>
      <c r="I15" s="22" t="s">
        <v>292</v>
      </c>
      <c r="J15" s="20">
        <v>2</v>
      </c>
      <c r="K15" s="20" t="s">
        <v>70</v>
      </c>
      <c r="L15" s="20" t="s">
        <v>54</v>
      </c>
      <c r="M15" s="96">
        <v>200</v>
      </c>
      <c r="N15" s="20" t="s">
        <v>24</v>
      </c>
      <c r="O15" s="79" t="s">
        <v>70</v>
      </c>
    </row>
    <row r="16" spans="1:18">
      <c r="A16" s="20" t="s">
        <v>50</v>
      </c>
      <c r="B16" s="20" t="s">
        <v>303</v>
      </c>
      <c r="C16" s="20" t="s">
        <v>19</v>
      </c>
      <c r="D16" s="21" t="s">
        <v>59</v>
      </c>
      <c r="E16" s="30" t="s">
        <v>36</v>
      </c>
      <c r="F16" s="20" t="s">
        <v>53</v>
      </c>
      <c r="G16" s="20">
        <v>40</v>
      </c>
      <c r="H16" s="20">
        <v>68</v>
      </c>
      <c r="I16" s="22" t="s">
        <v>292</v>
      </c>
      <c r="J16" s="20">
        <v>2</v>
      </c>
      <c r="K16" s="20" t="s">
        <v>70</v>
      </c>
      <c r="L16" s="20" t="s">
        <v>54</v>
      </c>
      <c r="M16" s="96">
        <v>200</v>
      </c>
      <c r="N16" s="20" t="s">
        <v>24</v>
      </c>
      <c r="O16" s="79" t="s">
        <v>70</v>
      </c>
    </row>
    <row r="17" spans="1:19" s="47" customFormat="1">
      <c r="A17" s="20" t="s">
        <v>50</v>
      </c>
      <c r="B17" s="20" t="s">
        <v>291</v>
      </c>
      <c r="C17" s="20" t="s">
        <v>19</v>
      </c>
      <c r="D17" s="21" t="s">
        <v>60</v>
      </c>
      <c r="E17" s="30" t="s">
        <v>36</v>
      </c>
      <c r="F17" s="20" t="s">
        <v>53</v>
      </c>
      <c r="G17" s="20">
        <v>40</v>
      </c>
      <c r="H17" s="20">
        <v>68</v>
      </c>
      <c r="I17" s="22">
        <v>43862</v>
      </c>
      <c r="J17" s="20">
        <v>2</v>
      </c>
      <c r="K17" s="20" t="s">
        <v>70</v>
      </c>
      <c r="L17" s="20" t="s">
        <v>54</v>
      </c>
      <c r="M17" s="96">
        <v>200</v>
      </c>
      <c r="N17" s="20" t="s">
        <v>24</v>
      </c>
      <c r="O17" s="79" t="s">
        <v>70</v>
      </c>
      <c r="P17" s="48"/>
      <c r="Q17" s="48"/>
      <c r="R17" s="48"/>
      <c r="S17" s="49"/>
    </row>
    <row r="18" spans="1:19" s="47" customFormat="1">
      <c r="A18" s="20" t="s">
        <v>50</v>
      </c>
      <c r="B18" s="20" t="s">
        <v>293</v>
      </c>
      <c r="C18" s="20" t="s">
        <v>19</v>
      </c>
      <c r="D18" s="21" t="s">
        <v>60</v>
      </c>
      <c r="E18" s="30" t="s">
        <v>36</v>
      </c>
      <c r="F18" s="20" t="s">
        <v>53</v>
      </c>
      <c r="G18" s="20">
        <v>40</v>
      </c>
      <c r="H18" s="20">
        <v>68</v>
      </c>
      <c r="I18" s="22" t="s">
        <v>292</v>
      </c>
      <c r="J18" s="20">
        <v>2</v>
      </c>
      <c r="K18" s="20" t="s">
        <v>70</v>
      </c>
      <c r="L18" s="20" t="s">
        <v>54</v>
      </c>
      <c r="M18" s="96">
        <v>200</v>
      </c>
      <c r="N18" s="20" t="s">
        <v>24</v>
      </c>
      <c r="O18" s="79" t="s">
        <v>70</v>
      </c>
      <c r="P18" s="48"/>
      <c r="Q18" s="48"/>
      <c r="R18" s="48"/>
      <c r="S18" s="49"/>
    </row>
    <row r="19" spans="1:19" s="47" customFormat="1">
      <c r="A19" s="20" t="s">
        <v>50</v>
      </c>
      <c r="B19" s="20" t="s">
        <v>293</v>
      </c>
      <c r="C19" s="20" t="s">
        <v>19</v>
      </c>
      <c r="D19" s="21" t="s">
        <v>60</v>
      </c>
      <c r="E19" s="30" t="s">
        <v>36</v>
      </c>
      <c r="F19" s="20" t="s">
        <v>53</v>
      </c>
      <c r="G19" s="20">
        <v>40</v>
      </c>
      <c r="H19" s="20">
        <v>68</v>
      </c>
      <c r="I19" s="22" t="s">
        <v>292</v>
      </c>
      <c r="J19" s="20">
        <v>2</v>
      </c>
      <c r="K19" s="20" t="s">
        <v>70</v>
      </c>
      <c r="L19" s="20" t="s">
        <v>54</v>
      </c>
      <c r="M19" s="96">
        <v>200</v>
      </c>
      <c r="N19" s="20" t="s">
        <v>24</v>
      </c>
      <c r="O19" s="79" t="s">
        <v>70</v>
      </c>
      <c r="P19" s="48"/>
      <c r="Q19" s="48"/>
      <c r="R19" s="48"/>
      <c r="S19" s="49"/>
    </row>
    <row r="20" spans="1:19" s="47" customFormat="1">
      <c r="A20" s="20" t="s">
        <v>50</v>
      </c>
      <c r="B20" s="20" t="s">
        <v>291</v>
      </c>
      <c r="C20" s="20" t="s">
        <v>19</v>
      </c>
      <c r="D20" s="21" t="s">
        <v>60</v>
      </c>
      <c r="E20" s="30" t="s">
        <v>36</v>
      </c>
      <c r="F20" s="20" t="s">
        <v>53</v>
      </c>
      <c r="G20" s="20">
        <v>40</v>
      </c>
      <c r="H20" s="20">
        <v>68</v>
      </c>
      <c r="I20" s="22" t="s">
        <v>292</v>
      </c>
      <c r="J20" s="20">
        <v>2</v>
      </c>
      <c r="K20" s="20" t="s">
        <v>70</v>
      </c>
      <c r="L20" s="20" t="s">
        <v>54</v>
      </c>
      <c r="M20" s="96">
        <v>200</v>
      </c>
      <c r="N20" s="20" t="s">
        <v>24</v>
      </c>
      <c r="O20" s="79" t="s">
        <v>70</v>
      </c>
      <c r="P20" s="48"/>
      <c r="Q20" s="48"/>
      <c r="R20" s="48"/>
      <c r="S20" s="49"/>
    </row>
    <row r="21" spans="1:19" s="47" customFormat="1">
      <c r="A21" s="20" t="s">
        <v>50</v>
      </c>
      <c r="B21" s="20" t="s">
        <v>303</v>
      </c>
      <c r="C21" s="20" t="s">
        <v>19</v>
      </c>
      <c r="D21" s="21" t="s">
        <v>59</v>
      </c>
      <c r="E21" s="30" t="s">
        <v>36</v>
      </c>
      <c r="F21" s="20" t="s">
        <v>53</v>
      </c>
      <c r="G21" s="20">
        <v>40</v>
      </c>
      <c r="H21" s="20">
        <v>68</v>
      </c>
      <c r="I21" s="22" t="s">
        <v>292</v>
      </c>
      <c r="J21" s="20">
        <v>2</v>
      </c>
      <c r="K21" s="20" t="s">
        <v>70</v>
      </c>
      <c r="L21" s="20" t="s">
        <v>54</v>
      </c>
      <c r="M21" s="96">
        <v>200</v>
      </c>
      <c r="N21" s="20" t="s">
        <v>24</v>
      </c>
      <c r="O21" s="79" t="s">
        <v>70</v>
      </c>
      <c r="P21" s="48"/>
      <c r="Q21" s="48"/>
      <c r="R21" s="48"/>
      <c r="S21" s="49"/>
    </row>
    <row r="22" spans="1:19" s="47" customFormat="1">
      <c r="A22" s="20" t="s">
        <v>50</v>
      </c>
      <c r="B22" s="20" t="s">
        <v>291</v>
      </c>
      <c r="C22" s="20" t="s">
        <v>19</v>
      </c>
      <c r="D22" s="21" t="s">
        <v>60</v>
      </c>
      <c r="E22" s="30" t="s">
        <v>21</v>
      </c>
      <c r="F22" s="20" t="s">
        <v>53</v>
      </c>
      <c r="G22" s="20">
        <v>40</v>
      </c>
      <c r="H22" s="20">
        <v>68</v>
      </c>
      <c r="I22" s="22" t="s">
        <v>292</v>
      </c>
      <c r="J22" s="20">
        <v>2</v>
      </c>
      <c r="K22" s="20" t="s">
        <v>70</v>
      </c>
      <c r="L22" s="20" t="s">
        <v>54</v>
      </c>
      <c r="M22" s="96">
        <v>200</v>
      </c>
      <c r="N22" s="20" t="s">
        <v>24</v>
      </c>
      <c r="O22" s="79" t="s">
        <v>70</v>
      </c>
      <c r="P22" s="48"/>
      <c r="Q22" s="48"/>
      <c r="R22" s="48"/>
      <c r="S22" s="49"/>
    </row>
    <row r="23" spans="1:19" s="47" customFormat="1">
      <c r="A23" s="20" t="s">
        <v>50</v>
      </c>
      <c r="B23" s="20" t="s">
        <v>291</v>
      </c>
      <c r="C23" s="20" t="s">
        <v>19</v>
      </c>
      <c r="D23" s="21" t="s">
        <v>59</v>
      </c>
      <c r="E23" s="30" t="s">
        <v>36</v>
      </c>
      <c r="F23" s="20" t="s">
        <v>53</v>
      </c>
      <c r="G23" s="20">
        <v>40</v>
      </c>
      <c r="H23" s="20">
        <v>68</v>
      </c>
      <c r="I23" s="22" t="s">
        <v>292</v>
      </c>
      <c r="J23" s="20">
        <v>2</v>
      </c>
      <c r="K23" s="20" t="s">
        <v>70</v>
      </c>
      <c r="L23" s="20" t="s">
        <v>54</v>
      </c>
      <c r="M23" s="96">
        <v>200</v>
      </c>
      <c r="N23" s="20" t="s">
        <v>24</v>
      </c>
      <c r="O23" s="79" t="s">
        <v>70</v>
      </c>
      <c r="P23" s="48"/>
      <c r="Q23" s="48"/>
      <c r="R23" s="48"/>
      <c r="S23" s="49"/>
    </row>
    <row r="24" spans="1:19" s="47" customFormat="1">
      <c r="A24" s="20" t="s">
        <v>50</v>
      </c>
      <c r="B24" s="20" t="s">
        <v>303</v>
      </c>
      <c r="C24" s="20" t="s">
        <v>19</v>
      </c>
      <c r="D24" s="21" t="s">
        <v>59</v>
      </c>
      <c r="E24" s="30" t="s">
        <v>36</v>
      </c>
      <c r="F24" s="20" t="s">
        <v>53</v>
      </c>
      <c r="G24" s="20">
        <v>40</v>
      </c>
      <c r="H24" s="20">
        <v>68</v>
      </c>
      <c r="I24" s="22" t="s">
        <v>292</v>
      </c>
      <c r="J24" s="20">
        <v>2</v>
      </c>
      <c r="K24" s="20" t="s">
        <v>70</v>
      </c>
      <c r="L24" s="20" t="s">
        <v>54</v>
      </c>
      <c r="M24" s="96">
        <v>200</v>
      </c>
      <c r="N24" s="20" t="s">
        <v>24</v>
      </c>
      <c r="O24" s="79" t="s">
        <v>70</v>
      </c>
      <c r="P24" s="48"/>
      <c r="Q24" s="48"/>
      <c r="R24" s="48"/>
      <c r="S24" s="49"/>
    </row>
    <row r="25" spans="1:19" s="47" customFormat="1">
      <c r="A25" s="20" t="s">
        <v>50</v>
      </c>
      <c r="B25" s="20" t="s">
        <v>303</v>
      </c>
      <c r="C25" s="20" t="s">
        <v>19</v>
      </c>
      <c r="D25" s="21" t="s">
        <v>60</v>
      </c>
      <c r="E25" s="30" t="s">
        <v>36</v>
      </c>
      <c r="F25" s="20" t="s">
        <v>53</v>
      </c>
      <c r="G25" s="20">
        <v>40</v>
      </c>
      <c r="H25" s="20">
        <v>32</v>
      </c>
      <c r="I25" s="22" t="s">
        <v>304</v>
      </c>
      <c r="J25" s="20">
        <v>1</v>
      </c>
      <c r="K25" s="20" t="s">
        <v>70</v>
      </c>
      <c r="L25" s="20" t="s">
        <v>54</v>
      </c>
      <c r="M25" s="96">
        <v>200</v>
      </c>
      <c r="N25" s="20" t="s">
        <v>24</v>
      </c>
      <c r="O25" s="79" t="s">
        <v>70</v>
      </c>
      <c r="P25" s="48"/>
      <c r="Q25" s="48"/>
      <c r="R25" s="48"/>
      <c r="S25" s="49"/>
    </row>
    <row r="26" spans="1:19" s="47" customFormat="1">
      <c r="A26" s="20" t="s">
        <v>50</v>
      </c>
      <c r="B26" s="20" t="s">
        <v>293</v>
      </c>
      <c r="C26" s="20" t="s">
        <v>19</v>
      </c>
      <c r="D26" s="21" t="s">
        <v>60</v>
      </c>
      <c r="E26" s="30" t="s">
        <v>36</v>
      </c>
      <c r="F26" s="20" t="s">
        <v>53</v>
      </c>
      <c r="G26" s="20">
        <v>40</v>
      </c>
      <c r="H26" s="20">
        <v>51</v>
      </c>
      <c r="I26" s="22" t="s">
        <v>305</v>
      </c>
      <c r="J26" s="20">
        <v>2</v>
      </c>
      <c r="K26" s="20" t="s">
        <v>70</v>
      </c>
      <c r="L26" s="20" t="s">
        <v>54</v>
      </c>
      <c r="M26" s="96">
        <v>200</v>
      </c>
      <c r="N26" s="20" t="s">
        <v>24</v>
      </c>
      <c r="O26" s="79" t="s">
        <v>70</v>
      </c>
      <c r="P26" s="48"/>
      <c r="Q26" s="48"/>
      <c r="R26" s="48"/>
      <c r="S26" s="49"/>
    </row>
    <row r="27" spans="1:19" s="47" customFormat="1">
      <c r="A27" s="20" t="s">
        <v>50</v>
      </c>
      <c r="B27" s="20" t="s">
        <v>291</v>
      </c>
      <c r="C27" s="20" t="s">
        <v>19</v>
      </c>
      <c r="D27" s="21" t="s">
        <v>59</v>
      </c>
      <c r="E27" s="30" t="s">
        <v>36</v>
      </c>
      <c r="F27" s="20" t="s">
        <v>53</v>
      </c>
      <c r="G27" s="20">
        <v>40</v>
      </c>
      <c r="H27" s="20">
        <v>68</v>
      </c>
      <c r="I27" s="22" t="s">
        <v>292</v>
      </c>
      <c r="J27" s="20">
        <v>2</v>
      </c>
      <c r="K27" s="20" t="s">
        <v>70</v>
      </c>
      <c r="L27" s="20" t="s">
        <v>54</v>
      </c>
      <c r="M27" s="96">
        <v>200</v>
      </c>
      <c r="N27" s="20" t="s">
        <v>24</v>
      </c>
      <c r="O27" s="79" t="s">
        <v>70</v>
      </c>
      <c r="P27" s="48"/>
      <c r="Q27" s="48"/>
      <c r="R27" s="48"/>
      <c r="S27" s="49"/>
    </row>
    <row r="28" spans="1:19" s="47" customFormat="1">
      <c r="A28" s="20" t="s">
        <v>50</v>
      </c>
      <c r="B28" s="20" t="s">
        <v>303</v>
      </c>
      <c r="C28" s="20" t="s">
        <v>19</v>
      </c>
      <c r="D28" s="21" t="s">
        <v>60</v>
      </c>
      <c r="E28" s="30" t="s">
        <v>21</v>
      </c>
      <c r="F28" s="20" t="s">
        <v>53</v>
      </c>
      <c r="G28" s="20">
        <v>40</v>
      </c>
      <c r="H28" s="20">
        <v>68</v>
      </c>
      <c r="I28" s="22" t="s">
        <v>292</v>
      </c>
      <c r="J28" s="20">
        <v>2</v>
      </c>
      <c r="K28" s="20" t="s">
        <v>70</v>
      </c>
      <c r="L28" s="20" t="s">
        <v>54</v>
      </c>
      <c r="M28" s="96">
        <v>200</v>
      </c>
      <c r="N28" s="20" t="s">
        <v>24</v>
      </c>
      <c r="O28" s="79" t="s">
        <v>70</v>
      </c>
      <c r="P28" s="48"/>
      <c r="Q28" s="48"/>
      <c r="R28" s="48"/>
      <c r="S28" s="49"/>
    </row>
    <row r="29" spans="1:19" s="47" customFormat="1">
      <c r="A29" s="20" t="s">
        <v>50</v>
      </c>
      <c r="B29" s="20" t="s">
        <v>291</v>
      </c>
      <c r="C29" s="20" t="s">
        <v>19</v>
      </c>
      <c r="D29" s="21" t="s">
        <v>60</v>
      </c>
      <c r="E29" s="30" t="s">
        <v>36</v>
      </c>
      <c r="F29" s="20" t="s">
        <v>53</v>
      </c>
      <c r="G29" s="20">
        <v>40</v>
      </c>
      <c r="H29" s="20">
        <v>68</v>
      </c>
      <c r="I29" s="22" t="s">
        <v>292</v>
      </c>
      <c r="J29" s="20">
        <v>2</v>
      </c>
      <c r="K29" s="20" t="s">
        <v>70</v>
      </c>
      <c r="L29" s="20" t="s">
        <v>54</v>
      </c>
      <c r="M29" s="96">
        <v>200</v>
      </c>
      <c r="N29" s="20" t="s">
        <v>24</v>
      </c>
      <c r="O29" s="79" t="s">
        <v>70</v>
      </c>
      <c r="P29" s="48"/>
      <c r="Q29" s="48"/>
      <c r="R29" s="48"/>
      <c r="S29" s="49"/>
    </row>
    <row r="30" spans="1:19" s="47" customFormat="1">
      <c r="A30" s="20" t="s">
        <v>50</v>
      </c>
      <c r="B30" s="20" t="s">
        <v>291</v>
      </c>
      <c r="C30" s="20" t="s">
        <v>19</v>
      </c>
      <c r="D30" s="21" t="s">
        <v>62</v>
      </c>
      <c r="E30" s="30" t="s">
        <v>28</v>
      </c>
      <c r="F30" s="20" t="s">
        <v>53</v>
      </c>
      <c r="G30" s="20">
        <v>40</v>
      </c>
      <c r="H30" s="20">
        <v>68</v>
      </c>
      <c r="I30" s="22" t="s">
        <v>292</v>
      </c>
      <c r="J30" s="20">
        <v>2</v>
      </c>
      <c r="K30" s="20" t="s">
        <v>70</v>
      </c>
      <c r="L30" s="20" t="s">
        <v>54</v>
      </c>
      <c r="M30" s="96">
        <v>200</v>
      </c>
      <c r="N30" s="20" t="s">
        <v>24</v>
      </c>
      <c r="O30" s="79" t="s">
        <v>70</v>
      </c>
      <c r="P30" s="48"/>
      <c r="Q30" s="48"/>
      <c r="R30" s="48"/>
      <c r="S30" s="49"/>
    </row>
    <row r="31" spans="1:19" s="47" customFormat="1">
      <c r="A31" s="20" t="s">
        <v>50</v>
      </c>
      <c r="B31" s="20" t="s">
        <v>300</v>
      </c>
      <c r="C31" s="20" t="s">
        <v>19</v>
      </c>
      <c r="D31" s="21" t="s">
        <v>55</v>
      </c>
      <c r="E31" s="30" t="s">
        <v>21</v>
      </c>
      <c r="F31" s="20" t="s">
        <v>53</v>
      </c>
      <c r="G31" s="20">
        <v>40</v>
      </c>
      <c r="H31" s="20">
        <v>68</v>
      </c>
      <c r="I31" s="22" t="s">
        <v>292</v>
      </c>
      <c r="J31" s="20">
        <v>2</v>
      </c>
      <c r="K31" s="20" t="s">
        <v>70</v>
      </c>
      <c r="L31" s="20" t="s">
        <v>54</v>
      </c>
      <c r="M31" s="96">
        <v>200</v>
      </c>
      <c r="N31" s="20" t="s">
        <v>24</v>
      </c>
      <c r="O31" s="79" t="s">
        <v>70</v>
      </c>
      <c r="P31" s="48"/>
      <c r="Q31" s="48"/>
      <c r="R31" s="48"/>
      <c r="S31" s="49"/>
    </row>
    <row r="32" spans="1:19" s="47" customFormat="1">
      <c r="A32" s="20" t="s">
        <v>50</v>
      </c>
      <c r="B32" s="20" t="s">
        <v>291</v>
      </c>
      <c r="C32" s="20" t="s">
        <v>19</v>
      </c>
      <c r="D32" s="21" t="s">
        <v>60</v>
      </c>
      <c r="E32" s="30" t="s">
        <v>36</v>
      </c>
      <c r="F32" s="20" t="s">
        <v>53</v>
      </c>
      <c r="G32" s="20">
        <v>40</v>
      </c>
      <c r="H32" s="20">
        <v>68</v>
      </c>
      <c r="I32" s="22" t="s">
        <v>292</v>
      </c>
      <c r="J32" s="20">
        <v>2</v>
      </c>
      <c r="K32" s="20" t="s">
        <v>70</v>
      </c>
      <c r="L32" s="20" t="s">
        <v>54</v>
      </c>
      <c r="M32" s="96">
        <v>200</v>
      </c>
      <c r="N32" s="20" t="s">
        <v>24</v>
      </c>
      <c r="O32" s="79" t="s">
        <v>70</v>
      </c>
      <c r="P32" s="48"/>
      <c r="Q32" s="48"/>
      <c r="R32" s="48"/>
      <c r="S32" s="49"/>
    </row>
    <row r="33" spans="1:18" s="50" customFormat="1">
      <c r="A33" s="20" t="s">
        <v>50</v>
      </c>
      <c r="B33" s="20" t="s">
        <v>300</v>
      </c>
      <c r="C33" s="20" t="s">
        <v>19</v>
      </c>
      <c r="D33" s="21" t="s">
        <v>306</v>
      </c>
      <c r="E33" s="30" t="s">
        <v>36</v>
      </c>
      <c r="F33" s="20" t="s">
        <v>53</v>
      </c>
      <c r="G33" s="20">
        <v>40</v>
      </c>
      <c r="H33" s="20">
        <v>7</v>
      </c>
      <c r="I33" s="22">
        <v>45691</v>
      </c>
      <c r="J33" s="20">
        <v>0</v>
      </c>
      <c r="K33" s="20" t="s">
        <v>70</v>
      </c>
      <c r="L33" s="20" t="s">
        <v>54</v>
      </c>
      <c r="M33" s="96">
        <v>200</v>
      </c>
      <c r="N33" s="20" t="s">
        <v>24</v>
      </c>
      <c r="O33" s="79" t="s">
        <v>70</v>
      </c>
      <c r="P33" s="47"/>
      <c r="Q33" s="47"/>
      <c r="R33" s="47"/>
    </row>
    <row r="34" spans="1:18" s="50" customFormat="1">
      <c r="A34" s="20" t="s">
        <v>50</v>
      </c>
      <c r="B34" s="20" t="s">
        <v>295</v>
      </c>
      <c r="C34" s="20" t="s">
        <v>19</v>
      </c>
      <c r="D34" s="21" t="s">
        <v>52</v>
      </c>
      <c r="E34" s="30" t="s">
        <v>36</v>
      </c>
      <c r="F34" s="20" t="s">
        <v>53</v>
      </c>
      <c r="G34" s="20">
        <v>40</v>
      </c>
      <c r="H34" s="20">
        <v>68</v>
      </c>
      <c r="I34" s="22" t="s">
        <v>292</v>
      </c>
      <c r="J34" s="20">
        <v>2</v>
      </c>
      <c r="K34" s="20" t="s">
        <v>70</v>
      </c>
      <c r="L34" s="20" t="s">
        <v>54</v>
      </c>
      <c r="M34" s="96">
        <v>200</v>
      </c>
      <c r="N34" s="20" t="s">
        <v>24</v>
      </c>
      <c r="O34" s="79" t="s">
        <v>70</v>
      </c>
      <c r="P34" s="47"/>
      <c r="Q34" s="47"/>
      <c r="R34" s="47"/>
    </row>
    <row r="35" spans="1:18" s="50" customFormat="1">
      <c r="A35" s="20" t="s">
        <v>50</v>
      </c>
      <c r="B35" s="20" t="s">
        <v>293</v>
      </c>
      <c r="C35" s="20" t="s">
        <v>19</v>
      </c>
      <c r="D35" s="21" t="s">
        <v>60</v>
      </c>
      <c r="E35" s="30" t="s">
        <v>36</v>
      </c>
      <c r="F35" s="20" t="s">
        <v>53</v>
      </c>
      <c r="G35" s="20">
        <v>40</v>
      </c>
      <c r="H35" s="20">
        <v>68</v>
      </c>
      <c r="I35" s="22" t="s">
        <v>292</v>
      </c>
      <c r="J35" s="20">
        <v>2</v>
      </c>
      <c r="K35" s="20" t="s">
        <v>70</v>
      </c>
      <c r="L35" s="20" t="s">
        <v>54</v>
      </c>
      <c r="M35" s="96">
        <v>200</v>
      </c>
      <c r="N35" s="20" t="s">
        <v>24</v>
      </c>
      <c r="O35" s="79" t="s">
        <v>70</v>
      </c>
      <c r="P35" s="47"/>
      <c r="Q35" s="47"/>
      <c r="R35" s="47"/>
    </row>
    <row r="36" spans="1:18" s="50" customFormat="1">
      <c r="A36" s="20" t="s">
        <v>50</v>
      </c>
      <c r="B36" s="20" t="s">
        <v>303</v>
      </c>
      <c r="C36" s="20" t="s">
        <v>19</v>
      </c>
      <c r="D36" s="21" t="s">
        <v>60</v>
      </c>
      <c r="E36" s="30" t="s">
        <v>36</v>
      </c>
      <c r="F36" s="20" t="s">
        <v>53</v>
      </c>
      <c r="G36" s="20">
        <v>40</v>
      </c>
      <c r="H36" s="20">
        <v>68</v>
      </c>
      <c r="I36" s="22" t="s">
        <v>292</v>
      </c>
      <c r="J36" s="20">
        <v>2</v>
      </c>
      <c r="K36" s="20" t="s">
        <v>70</v>
      </c>
      <c r="L36" s="20" t="s">
        <v>54</v>
      </c>
      <c r="M36" s="96">
        <v>200</v>
      </c>
      <c r="N36" s="20" t="s">
        <v>24</v>
      </c>
      <c r="O36" s="79" t="s">
        <v>70</v>
      </c>
      <c r="P36" s="47"/>
      <c r="Q36" s="47"/>
      <c r="R36" s="47"/>
    </row>
    <row r="37" spans="1:18" s="50" customFormat="1">
      <c r="A37" s="20" t="s">
        <v>50</v>
      </c>
      <c r="B37" s="20" t="s">
        <v>300</v>
      </c>
      <c r="C37" s="20" t="s">
        <v>19</v>
      </c>
      <c r="D37" s="21" t="s">
        <v>52</v>
      </c>
      <c r="E37" s="30" t="s">
        <v>21</v>
      </c>
      <c r="F37" s="20" t="s">
        <v>53</v>
      </c>
      <c r="G37" s="20">
        <v>40</v>
      </c>
      <c r="H37" s="20">
        <v>68</v>
      </c>
      <c r="I37" s="22" t="s">
        <v>292</v>
      </c>
      <c r="J37" s="20">
        <v>2</v>
      </c>
      <c r="K37" s="20" t="s">
        <v>70</v>
      </c>
      <c r="L37" s="20" t="s">
        <v>54</v>
      </c>
      <c r="M37" s="96">
        <v>200</v>
      </c>
      <c r="N37" s="20" t="s">
        <v>24</v>
      </c>
      <c r="O37" s="79" t="s">
        <v>70</v>
      </c>
      <c r="P37" s="47"/>
      <c r="Q37" s="47"/>
      <c r="R37" s="47"/>
    </row>
    <row r="38" spans="1:18" s="50" customFormat="1">
      <c r="A38" s="20" t="s">
        <v>50</v>
      </c>
      <c r="B38" s="20" t="s">
        <v>291</v>
      </c>
      <c r="C38" s="20" t="s">
        <v>19</v>
      </c>
      <c r="D38" s="21" t="s">
        <v>62</v>
      </c>
      <c r="E38" s="30" t="s">
        <v>28</v>
      </c>
      <c r="F38" s="20" t="s">
        <v>53</v>
      </c>
      <c r="G38" s="20">
        <v>40</v>
      </c>
      <c r="H38" s="20">
        <v>68</v>
      </c>
      <c r="I38" s="22" t="s">
        <v>292</v>
      </c>
      <c r="J38" s="20">
        <v>2</v>
      </c>
      <c r="K38" s="20" t="s">
        <v>70</v>
      </c>
      <c r="L38" s="20" t="s">
        <v>54</v>
      </c>
      <c r="M38" s="96">
        <v>200</v>
      </c>
      <c r="N38" s="20" t="s">
        <v>24</v>
      </c>
      <c r="O38" s="79" t="s">
        <v>70</v>
      </c>
      <c r="P38" s="47"/>
      <c r="Q38" s="47"/>
      <c r="R38" s="47"/>
    </row>
    <row r="39" spans="1:18" s="50" customFormat="1">
      <c r="A39" s="20" t="s">
        <v>50</v>
      </c>
      <c r="B39" s="20" t="s">
        <v>291</v>
      </c>
      <c r="C39" s="20" t="s">
        <v>19</v>
      </c>
      <c r="D39" s="21" t="s">
        <v>60</v>
      </c>
      <c r="E39" s="30" t="s">
        <v>36</v>
      </c>
      <c r="F39" s="20" t="s">
        <v>53</v>
      </c>
      <c r="G39" s="20">
        <v>40</v>
      </c>
      <c r="H39" s="20">
        <v>68</v>
      </c>
      <c r="I39" s="22" t="s">
        <v>292</v>
      </c>
      <c r="J39" s="20">
        <v>2</v>
      </c>
      <c r="K39" s="20" t="s">
        <v>70</v>
      </c>
      <c r="L39" s="20" t="s">
        <v>54</v>
      </c>
      <c r="M39" s="96">
        <v>200</v>
      </c>
      <c r="N39" s="20" t="s">
        <v>24</v>
      </c>
      <c r="O39" s="79" t="s">
        <v>70</v>
      </c>
      <c r="P39" s="47"/>
      <c r="Q39" s="47"/>
      <c r="R39" s="47"/>
    </row>
    <row r="40" spans="1:18" s="50" customFormat="1">
      <c r="A40" s="20" t="s">
        <v>50</v>
      </c>
      <c r="B40" s="20" t="s">
        <v>303</v>
      </c>
      <c r="C40" s="20" t="s">
        <v>19</v>
      </c>
      <c r="D40" s="21" t="s">
        <v>64</v>
      </c>
      <c r="E40" s="30" t="s">
        <v>28</v>
      </c>
      <c r="F40" s="20" t="s">
        <v>53</v>
      </c>
      <c r="G40" s="20">
        <v>40</v>
      </c>
      <c r="H40" s="20">
        <v>68</v>
      </c>
      <c r="I40" s="22" t="s">
        <v>292</v>
      </c>
      <c r="J40" s="20">
        <v>2</v>
      </c>
      <c r="K40" s="20" t="s">
        <v>70</v>
      </c>
      <c r="L40" s="20" t="s">
        <v>54</v>
      </c>
      <c r="M40" s="96">
        <v>200</v>
      </c>
      <c r="N40" s="20" t="s">
        <v>24</v>
      </c>
      <c r="O40" s="79" t="s">
        <v>70</v>
      </c>
      <c r="P40" s="47"/>
      <c r="Q40" s="47"/>
      <c r="R40" s="47"/>
    </row>
    <row r="41" spans="1:18" s="50" customFormat="1">
      <c r="A41" s="20" t="s">
        <v>50</v>
      </c>
      <c r="B41" s="20" t="s">
        <v>291</v>
      </c>
      <c r="C41" s="20" t="s">
        <v>19</v>
      </c>
      <c r="D41" s="21" t="s">
        <v>60</v>
      </c>
      <c r="E41" s="30" t="s">
        <v>21</v>
      </c>
      <c r="F41" s="20" t="s">
        <v>53</v>
      </c>
      <c r="G41" s="20">
        <v>40</v>
      </c>
      <c r="H41" s="20">
        <v>68</v>
      </c>
      <c r="I41" s="22" t="s">
        <v>292</v>
      </c>
      <c r="J41" s="20">
        <v>2</v>
      </c>
      <c r="K41" s="20" t="s">
        <v>70</v>
      </c>
      <c r="L41" s="20" t="s">
        <v>54</v>
      </c>
      <c r="M41" s="96">
        <v>200</v>
      </c>
      <c r="N41" s="20" t="s">
        <v>24</v>
      </c>
      <c r="O41" s="79" t="s">
        <v>70</v>
      </c>
      <c r="P41" s="47"/>
      <c r="Q41" s="47"/>
      <c r="R41" s="47"/>
    </row>
    <row r="42" spans="1:18" s="50" customFormat="1">
      <c r="A42" s="20" t="s">
        <v>50</v>
      </c>
      <c r="B42" s="20" t="s">
        <v>303</v>
      </c>
      <c r="C42" s="20" t="s">
        <v>19</v>
      </c>
      <c r="D42" s="21" t="s">
        <v>59</v>
      </c>
      <c r="E42" s="30" t="s">
        <v>36</v>
      </c>
      <c r="F42" s="20" t="s">
        <v>53</v>
      </c>
      <c r="G42" s="20">
        <v>40</v>
      </c>
      <c r="H42" s="20">
        <v>68</v>
      </c>
      <c r="I42" s="22" t="s">
        <v>292</v>
      </c>
      <c r="J42" s="20">
        <v>2</v>
      </c>
      <c r="K42" s="20" t="s">
        <v>70</v>
      </c>
      <c r="L42" s="20" t="s">
        <v>54</v>
      </c>
      <c r="M42" s="96">
        <v>200</v>
      </c>
      <c r="N42" s="20" t="s">
        <v>24</v>
      </c>
      <c r="O42" s="79" t="s">
        <v>70</v>
      </c>
      <c r="P42" s="47"/>
      <c r="Q42" s="47"/>
      <c r="R42" s="47"/>
    </row>
    <row r="43" spans="1:18" s="50" customFormat="1">
      <c r="A43" s="20" t="s">
        <v>50</v>
      </c>
      <c r="B43" s="20" t="s">
        <v>291</v>
      </c>
      <c r="C43" s="20" t="s">
        <v>19</v>
      </c>
      <c r="D43" s="21" t="s">
        <v>60</v>
      </c>
      <c r="E43" s="30" t="s">
        <v>21</v>
      </c>
      <c r="F43" s="20" t="s">
        <v>53</v>
      </c>
      <c r="G43" s="20">
        <v>40</v>
      </c>
      <c r="H43" s="20">
        <v>68</v>
      </c>
      <c r="I43" s="22" t="s">
        <v>292</v>
      </c>
      <c r="J43" s="20">
        <v>2</v>
      </c>
      <c r="K43" s="20" t="s">
        <v>70</v>
      </c>
      <c r="L43" s="20" t="s">
        <v>54</v>
      </c>
      <c r="M43" s="96">
        <v>200</v>
      </c>
      <c r="N43" s="20" t="s">
        <v>24</v>
      </c>
      <c r="O43" s="79" t="s">
        <v>70</v>
      </c>
      <c r="P43" s="47"/>
      <c r="Q43" s="47"/>
      <c r="R43" s="47"/>
    </row>
    <row r="44" spans="1:18" s="50" customFormat="1">
      <c r="A44" s="20" t="s">
        <v>50</v>
      </c>
      <c r="B44" s="20" t="s">
        <v>303</v>
      </c>
      <c r="C44" s="20" t="s">
        <v>19</v>
      </c>
      <c r="D44" s="21" t="s">
        <v>60</v>
      </c>
      <c r="E44" s="30" t="s">
        <v>36</v>
      </c>
      <c r="F44" s="20" t="s">
        <v>53</v>
      </c>
      <c r="G44" s="20">
        <v>40</v>
      </c>
      <c r="H44" s="20">
        <v>68</v>
      </c>
      <c r="I44" s="22" t="s">
        <v>292</v>
      </c>
      <c r="J44" s="20">
        <v>2</v>
      </c>
      <c r="K44" s="20" t="s">
        <v>70</v>
      </c>
      <c r="L44" s="20" t="s">
        <v>54</v>
      </c>
      <c r="M44" s="96">
        <v>200</v>
      </c>
      <c r="N44" s="20" t="s">
        <v>24</v>
      </c>
      <c r="O44" s="79" t="s">
        <v>70</v>
      </c>
      <c r="P44" s="47"/>
      <c r="Q44" s="47"/>
      <c r="R44" s="47"/>
    </row>
    <row r="45" spans="1:18" s="50" customFormat="1">
      <c r="A45" s="46" t="s">
        <v>307</v>
      </c>
      <c r="B45" s="20" t="s">
        <v>308</v>
      </c>
      <c r="C45" s="46" t="s">
        <v>309</v>
      </c>
      <c r="D45" s="78" t="s">
        <v>310</v>
      </c>
      <c r="E45" s="30">
        <v>3</v>
      </c>
      <c r="F45" s="20" t="s">
        <v>53</v>
      </c>
      <c r="G45" s="46">
        <v>36</v>
      </c>
      <c r="H45" s="46">
        <v>171</v>
      </c>
      <c r="I45" s="22">
        <v>40665</v>
      </c>
      <c r="J45" s="46">
        <v>4</v>
      </c>
      <c r="K45" s="20" t="s">
        <v>70</v>
      </c>
      <c r="L45" s="20" t="s">
        <v>299</v>
      </c>
      <c r="M45" s="112" t="s">
        <v>24</v>
      </c>
      <c r="N45" s="20" t="s">
        <v>24</v>
      </c>
      <c r="O45" s="46" t="s">
        <v>311</v>
      </c>
      <c r="P45" s="47"/>
      <c r="Q45" s="47"/>
      <c r="R45" s="47"/>
    </row>
    <row r="46" spans="1:18" s="50" customFormat="1">
      <c r="A46" s="46" t="s">
        <v>307</v>
      </c>
      <c r="B46" s="20" t="s">
        <v>308</v>
      </c>
      <c r="C46" s="46" t="s">
        <v>309</v>
      </c>
      <c r="D46" s="78" t="s">
        <v>312</v>
      </c>
      <c r="E46" s="30">
        <v>4</v>
      </c>
      <c r="F46" s="20" t="s">
        <v>53</v>
      </c>
      <c r="G46" s="46">
        <v>40</v>
      </c>
      <c r="H46" s="46">
        <v>62</v>
      </c>
      <c r="I46" s="22">
        <v>43969</v>
      </c>
      <c r="J46" s="46">
        <v>1</v>
      </c>
      <c r="K46" s="20" t="s">
        <v>70</v>
      </c>
      <c r="L46" s="20" t="s">
        <v>299</v>
      </c>
      <c r="M46" s="112" t="s">
        <v>24</v>
      </c>
      <c r="N46" s="20" t="s">
        <v>24</v>
      </c>
      <c r="O46" s="46" t="s">
        <v>313</v>
      </c>
      <c r="P46" s="47"/>
      <c r="Q46" s="47"/>
      <c r="R46" s="47"/>
    </row>
    <row r="47" spans="1:18" s="50" customFormat="1">
      <c r="A47" s="46" t="s">
        <v>307</v>
      </c>
      <c r="B47" s="20" t="s">
        <v>308</v>
      </c>
      <c r="C47" s="46" t="s">
        <v>309</v>
      </c>
      <c r="D47" s="78" t="s">
        <v>314</v>
      </c>
      <c r="E47" s="30">
        <v>3</v>
      </c>
      <c r="F47" s="20" t="s">
        <v>53</v>
      </c>
      <c r="G47" s="46">
        <v>40</v>
      </c>
      <c r="H47" s="46">
        <v>112</v>
      </c>
      <c r="I47" s="22">
        <v>42463</v>
      </c>
      <c r="J47" s="46">
        <v>3</v>
      </c>
      <c r="K47" s="20" t="s">
        <v>70</v>
      </c>
      <c r="L47" s="20" t="s">
        <v>299</v>
      </c>
      <c r="M47" s="112" t="s">
        <v>24</v>
      </c>
      <c r="N47" s="20" t="s">
        <v>24</v>
      </c>
      <c r="O47" s="46" t="s">
        <v>315</v>
      </c>
      <c r="P47" s="47"/>
      <c r="Q47" s="47"/>
      <c r="R47" s="47"/>
    </row>
    <row r="48" spans="1:18" s="50" customFormat="1">
      <c r="A48" s="46" t="s">
        <v>307</v>
      </c>
      <c r="B48" s="20" t="s">
        <v>308</v>
      </c>
      <c r="C48" s="46" t="s">
        <v>68</v>
      </c>
      <c r="D48" s="78" t="s">
        <v>316</v>
      </c>
      <c r="E48" s="30" t="s">
        <v>31</v>
      </c>
      <c r="F48" s="20" t="s">
        <v>53</v>
      </c>
      <c r="G48" s="46">
        <v>40</v>
      </c>
      <c r="H48" s="46">
        <v>52</v>
      </c>
      <c r="I48" s="22">
        <v>44287</v>
      </c>
      <c r="J48" s="46">
        <v>1</v>
      </c>
      <c r="K48" s="20" t="s">
        <v>70</v>
      </c>
      <c r="L48" s="20" t="s">
        <v>299</v>
      </c>
      <c r="M48" s="112" t="s">
        <v>24</v>
      </c>
      <c r="N48" s="20" t="s">
        <v>24</v>
      </c>
      <c r="O48" s="46" t="s">
        <v>315</v>
      </c>
      <c r="P48" s="47"/>
      <c r="Q48" s="47"/>
      <c r="R48" s="47"/>
    </row>
    <row r="49" spans="4:18" s="50" customFormat="1">
      <c r="D49" s="51"/>
      <c r="M49" s="97"/>
      <c r="P49" s="47"/>
      <c r="Q49" s="47"/>
      <c r="R49" s="47"/>
    </row>
    <row r="50" spans="4:18" s="50" customFormat="1">
      <c r="D50" s="51"/>
      <c r="M50" s="97"/>
      <c r="P50" s="47"/>
      <c r="Q50" s="47"/>
      <c r="R50" s="47"/>
    </row>
    <row r="51" spans="4:18" s="50" customFormat="1">
      <c r="D51" s="51"/>
      <c r="F51" s="32"/>
      <c r="G51" s="51"/>
      <c r="I51" s="32"/>
      <c r="M51" s="97"/>
      <c r="P51" s="47"/>
      <c r="Q51" s="47"/>
      <c r="R51" s="47"/>
    </row>
    <row r="52" spans="4:18" s="50" customFormat="1">
      <c r="D52" s="51"/>
      <c r="F52" s="32"/>
      <c r="G52" s="51"/>
      <c r="I52" s="32"/>
      <c r="M52" s="97"/>
      <c r="P52" s="47"/>
      <c r="Q52" s="47"/>
      <c r="R52" s="47"/>
    </row>
    <row r="53" spans="4:18" s="50" customFormat="1">
      <c r="D53" s="51"/>
      <c r="F53" s="32"/>
      <c r="G53" s="51"/>
      <c r="I53" s="32"/>
      <c r="M53" s="97"/>
      <c r="P53" s="47"/>
      <c r="Q53" s="47"/>
      <c r="R53" s="47"/>
    </row>
    <row r="54" spans="4:18" s="50" customFormat="1">
      <c r="D54" s="51"/>
      <c r="F54" s="32"/>
      <c r="G54" s="51"/>
      <c r="I54" s="32"/>
      <c r="M54" s="97"/>
      <c r="P54" s="47"/>
      <c r="Q54" s="47"/>
      <c r="R54" s="47"/>
    </row>
    <row r="55" spans="4:18" s="50" customFormat="1">
      <c r="D55" s="51"/>
      <c r="F55" s="32"/>
      <c r="G55" s="51"/>
      <c r="I55" s="32"/>
      <c r="M55" s="97"/>
      <c r="P55" s="47"/>
      <c r="Q55" s="47"/>
      <c r="R55" s="47"/>
    </row>
    <row r="56" spans="4:18" s="50" customFormat="1">
      <c r="D56" s="51"/>
      <c r="F56" s="32"/>
      <c r="G56" s="51"/>
      <c r="I56" s="32"/>
      <c r="M56" s="97"/>
      <c r="P56" s="47"/>
      <c r="Q56" s="47"/>
      <c r="R56" s="47"/>
    </row>
    <row r="57" spans="4:18" s="50" customFormat="1">
      <c r="D57" s="51"/>
      <c r="F57" s="32"/>
      <c r="G57" s="51"/>
      <c r="I57" s="32"/>
      <c r="M57" s="97"/>
      <c r="P57" s="47"/>
      <c r="Q57" s="47"/>
      <c r="R57" s="47"/>
    </row>
    <row r="58" spans="4:18" s="50" customFormat="1">
      <c r="D58" s="51"/>
      <c r="F58" s="32"/>
      <c r="G58" s="51"/>
      <c r="I58" s="32"/>
      <c r="M58" s="97"/>
      <c r="P58" s="47"/>
      <c r="Q58" s="47"/>
      <c r="R58" s="47"/>
    </row>
    <row r="59" spans="4:18" s="50" customFormat="1">
      <c r="D59" s="51"/>
      <c r="F59" s="32"/>
      <c r="G59" s="51"/>
      <c r="I59" s="32"/>
      <c r="M59" s="97"/>
      <c r="P59" s="47"/>
      <c r="Q59" s="47"/>
      <c r="R59" s="47"/>
    </row>
    <row r="60" spans="4:18" s="50" customFormat="1">
      <c r="D60" s="51"/>
      <c r="F60" s="32"/>
      <c r="G60" s="51"/>
      <c r="I60" s="32"/>
      <c r="M60" s="97"/>
      <c r="P60" s="47"/>
      <c r="Q60" s="47"/>
      <c r="R60" s="47"/>
    </row>
    <row r="61" spans="4:18" s="50" customFormat="1">
      <c r="D61" s="51"/>
      <c r="F61" s="32"/>
      <c r="G61" s="51"/>
      <c r="I61" s="32"/>
      <c r="M61" s="97"/>
      <c r="P61" s="47"/>
      <c r="Q61" s="47"/>
      <c r="R61" s="47"/>
    </row>
    <row r="62" spans="4:18" s="50" customFormat="1">
      <c r="D62" s="51"/>
      <c r="F62" s="32"/>
      <c r="G62" s="51"/>
      <c r="I62" s="32"/>
      <c r="M62" s="97"/>
      <c r="P62" s="47"/>
      <c r="Q62" s="47"/>
      <c r="R62" s="47"/>
    </row>
    <row r="63" spans="4:18" s="50" customFormat="1">
      <c r="D63" s="51"/>
      <c r="F63" s="32"/>
      <c r="G63" s="51"/>
      <c r="I63" s="32"/>
      <c r="M63" s="97"/>
      <c r="P63" s="47"/>
      <c r="Q63" s="47"/>
      <c r="R63" s="47"/>
    </row>
    <row r="64" spans="4:18" s="50" customFormat="1">
      <c r="D64" s="51"/>
      <c r="F64" s="32"/>
      <c r="G64" s="51"/>
      <c r="I64" s="32"/>
      <c r="M64" s="97"/>
      <c r="P64" s="47"/>
      <c r="Q64" s="47"/>
      <c r="R64" s="47"/>
    </row>
    <row r="65" spans="4:18" s="50" customFormat="1">
      <c r="D65" s="51"/>
      <c r="F65" s="32"/>
      <c r="G65" s="51"/>
      <c r="I65" s="32"/>
      <c r="M65" s="97"/>
      <c r="P65" s="47"/>
      <c r="Q65" s="47"/>
      <c r="R65" s="47"/>
    </row>
    <row r="66" spans="4:18" s="50" customFormat="1">
      <c r="D66" s="51"/>
      <c r="F66" s="32"/>
      <c r="G66" s="51"/>
      <c r="I66" s="32"/>
      <c r="M66" s="97"/>
      <c r="P66" s="47"/>
      <c r="Q66" s="47"/>
      <c r="R66" s="47"/>
    </row>
    <row r="67" spans="4:18" s="50" customFormat="1">
      <c r="D67" s="51"/>
      <c r="F67" s="32"/>
      <c r="G67" s="51"/>
      <c r="I67" s="32"/>
      <c r="M67" s="97"/>
      <c r="P67" s="47"/>
      <c r="Q67" s="47"/>
      <c r="R67" s="47"/>
    </row>
    <row r="68" spans="4:18" s="50" customFormat="1">
      <c r="D68" s="51"/>
      <c r="F68" s="32"/>
      <c r="G68" s="51"/>
      <c r="I68" s="32"/>
      <c r="M68" s="97"/>
      <c r="P68" s="47"/>
      <c r="Q68" s="47"/>
      <c r="R68" s="47"/>
    </row>
    <row r="69" spans="4:18" s="50" customFormat="1">
      <c r="D69" s="51"/>
      <c r="F69" s="32"/>
      <c r="G69" s="51"/>
      <c r="I69" s="32"/>
      <c r="M69" s="97"/>
      <c r="P69" s="47"/>
      <c r="Q69" s="47"/>
      <c r="R69" s="47"/>
    </row>
    <row r="70" spans="4:18" s="50" customFormat="1">
      <c r="D70" s="51"/>
      <c r="F70" s="32"/>
      <c r="G70" s="51"/>
      <c r="I70" s="32"/>
      <c r="M70" s="97"/>
      <c r="P70" s="47"/>
      <c r="Q70" s="47"/>
      <c r="R70" s="47"/>
    </row>
    <row r="71" spans="4:18" s="50" customFormat="1">
      <c r="D71" s="51"/>
      <c r="F71" s="32"/>
      <c r="G71" s="51"/>
      <c r="I71" s="32"/>
      <c r="M71" s="97"/>
      <c r="P71" s="47"/>
      <c r="Q71" s="47"/>
      <c r="R71" s="47"/>
    </row>
    <row r="72" spans="4:18" s="50" customFormat="1">
      <c r="D72" s="51"/>
      <c r="F72" s="32"/>
      <c r="G72" s="51"/>
      <c r="I72" s="32"/>
      <c r="M72" s="97"/>
      <c r="P72" s="47"/>
      <c r="Q72" s="47"/>
      <c r="R72" s="47"/>
    </row>
    <row r="73" spans="4:18" s="50" customFormat="1">
      <c r="D73" s="51"/>
      <c r="F73" s="32"/>
      <c r="G73" s="51"/>
      <c r="I73" s="32"/>
      <c r="M73" s="97"/>
      <c r="P73" s="47"/>
      <c r="Q73" s="47"/>
      <c r="R73" s="47"/>
    </row>
    <row r="74" spans="4:18" s="50" customFormat="1">
      <c r="D74" s="51"/>
      <c r="F74" s="32"/>
      <c r="G74" s="51"/>
      <c r="I74" s="32"/>
      <c r="M74" s="97"/>
      <c r="P74" s="47"/>
      <c r="Q74" s="47"/>
      <c r="R74" s="47"/>
    </row>
    <row r="75" spans="4:18" s="50" customFormat="1">
      <c r="D75" s="51"/>
      <c r="F75" s="32"/>
      <c r="G75" s="51"/>
      <c r="I75" s="32"/>
      <c r="M75" s="97"/>
      <c r="P75" s="47"/>
      <c r="Q75" s="47"/>
      <c r="R75" s="47"/>
    </row>
    <row r="76" spans="4:18" s="50" customFormat="1">
      <c r="D76" s="51"/>
      <c r="F76" s="32"/>
      <c r="G76" s="51"/>
      <c r="I76" s="32"/>
      <c r="M76" s="97"/>
      <c r="P76" s="47"/>
      <c r="Q76" s="47"/>
      <c r="R76" s="47"/>
    </row>
    <row r="77" spans="4:18" s="50" customFormat="1">
      <c r="D77" s="51"/>
      <c r="F77" s="32"/>
      <c r="G77" s="51"/>
      <c r="I77" s="32"/>
      <c r="M77" s="97"/>
      <c r="P77" s="47"/>
      <c r="Q77" s="47"/>
      <c r="R77" s="47"/>
    </row>
    <row r="78" spans="4:18" s="50" customFormat="1">
      <c r="D78" s="51"/>
      <c r="F78" s="32"/>
      <c r="G78" s="51"/>
      <c r="I78" s="32"/>
      <c r="M78" s="97"/>
      <c r="P78" s="47"/>
      <c r="Q78" s="47"/>
      <c r="R78" s="47"/>
    </row>
    <row r="79" spans="4:18" s="50" customFormat="1">
      <c r="D79" s="51"/>
      <c r="F79" s="32"/>
      <c r="G79" s="51"/>
      <c r="I79" s="32"/>
      <c r="M79" s="97"/>
      <c r="P79" s="47"/>
      <c r="Q79" s="47"/>
      <c r="R79" s="47"/>
    </row>
    <row r="80" spans="4:18" s="50" customFormat="1">
      <c r="D80" s="51"/>
      <c r="F80" s="32"/>
      <c r="G80" s="51"/>
      <c r="I80" s="32"/>
      <c r="M80" s="97"/>
      <c r="P80" s="47"/>
      <c r="Q80" s="47"/>
      <c r="R80" s="47"/>
    </row>
    <row r="81" spans="4:18" s="50" customFormat="1">
      <c r="D81" s="51"/>
      <c r="F81" s="32"/>
      <c r="G81" s="51"/>
      <c r="I81" s="32"/>
      <c r="M81" s="97"/>
      <c r="P81" s="47"/>
      <c r="Q81" s="47"/>
      <c r="R81" s="47"/>
    </row>
    <row r="82" spans="4:18" s="50" customFormat="1">
      <c r="D82" s="51"/>
      <c r="F82" s="32"/>
      <c r="G82" s="51"/>
      <c r="I82" s="32"/>
      <c r="M82" s="97"/>
      <c r="P82" s="47"/>
      <c r="Q82" s="47"/>
      <c r="R82" s="47"/>
    </row>
    <row r="83" spans="4:18" s="50" customFormat="1">
      <c r="D83" s="51"/>
      <c r="F83" s="32"/>
      <c r="G83" s="51"/>
      <c r="I83" s="32"/>
      <c r="M83" s="97"/>
      <c r="P83" s="47"/>
      <c r="Q83" s="47"/>
      <c r="R83" s="47"/>
    </row>
    <row r="84" spans="4:18" s="50" customFormat="1">
      <c r="D84" s="51"/>
      <c r="F84" s="32"/>
      <c r="G84" s="51"/>
      <c r="I84" s="32"/>
      <c r="M84" s="97"/>
      <c r="P84" s="47"/>
      <c r="Q84" s="47"/>
      <c r="R84" s="47"/>
    </row>
    <row r="85" spans="4:18" s="50" customFormat="1">
      <c r="D85" s="51"/>
      <c r="F85" s="32"/>
      <c r="G85" s="51"/>
      <c r="I85" s="32"/>
      <c r="M85" s="97"/>
      <c r="P85" s="47"/>
      <c r="Q85" s="47"/>
      <c r="R85" s="47"/>
    </row>
    <row r="86" spans="4:18" s="50" customFormat="1">
      <c r="D86" s="51"/>
      <c r="F86" s="32"/>
      <c r="G86" s="51"/>
      <c r="I86" s="32"/>
      <c r="M86" s="97"/>
      <c r="P86" s="47"/>
      <c r="Q86" s="47"/>
      <c r="R86" s="47"/>
    </row>
    <row r="87" spans="4:18" s="50" customFormat="1">
      <c r="D87" s="51"/>
      <c r="F87" s="32"/>
      <c r="G87" s="51"/>
      <c r="I87" s="32"/>
      <c r="M87" s="97"/>
      <c r="P87" s="47"/>
      <c r="Q87" s="47"/>
      <c r="R87" s="47"/>
    </row>
    <row r="88" spans="4:18" s="50" customFormat="1">
      <c r="D88" s="51"/>
      <c r="F88" s="32"/>
      <c r="G88" s="51"/>
      <c r="I88" s="32"/>
      <c r="M88" s="97"/>
      <c r="P88" s="47"/>
      <c r="Q88" s="47"/>
      <c r="R88" s="47"/>
    </row>
    <row r="89" spans="4:18" s="50" customFormat="1">
      <c r="D89" s="51"/>
      <c r="F89" s="32"/>
      <c r="G89" s="51"/>
      <c r="I89" s="32"/>
      <c r="M89" s="97"/>
      <c r="P89" s="47"/>
      <c r="Q89" s="47"/>
      <c r="R89" s="47"/>
    </row>
    <row r="90" spans="4:18" s="50" customFormat="1">
      <c r="D90" s="51"/>
      <c r="F90" s="32"/>
      <c r="G90" s="51"/>
      <c r="I90" s="32"/>
      <c r="M90" s="97"/>
      <c r="P90" s="47"/>
      <c r="Q90" s="47"/>
      <c r="R90" s="47"/>
    </row>
    <row r="91" spans="4:18" s="50" customFormat="1">
      <c r="D91" s="51"/>
      <c r="F91" s="32"/>
      <c r="G91" s="51"/>
      <c r="I91" s="32"/>
      <c r="M91" s="97"/>
      <c r="P91" s="47"/>
      <c r="Q91" s="47"/>
      <c r="R91" s="47"/>
    </row>
    <row r="92" spans="4:18" s="50" customFormat="1">
      <c r="D92" s="51"/>
      <c r="F92" s="32"/>
      <c r="G92" s="51"/>
      <c r="I92" s="32"/>
      <c r="M92" s="97"/>
      <c r="P92" s="47"/>
      <c r="Q92" s="47"/>
      <c r="R92" s="47"/>
    </row>
    <row r="93" spans="4:18" s="50" customFormat="1">
      <c r="D93" s="51"/>
      <c r="F93" s="32"/>
      <c r="G93" s="51"/>
      <c r="I93" s="32"/>
      <c r="M93" s="97"/>
      <c r="P93" s="47"/>
      <c r="Q93" s="47"/>
      <c r="R93" s="47"/>
    </row>
    <row r="94" spans="4:18" s="50" customFormat="1">
      <c r="D94" s="51"/>
      <c r="F94" s="32"/>
      <c r="G94" s="51"/>
      <c r="I94" s="32"/>
      <c r="M94" s="97"/>
      <c r="P94" s="47"/>
      <c r="Q94" s="47"/>
      <c r="R94" s="47"/>
    </row>
    <row r="95" spans="4:18" s="50" customFormat="1">
      <c r="D95" s="51"/>
      <c r="F95" s="32"/>
      <c r="G95" s="51"/>
      <c r="I95" s="32"/>
      <c r="M95" s="97"/>
      <c r="P95" s="47"/>
      <c r="Q95" s="47"/>
      <c r="R95" s="47"/>
    </row>
    <row r="96" spans="4:18" s="50" customFormat="1">
      <c r="D96" s="51"/>
      <c r="F96" s="32"/>
      <c r="G96" s="51"/>
      <c r="I96" s="32"/>
      <c r="M96" s="97"/>
      <c r="P96" s="47"/>
      <c r="Q96" s="47"/>
      <c r="R96" s="47"/>
    </row>
    <row r="97" spans="4:18" s="50" customFormat="1">
      <c r="D97" s="51"/>
      <c r="F97" s="32"/>
      <c r="G97" s="51"/>
      <c r="I97" s="32"/>
      <c r="M97" s="97"/>
      <c r="P97" s="47"/>
      <c r="Q97" s="47"/>
      <c r="R97" s="47"/>
    </row>
    <row r="98" spans="4:18" s="50" customFormat="1">
      <c r="D98" s="51"/>
      <c r="F98" s="32"/>
      <c r="G98" s="51"/>
      <c r="I98" s="32"/>
      <c r="M98" s="97"/>
      <c r="P98" s="47"/>
      <c r="Q98" s="47"/>
      <c r="R98" s="47"/>
    </row>
    <row r="99" spans="4:18" s="50" customFormat="1">
      <c r="D99" s="51"/>
      <c r="F99" s="32"/>
      <c r="G99" s="51"/>
      <c r="I99" s="32"/>
      <c r="M99" s="97"/>
      <c r="P99" s="47"/>
      <c r="Q99" s="47"/>
      <c r="R99" s="47"/>
    </row>
    <row r="100" spans="4:18" s="50" customFormat="1">
      <c r="D100" s="51"/>
      <c r="F100" s="32"/>
      <c r="G100" s="51"/>
      <c r="I100" s="32"/>
      <c r="M100" s="97"/>
      <c r="P100" s="47"/>
      <c r="Q100" s="47"/>
      <c r="R100" s="47"/>
    </row>
    <row r="101" spans="4:18" s="50" customFormat="1">
      <c r="D101" s="51"/>
      <c r="F101" s="32"/>
      <c r="G101" s="51"/>
      <c r="I101" s="32"/>
      <c r="M101" s="97"/>
      <c r="P101" s="47"/>
      <c r="Q101" s="47"/>
      <c r="R101" s="47"/>
    </row>
    <row r="102" spans="4:18" s="50" customFormat="1">
      <c r="D102" s="51"/>
      <c r="F102" s="32"/>
      <c r="G102" s="51"/>
      <c r="I102" s="32"/>
      <c r="M102" s="97"/>
      <c r="P102" s="47"/>
      <c r="Q102" s="47"/>
      <c r="R102" s="47"/>
    </row>
    <row r="103" spans="4:18" s="50" customFormat="1">
      <c r="D103" s="51"/>
      <c r="F103" s="32"/>
      <c r="G103" s="51"/>
      <c r="I103" s="32"/>
      <c r="M103" s="97"/>
      <c r="P103" s="47"/>
      <c r="Q103" s="47"/>
      <c r="R103" s="47"/>
    </row>
    <row r="104" spans="4:18" s="50" customFormat="1">
      <c r="D104" s="51"/>
      <c r="F104" s="32"/>
      <c r="G104" s="51"/>
      <c r="I104" s="32"/>
      <c r="M104" s="97"/>
      <c r="P104" s="47"/>
      <c r="Q104" s="47"/>
      <c r="R104" s="47"/>
    </row>
    <row r="105" spans="4:18" s="50" customFormat="1">
      <c r="D105" s="51"/>
      <c r="F105" s="32"/>
      <c r="G105" s="51"/>
      <c r="I105" s="32"/>
      <c r="M105" s="97"/>
      <c r="P105" s="47"/>
      <c r="Q105" s="47"/>
      <c r="R105" s="47"/>
    </row>
    <row r="106" spans="4:18" s="50" customFormat="1">
      <c r="D106" s="51"/>
      <c r="F106" s="32"/>
      <c r="G106" s="51"/>
      <c r="I106" s="32"/>
      <c r="M106" s="97"/>
      <c r="P106" s="47"/>
      <c r="Q106" s="47"/>
      <c r="R106" s="47"/>
    </row>
    <row r="107" spans="4:18" s="50" customFormat="1">
      <c r="D107" s="51"/>
      <c r="F107" s="32"/>
      <c r="G107" s="51"/>
      <c r="I107" s="32"/>
      <c r="M107" s="97"/>
      <c r="P107" s="47"/>
      <c r="Q107" s="47"/>
      <c r="R107" s="47"/>
    </row>
    <row r="108" spans="4:18" s="50" customFormat="1">
      <c r="D108" s="51"/>
      <c r="F108" s="32"/>
      <c r="G108" s="51"/>
      <c r="I108" s="32"/>
      <c r="M108" s="97"/>
      <c r="P108" s="47"/>
      <c r="Q108" s="47"/>
      <c r="R108" s="47"/>
    </row>
    <row r="109" spans="4:18" s="50" customFormat="1">
      <c r="D109" s="51"/>
      <c r="F109" s="32"/>
      <c r="G109" s="51"/>
      <c r="I109" s="32"/>
      <c r="M109" s="97"/>
      <c r="P109" s="47"/>
      <c r="Q109" s="47"/>
      <c r="R109" s="47"/>
    </row>
    <row r="110" spans="4:18" s="50" customFormat="1">
      <c r="D110" s="51"/>
      <c r="F110" s="32"/>
      <c r="G110" s="51"/>
      <c r="I110" s="32"/>
      <c r="M110" s="97"/>
      <c r="P110" s="47"/>
      <c r="Q110" s="47"/>
      <c r="R110" s="47"/>
    </row>
    <row r="111" spans="4:18" s="50" customFormat="1">
      <c r="D111" s="51"/>
      <c r="F111" s="32"/>
      <c r="G111" s="51"/>
      <c r="I111" s="32"/>
      <c r="M111" s="97"/>
      <c r="P111" s="47"/>
      <c r="Q111" s="47"/>
      <c r="R111" s="47"/>
    </row>
    <row r="112" spans="4:18" s="50" customFormat="1">
      <c r="D112" s="51"/>
      <c r="F112" s="32"/>
      <c r="G112" s="51"/>
      <c r="I112" s="32"/>
      <c r="M112" s="97"/>
      <c r="P112" s="47"/>
      <c r="Q112" s="47"/>
      <c r="R112" s="47"/>
    </row>
    <row r="113" spans="4:18" s="50" customFormat="1">
      <c r="D113" s="51"/>
      <c r="F113" s="32"/>
      <c r="G113" s="51"/>
      <c r="I113" s="32"/>
      <c r="M113" s="97"/>
      <c r="P113" s="47"/>
      <c r="Q113" s="47"/>
      <c r="R113" s="47"/>
    </row>
    <row r="114" spans="4:18" s="50" customFormat="1">
      <c r="D114" s="51"/>
      <c r="F114" s="32"/>
      <c r="G114" s="51"/>
      <c r="I114" s="32"/>
      <c r="M114" s="97"/>
      <c r="P114" s="47"/>
      <c r="Q114" s="47"/>
      <c r="R114" s="47"/>
    </row>
    <row r="115" spans="4:18" s="50" customFormat="1">
      <c r="D115" s="51"/>
      <c r="F115" s="32"/>
      <c r="G115" s="51"/>
      <c r="I115" s="32"/>
      <c r="M115" s="97"/>
      <c r="P115" s="47"/>
      <c r="Q115" s="47"/>
      <c r="R115" s="47"/>
    </row>
    <row r="116" spans="4:18" s="50" customFormat="1">
      <c r="D116" s="51"/>
      <c r="F116" s="32"/>
      <c r="G116" s="51"/>
      <c r="I116" s="32"/>
      <c r="M116" s="97"/>
      <c r="P116" s="47"/>
      <c r="Q116" s="47"/>
      <c r="R116" s="47"/>
    </row>
    <row r="117" spans="4:18" s="50" customFormat="1">
      <c r="D117" s="51"/>
      <c r="F117" s="32"/>
      <c r="G117" s="51"/>
      <c r="I117" s="32"/>
      <c r="M117" s="97"/>
      <c r="P117" s="47"/>
      <c r="Q117" s="47"/>
      <c r="R117" s="47"/>
    </row>
    <row r="118" spans="4:18" s="50" customFormat="1">
      <c r="D118" s="51"/>
      <c r="F118" s="32"/>
      <c r="G118" s="51"/>
      <c r="I118" s="32"/>
      <c r="M118" s="97"/>
      <c r="P118" s="47"/>
      <c r="Q118" s="47"/>
      <c r="R118" s="47"/>
    </row>
    <row r="119" spans="4:18" s="50" customFormat="1">
      <c r="D119" s="51"/>
      <c r="F119" s="32"/>
      <c r="G119" s="51"/>
      <c r="I119" s="32"/>
      <c r="M119" s="97"/>
      <c r="P119" s="47"/>
      <c r="Q119" s="47"/>
      <c r="R119" s="47"/>
    </row>
    <row r="120" spans="4:18" s="50" customFormat="1">
      <c r="D120" s="51"/>
      <c r="F120" s="32"/>
      <c r="G120" s="51"/>
      <c r="I120" s="32"/>
      <c r="M120" s="97"/>
      <c r="P120" s="47"/>
      <c r="Q120" s="47"/>
      <c r="R120" s="47"/>
    </row>
    <row r="121" spans="4:18" s="50" customFormat="1">
      <c r="D121" s="51"/>
      <c r="F121" s="32"/>
      <c r="G121" s="51"/>
      <c r="I121" s="32"/>
      <c r="M121" s="97"/>
      <c r="P121" s="47"/>
      <c r="Q121" s="47"/>
      <c r="R121" s="47"/>
    </row>
    <row r="122" spans="4:18" s="50" customFormat="1">
      <c r="D122" s="51"/>
      <c r="F122" s="32"/>
      <c r="G122" s="51"/>
      <c r="I122" s="32"/>
      <c r="M122" s="97"/>
      <c r="P122" s="47"/>
      <c r="Q122" s="47"/>
      <c r="R122" s="47"/>
    </row>
    <row r="123" spans="4:18" s="50" customFormat="1">
      <c r="D123" s="51"/>
      <c r="F123" s="32"/>
      <c r="G123" s="51"/>
      <c r="I123" s="32"/>
      <c r="M123" s="97"/>
      <c r="P123" s="47"/>
      <c r="Q123" s="47"/>
      <c r="R123" s="47"/>
    </row>
    <row r="124" spans="4:18" s="50" customFormat="1">
      <c r="D124" s="51"/>
      <c r="F124" s="32"/>
      <c r="G124" s="51"/>
      <c r="I124" s="32"/>
      <c r="M124" s="97"/>
      <c r="P124" s="47"/>
      <c r="Q124" s="47"/>
      <c r="R124" s="47"/>
    </row>
    <row r="125" spans="4:18" s="50" customFormat="1">
      <c r="D125" s="51"/>
      <c r="F125" s="32"/>
      <c r="G125" s="51"/>
      <c r="I125" s="32"/>
      <c r="M125" s="97"/>
      <c r="P125" s="47"/>
      <c r="Q125" s="47"/>
      <c r="R125" s="47"/>
    </row>
    <row r="126" spans="4:18" s="50" customFormat="1">
      <c r="D126" s="51"/>
      <c r="F126" s="32"/>
      <c r="G126" s="51"/>
      <c r="I126" s="32"/>
      <c r="M126" s="97"/>
      <c r="P126" s="47"/>
      <c r="Q126" s="47"/>
      <c r="R126" s="47"/>
    </row>
    <row r="127" spans="4:18" s="50" customFormat="1">
      <c r="D127" s="51"/>
      <c r="F127" s="32"/>
      <c r="G127" s="51"/>
      <c r="I127" s="32"/>
      <c r="M127" s="97"/>
      <c r="P127" s="47"/>
      <c r="Q127" s="47"/>
      <c r="R127" s="47"/>
    </row>
    <row r="128" spans="4:18" s="50" customFormat="1">
      <c r="D128" s="51"/>
      <c r="F128" s="32"/>
      <c r="G128" s="51"/>
      <c r="I128" s="32"/>
      <c r="M128" s="97"/>
      <c r="P128" s="47"/>
      <c r="Q128" s="47"/>
      <c r="R128" s="47"/>
    </row>
    <row r="129" spans="4:18" s="50" customFormat="1">
      <c r="D129" s="51"/>
      <c r="F129" s="32"/>
      <c r="G129" s="51"/>
      <c r="I129" s="32"/>
      <c r="M129" s="97"/>
      <c r="P129" s="47"/>
      <c r="Q129" s="47"/>
      <c r="R129" s="47"/>
    </row>
    <row r="130" spans="4:18" s="50" customFormat="1">
      <c r="D130" s="51"/>
      <c r="F130" s="32"/>
      <c r="G130" s="51"/>
      <c r="I130" s="32"/>
      <c r="M130" s="97"/>
      <c r="P130" s="47"/>
      <c r="Q130" s="47"/>
      <c r="R130" s="47"/>
    </row>
    <row r="131" spans="4:18" s="50" customFormat="1">
      <c r="D131" s="51"/>
      <c r="F131" s="32"/>
      <c r="G131" s="51"/>
      <c r="I131" s="32"/>
      <c r="M131" s="97"/>
      <c r="P131" s="47"/>
      <c r="Q131" s="47"/>
      <c r="R131" s="47"/>
    </row>
    <row r="132" spans="4:18" s="50" customFormat="1">
      <c r="D132" s="51"/>
      <c r="F132" s="32"/>
      <c r="G132" s="51"/>
      <c r="I132" s="32"/>
      <c r="M132" s="97"/>
      <c r="P132" s="47"/>
      <c r="Q132" s="47"/>
      <c r="R132" s="47"/>
    </row>
    <row r="133" spans="4:18" s="50" customFormat="1">
      <c r="D133" s="51"/>
      <c r="F133" s="32"/>
      <c r="G133" s="51"/>
      <c r="I133" s="32"/>
      <c r="M133" s="97"/>
      <c r="P133" s="47"/>
      <c r="Q133" s="47"/>
      <c r="R133" s="47"/>
    </row>
    <row r="134" spans="4:18" s="50" customFormat="1">
      <c r="D134" s="51"/>
      <c r="F134" s="32"/>
      <c r="G134" s="51"/>
      <c r="I134" s="32"/>
      <c r="M134" s="97"/>
      <c r="P134" s="47"/>
      <c r="Q134" s="47"/>
      <c r="R134" s="47"/>
    </row>
    <row r="135" spans="4:18" s="50" customFormat="1">
      <c r="D135" s="51"/>
      <c r="F135" s="32"/>
      <c r="G135" s="51"/>
      <c r="I135" s="32"/>
      <c r="M135" s="97"/>
      <c r="P135" s="47"/>
      <c r="Q135" s="47"/>
      <c r="R135" s="47"/>
    </row>
    <row r="136" spans="4:18" s="50" customFormat="1">
      <c r="D136" s="51"/>
      <c r="F136" s="32"/>
      <c r="G136" s="51"/>
      <c r="I136" s="32"/>
      <c r="M136" s="97"/>
      <c r="P136" s="47"/>
      <c r="Q136" s="47"/>
      <c r="R136" s="47"/>
    </row>
    <row r="137" spans="4:18" s="50" customFormat="1">
      <c r="D137" s="51"/>
      <c r="F137" s="32"/>
      <c r="G137" s="51"/>
      <c r="I137" s="32"/>
      <c r="M137" s="97"/>
      <c r="P137" s="47"/>
      <c r="Q137" s="47"/>
      <c r="R137" s="47"/>
    </row>
    <row r="138" spans="4:18" s="50" customFormat="1">
      <c r="D138" s="51"/>
      <c r="F138" s="32"/>
      <c r="G138" s="51"/>
      <c r="I138" s="32"/>
      <c r="M138" s="97"/>
      <c r="P138" s="47"/>
      <c r="Q138" s="47"/>
      <c r="R138" s="47"/>
    </row>
    <row r="139" spans="4:18" s="50" customFormat="1">
      <c r="D139" s="51"/>
      <c r="F139" s="32"/>
      <c r="G139" s="51"/>
      <c r="I139" s="32"/>
      <c r="M139" s="97"/>
      <c r="P139" s="47"/>
      <c r="Q139" s="47"/>
      <c r="R139" s="47"/>
    </row>
    <row r="140" spans="4:18" s="50" customFormat="1">
      <c r="D140" s="51"/>
      <c r="F140" s="32"/>
      <c r="G140" s="51"/>
      <c r="I140" s="32"/>
      <c r="M140" s="97"/>
      <c r="P140" s="47"/>
      <c r="Q140" s="47"/>
      <c r="R140" s="47"/>
    </row>
    <row r="141" spans="4:18" s="50" customFormat="1">
      <c r="D141" s="51"/>
      <c r="F141" s="32"/>
      <c r="G141" s="51"/>
      <c r="I141" s="32"/>
      <c r="M141" s="97"/>
      <c r="P141" s="47"/>
      <c r="Q141" s="47"/>
      <c r="R141" s="47"/>
    </row>
    <row r="142" spans="4:18" s="50" customFormat="1">
      <c r="D142" s="51"/>
      <c r="F142" s="32"/>
      <c r="G142" s="51"/>
      <c r="I142" s="32"/>
      <c r="M142" s="97"/>
      <c r="P142" s="47"/>
      <c r="Q142" s="47"/>
      <c r="R142" s="47"/>
    </row>
    <row r="143" spans="4:18" s="50" customFormat="1">
      <c r="D143" s="51"/>
      <c r="F143" s="32"/>
      <c r="G143" s="51"/>
      <c r="I143" s="32"/>
      <c r="M143" s="97"/>
      <c r="P143" s="47"/>
      <c r="Q143" s="47"/>
      <c r="R143" s="47"/>
    </row>
    <row r="144" spans="4:18" s="50" customFormat="1">
      <c r="D144" s="51"/>
      <c r="F144" s="32"/>
      <c r="G144" s="51"/>
      <c r="I144" s="32"/>
      <c r="M144" s="97"/>
      <c r="P144" s="47"/>
      <c r="Q144" s="47"/>
      <c r="R144" s="47"/>
    </row>
    <row r="145" spans="4:18" s="50" customFormat="1">
      <c r="D145" s="51"/>
      <c r="F145" s="32"/>
      <c r="G145" s="51"/>
      <c r="I145" s="32"/>
      <c r="M145" s="97"/>
      <c r="P145" s="47"/>
      <c r="Q145" s="47"/>
      <c r="R145" s="47"/>
    </row>
    <row r="146" spans="4:18" s="50" customFormat="1">
      <c r="D146" s="51"/>
      <c r="F146" s="32"/>
      <c r="G146" s="51"/>
      <c r="I146" s="32"/>
      <c r="M146" s="97"/>
      <c r="P146" s="47"/>
      <c r="Q146" s="47"/>
      <c r="R146" s="47"/>
    </row>
    <row r="147" spans="4:18" s="50" customFormat="1">
      <c r="D147" s="51"/>
      <c r="F147" s="32"/>
      <c r="G147" s="51"/>
      <c r="I147" s="32"/>
      <c r="M147" s="97"/>
      <c r="P147" s="47"/>
      <c r="Q147" s="47"/>
      <c r="R147" s="47"/>
    </row>
    <row r="148" spans="4:18" s="50" customFormat="1">
      <c r="D148" s="51"/>
      <c r="F148" s="32"/>
      <c r="G148" s="51"/>
      <c r="I148" s="32"/>
      <c r="M148" s="97"/>
      <c r="P148" s="47"/>
      <c r="Q148" s="47"/>
      <c r="R148" s="47"/>
    </row>
    <row r="149" spans="4:18" s="50" customFormat="1">
      <c r="D149" s="51"/>
      <c r="F149" s="32"/>
      <c r="G149" s="51"/>
      <c r="I149" s="32"/>
      <c r="M149" s="97"/>
      <c r="P149" s="47"/>
      <c r="Q149" s="47"/>
      <c r="R149" s="47"/>
    </row>
    <row r="150" spans="4:18" s="50" customFormat="1">
      <c r="D150" s="51"/>
      <c r="F150" s="32"/>
      <c r="G150" s="51"/>
      <c r="I150" s="32"/>
      <c r="M150" s="97"/>
      <c r="P150" s="47"/>
      <c r="Q150" s="47"/>
      <c r="R150" s="47"/>
    </row>
    <row r="151" spans="4:18" s="50" customFormat="1">
      <c r="D151" s="51"/>
      <c r="F151" s="32"/>
      <c r="G151" s="51"/>
      <c r="I151" s="32"/>
      <c r="M151" s="97"/>
      <c r="P151" s="47"/>
      <c r="Q151" s="47"/>
      <c r="R151" s="47"/>
    </row>
    <row r="152" spans="4:18" s="50" customFormat="1">
      <c r="D152" s="51"/>
      <c r="F152" s="32"/>
      <c r="G152" s="51"/>
      <c r="I152" s="32"/>
      <c r="M152" s="97"/>
      <c r="P152" s="47"/>
      <c r="Q152" s="47"/>
      <c r="R152" s="47"/>
    </row>
    <row r="153" spans="4:18" s="50" customFormat="1">
      <c r="D153" s="51"/>
      <c r="F153" s="32"/>
      <c r="G153" s="51"/>
      <c r="I153" s="32"/>
      <c r="M153" s="97"/>
      <c r="P153" s="47"/>
      <c r="Q153" s="47"/>
      <c r="R153" s="47"/>
    </row>
    <row r="154" spans="4:18" s="50" customFormat="1">
      <c r="D154" s="51"/>
      <c r="F154" s="32"/>
      <c r="G154" s="51"/>
      <c r="I154" s="32"/>
      <c r="M154" s="97"/>
      <c r="P154" s="47"/>
      <c r="Q154" s="47"/>
      <c r="R154" s="47"/>
    </row>
    <row r="155" spans="4:18" s="50" customFormat="1">
      <c r="D155" s="51"/>
      <c r="F155" s="32"/>
      <c r="G155" s="51"/>
      <c r="I155" s="32"/>
      <c r="M155" s="97"/>
      <c r="P155" s="47"/>
      <c r="Q155" s="47"/>
      <c r="R155" s="47"/>
    </row>
    <row r="156" spans="4:18" s="50" customFormat="1">
      <c r="D156" s="51"/>
      <c r="F156" s="32"/>
      <c r="G156" s="51"/>
      <c r="I156" s="32"/>
      <c r="M156" s="97"/>
      <c r="P156" s="47"/>
      <c r="Q156" s="47"/>
      <c r="R156" s="47"/>
    </row>
    <row r="157" spans="4:18" s="50" customFormat="1">
      <c r="D157" s="51"/>
      <c r="F157" s="32"/>
      <c r="G157" s="51"/>
      <c r="I157" s="32"/>
      <c r="M157" s="97"/>
      <c r="P157" s="47"/>
      <c r="Q157" s="47"/>
      <c r="R157" s="47"/>
    </row>
    <row r="158" spans="4:18" s="50" customFormat="1">
      <c r="D158" s="51"/>
      <c r="F158" s="32"/>
      <c r="G158" s="51"/>
      <c r="I158" s="32"/>
      <c r="M158" s="97"/>
      <c r="P158" s="47"/>
      <c r="Q158" s="47"/>
      <c r="R158" s="47"/>
    </row>
    <row r="159" spans="4:18" s="50" customFormat="1">
      <c r="D159" s="51"/>
      <c r="F159" s="32"/>
      <c r="G159" s="51"/>
      <c r="I159" s="32"/>
      <c r="M159" s="97"/>
      <c r="P159" s="47"/>
      <c r="Q159" s="47"/>
      <c r="R159" s="47"/>
    </row>
    <row r="160" spans="4:18" s="50" customFormat="1">
      <c r="D160" s="51"/>
      <c r="F160" s="32"/>
      <c r="G160" s="51"/>
      <c r="I160" s="32"/>
      <c r="M160" s="97"/>
      <c r="P160" s="47"/>
      <c r="Q160" s="47"/>
      <c r="R160" s="47"/>
    </row>
    <row r="161" spans="4:18" s="50" customFormat="1">
      <c r="D161" s="51"/>
      <c r="F161" s="32"/>
      <c r="G161" s="51"/>
      <c r="I161" s="32"/>
      <c r="M161" s="97"/>
      <c r="P161" s="47"/>
      <c r="Q161" s="47"/>
      <c r="R161" s="47"/>
    </row>
    <row r="162" spans="4:18" s="50" customFormat="1">
      <c r="D162" s="51"/>
      <c r="F162" s="32"/>
      <c r="G162" s="51"/>
      <c r="I162" s="32"/>
      <c r="M162" s="97"/>
      <c r="P162" s="47"/>
      <c r="Q162" s="47"/>
      <c r="R162" s="47"/>
    </row>
    <row r="163" spans="4:18" s="50" customFormat="1">
      <c r="D163" s="51"/>
      <c r="F163" s="32"/>
      <c r="G163" s="51"/>
      <c r="I163" s="32"/>
      <c r="M163" s="97"/>
      <c r="P163" s="47"/>
      <c r="Q163" s="47"/>
      <c r="R163" s="47"/>
    </row>
    <row r="164" spans="4:18" s="50" customFormat="1">
      <c r="D164" s="51"/>
      <c r="F164" s="32"/>
      <c r="G164" s="51"/>
      <c r="I164" s="32"/>
      <c r="M164" s="97"/>
      <c r="P164" s="47"/>
      <c r="Q164" s="47"/>
      <c r="R164" s="47"/>
    </row>
    <row r="165" spans="4:18" s="50" customFormat="1">
      <c r="D165" s="51"/>
      <c r="F165" s="32"/>
      <c r="G165" s="51"/>
      <c r="I165" s="32"/>
      <c r="M165" s="97"/>
      <c r="P165" s="47"/>
      <c r="Q165" s="47"/>
      <c r="R165" s="47"/>
    </row>
  </sheetData>
  <mergeCells count="1">
    <mergeCell ref="A1:B1"/>
  </mergeCells>
  <pageMargins left="0.23622047244094491" right="0.31496062992125984" top="0.74803149606299213" bottom="0.74803149606299213" header="0.51181102362204722" footer="0.51181102362204722"/>
  <pageSetup paperSize="9" scale="44" fitToHeight="1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B715-BF43-45B0-B968-6C80DF0769F2}">
  <sheetPr codeName="Sheet9">
    <pageSetUpPr fitToPage="1"/>
  </sheetPr>
  <dimension ref="A1:AJ267"/>
  <sheetViews>
    <sheetView showGridLines="0" zoomScale="80" zoomScaleNormal="80" workbookViewId="0">
      <selection activeCell="B77" sqref="B77"/>
    </sheetView>
  </sheetViews>
  <sheetFormatPr defaultColWidth="8.7109375" defaultRowHeight="15.95"/>
  <cols>
    <col min="1" max="1" width="28.85546875" style="49" customWidth="1"/>
    <col min="2" max="2" width="49.5703125" style="45" bestFit="1" customWidth="1"/>
    <col min="3" max="3" width="31.42578125" style="45" bestFit="1" customWidth="1"/>
    <col min="4" max="4" width="32.85546875" style="45" bestFit="1" customWidth="1"/>
    <col min="5" max="5" width="17.28515625" style="49" customWidth="1"/>
    <col min="6" max="6" width="22.85546875" style="49" bestFit="1" customWidth="1"/>
    <col min="7" max="7" width="15.140625" style="49" customWidth="1"/>
    <col min="8" max="8" width="15.140625" style="45" customWidth="1"/>
    <col min="9" max="9" width="15.140625" style="49" customWidth="1"/>
    <col min="10" max="10" width="12.85546875" style="49" customWidth="1"/>
    <col min="11" max="11" width="12.85546875" style="94" customWidth="1"/>
    <col min="12" max="12" width="12.85546875" style="49" customWidth="1"/>
    <col min="13" max="13" width="14.85546875" style="49" customWidth="1"/>
    <col min="14" max="29" width="8.7109375" style="47"/>
    <col min="30" max="35" width="8.7109375" style="48"/>
    <col min="36" max="16384" width="8.7109375" style="49"/>
  </cols>
  <sheetData>
    <row r="1" spans="1:35" s="56" customFormat="1" ht="59.45" customHeight="1">
      <c r="A1" s="127" t="s">
        <v>317</v>
      </c>
      <c r="B1" s="127"/>
      <c r="C1" s="57"/>
      <c r="D1" s="57"/>
      <c r="E1" s="11"/>
      <c r="F1" s="11"/>
      <c r="G1" s="11"/>
      <c r="H1" s="11"/>
      <c r="I1" s="11"/>
      <c r="J1" s="11"/>
      <c r="K1" s="91"/>
      <c r="L1" s="11"/>
      <c r="M1" s="11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</row>
    <row r="2" spans="1:35" s="45" customFormat="1" ht="64.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46</v>
      </c>
      <c r="J2" s="14" t="s">
        <v>10</v>
      </c>
      <c r="K2" s="87" t="s">
        <v>11</v>
      </c>
      <c r="L2" s="15" t="s">
        <v>13</v>
      </c>
      <c r="M2" s="15" t="s">
        <v>49</v>
      </c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4"/>
      <c r="AE2" s="44"/>
      <c r="AF2" s="44"/>
      <c r="AG2" s="44"/>
      <c r="AH2" s="44"/>
      <c r="AI2" s="44"/>
    </row>
    <row r="3" spans="1:35">
      <c r="A3" s="46" t="s">
        <v>318</v>
      </c>
      <c r="B3" s="52" t="s">
        <v>319</v>
      </c>
      <c r="C3" s="52" t="s">
        <v>320</v>
      </c>
      <c r="D3" s="52" t="s">
        <v>321</v>
      </c>
      <c r="E3" s="52">
        <v>4</v>
      </c>
      <c r="F3" s="52" t="s">
        <v>269</v>
      </c>
      <c r="G3" s="52">
        <v>40</v>
      </c>
      <c r="H3" s="52">
        <v>244</v>
      </c>
      <c r="I3" s="53">
        <v>38353</v>
      </c>
      <c r="J3" s="54">
        <v>1</v>
      </c>
      <c r="K3" s="92">
        <v>158.79000000000002</v>
      </c>
      <c r="L3" s="46" t="s">
        <v>24</v>
      </c>
      <c r="M3" s="46" t="s">
        <v>24</v>
      </c>
    </row>
    <row r="4" spans="1:35">
      <c r="A4" s="46" t="s">
        <v>318</v>
      </c>
      <c r="B4" s="52" t="s">
        <v>322</v>
      </c>
      <c r="C4" s="52" t="s">
        <v>320</v>
      </c>
      <c r="D4" s="52" t="s">
        <v>323</v>
      </c>
      <c r="E4" s="52">
        <v>7</v>
      </c>
      <c r="F4" s="52" t="s">
        <v>269</v>
      </c>
      <c r="G4" s="52">
        <v>40</v>
      </c>
      <c r="H4" s="52">
        <v>233</v>
      </c>
      <c r="I4" s="53">
        <v>38705</v>
      </c>
      <c r="J4" s="54">
        <v>8</v>
      </c>
      <c r="K4" s="92">
        <v>1006.97</v>
      </c>
      <c r="L4" s="46" t="s">
        <v>24</v>
      </c>
      <c r="M4" s="46" t="s">
        <v>24</v>
      </c>
    </row>
    <row r="5" spans="1:35">
      <c r="A5" s="46" t="s">
        <v>318</v>
      </c>
      <c r="B5" s="52" t="s">
        <v>324</v>
      </c>
      <c r="C5" s="52" t="s">
        <v>320</v>
      </c>
      <c r="D5" s="52" t="s">
        <v>325</v>
      </c>
      <c r="E5" s="52">
        <v>5</v>
      </c>
      <c r="F5" s="52" t="s">
        <v>269</v>
      </c>
      <c r="G5" s="52">
        <v>40</v>
      </c>
      <c r="H5" s="52">
        <v>231</v>
      </c>
      <c r="I5" s="53">
        <v>38749</v>
      </c>
      <c r="J5" s="54">
        <v>1</v>
      </c>
      <c r="K5" s="92">
        <v>421.34</v>
      </c>
      <c r="L5" s="46" t="s">
        <v>24</v>
      </c>
      <c r="M5" s="46" t="s">
        <v>24</v>
      </c>
    </row>
    <row r="6" spans="1:35">
      <c r="A6" s="46" t="s">
        <v>318</v>
      </c>
      <c r="B6" s="52" t="s">
        <v>326</v>
      </c>
      <c r="C6" s="52" t="s">
        <v>320</v>
      </c>
      <c r="D6" s="52" t="s">
        <v>325</v>
      </c>
      <c r="E6" s="52">
        <v>5</v>
      </c>
      <c r="F6" s="52" t="s">
        <v>269</v>
      </c>
      <c r="G6" s="52">
        <v>40</v>
      </c>
      <c r="H6" s="52">
        <v>231</v>
      </c>
      <c r="I6" s="53">
        <v>38754</v>
      </c>
      <c r="J6" s="54">
        <v>1</v>
      </c>
      <c r="K6" s="92">
        <v>461.29</v>
      </c>
      <c r="L6" s="46" t="s">
        <v>24</v>
      </c>
      <c r="M6" s="46" t="s">
        <v>24</v>
      </c>
    </row>
    <row r="7" spans="1:35">
      <c r="A7" s="46" t="s">
        <v>318</v>
      </c>
      <c r="B7" s="52" t="s">
        <v>327</v>
      </c>
      <c r="C7" s="52" t="s">
        <v>320</v>
      </c>
      <c r="D7" s="52" t="s">
        <v>325</v>
      </c>
      <c r="E7" s="52">
        <v>4</v>
      </c>
      <c r="F7" s="52" t="s">
        <v>269</v>
      </c>
      <c r="G7" s="52">
        <v>40</v>
      </c>
      <c r="H7" s="52">
        <v>210</v>
      </c>
      <c r="I7" s="53">
        <v>39414</v>
      </c>
      <c r="J7" s="54">
        <v>1</v>
      </c>
      <c r="K7" s="92">
        <v>73.16</v>
      </c>
      <c r="L7" s="46" t="s">
        <v>24</v>
      </c>
      <c r="M7" s="46" t="s">
        <v>24</v>
      </c>
    </row>
    <row r="8" spans="1:35">
      <c r="A8" s="46" t="s">
        <v>318</v>
      </c>
      <c r="B8" s="52" t="s">
        <v>326</v>
      </c>
      <c r="C8" s="52" t="s">
        <v>320</v>
      </c>
      <c r="D8" s="52" t="s">
        <v>328</v>
      </c>
      <c r="E8" s="52">
        <v>4</v>
      </c>
      <c r="F8" s="52" t="s">
        <v>269</v>
      </c>
      <c r="G8" s="52">
        <v>40</v>
      </c>
      <c r="H8" s="52">
        <v>194</v>
      </c>
      <c r="I8" s="53">
        <v>39881</v>
      </c>
      <c r="J8" s="54">
        <v>1</v>
      </c>
      <c r="K8" s="92">
        <v>94.2</v>
      </c>
      <c r="L8" s="46" t="s">
        <v>24</v>
      </c>
      <c r="M8" s="46" t="s">
        <v>24</v>
      </c>
    </row>
    <row r="9" spans="1:35">
      <c r="A9" s="46" t="s">
        <v>318</v>
      </c>
      <c r="B9" s="52" t="s">
        <v>326</v>
      </c>
      <c r="C9" s="52" t="s">
        <v>320</v>
      </c>
      <c r="D9" s="52" t="s">
        <v>329</v>
      </c>
      <c r="E9" s="52">
        <v>4</v>
      </c>
      <c r="F9" s="52" t="s">
        <v>269</v>
      </c>
      <c r="G9" s="52">
        <v>40</v>
      </c>
      <c r="H9" s="52">
        <v>180</v>
      </c>
      <c r="I9" s="53">
        <v>40308</v>
      </c>
      <c r="J9" s="54">
        <v>1</v>
      </c>
      <c r="K9" s="92">
        <v>137.06</v>
      </c>
      <c r="L9" s="46" t="s">
        <v>24</v>
      </c>
      <c r="M9" s="46" t="s">
        <v>24</v>
      </c>
    </row>
    <row r="10" spans="1:35">
      <c r="A10" s="46" t="s">
        <v>318</v>
      </c>
      <c r="B10" s="52" t="s">
        <v>326</v>
      </c>
      <c r="C10" s="52" t="s">
        <v>320</v>
      </c>
      <c r="D10" s="52" t="s">
        <v>329</v>
      </c>
      <c r="E10" s="52">
        <v>5</v>
      </c>
      <c r="F10" s="52" t="s">
        <v>269</v>
      </c>
      <c r="G10" s="52">
        <v>40</v>
      </c>
      <c r="H10" s="52">
        <v>180</v>
      </c>
      <c r="I10" s="53">
        <v>40308</v>
      </c>
      <c r="J10" s="54">
        <v>1</v>
      </c>
      <c r="K10" s="92">
        <v>431.44</v>
      </c>
      <c r="L10" s="46" t="s">
        <v>24</v>
      </c>
      <c r="M10" s="46" t="s">
        <v>24</v>
      </c>
    </row>
    <row r="11" spans="1:35">
      <c r="A11" s="46" t="s">
        <v>318</v>
      </c>
      <c r="B11" s="52" t="s">
        <v>330</v>
      </c>
      <c r="C11" s="52" t="s">
        <v>320</v>
      </c>
      <c r="D11" s="52" t="s">
        <v>325</v>
      </c>
      <c r="E11" s="52">
        <v>5</v>
      </c>
      <c r="F11" s="52" t="s">
        <v>269</v>
      </c>
      <c r="G11" s="52">
        <v>40</v>
      </c>
      <c r="H11" s="52">
        <v>178</v>
      </c>
      <c r="I11" s="53">
        <v>40371</v>
      </c>
      <c r="J11" s="54">
        <v>1</v>
      </c>
      <c r="K11" s="92">
        <v>87.89</v>
      </c>
      <c r="L11" s="46" t="s">
        <v>24</v>
      </c>
      <c r="M11" s="46" t="s">
        <v>24</v>
      </c>
    </row>
    <row r="12" spans="1:35">
      <c r="A12" s="46" t="s">
        <v>318</v>
      </c>
      <c r="B12" s="52" t="s">
        <v>330</v>
      </c>
      <c r="C12" s="52" t="s">
        <v>320</v>
      </c>
      <c r="D12" s="52" t="s">
        <v>323</v>
      </c>
      <c r="E12" s="52">
        <v>5</v>
      </c>
      <c r="F12" s="52" t="s">
        <v>269</v>
      </c>
      <c r="G12" s="52">
        <v>40</v>
      </c>
      <c r="H12" s="52">
        <v>98</v>
      </c>
      <c r="I12" s="53">
        <v>42795</v>
      </c>
      <c r="J12" s="54">
        <v>8</v>
      </c>
      <c r="K12" s="92">
        <v>42.93</v>
      </c>
      <c r="L12" s="46" t="s">
        <v>24</v>
      </c>
      <c r="M12" s="46" t="s">
        <v>24</v>
      </c>
    </row>
    <row r="13" spans="1:35">
      <c r="A13" s="46" t="s">
        <v>318</v>
      </c>
      <c r="B13" s="52" t="s">
        <v>331</v>
      </c>
      <c r="C13" s="52" t="s">
        <v>320</v>
      </c>
      <c r="D13" s="52" t="s">
        <v>323</v>
      </c>
      <c r="E13" s="52">
        <v>6</v>
      </c>
      <c r="F13" s="52" t="s">
        <v>269</v>
      </c>
      <c r="G13" s="52">
        <v>40</v>
      </c>
      <c r="H13" s="52">
        <v>98</v>
      </c>
      <c r="I13" s="53">
        <v>42795</v>
      </c>
      <c r="J13" s="54">
        <v>8</v>
      </c>
      <c r="K13" s="92">
        <v>205.9</v>
      </c>
      <c r="L13" s="46" t="s">
        <v>24</v>
      </c>
      <c r="M13" s="46" t="s">
        <v>24</v>
      </c>
    </row>
    <row r="14" spans="1:35">
      <c r="A14" s="46" t="s">
        <v>318</v>
      </c>
      <c r="B14" s="52" t="s">
        <v>332</v>
      </c>
      <c r="C14" s="52" t="s">
        <v>320</v>
      </c>
      <c r="D14" s="52" t="s">
        <v>328</v>
      </c>
      <c r="E14" s="52">
        <v>4</v>
      </c>
      <c r="F14" s="52" t="s">
        <v>269</v>
      </c>
      <c r="G14" s="52">
        <v>40</v>
      </c>
      <c r="H14" s="52">
        <v>216</v>
      </c>
      <c r="I14" s="53">
        <v>39216</v>
      </c>
      <c r="J14" s="54">
        <v>1</v>
      </c>
      <c r="K14" s="92">
        <v>309.70999999999998</v>
      </c>
      <c r="L14" s="46" t="s">
        <v>24</v>
      </c>
      <c r="M14" s="46" t="s">
        <v>24</v>
      </c>
    </row>
    <row r="15" spans="1:35">
      <c r="A15" s="46" t="s">
        <v>318</v>
      </c>
      <c r="B15" s="52" t="s">
        <v>332</v>
      </c>
      <c r="C15" s="52" t="s">
        <v>320</v>
      </c>
      <c r="D15" s="52" t="s">
        <v>328</v>
      </c>
      <c r="E15" s="52">
        <v>3</v>
      </c>
      <c r="F15" s="52" t="s">
        <v>269</v>
      </c>
      <c r="G15" s="52">
        <v>40</v>
      </c>
      <c r="H15" s="52">
        <v>220</v>
      </c>
      <c r="I15" s="53">
        <v>39083</v>
      </c>
      <c r="J15" s="54">
        <v>1</v>
      </c>
      <c r="K15" s="92">
        <v>334.55</v>
      </c>
      <c r="L15" s="46" t="s">
        <v>24</v>
      </c>
      <c r="M15" s="46" t="s">
        <v>24</v>
      </c>
    </row>
    <row r="16" spans="1:35">
      <c r="A16" s="46" t="s">
        <v>318</v>
      </c>
      <c r="B16" s="52" t="s">
        <v>332</v>
      </c>
      <c r="C16" s="52" t="s">
        <v>320</v>
      </c>
      <c r="D16" s="52" t="s">
        <v>328</v>
      </c>
      <c r="E16" s="52">
        <v>4</v>
      </c>
      <c r="F16" s="52" t="s">
        <v>269</v>
      </c>
      <c r="G16" s="52">
        <v>40</v>
      </c>
      <c r="H16" s="52">
        <v>220</v>
      </c>
      <c r="I16" s="53">
        <v>39083</v>
      </c>
      <c r="J16" s="54">
        <v>1</v>
      </c>
      <c r="K16" s="92">
        <v>334.55</v>
      </c>
      <c r="L16" s="46" t="s">
        <v>24</v>
      </c>
      <c r="M16" s="46" t="s">
        <v>24</v>
      </c>
    </row>
    <row r="17" spans="1:36" s="47" customFormat="1">
      <c r="A17" s="46" t="s">
        <v>318</v>
      </c>
      <c r="B17" s="52" t="s">
        <v>333</v>
      </c>
      <c r="C17" s="52" t="s">
        <v>320</v>
      </c>
      <c r="D17" s="52" t="s">
        <v>325</v>
      </c>
      <c r="E17" s="52">
        <v>4</v>
      </c>
      <c r="F17" s="52" t="s">
        <v>269</v>
      </c>
      <c r="G17" s="52">
        <v>40</v>
      </c>
      <c r="H17" s="52">
        <v>220</v>
      </c>
      <c r="I17" s="53">
        <v>39083</v>
      </c>
      <c r="J17" s="54">
        <v>1</v>
      </c>
      <c r="K17" s="92">
        <v>329.71</v>
      </c>
      <c r="L17" s="46" t="s">
        <v>24</v>
      </c>
      <c r="M17" s="46" t="s">
        <v>24</v>
      </c>
      <c r="AD17" s="48"/>
      <c r="AE17" s="48"/>
      <c r="AF17" s="48"/>
      <c r="AG17" s="48"/>
      <c r="AH17" s="48"/>
      <c r="AI17" s="48"/>
      <c r="AJ17" s="49"/>
    </row>
    <row r="18" spans="1:36" s="47" customFormat="1">
      <c r="A18" s="46" t="s">
        <v>318</v>
      </c>
      <c r="B18" s="52" t="s">
        <v>334</v>
      </c>
      <c r="C18" s="52" t="s">
        <v>320</v>
      </c>
      <c r="D18" s="52" t="s">
        <v>328</v>
      </c>
      <c r="E18" s="52">
        <v>4</v>
      </c>
      <c r="F18" s="52" t="s">
        <v>269</v>
      </c>
      <c r="G18" s="52">
        <v>40</v>
      </c>
      <c r="H18" s="52">
        <v>280</v>
      </c>
      <c r="I18" s="53">
        <v>37270</v>
      </c>
      <c r="J18" s="54">
        <v>1</v>
      </c>
      <c r="K18" s="92">
        <v>443.76</v>
      </c>
      <c r="L18" s="46" t="s">
        <v>24</v>
      </c>
      <c r="M18" s="46" t="s">
        <v>24</v>
      </c>
      <c r="AD18" s="48"/>
      <c r="AE18" s="48"/>
      <c r="AF18" s="48"/>
      <c r="AG18" s="48"/>
      <c r="AH18" s="48"/>
      <c r="AI18" s="48"/>
      <c r="AJ18" s="49"/>
    </row>
    <row r="19" spans="1:36" s="47" customFormat="1">
      <c r="A19" s="46" t="s">
        <v>318</v>
      </c>
      <c r="B19" s="52" t="s">
        <v>335</v>
      </c>
      <c r="C19" s="52" t="s">
        <v>320</v>
      </c>
      <c r="D19" s="52" t="s">
        <v>325</v>
      </c>
      <c r="E19" s="52">
        <v>4</v>
      </c>
      <c r="F19" s="52" t="s">
        <v>269</v>
      </c>
      <c r="G19" s="52">
        <v>40</v>
      </c>
      <c r="H19" s="52">
        <v>220</v>
      </c>
      <c r="I19" s="53">
        <v>39083</v>
      </c>
      <c r="J19" s="54">
        <v>1</v>
      </c>
      <c r="K19" s="92">
        <v>309.70999999999998</v>
      </c>
      <c r="L19" s="46" t="s">
        <v>24</v>
      </c>
      <c r="M19" s="46" t="s">
        <v>24</v>
      </c>
      <c r="AD19" s="48"/>
      <c r="AE19" s="48"/>
      <c r="AF19" s="48"/>
      <c r="AG19" s="48"/>
      <c r="AH19" s="48"/>
      <c r="AI19" s="48"/>
      <c r="AJ19" s="49"/>
    </row>
    <row r="20" spans="1:36" s="47" customFormat="1">
      <c r="A20" s="46" t="s">
        <v>318</v>
      </c>
      <c r="B20" s="52" t="s">
        <v>336</v>
      </c>
      <c r="C20" s="52" t="s">
        <v>320</v>
      </c>
      <c r="D20" s="52" t="s">
        <v>325</v>
      </c>
      <c r="E20" s="52">
        <v>4</v>
      </c>
      <c r="F20" s="52" t="s">
        <v>269</v>
      </c>
      <c r="G20" s="52">
        <v>40</v>
      </c>
      <c r="H20" s="52">
        <v>219</v>
      </c>
      <c r="I20" s="53">
        <v>39114</v>
      </c>
      <c r="J20" s="54">
        <v>1</v>
      </c>
      <c r="K20" s="92">
        <v>309.70999999999998</v>
      </c>
      <c r="L20" s="46" t="s">
        <v>24</v>
      </c>
      <c r="M20" s="46" t="s">
        <v>24</v>
      </c>
      <c r="AD20" s="48"/>
      <c r="AE20" s="48"/>
      <c r="AF20" s="48"/>
      <c r="AG20" s="48"/>
      <c r="AH20" s="48"/>
      <c r="AI20" s="48"/>
      <c r="AJ20" s="49"/>
    </row>
    <row r="21" spans="1:36" s="47" customFormat="1">
      <c r="A21" s="46" t="s">
        <v>318</v>
      </c>
      <c r="B21" s="52" t="s">
        <v>337</v>
      </c>
      <c r="C21" s="52" t="s">
        <v>320</v>
      </c>
      <c r="D21" s="52" t="s">
        <v>328</v>
      </c>
      <c r="E21" s="52">
        <v>4</v>
      </c>
      <c r="F21" s="52" t="s">
        <v>269</v>
      </c>
      <c r="G21" s="52">
        <v>40</v>
      </c>
      <c r="H21" s="52">
        <v>215</v>
      </c>
      <c r="I21" s="53">
        <v>39237</v>
      </c>
      <c r="J21" s="54">
        <v>1</v>
      </c>
      <c r="K21" s="92">
        <v>309.70999999999998</v>
      </c>
      <c r="L21" s="46" t="s">
        <v>24</v>
      </c>
      <c r="M21" s="46" t="s">
        <v>24</v>
      </c>
      <c r="AD21" s="48"/>
      <c r="AE21" s="48"/>
      <c r="AF21" s="48"/>
      <c r="AG21" s="48"/>
      <c r="AH21" s="48"/>
      <c r="AI21" s="48"/>
      <c r="AJ21" s="49"/>
    </row>
    <row r="22" spans="1:36" s="47" customFormat="1">
      <c r="A22" s="46" t="s">
        <v>318</v>
      </c>
      <c r="B22" s="52" t="s">
        <v>338</v>
      </c>
      <c r="C22" s="52" t="s">
        <v>320</v>
      </c>
      <c r="D22" s="52" t="s">
        <v>325</v>
      </c>
      <c r="E22" s="52">
        <v>4</v>
      </c>
      <c r="F22" s="52" t="s">
        <v>269</v>
      </c>
      <c r="G22" s="52">
        <v>40</v>
      </c>
      <c r="H22" s="52">
        <v>218</v>
      </c>
      <c r="I22" s="53">
        <v>39163</v>
      </c>
      <c r="J22" s="54">
        <v>1</v>
      </c>
      <c r="K22" s="92">
        <v>329.71</v>
      </c>
      <c r="L22" s="46" t="s">
        <v>24</v>
      </c>
      <c r="M22" s="46" t="s">
        <v>24</v>
      </c>
      <c r="AD22" s="48"/>
      <c r="AE22" s="48"/>
      <c r="AF22" s="48"/>
      <c r="AG22" s="48"/>
      <c r="AH22" s="48"/>
      <c r="AI22" s="48"/>
      <c r="AJ22" s="49"/>
    </row>
    <row r="23" spans="1:36" s="47" customFormat="1">
      <c r="A23" s="46" t="s">
        <v>318</v>
      </c>
      <c r="B23" s="52" t="s">
        <v>338</v>
      </c>
      <c r="C23" s="52" t="s">
        <v>320</v>
      </c>
      <c r="D23" s="52" t="s">
        <v>325</v>
      </c>
      <c r="E23" s="52">
        <v>4</v>
      </c>
      <c r="F23" s="52" t="s">
        <v>269</v>
      </c>
      <c r="G23" s="52">
        <v>40</v>
      </c>
      <c r="H23" s="52">
        <v>216</v>
      </c>
      <c r="I23" s="53">
        <v>39216</v>
      </c>
      <c r="J23" s="54">
        <v>1</v>
      </c>
      <c r="K23" s="92">
        <v>309.70999999999998</v>
      </c>
      <c r="L23" s="46" t="s">
        <v>24</v>
      </c>
      <c r="M23" s="46" t="s">
        <v>24</v>
      </c>
      <c r="AD23" s="48"/>
      <c r="AE23" s="48"/>
      <c r="AF23" s="48"/>
      <c r="AG23" s="48"/>
      <c r="AH23" s="48"/>
      <c r="AI23" s="48"/>
      <c r="AJ23" s="49"/>
    </row>
    <row r="24" spans="1:36" s="47" customFormat="1">
      <c r="A24" s="46" t="s">
        <v>318</v>
      </c>
      <c r="B24" s="52" t="s">
        <v>338</v>
      </c>
      <c r="C24" s="52" t="s">
        <v>320</v>
      </c>
      <c r="D24" s="52" t="s">
        <v>325</v>
      </c>
      <c r="E24" s="52">
        <v>4</v>
      </c>
      <c r="F24" s="52" t="s">
        <v>269</v>
      </c>
      <c r="G24" s="52">
        <v>40</v>
      </c>
      <c r="H24" s="52">
        <v>216</v>
      </c>
      <c r="I24" s="53">
        <v>39216</v>
      </c>
      <c r="J24" s="54">
        <v>1</v>
      </c>
      <c r="K24" s="92">
        <v>329.71</v>
      </c>
      <c r="L24" s="46" t="s">
        <v>24</v>
      </c>
      <c r="M24" s="46" t="s">
        <v>24</v>
      </c>
      <c r="AD24" s="48"/>
      <c r="AE24" s="48"/>
      <c r="AF24" s="48"/>
      <c r="AG24" s="48"/>
      <c r="AH24" s="48"/>
      <c r="AI24" s="48"/>
      <c r="AJ24" s="49"/>
    </row>
    <row r="25" spans="1:36" s="47" customFormat="1">
      <c r="A25" s="46" t="s">
        <v>318</v>
      </c>
      <c r="B25" s="52" t="s">
        <v>336</v>
      </c>
      <c r="C25" s="52" t="s">
        <v>320</v>
      </c>
      <c r="D25" s="52" t="s">
        <v>328</v>
      </c>
      <c r="E25" s="52">
        <v>4</v>
      </c>
      <c r="F25" s="52" t="s">
        <v>269</v>
      </c>
      <c r="G25" s="52">
        <v>40</v>
      </c>
      <c r="H25" s="52">
        <v>216</v>
      </c>
      <c r="I25" s="53">
        <v>39209</v>
      </c>
      <c r="J25" s="54">
        <v>1</v>
      </c>
      <c r="K25" s="92">
        <v>309.70999999999998</v>
      </c>
      <c r="L25" s="46" t="s">
        <v>24</v>
      </c>
      <c r="M25" s="46" t="s">
        <v>24</v>
      </c>
      <c r="AD25" s="48"/>
      <c r="AE25" s="48"/>
      <c r="AF25" s="48"/>
      <c r="AG25" s="48"/>
      <c r="AH25" s="48"/>
      <c r="AI25" s="48"/>
      <c r="AJ25" s="49"/>
    </row>
    <row r="26" spans="1:36" s="47" customFormat="1">
      <c r="A26" s="46" t="s">
        <v>318</v>
      </c>
      <c r="B26" s="52" t="s">
        <v>338</v>
      </c>
      <c r="C26" s="52" t="s">
        <v>320</v>
      </c>
      <c r="D26" s="52" t="s">
        <v>325</v>
      </c>
      <c r="E26" s="52">
        <v>5</v>
      </c>
      <c r="F26" s="52" t="s">
        <v>269</v>
      </c>
      <c r="G26" s="52">
        <v>40</v>
      </c>
      <c r="H26" s="52">
        <v>218</v>
      </c>
      <c r="I26" s="53">
        <v>39160</v>
      </c>
      <c r="J26" s="54">
        <v>1</v>
      </c>
      <c r="K26" s="92">
        <v>500.97999999999996</v>
      </c>
      <c r="L26" s="46" t="s">
        <v>24</v>
      </c>
      <c r="M26" s="46" t="s">
        <v>24</v>
      </c>
      <c r="AD26" s="48"/>
      <c r="AE26" s="48"/>
      <c r="AF26" s="48"/>
      <c r="AG26" s="48"/>
      <c r="AH26" s="48"/>
      <c r="AI26" s="48"/>
      <c r="AJ26" s="49"/>
    </row>
    <row r="27" spans="1:36" s="47" customFormat="1">
      <c r="A27" s="46" t="s">
        <v>318</v>
      </c>
      <c r="B27" s="52" t="s">
        <v>338</v>
      </c>
      <c r="C27" s="52" t="s">
        <v>320</v>
      </c>
      <c r="D27" s="52" t="s">
        <v>328</v>
      </c>
      <c r="E27" s="52">
        <v>5</v>
      </c>
      <c r="F27" s="52" t="s">
        <v>269</v>
      </c>
      <c r="G27" s="52">
        <v>40</v>
      </c>
      <c r="H27" s="52">
        <v>292</v>
      </c>
      <c r="I27" s="53">
        <v>36913</v>
      </c>
      <c r="J27" s="54">
        <v>1</v>
      </c>
      <c r="K27" s="92">
        <v>557.52</v>
      </c>
      <c r="L27" s="46" t="s">
        <v>24</v>
      </c>
      <c r="M27" s="46" t="s">
        <v>24</v>
      </c>
      <c r="AD27" s="48"/>
      <c r="AE27" s="48"/>
      <c r="AF27" s="48"/>
      <c r="AG27" s="48"/>
      <c r="AH27" s="48"/>
      <c r="AI27" s="48"/>
      <c r="AJ27" s="49"/>
    </row>
    <row r="28" spans="1:36" s="47" customFormat="1">
      <c r="A28" s="46" t="s">
        <v>318</v>
      </c>
      <c r="B28" s="52" t="s">
        <v>339</v>
      </c>
      <c r="C28" s="52" t="s">
        <v>320</v>
      </c>
      <c r="D28" s="52" t="s">
        <v>340</v>
      </c>
      <c r="E28" s="52">
        <v>5</v>
      </c>
      <c r="F28" s="52" t="s">
        <v>269</v>
      </c>
      <c r="G28" s="52">
        <v>40</v>
      </c>
      <c r="H28" s="52">
        <v>218</v>
      </c>
      <c r="I28" s="53">
        <v>39153</v>
      </c>
      <c r="J28" s="54">
        <v>1</v>
      </c>
      <c r="K28" s="92">
        <v>527.41</v>
      </c>
      <c r="L28" s="46" t="s">
        <v>24</v>
      </c>
      <c r="M28" s="46" t="s">
        <v>24</v>
      </c>
      <c r="AD28" s="48"/>
      <c r="AE28" s="48"/>
      <c r="AF28" s="48"/>
      <c r="AG28" s="48"/>
      <c r="AH28" s="48"/>
      <c r="AI28" s="48"/>
      <c r="AJ28" s="49"/>
    </row>
    <row r="29" spans="1:36" s="47" customFormat="1">
      <c r="A29" s="46" t="s">
        <v>318</v>
      </c>
      <c r="B29" s="52" t="s">
        <v>333</v>
      </c>
      <c r="C29" s="52" t="s">
        <v>320</v>
      </c>
      <c r="D29" s="52" t="s">
        <v>325</v>
      </c>
      <c r="E29" s="52">
        <v>4</v>
      </c>
      <c r="F29" s="52" t="s">
        <v>269</v>
      </c>
      <c r="G29" s="52">
        <v>40</v>
      </c>
      <c r="H29" s="52">
        <v>220</v>
      </c>
      <c r="I29" s="53">
        <v>39083</v>
      </c>
      <c r="J29" s="54">
        <v>1</v>
      </c>
      <c r="K29" s="92">
        <v>329.71</v>
      </c>
      <c r="L29" s="46" t="s">
        <v>24</v>
      </c>
      <c r="M29" s="46" t="s">
        <v>24</v>
      </c>
      <c r="AD29" s="48"/>
      <c r="AE29" s="48"/>
      <c r="AF29" s="48"/>
      <c r="AG29" s="48"/>
      <c r="AH29" s="48"/>
      <c r="AI29" s="48"/>
      <c r="AJ29" s="49"/>
    </row>
    <row r="30" spans="1:36" s="47" customFormat="1">
      <c r="A30" s="46" t="s">
        <v>318</v>
      </c>
      <c r="B30" s="52" t="s">
        <v>341</v>
      </c>
      <c r="C30" s="52" t="s">
        <v>320</v>
      </c>
      <c r="D30" s="52" t="s">
        <v>328</v>
      </c>
      <c r="E30" s="52">
        <v>3</v>
      </c>
      <c r="F30" s="52" t="s">
        <v>269</v>
      </c>
      <c r="G30" s="52">
        <v>40</v>
      </c>
      <c r="H30" s="52">
        <v>220</v>
      </c>
      <c r="I30" s="53">
        <v>39083</v>
      </c>
      <c r="J30" s="54">
        <v>1</v>
      </c>
      <c r="K30" s="92">
        <v>323.79000000000002</v>
      </c>
      <c r="L30" s="46" t="s">
        <v>24</v>
      </c>
      <c r="M30" s="46" t="s">
        <v>24</v>
      </c>
      <c r="AD30" s="48"/>
      <c r="AE30" s="48"/>
      <c r="AF30" s="48"/>
      <c r="AG30" s="48"/>
      <c r="AH30" s="48"/>
      <c r="AI30" s="48"/>
      <c r="AJ30" s="49"/>
    </row>
    <row r="31" spans="1:36" s="47" customFormat="1">
      <c r="A31" s="46" t="s">
        <v>318</v>
      </c>
      <c r="B31" s="52" t="s">
        <v>341</v>
      </c>
      <c r="C31" s="52" t="s">
        <v>320</v>
      </c>
      <c r="D31" s="52" t="s">
        <v>328</v>
      </c>
      <c r="E31" s="52">
        <v>4</v>
      </c>
      <c r="F31" s="52" t="s">
        <v>269</v>
      </c>
      <c r="G31" s="52">
        <v>40</v>
      </c>
      <c r="H31" s="52">
        <v>207</v>
      </c>
      <c r="I31" s="53">
        <v>39482</v>
      </c>
      <c r="J31" s="54">
        <v>1</v>
      </c>
      <c r="K31" s="92">
        <v>309.70999999999998</v>
      </c>
      <c r="L31" s="46" t="s">
        <v>24</v>
      </c>
      <c r="M31" s="46" t="s">
        <v>24</v>
      </c>
      <c r="AD31" s="48"/>
      <c r="AE31" s="48"/>
      <c r="AF31" s="48"/>
      <c r="AG31" s="48"/>
      <c r="AH31" s="48"/>
      <c r="AI31" s="48"/>
      <c r="AJ31" s="49"/>
    </row>
    <row r="32" spans="1:36" s="47" customFormat="1">
      <c r="A32" s="46" t="s">
        <v>318</v>
      </c>
      <c r="B32" s="52" t="s">
        <v>342</v>
      </c>
      <c r="C32" s="52" t="s">
        <v>320</v>
      </c>
      <c r="D32" s="52" t="s">
        <v>325</v>
      </c>
      <c r="E32" s="52">
        <v>4</v>
      </c>
      <c r="F32" s="52" t="s">
        <v>269</v>
      </c>
      <c r="G32" s="52">
        <v>40</v>
      </c>
      <c r="H32" s="52">
        <v>217</v>
      </c>
      <c r="I32" s="53">
        <v>39174</v>
      </c>
      <c r="J32" s="54">
        <v>1</v>
      </c>
      <c r="K32" s="92">
        <v>309.70999999999998</v>
      </c>
      <c r="L32" s="46" t="s">
        <v>24</v>
      </c>
      <c r="M32" s="46" t="s">
        <v>24</v>
      </c>
      <c r="AD32" s="48"/>
      <c r="AE32" s="48"/>
      <c r="AF32" s="48"/>
      <c r="AG32" s="48"/>
      <c r="AH32" s="48"/>
      <c r="AI32" s="48"/>
      <c r="AJ32" s="49"/>
    </row>
    <row r="33" spans="1:36" s="47" customFormat="1">
      <c r="A33" s="46" t="s">
        <v>318</v>
      </c>
      <c r="B33" s="52" t="s">
        <v>327</v>
      </c>
      <c r="C33" s="52" t="s">
        <v>320</v>
      </c>
      <c r="D33" s="52" t="s">
        <v>340</v>
      </c>
      <c r="E33" s="52">
        <v>4</v>
      </c>
      <c r="F33" s="52" t="s">
        <v>269</v>
      </c>
      <c r="G33" s="52">
        <v>40</v>
      </c>
      <c r="H33" s="52">
        <v>195</v>
      </c>
      <c r="I33" s="53">
        <v>39853</v>
      </c>
      <c r="J33" s="54">
        <v>1</v>
      </c>
      <c r="K33" s="92">
        <v>332.75</v>
      </c>
      <c r="L33" s="46" t="s">
        <v>24</v>
      </c>
      <c r="M33" s="46" t="s">
        <v>24</v>
      </c>
      <c r="AD33" s="48"/>
      <c r="AE33" s="48"/>
      <c r="AF33" s="48"/>
      <c r="AG33" s="48"/>
      <c r="AH33" s="48"/>
      <c r="AI33" s="48"/>
      <c r="AJ33" s="49"/>
    </row>
    <row r="34" spans="1:36" s="47" customFormat="1">
      <c r="A34" s="46" t="s">
        <v>318</v>
      </c>
      <c r="B34" s="52" t="s">
        <v>333</v>
      </c>
      <c r="C34" s="52" t="s">
        <v>320</v>
      </c>
      <c r="D34" s="52" t="s">
        <v>325</v>
      </c>
      <c r="E34" s="52">
        <v>3</v>
      </c>
      <c r="F34" s="52" t="s">
        <v>269</v>
      </c>
      <c r="G34" s="52">
        <v>40</v>
      </c>
      <c r="H34" s="52">
        <v>220</v>
      </c>
      <c r="I34" s="53">
        <v>39083</v>
      </c>
      <c r="J34" s="54">
        <v>1</v>
      </c>
      <c r="K34" s="92">
        <v>309.70999999999998</v>
      </c>
      <c r="L34" s="46" t="s">
        <v>24</v>
      </c>
      <c r="M34" s="46" t="s">
        <v>24</v>
      </c>
      <c r="AD34" s="48"/>
      <c r="AE34" s="48"/>
      <c r="AF34" s="48"/>
      <c r="AG34" s="48"/>
      <c r="AH34" s="48"/>
      <c r="AI34" s="48"/>
      <c r="AJ34" s="49"/>
    </row>
    <row r="35" spans="1:36" s="47" customFormat="1">
      <c r="A35" s="46" t="s">
        <v>318</v>
      </c>
      <c r="B35" s="52" t="s">
        <v>338</v>
      </c>
      <c r="C35" s="52" t="s">
        <v>320</v>
      </c>
      <c r="D35" s="52" t="s">
        <v>328</v>
      </c>
      <c r="E35" s="52">
        <v>4</v>
      </c>
      <c r="F35" s="52" t="s">
        <v>269</v>
      </c>
      <c r="G35" s="52">
        <v>40</v>
      </c>
      <c r="H35" s="52">
        <v>292</v>
      </c>
      <c r="I35" s="53">
        <v>36913</v>
      </c>
      <c r="J35" s="54">
        <v>1</v>
      </c>
      <c r="K35" s="92">
        <v>364.73</v>
      </c>
      <c r="L35" s="46" t="s">
        <v>24</v>
      </c>
      <c r="M35" s="46" t="s">
        <v>24</v>
      </c>
      <c r="AD35" s="48"/>
      <c r="AE35" s="48"/>
      <c r="AF35" s="48"/>
      <c r="AG35" s="48"/>
      <c r="AH35" s="48"/>
      <c r="AI35" s="48"/>
      <c r="AJ35" s="49"/>
    </row>
    <row r="36" spans="1:36" s="47" customFormat="1">
      <c r="A36" s="46" t="s">
        <v>318</v>
      </c>
      <c r="B36" s="52" t="s">
        <v>333</v>
      </c>
      <c r="C36" s="52" t="s">
        <v>320</v>
      </c>
      <c r="D36" s="52" t="s">
        <v>325</v>
      </c>
      <c r="E36" s="52">
        <v>3</v>
      </c>
      <c r="F36" s="52" t="s">
        <v>269</v>
      </c>
      <c r="G36" s="52">
        <v>40</v>
      </c>
      <c r="H36" s="52">
        <v>218</v>
      </c>
      <c r="I36" s="53">
        <v>39142</v>
      </c>
      <c r="J36" s="54">
        <v>1</v>
      </c>
      <c r="K36" s="92">
        <v>309.70999999999998</v>
      </c>
      <c r="L36" s="46" t="s">
        <v>24</v>
      </c>
      <c r="M36" s="46" t="s">
        <v>24</v>
      </c>
      <c r="AD36" s="48"/>
      <c r="AE36" s="48"/>
      <c r="AF36" s="48"/>
      <c r="AG36" s="48"/>
      <c r="AH36" s="48"/>
      <c r="AI36" s="48"/>
      <c r="AJ36" s="49"/>
    </row>
    <row r="37" spans="1:36" s="47" customFormat="1">
      <c r="A37" s="46" t="s">
        <v>318</v>
      </c>
      <c r="B37" s="52" t="s">
        <v>333</v>
      </c>
      <c r="C37" s="52" t="s">
        <v>320</v>
      </c>
      <c r="D37" s="52" t="s">
        <v>328</v>
      </c>
      <c r="E37" s="52">
        <v>4</v>
      </c>
      <c r="F37" s="52" t="s">
        <v>269</v>
      </c>
      <c r="G37" s="52">
        <v>40</v>
      </c>
      <c r="H37" s="52">
        <v>219</v>
      </c>
      <c r="I37" s="53">
        <v>39114</v>
      </c>
      <c r="J37" s="54">
        <v>1</v>
      </c>
      <c r="K37" s="92">
        <v>309.70999999999998</v>
      </c>
      <c r="L37" s="46" t="s">
        <v>24</v>
      </c>
      <c r="M37" s="46" t="s">
        <v>24</v>
      </c>
      <c r="AD37" s="48"/>
      <c r="AE37" s="48"/>
      <c r="AF37" s="48"/>
      <c r="AG37" s="48"/>
      <c r="AH37" s="48"/>
      <c r="AI37" s="48"/>
      <c r="AJ37" s="49"/>
    </row>
    <row r="38" spans="1:36" s="47" customFormat="1">
      <c r="A38" s="46" t="s">
        <v>318</v>
      </c>
      <c r="B38" s="52" t="s">
        <v>333</v>
      </c>
      <c r="C38" s="52" t="s">
        <v>320</v>
      </c>
      <c r="D38" s="52" t="s">
        <v>325</v>
      </c>
      <c r="E38" s="52">
        <v>4</v>
      </c>
      <c r="F38" s="52" t="s">
        <v>269</v>
      </c>
      <c r="G38" s="52">
        <v>40</v>
      </c>
      <c r="H38" s="52">
        <v>220</v>
      </c>
      <c r="I38" s="53">
        <v>39083</v>
      </c>
      <c r="J38" s="54">
        <v>1</v>
      </c>
      <c r="K38" s="92">
        <v>360.27</v>
      </c>
      <c r="L38" s="46" t="s">
        <v>24</v>
      </c>
      <c r="M38" s="46" t="s">
        <v>24</v>
      </c>
      <c r="AD38" s="48"/>
      <c r="AE38" s="48"/>
      <c r="AF38" s="48"/>
      <c r="AG38" s="48"/>
      <c r="AH38" s="48"/>
      <c r="AI38" s="48"/>
      <c r="AJ38" s="49"/>
    </row>
    <row r="39" spans="1:36" s="47" customFormat="1">
      <c r="A39" s="46" t="s">
        <v>318</v>
      </c>
      <c r="B39" s="52" t="s">
        <v>333</v>
      </c>
      <c r="C39" s="52" t="s">
        <v>320</v>
      </c>
      <c r="D39" s="52" t="s">
        <v>328</v>
      </c>
      <c r="E39" s="52">
        <v>4</v>
      </c>
      <c r="F39" s="52" t="s">
        <v>269</v>
      </c>
      <c r="G39" s="52">
        <v>40</v>
      </c>
      <c r="H39" s="52">
        <v>218</v>
      </c>
      <c r="I39" s="53">
        <v>39142</v>
      </c>
      <c r="J39" s="54">
        <v>1</v>
      </c>
      <c r="K39" s="92">
        <v>368.28</v>
      </c>
      <c r="L39" s="46" t="s">
        <v>24</v>
      </c>
      <c r="M39" s="46" t="s">
        <v>24</v>
      </c>
      <c r="AD39" s="48"/>
      <c r="AE39" s="48"/>
      <c r="AF39" s="48"/>
      <c r="AG39" s="48"/>
      <c r="AH39" s="48"/>
      <c r="AI39" s="48"/>
      <c r="AJ39" s="49"/>
    </row>
    <row r="40" spans="1:36" s="47" customFormat="1">
      <c r="A40" s="46" t="s">
        <v>318</v>
      </c>
      <c r="B40" s="52" t="s">
        <v>333</v>
      </c>
      <c r="C40" s="52" t="s">
        <v>320</v>
      </c>
      <c r="D40" s="52" t="s">
        <v>328</v>
      </c>
      <c r="E40" s="52">
        <v>4</v>
      </c>
      <c r="F40" s="52" t="s">
        <v>269</v>
      </c>
      <c r="G40" s="52">
        <v>40</v>
      </c>
      <c r="H40" s="52">
        <v>220</v>
      </c>
      <c r="I40" s="53">
        <v>39083</v>
      </c>
      <c r="J40" s="54">
        <v>1</v>
      </c>
      <c r="K40" s="92">
        <v>380.27</v>
      </c>
      <c r="L40" s="46" t="s">
        <v>24</v>
      </c>
      <c r="M40" s="46" t="s">
        <v>24</v>
      </c>
      <c r="AD40" s="48"/>
      <c r="AE40" s="48"/>
      <c r="AF40" s="48"/>
      <c r="AG40" s="48"/>
      <c r="AH40" s="48"/>
      <c r="AI40" s="48"/>
      <c r="AJ40" s="49"/>
    </row>
    <row r="41" spans="1:36" s="47" customFormat="1">
      <c r="A41" s="46" t="s">
        <v>318</v>
      </c>
      <c r="B41" s="52" t="s">
        <v>333</v>
      </c>
      <c r="C41" s="52" t="s">
        <v>320</v>
      </c>
      <c r="D41" s="52" t="s">
        <v>328</v>
      </c>
      <c r="E41" s="52">
        <v>3</v>
      </c>
      <c r="F41" s="52" t="s">
        <v>269</v>
      </c>
      <c r="G41" s="52">
        <v>40</v>
      </c>
      <c r="H41" s="52">
        <v>218</v>
      </c>
      <c r="I41" s="53">
        <v>39142</v>
      </c>
      <c r="J41" s="54">
        <v>1</v>
      </c>
      <c r="K41" s="92">
        <v>342.37</v>
      </c>
      <c r="L41" s="46" t="s">
        <v>24</v>
      </c>
      <c r="M41" s="46" t="s">
        <v>24</v>
      </c>
      <c r="AD41" s="48"/>
      <c r="AE41" s="48"/>
      <c r="AF41" s="48"/>
      <c r="AG41" s="48"/>
      <c r="AH41" s="48"/>
      <c r="AI41" s="48"/>
      <c r="AJ41" s="49"/>
    </row>
    <row r="42" spans="1:36" s="47" customFormat="1">
      <c r="A42" s="46" t="s">
        <v>318</v>
      </c>
      <c r="B42" s="52" t="s">
        <v>333</v>
      </c>
      <c r="C42" s="52" t="s">
        <v>320</v>
      </c>
      <c r="D42" s="52" t="s">
        <v>328</v>
      </c>
      <c r="E42" s="52">
        <v>3</v>
      </c>
      <c r="F42" s="52" t="s">
        <v>269</v>
      </c>
      <c r="G42" s="52">
        <v>40</v>
      </c>
      <c r="H42" s="52">
        <v>218</v>
      </c>
      <c r="I42" s="53">
        <v>39142</v>
      </c>
      <c r="J42" s="54">
        <v>1</v>
      </c>
      <c r="K42" s="92">
        <v>309.70999999999998</v>
      </c>
      <c r="L42" s="46" t="s">
        <v>24</v>
      </c>
      <c r="M42" s="46" t="s">
        <v>24</v>
      </c>
      <c r="AD42" s="48"/>
      <c r="AE42" s="48"/>
      <c r="AF42" s="48"/>
      <c r="AG42" s="48"/>
      <c r="AH42" s="48"/>
      <c r="AI42" s="48"/>
      <c r="AJ42" s="49"/>
    </row>
    <row r="43" spans="1:36" s="47" customFormat="1">
      <c r="A43" s="46" t="s">
        <v>318</v>
      </c>
      <c r="B43" s="52" t="s">
        <v>333</v>
      </c>
      <c r="C43" s="52" t="s">
        <v>320</v>
      </c>
      <c r="D43" s="52" t="s">
        <v>325</v>
      </c>
      <c r="E43" s="52">
        <v>4</v>
      </c>
      <c r="F43" s="52" t="s">
        <v>269</v>
      </c>
      <c r="G43" s="52">
        <v>40</v>
      </c>
      <c r="H43" s="52">
        <v>218</v>
      </c>
      <c r="I43" s="53">
        <v>39142</v>
      </c>
      <c r="J43" s="54">
        <v>1</v>
      </c>
      <c r="K43" s="92">
        <v>380.27</v>
      </c>
      <c r="L43" s="46" t="s">
        <v>24</v>
      </c>
      <c r="M43" s="46" t="s">
        <v>24</v>
      </c>
      <c r="AD43" s="48"/>
      <c r="AE43" s="48"/>
      <c r="AF43" s="48"/>
      <c r="AG43" s="48"/>
      <c r="AH43" s="48"/>
      <c r="AI43" s="48"/>
      <c r="AJ43" s="49"/>
    </row>
    <row r="44" spans="1:36" s="47" customFormat="1">
      <c r="A44" s="46" t="s">
        <v>318</v>
      </c>
      <c r="B44" s="52" t="s">
        <v>333</v>
      </c>
      <c r="C44" s="52" t="s">
        <v>320</v>
      </c>
      <c r="D44" s="52" t="s">
        <v>328</v>
      </c>
      <c r="E44" s="52">
        <v>4</v>
      </c>
      <c r="F44" s="52" t="s">
        <v>269</v>
      </c>
      <c r="G44" s="52">
        <v>40</v>
      </c>
      <c r="H44" s="52">
        <v>219</v>
      </c>
      <c r="I44" s="53">
        <v>39114</v>
      </c>
      <c r="J44" s="54">
        <v>1</v>
      </c>
      <c r="K44" s="92">
        <v>309.70999999999998</v>
      </c>
      <c r="L44" s="46" t="s">
        <v>24</v>
      </c>
      <c r="M44" s="46" t="s">
        <v>24</v>
      </c>
      <c r="AD44" s="48"/>
      <c r="AE44" s="48"/>
      <c r="AF44" s="48"/>
      <c r="AG44" s="48"/>
      <c r="AH44" s="48"/>
      <c r="AI44" s="48"/>
      <c r="AJ44" s="49"/>
    </row>
    <row r="45" spans="1:36" s="47" customFormat="1">
      <c r="A45" s="46" t="s">
        <v>318</v>
      </c>
      <c r="B45" s="52" t="s">
        <v>342</v>
      </c>
      <c r="C45" s="52" t="s">
        <v>320</v>
      </c>
      <c r="D45" s="52" t="s">
        <v>328</v>
      </c>
      <c r="E45" s="52">
        <v>4</v>
      </c>
      <c r="F45" s="52" t="s">
        <v>269</v>
      </c>
      <c r="G45" s="52">
        <v>40</v>
      </c>
      <c r="H45" s="52">
        <v>207</v>
      </c>
      <c r="I45" s="53">
        <v>39482</v>
      </c>
      <c r="J45" s="54">
        <v>1</v>
      </c>
      <c r="K45" s="92">
        <v>360.27</v>
      </c>
      <c r="L45" s="46" t="s">
        <v>24</v>
      </c>
      <c r="M45" s="46" t="s">
        <v>24</v>
      </c>
      <c r="AD45" s="48"/>
      <c r="AE45" s="48"/>
      <c r="AF45" s="48"/>
      <c r="AG45" s="48"/>
      <c r="AH45" s="48"/>
      <c r="AI45" s="48"/>
      <c r="AJ45" s="49"/>
    </row>
    <row r="46" spans="1:36" s="47" customFormat="1">
      <c r="A46" s="46" t="s">
        <v>318</v>
      </c>
      <c r="B46" s="52" t="s">
        <v>332</v>
      </c>
      <c r="C46" s="52" t="s">
        <v>320</v>
      </c>
      <c r="D46" s="52" t="s">
        <v>325</v>
      </c>
      <c r="E46" s="52">
        <v>4</v>
      </c>
      <c r="F46" s="52" t="s">
        <v>269</v>
      </c>
      <c r="G46" s="52">
        <v>40</v>
      </c>
      <c r="H46" s="52">
        <v>98</v>
      </c>
      <c r="I46" s="53">
        <v>42795</v>
      </c>
      <c r="J46" s="54">
        <v>1</v>
      </c>
      <c r="K46" s="92">
        <v>317.70999999999998</v>
      </c>
      <c r="L46" s="46" t="s">
        <v>24</v>
      </c>
      <c r="M46" s="46" t="s">
        <v>24</v>
      </c>
      <c r="AD46" s="48"/>
      <c r="AE46" s="48"/>
      <c r="AF46" s="48"/>
      <c r="AG46" s="48"/>
      <c r="AH46" s="48"/>
      <c r="AI46" s="48"/>
      <c r="AJ46" s="49"/>
    </row>
    <row r="47" spans="1:36" s="47" customFormat="1">
      <c r="A47" s="46" t="s">
        <v>318</v>
      </c>
      <c r="B47" s="52" t="s">
        <v>332</v>
      </c>
      <c r="C47" s="52" t="s">
        <v>320</v>
      </c>
      <c r="D47" s="52" t="s">
        <v>325</v>
      </c>
      <c r="E47" s="52">
        <v>3</v>
      </c>
      <c r="F47" s="52" t="s">
        <v>269</v>
      </c>
      <c r="G47" s="52">
        <v>40</v>
      </c>
      <c r="H47" s="52">
        <v>98</v>
      </c>
      <c r="I47" s="53">
        <v>42795</v>
      </c>
      <c r="J47" s="54">
        <v>1</v>
      </c>
      <c r="K47" s="92">
        <v>297.70999999999998</v>
      </c>
      <c r="L47" s="46" t="s">
        <v>24</v>
      </c>
      <c r="M47" s="46" t="s">
        <v>24</v>
      </c>
      <c r="AD47" s="48"/>
      <c r="AE47" s="48"/>
      <c r="AF47" s="48"/>
      <c r="AG47" s="48"/>
      <c r="AH47" s="48"/>
      <c r="AI47" s="48"/>
      <c r="AJ47" s="49"/>
    </row>
    <row r="48" spans="1:36" s="47" customFormat="1">
      <c r="A48" s="46" t="s">
        <v>318</v>
      </c>
      <c r="B48" s="52" t="s">
        <v>332</v>
      </c>
      <c r="C48" s="52" t="s">
        <v>320</v>
      </c>
      <c r="D48" s="52" t="s">
        <v>325</v>
      </c>
      <c r="E48" s="52">
        <v>3</v>
      </c>
      <c r="F48" s="52" t="s">
        <v>269</v>
      </c>
      <c r="G48" s="52">
        <v>40</v>
      </c>
      <c r="H48" s="52">
        <v>98</v>
      </c>
      <c r="I48" s="53">
        <v>42795</v>
      </c>
      <c r="J48" s="54">
        <v>1</v>
      </c>
      <c r="K48" s="92">
        <v>297.70999999999998</v>
      </c>
      <c r="L48" s="46" t="s">
        <v>24</v>
      </c>
      <c r="M48" s="46" t="s">
        <v>24</v>
      </c>
      <c r="AD48" s="48"/>
      <c r="AE48" s="48"/>
      <c r="AF48" s="48"/>
      <c r="AG48" s="48"/>
      <c r="AH48" s="48"/>
      <c r="AI48" s="48"/>
      <c r="AJ48" s="49"/>
    </row>
    <row r="49" spans="1:36" s="47" customFormat="1">
      <c r="A49" s="46" t="s">
        <v>318</v>
      </c>
      <c r="B49" s="52" t="s">
        <v>338</v>
      </c>
      <c r="C49" s="52" t="s">
        <v>320</v>
      </c>
      <c r="D49" s="52" t="s">
        <v>325</v>
      </c>
      <c r="E49" s="52">
        <v>4</v>
      </c>
      <c r="F49" s="52" t="s">
        <v>269</v>
      </c>
      <c r="G49" s="52">
        <v>40</v>
      </c>
      <c r="H49" s="52">
        <v>97</v>
      </c>
      <c r="I49" s="53">
        <v>42826</v>
      </c>
      <c r="J49" s="54">
        <v>1</v>
      </c>
      <c r="K49" s="92">
        <v>267.5</v>
      </c>
      <c r="L49" s="46" t="s">
        <v>24</v>
      </c>
      <c r="M49" s="46" t="s">
        <v>24</v>
      </c>
      <c r="AD49" s="48"/>
      <c r="AE49" s="48"/>
      <c r="AF49" s="48"/>
      <c r="AG49" s="48"/>
      <c r="AH49" s="48"/>
      <c r="AI49" s="48"/>
      <c r="AJ49" s="49"/>
    </row>
    <row r="50" spans="1:36" s="47" customFormat="1">
      <c r="A50" s="46" t="s">
        <v>318</v>
      </c>
      <c r="B50" s="52" t="s">
        <v>338</v>
      </c>
      <c r="C50" s="52" t="s">
        <v>320</v>
      </c>
      <c r="D50" s="52" t="s">
        <v>325</v>
      </c>
      <c r="E50" s="52">
        <v>4</v>
      </c>
      <c r="F50" s="52" t="s">
        <v>269</v>
      </c>
      <c r="G50" s="52">
        <v>40</v>
      </c>
      <c r="H50" s="52">
        <v>97</v>
      </c>
      <c r="I50" s="53">
        <v>42826</v>
      </c>
      <c r="J50" s="54">
        <v>1</v>
      </c>
      <c r="K50" s="92">
        <v>230.35</v>
      </c>
      <c r="L50" s="46" t="s">
        <v>24</v>
      </c>
      <c r="M50" s="46" t="s">
        <v>24</v>
      </c>
      <c r="AD50" s="48"/>
      <c r="AE50" s="48"/>
      <c r="AF50" s="48"/>
      <c r="AG50" s="48"/>
      <c r="AH50" s="48"/>
      <c r="AI50" s="48"/>
      <c r="AJ50" s="49"/>
    </row>
    <row r="51" spans="1:36" s="47" customFormat="1">
      <c r="A51" s="46" t="s">
        <v>318</v>
      </c>
      <c r="B51" s="52" t="s">
        <v>338</v>
      </c>
      <c r="C51" s="52" t="s">
        <v>320</v>
      </c>
      <c r="D51" s="52" t="s">
        <v>325</v>
      </c>
      <c r="E51" s="52">
        <v>4</v>
      </c>
      <c r="F51" s="52" t="s">
        <v>269</v>
      </c>
      <c r="G51" s="52">
        <v>40</v>
      </c>
      <c r="H51" s="52">
        <v>97</v>
      </c>
      <c r="I51" s="53">
        <v>42826</v>
      </c>
      <c r="J51" s="54">
        <v>1</v>
      </c>
      <c r="K51" s="92">
        <v>230.35</v>
      </c>
      <c r="L51" s="46" t="s">
        <v>24</v>
      </c>
      <c r="M51" s="46" t="s">
        <v>24</v>
      </c>
      <c r="AD51" s="48"/>
      <c r="AE51" s="48"/>
      <c r="AF51" s="48"/>
      <c r="AG51" s="48"/>
      <c r="AH51" s="48"/>
      <c r="AI51" s="48"/>
      <c r="AJ51" s="49"/>
    </row>
    <row r="52" spans="1:36" s="47" customFormat="1">
      <c r="A52" s="46" t="s">
        <v>318</v>
      </c>
      <c r="B52" s="52" t="s">
        <v>343</v>
      </c>
      <c r="C52" s="52" t="s">
        <v>320</v>
      </c>
      <c r="D52" s="52" t="s">
        <v>323</v>
      </c>
      <c r="E52" s="52">
        <v>6</v>
      </c>
      <c r="F52" s="52" t="s">
        <v>269</v>
      </c>
      <c r="G52" s="52">
        <v>40</v>
      </c>
      <c r="H52" s="52">
        <v>94</v>
      </c>
      <c r="I52" s="53">
        <v>42940</v>
      </c>
      <c r="J52" s="54">
        <v>2</v>
      </c>
      <c r="K52" s="92">
        <v>313.31</v>
      </c>
      <c r="L52" s="46" t="s">
        <v>24</v>
      </c>
      <c r="M52" s="46" t="s">
        <v>24</v>
      </c>
      <c r="AD52" s="48"/>
      <c r="AE52" s="48"/>
      <c r="AF52" s="48"/>
      <c r="AG52" s="48"/>
      <c r="AH52" s="48"/>
      <c r="AI52" s="48"/>
      <c r="AJ52" s="49"/>
    </row>
    <row r="53" spans="1:36" s="47" customFormat="1">
      <c r="A53" s="46" t="s">
        <v>318</v>
      </c>
      <c r="B53" s="52" t="s">
        <v>332</v>
      </c>
      <c r="C53" s="52" t="s">
        <v>320</v>
      </c>
      <c r="D53" s="52" t="s">
        <v>344</v>
      </c>
      <c r="E53" s="52">
        <v>4</v>
      </c>
      <c r="F53" s="52" t="s">
        <v>269</v>
      </c>
      <c r="G53" s="52">
        <v>40</v>
      </c>
      <c r="H53" s="52">
        <v>83</v>
      </c>
      <c r="I53" s="53">
        <v>43271</v>
      </c>
      <c r="J53" s="54">
        <v>1</v>
      </c>
      <c r="K53" s="92">
        <v>0</v>
      </c>
      <c r="L53" s="46" t="s">
        <v>24</v>
      </c>
      <c r="M53" s="46" t="s">
        <v>24</v>
      </c>
      <c r="AD53" s="48"/>
      <c r="AE53" s="48"/>
      <c r="AF53" s="48"/>
      <c r="AG53" s="48"/>
      <c r="AH53" s="48"/>
      <c r="AI53" s="48"/>
      <c r="AJ53" s="49"/>
    </row>
    <row r="54" spans="1:36" s="47" customFormat="1">
      <c r="A54" s="46" t="s">
        <v>318</v>
      </c>
      <c r="B54" s="52" t="s">
        <v>337</v>
      </c>
      <c r="C54" s="52" t="s">
        <v>320</v>
      </c>
      <c r="D54" s="52" t="s">
        <v>328</v>
      </c>
      <c r="E54" s="52">
        <v>3</v>
      </c>
      <c r="F54" s="52" t="s">
        <v>269</v>
      </c>
      <c r="G54" s="52">
        <v>40</v>
      </c>
      <c r="H54" s="52">
        <v>71</v>
      </c>
      <c r="I54" s="53">
        <v>43633</v>
      </c>
      <c r="J54" s="54">
        <v>1</v>
      </c>
      <c r="K54" s="92">
        <v>177.35</v>
      </c>
      <c r="L54" s="46" t="s">
        <v>24</v>
      </c>
      <c r="M54" s="46" t="s">
        <v>24</v>
      </c>
      <c r="AD54" s="48"/>
      <c r="AE54" s="48"/>
      <c r="AF54" s="48"/>
      <c r="AG54" s="48"/>
      <c r="AH54" s="48"/>
      <c r="AI54" s="48"/>
      <c r="AJ54" s="49"/>
    </row>
    <row r="55" spans="1:36" s="47" customFormat="1">
      <c r="A55" s="46" t="s">
        <v>318</v>
      </c>
      <c r="B55" s="52" t="s">
        <v>345</v>
      </c>
      <c r="C55" s="52" t="s">
        <v>320</v>
      </c>
      <c r="D55" s="52" t="s">
        <v>323</v>
      </c>
      <c r="E55" s="52">
        <v>5</v>
      </c>
      <c r="F55" s="52" t="s">
        <v>269</v>
      </c>
      <c r="G55" s="52">
        <v>40</v>
      </c>
      <c r="H55" s="52">
        <v>27</v>
      </c>
      <c r="I55" s="53">
        <v>44958</v>
      </c>
      <c r="J55" s="54">
        <v>1</v>
      </c>
      <c r="K55" s="92">
        <v>290.94</v>
      </c>
      <c r="L55" s="46" t="s">
        <v>24</v>
      </c>
      <c r="M55" s="46" t="s">
        <v>24</v>
      </c>
      <c r="AD55" s="48"/>
      <c r="AE55" s="48"/>
      <c r="AF55" s="48"/>
      <c r="AG55" s="48"/>
      <c r="AH55" s="48"/>
      <c r="AI55" s="48"/>
      <c r="AJ55" s="49"/>
    </row>
    <row r="56" spans="1:36" s="47" customFormat="1">
      <c r="A56" s="46" t="s">
        <v>318</v>
      </c>
      <c r="B56" s="52" t="s">
        <v>333</v>
      </c>
      <c r="C56" s="52" t="s">
        <v>320</v>
      </c>
      <c r="D56" s="52" t="s">
        <v>325</v>
      </c>
      <c r="E56" s="52">
        <v>4</v>
      </c>
      <c r="F56" s="52" t="s">
        <v>269</v>
      </c>
      <c r="G56" s="52">
        <v>40</v>
      </c>
      <c r="H56" s="52">
        <v>32</v>
      </c>
      <c r="I56" s="53">
        <v>44805</v>
      </c>
      <c r="J56" s="54">
        <v>1</v>
      </c>
      <c r="K56" s="92">
        <v>182.77</v>
      </c>
      <c r="L56" s="46" t="s">
        <v>24</v>
      </c>
      <c r="M56" s="46" t="s">
        <v>24</v>
      </c>
      <c r="AD56" s="48"/>
      <c r="AE56" s="48"/>
      <c r="AF56" s="48"/>
      <c r="AG56" s="48"/>
      <c r="AH56" s="48"/>
      <c r="AI56" s="48"/>
      <c r="AJ56" s="49"/>
    </row>
    <row r="57" spans="1:36" s="47" customFormat="1">
      <c r="A57" s="46" t="s">
        <v>318</v>
      </c>
      <c r="B57" s="52" t="s">
        <v>342</v>
      </c>
      <c r="C57" s="52" t="s">
        <v>320</v>
      </c>
      <c r="D57" s="52" t="s">
        <v>328</v>
      </c>
      <c r="E57" s="52">
        <v>4</v>
      </c>
      <c r="F57" s="52" t="s">
        <v>269</v>
      </c>
      <c r="G57" s="52">
        <v>40</v>
      </c>
      <c r="H57" s="52">
        <v>32</v>
      </c>
      <c r="I57" s="53">
        <v>44805</v>
      </c>
      <c r="J57" s="54">
        <v>1</v>
      </c>
      <c r="K57" s="92">
        <v>18.11</v>
      </c>
      <c r="L57" s="46" t="s">
        <v>24</v>
      </c>
      <c r="M57" s="46" t="s">
        <v>24</v>
      </c>
      <c r="AD57" s="48"/>
      <c r="AE57" s="48"/>
      <c r="AF57" s="48"/>
      <c r="AG57" s="48"/>
      <c r="AH57" s="48"/>
      <c r="AI57" s="48"/>
      <c r="AJ57" s="49"/>
    </row>
    <row r="58" spans="1:36" s="47" customFormat="1">
      <c r="A58" s="46" t="s">
        <v>318</v>
      </c>
      <c r="B58" s="52" t="s">
        <v>342</v>
      </c>
      <c r="C58" s="52" t="s">
        <v>320</v>
      </c>
      <c r="D58" s="52" t="s">
        <v>328</v>
      </c>
      <c r="E58" s="52">
        <v>3</v>
      </c>
      <c r="F58" s="52" t="s">
        <v>269</v>
      </c>
      <c r="G58" s="52">
        <v>40</v>
      </c>
      <c r="H58" s="52">
        <v>32</v>
      </c>
      <c r="I58" s="53">
        <v>44805</v>
      </c>
      <c r="J58" s="54">
        <v>0</v>
      </c>
      <c r="K58" s="92">
        <v>0</v>
      </c>
      <c r="L58" s="46" t="s">
        <v>24</v>
      </c>
      <c r="M58" s="46" t="s">
        <v>24</v>
      </c>
      <c r="AD58" s="48"/>
      <c r="AE58" s="48"/>
      <c r="AF58" s="48"/>
      <c r="AG58" s="48"/>
      <c r="AH58" s="48"/>
      <c r="AI58" s="48"/>
      <c r="AJ58" s="49"/>
    </row>
    <row r="59" spans="1:36" s="47" customFormat="1">
      <c r="A59" s="46" t="s">
        <v>318</v>
      </c>
      <c r="B59" s="52" t="s">
        <v>342</v>
      </c>
      <c r="C59" s="52" t="s">
        <v>320</v>
      </c>
      <c r="D59" s="52" t="s">
        <v>328</v>
      </c>
      <c r="E59" s="52">
        <v>4</v>
      </c>
      <c r="F59" s="52" t="s">
        <v>269</v>
      </c>
      <c r="G59" s="52">
        <v>40</v>
      </c>
      <c r="H59" s="52">
        <v>32</v>
      </c>
      <c r="I59" s="53">
        <v>44805</v>
      </c>
      <c r="J59" s="54">
        <v>1</v>
      </c>
      <c r="K59" s="92">
        <v>20.6</v>
      </c>
      <c r="L59" s="46" t="s">
        <v>24</v>
      </c>
      <c r="M59" s="46" t="s">
        <v>24</v>
      </c>
      <c r="AD59" s="48"/>
      <c r="AE59" s="48"/>
      <c r="AF59" s="48"/>
      <c r="AG59" s="48"/>
      <c r="AH59" s="48"/>
      <c r="AI59" s="48"/>
      <c r="AJ59" s="49"/>
    </row>
    <row r="60" spans="1:36" s="47" customFormat="1">
      <c r="A60" s="46" t="s">
        <v>318</v>
      </c>
      <c r="B60" s="52" t="s">
        <v>342</v>
      </c>
      <c r="C60" s="52" t="s">
        <v>320</v>
      </c>
      <c r="D60" s="52" t="s">
        <v>328</v>
      </c>
      <c r="E60" s="52">
        <v>4</v>
      </c>
      <c r="F60" s="52" t="s">
        <v>269</v>
      </c>
      <c r="G60" s="52">
        <v>40</v>
      </c>
      <c r="H60" s="52">
        <v>32</v>
      </c>
      <c r="I60" s="53">
        <v>44805</v>
      </c>
      <c r="J60" s="54">
        <v>1</v>
      </c>
      <c r="K60" s="92">
        <v>18.11</v>
      </c>
      <c r="L60" s="46" t="s">
        <v>24</v>
      </c>
      <c r="M60" s="46" t="s">
        <v>24</v>
      </c>
      <c r="AD60" s="48"/>
      <c r="AE60" s="48"/>
      <c r="AF60" s="48"/>
      <c r="AG60" s="48"/>
      <c r="AH60" s="48"/>
      <c r="AI60" s="48"/>
      <c r="AJ60" s="49"/>
    </row>
    <row r="61" spans="1:36" s="47" customFormat="1">
      <c r="A61" s="46" t="s">
        <v>318</v>
      </c>
      <c r="B61" s="52" t="s">
        <v>342</v>
      </c>
      <c r="C61" s="52" t="s">
        <v>320</v>
      </c>
      <c r="D61" s="52" t="s">
        <v>325</v>
      </c>
      <c r="E61" s="52">
        <v>4</v>
      </c>
      <c r="F61" s="52" t="s">
        <v>269</v>
      </c>
      <c r="G61" s="52">
        <v>40</v>
      </c>
      <c r="H61" s="52">
        <v>32</v>
      </c>
      <c r="I61" s="53">
        <v>44805</v>
      </c>
      <c r="J61" s="54">
        <v>1</v>
      </c>
      <c r="K61" s="92">
        <v>23.37</v>
      </c>
      <c r="L61" s="46" t="s">
        <v>24</v>
      </c>
      <c r="M61" s="46" t="s">
        <v>24</v>
      </c>
      <c r="AD61" s="48"/>
      <c r="AE61" s="48"/>
      <c r="AF61" s="48"/>
      <c r="AG61" s="48"/>
      <c r="AH61" s="48"/>
      <c r="AI61" s="48"/>
      <c r="AJ61" s="49"/>
    </row>
    <row r="62" spans="1:36" s="47" customFormat="1">
      <c r="A62" s="46" t="s">
        <v>318</v>
      </c>
      <c r="B62" s="52" t="s">
        <v>342</v>
      </c>
      <c r="C62" s="52" t="s">
        <v>320</v>
      </c>
      <c r="D62" s="52" t="s">
        <v>328</v>
      </c>
      <c r="E62" s="52">
        <v>3</v>
      </c>
      <c r="F62" s="52" t="s">
        <v>269</v>
      </c>
      <c r="G62" s="52">
        <v>40</v>
      </c>
      <c r="H62" s="52">
        <v>32</v>
      </c>
      <c r="I62" s="53">
        <v>44805</v>
      </c>
      <c r="J62" s="54">
        <v>0</v>
      </c>
      <c r="K62" s="92">
        <v>76.3</v>
      </c>
      <c r="L62" s="46" t="s">
        <v>24</v>
      </c>
      <c r="M62" s="46" t="s">
        <v>24</v>
      </c>
      <c r="AD62" s="48"/>
      <c r="AE62" s="48"/>
      <c r="AF62" s="48"/>
      <c r="AG62" s="48"/>
      <c r="AH62" s="48"/>
      <c r="AI62" s="48"/>
      <c r="AJ62" s="49"/>
    </row>
    <row r="63" spans="1:36" s="47" customFormat="1">
      <c r="A63" s="46" t="s">
        <v>318</v>
      </c>
      <c r="B63" s="52" t="s">
        <v>342</v>
      </c>
      <c r="C63" s="52" t="s">
        <v>320</v>
      </c>
      <c r="D63" s="52" t="s">
        <v>328</v>
      </c>
      <c r="E63" s="52">
        <v>4</v>
      </c>
      <c r="F63" s="52" t="s">
        <v>269</v>
      </c>
      <c r="G63" s="52">
        <v>40</v>
      </c>
      <c r="H63" s="52">
        <v>32</v>
      </c>
      <c r="I63" s="53">
        <v>44805</v>
      </c>
      <c r="J63" s="54">
        <v>1</v>
      </c>
      <c r="K63" s="92">
        <v>27.65</v>
      </c>
      <c r="L63" s="46" t="s">
        <v>24</v>
      </c>
      <c r="M63" s="46" t="s">
        <v>24</v>
      </c>
      <c r="AD63" s="48"/>
      <c r="AE63" s="48"/>
      <c r="AF63" s="48"/>
      <c r="AG63" s="48"/>
      <c r="AH63" s="48"/>
      <c r="AI63" s="48"/>
      <c r="AJ63" s="49"/>
    </row>
    <row r="64" spans="1:36" s="47" customFormat="1">
      <c r="A64" s="46" t="s">
        <v>318</v>
      </c>
      <c r="B64" s="52" t="s">
        <v>334</v>
      </c>
      <c r="C64" s="52" t="s">
        <v>320</v>
      </c>
      <c r="D64" s="52" t="s">
        <v>325</v>
      </c>
      <c r="E64" s="52">
        <v>3</v>
      </c>
      <c r="F64" s="52" t="s">
        <v>269</v>
      </c>
      <c r="G64" s="52">
        <v>40</v>
      </c>
      <c r="H64" s="52">
        <v>32</v>
      </c>
      <c r="I64" s="53">
        <v>44805</v>
      </c>
      <c r="J64" s="54">
        <v>0</v>
      </c>
      <c r="K64" s="92">
        <v>11.06</v>
      </c>
      <c r="L64" s="46" t="s">
        <v>24</v>
      </c>
      <c r="M64" s="46" t="s">
        <v>24</v>
      </c>
      <c r="AD64" s="48"/>
      <c r="AE64" s="48"/>
      <c r="AF64" s="48"/>
      <c r="AG64" s="48"/>
      <c r="AH64" s="48"/>
      <c r="AI64" s="48"/>
      <c r="AJ64" s="49"/>
    </row>
    <row r="65" spans="1:35">
      <c r="A65" s="46" t="s">
        <v>318</v>
      </c>
      <c r="B65" s="52" t="s">
        <v>342</v>
      </c>
      <c r="C65" s="52" t="s">
        <v>320</v>
      </c>
      <c r="D65" s="52" t="s">
        <v>325</v>
      </c>
      <c r="E65" s="52">
        <v>4</v>
      </c>
      <c r="F65" s="52" t="s">
        <v>269</v>
      </c>
      <c r="G65" s="52">
        <v>40</v>
      </c>
      <c r="H65" s="52">
        <v>32</v>
      </c>
      <c r="I65" s="53">
        <v>44805</v>
      </c>
      <c r="J65" s="54">
        <v>1</v>
      </c>
      <c r="K65" s="92">
        <v>66.23</v>
      </c>
      <c r="L65" s="46" t="s">
        <v>24</v>
      </c>
      <c r="M65" s="46" t="s">
        <v>24</v>
      </c>
    </row>
    <row r="66" spans="1:35">
      <c r="A66" s="46" t="s">
        <v>318</v>
      </c>
      <c r="B66" s="52" t="s">
        <v>342</v>
      </c>
      <c r="C66" s="52" t="s">
        <v>320</v>
      </c>
      <c r="D66" s="52" t="s">
        <v>325</v>
      </c>
      <c r="E66" s="52">
        <v>4</v>
      </c>
      <c r="F66" s="52" t="s">
        <v>269</v>
      </c>
      <c r="G66" s="52">
        <v>40</v>
      </c>
      <c r="H66" s="52">
        <v>32</v>
      </c>
      <c r="I66" s="53">
        <v>44805</v>
      </c>
      <c r="J66" s="54">
        <v>1</v>
      </c>
      <c r="K66" s="92">
        <v>34.799999999999997</v>
      </c>
      <c r="L66" s="46" t="s">
        <v>24</v>
      </c>
      <c r="M66" s="46" t="s">
        <v>24</v>
      </c>
    </row>
    <row r="67" spans="1:35">
      <c r="A67" s="46" t="s">
        <v>318</v>
      </c>
      <c r="B67" s="52" t="s">
        <v>342</v>
      </c>
      <c r="C67" s="52" t="s">
        <v>320</v>
      </c>
      <c r="D67" s="52" t="s">
        <v>325</v>
      </c>
      <c r="E67" s="52">
        <v>4</v>
      </c>
      <c r="F67" s="52" t="s">
        <v>269</v>
      </c>
      <c r="G67" s="52">
        <v>40</v>
      </c>
      <c r="H67" s="52">
        <v>32</v>
      </c>
      <c r="I67" s="53">
        <v>44805</v>
      </c>
      <c r="J67" s="54">
        <v>1</v>
      </c>
      <c r="K67" s="92">
        <v>23.37</v>
      </c>
      <c r="L67" s="46" t="s">
        <v>24</v>
      </c>
      <c r="M67" s="46" t="s">
        <v>24</v>
      </c>
    </row>
    <row r="68" spans="1:35">
      <c r="A68" s="46" t="s">
        <v>318</v>
      </c>
      <c r="B68" s="52" t="s">
        <v>342</v>
      </c>
      <c r="C68" s="52" t="s">
        <v>320</v>
      </c>
      <c r="D68" s="52" t="s">
        <v>325</v>
      </c>
      <c r="E68" s="52">
        <v>4</v>
      </c>
      <c r="F68" s="52" t="s">
        <v>269</v>
      </c>
      <c r="G68" s="52">
        <v>40</v>
      </c>
      <c r="H68" s="52">
        <v>32</v>
      </c>
      <c r="I68" s="53">
        <v>44805</v>
      </c>
      <c r="J68" s="54">
        <v>1</v>
      </c>
      <c r="K68" s="92">
        <v>23.37</v>
      </c>
      <c r="L68" s="46" t="s">
        <v>24</v>
      </c>
      <c r="M68" s="46" t="s">
        <v>24</v>
      </c>
    </row>
    <row r="69" spans="1:35">
      <c r="A69" s="46" t="s">
        <v>318</v>
      </c>
      <c r="B69" s="52" t="s">
        <v>342</v>
      </c>
      <c r="C69" s="52" t="s">
        <v>320</v>
      </c>
      <c r="D69" s="52" t="s">
        <v>328</v>
      </c>
      <c r="E69" s="52">
        <v>4</v>
      </c>
      <c r="F69" s="52" t="s">
        <v>269</v>
      </c>
      <c r="G69" s="52">
        <v>40</v>
      </c>
      <c r="H69" s="52">
        <v>32</v>
      </c>
      <c r="I69" s="53">
        <v>44805</v>
      </c>
      <c r="J69" s="54">
        <v>1</v>
      </c>
      <c r="K69" s="92">
        <v>23.37</v>
      </c>
      <c r="L69" s="46" t="s">
        <v>24</v>
      </c>
      <c r="M69" s="46" t="s">
        <v>24</v>
      </c>
    </row>
    <row r="70" spans="1:35">
      <c r="A70" s="46" t="s">
        <v>318</v>
      </c>
      <c r="B70" s="52" t="s">
        <v>332</v>
      </c>
      <c r="C70" s="52" t="s">
        <v>320</v>
      </c>
      <c r="D70" s="52" t="s">
        <v>325</v>
      </c>
      <c r="E70" s="52">
        <v>4</v>
      </c>
      <c r="F70" s="52" t="s">
        <v>269</v>
      </c>
      <c r="G70" s="52">
        <v>40</v>
      </c>
      <c r="H70" s="52">
        <v>32</v>
      </c>
      <c r="I70" s="53">
        <v>44805</v>
      </c>
      <c r="J70" s="54">
        <v>1</v>
      </c>
      <c r="K70" s="92">
        <v>14.8</v>
      </c>
      <c r="L70" s="46" t="s">
        <v>24</v>
      </c>
      <c r="M70" s="46" t="s">
        <v>24</v>
      </c>
    </row>
    <row r="71" spans="1:35">
      <c r="A71" s="46" t="s">
        <v>318</v>
      </c>
      <c r="B71" s="52" t="s">
        <v>342</v>
      </c>
      <c r="C71" s="52" t="s">
        <v>320</v>
      </c>
      <c r="D71" s="52" t="s">
        <v>325</v>
      </c>
      <c r="E71" s="52">
        <v>5</v>
      </c>
      <c r="F71" s="52" t="s">
        <v>269</v>
      </c>
      <c r="G71" s="52">
        <v>40</v>
      </c>
      <c r="H71" s="52">
        <v>32</v>
      </c>
      <c r="I71" s="53">
        <v>44805</v>
      </c>
      <c r="J71" s="54">
        <v>1</v>
      </c>
      <c r="K71" s="92">
        <v>528</v>
      </c>
      <c r="L71" s="46" t="s">
        <v>24</v>
      </c>
      <c r="M71" s="46" t="s">
        <v>24</v>
      </c>
    </row>
    <row r="72" spans="1:35">
      <c r="A72" s="46" t="s">
        <v>318</v>
      </c>
      <c r="B72" s="52" t="s">
        <v>342</v>
      </c>
      <c r="C72" s="52" t="s">
        <v>320</v>
      </c>
      <c r="D72" s="52" t="s">
        <v>325</v>
      </c>
      <c r="E72" s="52">
        <v>4</v>
      </c>
      <c r="F72" s="52" t="s">
        <v>269</v>
      </c>
      <c r="G72" s="52">
        <v>40</v>
      </c>
      <c r="H72" s="52">
        <v>32</v>
      </c>
      <c r="I72" s="53">
        <v>44805</v>
      </c>
      <c r="J72" s="54">
        <v>1</v>
      </c>
      <c r="K72" s="92">
        <v>187.05</v>
      </c>
      <c r="L72" s="46" t="s">
        <v>24</v>
      </c>
      <c r="M72" s="46" t="s">
        <v>24</v>
      </c>
    </row>
    <row r="73" spans="1:35" s="50" customFormat="1">
      <c r="A73" s="46" t="s">
        <v>318</v>
      </c>
      <c r="B73" s="52" t="s">
        <v>342</v>
      </c>
      <c r="C73" s="52" t="s">
        <v>320</v>
      </c>
      <c r="D73" s="52" t="s">
        <v>328</v>
      </c>
      <c r="E73" s="52">
        <v>4</v>
      </c>
      <c r="F73" s="52" t="s">
        <v>269</v>
      </c>
      <c r="G73" s="52">
        <v>40</v>
      </c>
      <c r="H73" s="52">
        <v>32</v>
      </c>
      <c r="I73" s="53">
        <v>44805</v>
      </c>
      <c r="J73" s="54">
        <v>1</v>
      </c>
      <c r="K73" s="92">
        <v>23.37</v>
      </c>
      <c r="L73" s="46" t="s">
        <v>24</v>
      </c>
      <c r="M73" s="46" t="s">
        <v>24</v>
      </c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</row>
    <row r="74" spans="1:35" s="50" customFormat="1">
      <c r="A74" s="46" t="s">
        <v>318</v>
      </c>
      <c r="B74" s="52" t="s">
        <v>332</v>
      </c>
      <c r="C74" s="52" t="s">
        <v>320</v>
      </c>
      <c r="D74" s="52" t="s">
        <v>325</v>
      </c>
      <c r="E74" s="52">
        <v>4</v>
      </c>
      <c r="F74" s="52" t="s">
        <v>269</v>
      </c>
      <c r="G74" s="52">
        <v>40</v>
      </c>
      <c r="H74" s="52">
        <v>32</v>
      </c>
      <c r="I74" s="53">
        <v>44805</v>
      </c>
      <c r="J74" s="54">
        <v>1</v>
      </c>
      <c r="K74" s="92">
        <v>14.8</v>
      </c>
      <c r="L74" s="46" t="s">
        <v>24</v>
      </c>
      <c r="M74" s="46" t="s">
        <v>24</v>
      </c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</row>
    <row r="75" spans="1:35" s="50" customFormat="1">
      <c r="A75" s="46" t="s">
        <v>318</v>
      </c>
      <c r="B75" s="52" t="s">
        <v>337</v>
      </c>
      <c r="C75" s="52" t="s">
        <v>320</v>
      </c>
      <c r="D75" s="52" t="s">
        <v>325</v>
      </c>
      <c r="E75" s="52">
        <v>4</v>
      </c>
      <c r="F75" s="52" t="s">
        <v>269</v>
      </c>
      <c r="G75" s="52">
        <v>40</v>
      </c>
      <c r="H75" s="52">
        <v>24</v>
      </c>
      <c r="I75" s="53">
        <v>45054</v>
      </c>
      <c r="J75" s="54">
        <v>0</v>
      </c>
      <c r="K75" s="92">
        <v>0</v>
      </c>
      <c r="L75" s="46" t="s">
        <v>24</v>
      </c>
      <c r="M75" s="46" t="s">
        <v>24</v>
      </c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</row>
    <row r="76" spans="1:35" s="50" customFormat="1">
      <c r="A76" s="46" t="s">
        <v>318</v>
      </c>
      <c r="B76" s="52" t="s">
        <v>346</v>
      </c>
      <c r="C76" s="52" t="s">
        <v>320</v>
      </c>
      <c r="D76" s="52" t="s">
        <v>325</v>
      </c>
      <c r="E76" s="52">
        <v>4</v>
      </c>
      <c r="F76" s="52" t="s">
        <v>269</v>
      </c>
      <c r="G76" s="52">
        <v>40</v>
      </c>
      <c r="H76" s="52">
        <v>14</v>
      </c>
      <c r="I76" s="53">
        <v>45352</v>
      </c>
      <c r="J76" s="54">
        <v>0</v>
      </c>
      <c r="K76" s="92">
        <v>343.61</v>
      </c>
      <c r="L76" s="46" t="s">
        <v>24</v>
      </c>
      <c r="M76" s="46" t="s">
        <v>24</v>
      </c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</row>
    <row r="77" spans="1:35" s="50" customFormat="1">
      <c r="A77" s="46" t="s">
        <v>318</v>
      </c>
      <c r="B77" s="52" t="s">
        <v>330</v>
      </c>
      <c r="C77" s="52" t="s">
        <v>320</v>
      </c>
      <c r="D77" s="52" t="s">
        <v>347</v>
      </c>
      <c r="E77" s="52">
        <v>4</v>
      </c>
      <c r="F77" s="52" t="s">
        <v>348</v>
      </c>
      <c r="G77" s="52">
        <v>40</v>
      </c>
      <c r="H77" s="52">
        <v>5</v>
      </c>
      <c r="I77" s="53">
        <v>45635</v>
      </c>
      <c r="J77" s="54">
        <v>0</v>
      </c>
      <c r="K77" s="92">
        <v>0</v>
      </c>
      <c r="L77" s="46" t="s">
        <v>24</v>
      </c>
      <c r="M77" s="46" t="s">
        <v>24</v>
      </c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</row>
    <row r="78" spans="1:35" s="50" customFormat="1">
      <c r="A78" s="46" t="s">
        <v>318</v>
      </c>
      <c r="B78" s="52" t="s">
        <v>333</v>
      </c>
      <c r="C78" s="52" t="s">
        <v>320</v>
      </c>
      <c r="D78" s="52" t="s">
        <v>325</v>
      </c>
      <c r="E78" s="52">
        <v>4</v>
      </c>
      <c r="F78" s="52" t="s">
        <v>348</v>
      </c>
      <c r="G78" s="52">
        <v>40</v>
      </c>
      <c r="H78" s="52">
        <v>6</v>
      </c>
      <c r="I78" s="53">
        <v>45600</v>
      </c>
      <c r="J78" s="54">
        <v>0</v>
      </c>
      <c r="K78" s="92">
        <v>177.28</v>
      </c>
      <c r="L78" s="46" t="s">
        <v>24</v>
      </c>
      <c r="M78" s="46" t="s">
        <v>24</v>
      </c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</row>
    <row r="79" spans="1:35" s="50" customFormat="1">
      <c r="A79" s="46" t="s">
        <v>318</v>
      </c>
      <c r="B79" s="52" t="s">
        <v>330</v>
      </c>
      <c r="C79" s="52" t="s">
        <v>320</v>
      </c>
      <c r="D79" s="52" t="s">
        <v>323</v>
      </c>
      <c r="E79" s="52">
        <v>6</v>
      </c>
      <c r="F79" s="52" t="s">
        <v>269</v>
      </c>
      <c r="G79" s="52">
        <v>40</v>
      </c>
      <c r="H79" s="52">
        <v>3</v>
      </c>
      <c r="I79" s="53">
        <v>45712</v>
      </c>
      <c r="J79" s="54">
        <v>0</v>
      </c>
      <c r="K79" s="92">
        <v>896.71</v>
      </c>
      <c r="L79" s="46" t="s">
        <v>24</v>
      </c>
      <c r="M79" s="46" t="s">
        <v>24</v>
      </c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</row>
    <row r="80" spans="1:35" s="50" customFormat="1">
      <c r="B80" s="51"/>
      <c r="C80" s="51"/>
      <c r="D80" s="51"/>
      <c r="H80" s="51"/>
      <c r="K80" s="93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</row>
    <row r="81" spans="2:35" s="50" customFormat="1">
      <c r="B81" s="51"/>
      <c r="C81" s="51"/>
      <c r="D81" s="51"/>
      <c r="H81" s="51"/>
      <c r="K81" s="93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</row>
    <row r="82" spans="2:35" s="50" customFormat="1">
      <c r="B82" s="51"/>
      <c r="C82" s="51"/>
      <c r="D82" s="51"/>
      <c r="H82" s="51"/>
      <c r="K82" s="93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</row>
    <row r="83" spans="2:35" s="50" customFormat="1">
      <c r="B83" s="51"/>
      <c r="C83" s="51"/>
      <c r="D83" s="51"/>
      <c r="H83" s="51"/>
      <c r="K83" s="93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</row>
    <row r="84" spans="2:35" s="50" customFormat="1">
      <c r="B84" s="51"/>
      <c r="C84" s="51"/>
      <c r="D84" s="51"/>
      <c r="H84" s="51"/>
      <c r="K84" s="93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</row>
    <row r="85" spans="2:35" s="50" customFormat="1">
      <c r="B85" s="51"/>
      <c r="C85" s="51"/>
      <c r="D85" s="51"/>
      <c r="H85" s="51"/>
      <c r="K85" s="93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</row>
    <row r="86" spans="2:35" s="50" customFormat="1">
      <c r="B86" s="51"/>
      <c r="C86" s="51"/>
      <c r="D86" s="51"/>
      <c r="H86" s="51"/>
      <c r="K86" s="93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</row>
    <row r="87" spans="2:35" s="50" customFormat="1">
      <c r="B87" s="51"/>
      <c r="C87" s="51"/>
      <c r="D87" s="51"/>
      <c r="H87" s="51"/>
      <c r="K87" s="93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</row>
    <row r="88" spans="2:35" s="50" customFormat="1">
      <c r="B88" s="51"/>
      <c r="C88" s="51"/>
      <c r="D88" s="51"/>
      <c r="H88" s="51"/>
      <c r="K88" s="93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</row>
    <row r="89" spans="2:35" s="50" customFormat="1">
      <c r="B89" s="51"/>
      <c r="C89" s="51"/>
      <c r="D89" s="51"/>
      <c r="H89" s="51"/>
      <c r="K89" s="93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</row>
    <row r="90" spans="2:35" s="50" customFormat="1">
      <c r="B90" s="51"/>
      <c r="C90" s="51"/>
      <c r="D90" s="51"/>
      <c r="H90" s="51"/>
      <c r="K90" s="93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</row>
    <row r="91" spans="2:35" s="50" customFormat="1">
      <c r="B91" s="51"/>
      <c r="C91" s="51"/>
      <c r="D91" s="51"/>
      <c r="H91" s="51"/>
      <c r="K91" s="93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</row>
    <row r="92" spans="2:35" s="50" customFormat="1">
      <c r="B92" s="51"/>
      <c r="C92" s="51"/>
      <c r="D92" s="51"/>
      <c r="H92" s="51"/>
      <c r="K92" s="93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</row>
    <row r="93" spans="2:35" s="50" customFormat="1">
      <c r="B93" s="51"/>
      <c r="C93" s="51"/>
      <c r="D93" s="51"/>
      <c r="H93" s="51"/>
      <c r="K93" s="93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</row>
    <row r="94" spans="2:35" s="50" customFormat="1">
      <c r="B94" s="51"/>
      <c r="C94" s="51"/>
      <c r="D94" s="51"/>
      <c r="H94" s="51"/>
      <c r="K94" s="93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</row>
    <row r="95" spans="2:35" s="50" customFormat="1">
      <c r="B95" s="51"/>
      <c r="C95" s="51"/>
      <c r="D95" s="51"/>
      <c r="H95" s="51"/>
      <c r="K95" s="93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</row>
    <row r="96" spans="2:35" s="50" customFormat="1">
      <c r="B96" s="51"/>
      <c r="C96" s="51"/>
      <c r="D96" s="51"/>
      <c r="H96" s="51"/>
      <c r="K96" s="93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</row>
    <row r="97" spans="2:35" s="50" customFormat="1">
      <c r="B97" s="51"/>
      <c r="C97" s="51"/>
      <c r="D97" s="51"/>
      <c r="H97" s="51"/>
      <c r="K97" s="93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</row>
    <row r="98" spans="2:35" s="50" customFormat="1">
      <c r="B98" s="51"/>
      <c r="C98" s="51"/>
      <c r="D98" s="51"/>
      <c r="H98" s="51"/>
      <c r="K98" s="93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</row>
    <row r="99" spans="2:35" s="50" customFormat="1">
      <c r="B99" s="51"/>
      <c r="C99" s="51"/>
      <c r="D99" s="51"/>
      <c r="H99" s="51"/>
      <c r="K99" s="93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</row>
    <row r="100" spans="2:35" s="50" customFormat="1">
      <c r="B100" s="51"/>
      <c r="C100" s="51"/>
      <c r="D100" s="51"/>
      <c r="H100" s="51"/>
      <c r="K100" s="93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</row>
    <row r="101" spans="2:35" s="50" customFormat="1">
      <c r="B101" s="51"/>
      <c r="C101" s="51"/>
      <c r="D101" s="51"/>
      <c r="H101" s="51"/>
      <c r="K101" s="93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</row>
    <row r="102" spans="2:35" s="50" customFormat="1">
      <c r="B102" s="51"/>
      <c r="C102" s="51"/>
      <c r="D102" s="51"/>
      <c r="H102" s="51"/>
      <c r="K102" s="93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</row>
    <row r="103" spans="2:35" s="50" customFormat="1">
      <c r="B103" s="51"/>
      <c r="C103" s="51"/>
      <c r="D103" s="51"/>
      <c r="H103" s="51"/>
      <c r="K103" s="93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</row>
    <row r="104" spans="2:35" s="50" customFormat="1">
      <c r="B104" s="51"/>
      <c r="C104" s="51"/>
      <c r="D104" s="51"/>
      <c r="H104" s="51"/>
      <c r="K104" s="93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</row>
    <row r="105" spans="2:35" s="50" customFormat="1">
      <c r="B105" s="51"/>
      <c r="C105" s="51"/>
      <c r="D105" s="51"/>
      <c r="H105" s="51"/>
      <c r="K105" s="93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</row>
    <row r="106" spans="2:35" s="50" customFormat="1">
      <c r="B106" s="51"/>
      <c r="C106" s="51"/>
      <c r="D106" s="51"/>
      <c r="H106" s="51"/>
      <c r="K106" s="93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</row>
    <row r="107" spans="2:35" s="50" customFormat="1">
      <c r="B107" s="51"/>
      <c r="C107" s="51"/>
      <c r="D107" s="51"/>
      <c r="H107" s="51"/>
      <c r="K107" s="93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</row>
    <row r="108" spans="2:35" s="50" customFormat="1">
      <c r="B108" s="51"/>
      <c r="C108" s="51"/>
      <c r="D108" s="51"/>
      <c r="H108" s="51"/>
      <c r="K108" s="93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</row>
    <row r="109" spans="2:35" s="50" customFormat="1">
      <c r="B109" s="51"/>
      <c r="C109" s="51"/>
      <c r="D109" s="51"/>
      <c r="H109" s="51"/>
      <c r="K109" s="93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</row>
    <row r="110" spans="2:35" s="50" customFormat="1">
      <c r="B110" s="51"/>
      <c r="C110" s="51"/>
      <c r="D110" s="51"/>
      <c r="H110" s="51"/>
      <c r="K110" s="93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</row>
    <row r="111" spans="2:35" s="50" customFormat="1">
      <c r="B111" s="51"/>
      <c r="C111" s="51"/>
      <c r="D111" s="51"/>
      <c r="H111" s="51"/>
      <c r="K111" s="93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</row>
    <row r="112" spans="2:35" s="50" customFormat="1">
      <c r="B112" s="51"/>
      <c r="C112" s="51"/>
      <c r="D112" s="51"/>
      <c r="H112" s="51"/>
      <c r="K112" s="93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</row>
    <row r="113" spans="2:35" s="50" customFormat="1">
      <c r="B113" s="51"/>
      <c r="C113" s="51"/>
      <c r="D113" s="51"/>
      <c r="H113" s="51"/>
      <c r="K113" s="93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</row>
    <row r="114" spans="2:35" s="50" customFormat="1">
      <c r="B114" s="51"/>
      <c r="C114" s="51"/>
      <c r="D114" s="51"/>
      <c r="H114" s="51"/>
      <c r="K114" s="93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</row>
    <row r="115" spans="2:35" s="50" customFormat="1">
      <c r="B115" s="51"/>
      <c r="C115" s="51"/>
      <c r="D115" s="51"/>
      <c r="H115" s="51"/>
      <c r="K115" s="93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</row>
    <row r="116" spans="2:35" s="50" customFormat="1">
      <c r="B116" s="51"/>
      <c r="C116" s="51"/>
      <c r="D116" s="51"/>
      <c r="H116" s="51"/>
      <c r="K116" s="93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</row>
    <row r="117" spans="2:35" s="50" customFormat="1">
      <c r="B117" s="51"/>
      <c r="C117" s="51"/>
      <c r="D117" s="51"/>
      <c r="H117" s="51"/>
      <c r="K117" s="93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</row>
    <row r="118" spans="2:35" s="50" customFormat="1">
      <c r="B118" s="51"/>
      <c r="C118" s="51"/>
      <c r="D118" s="51"/>
      <c r="H118" s="51"/>
      <c r="K118" s="93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</row>
    <row r="119" spans="2:35" s="50" customFormat="1">
      <c r="B119" s="51"/>
      <c r="C119" s="51"/>
      <c r="D119" s="51"/>
      <c r="H119" s="51"/>
      <c r="K119" s="93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</row>
    <row r="120" spans="2:35" s="50" customFormat="1">
      <c r="B120" s="51"/>
      <c r="C120" s="51"/>
      <c r="D120" s="51"/>
      <c r="H120" s="51"/>
      <c r="K120" s="93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</row>
    <row r="121" spans="2:35" s="50" customFormat="1">
      <c r="B121" s="51"/>
      <c r="C121" s="51"/>
      <c r="D121" s="51"/>
      <c r="H121" s="51"/>
      <c r="K121" s="93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</row>
    <row r="122" spans="2:35" s="50" customFormat="1">
      <c r="B122" s="51"/>
      <c r="C122" s="51"/>
      <c r="D122" s="51"/>
      <c r="H122" s="51"/>
      <c r="K122" s="93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</row>
    <row r="123" spans="2:35" s="50" customFormat="1">
      <c r="B123" s="51"/>
      <c r="C123" s="51"/>
      <c r="D123" s="51"/>
      <c r="H123" s="51"/>
      <c r="K123" s="93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</row>
    <row r="124" spans="2:35" s="50" customFormat="1">
      <c r="B124" s="51"/>
      <c r="C124" s="51"/>
      <c r="D124" s="51"/>
      <c r="H124" s="51"/>
      <c r="K124" s="93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</row>
    <row r="125" spans="2:35" s="50" customFormat="1">
      <c r="B125" s="51"/>
      <c r="C125" s="51"/>
      <c r="D125" s="51"/>
      <c r="H125" s="51"/>
      <c r="K125" s="93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</row>
    <row r="126" spans="2:35" s="50" customFormat="1">
      <c r="B126" s="51"/>
      <c r="C126" s="51"/>
      <c r="D126" s="51"/>
      <c r="H126" s="51"/>
      <c r="K126" s="93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</row>
    <row r="127" spans="2:35" s="50" customFormat="1">
      <c r="B127" s="51"/>
      <c r="C127" s="51"/>
      <c r="D127" s="51"/>
      <c r="H127" s="51"/>
      <c r="K127" s="93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</row>
    <row r="128" spans="2:35" s="50" customFormat="1">
      <c r="B128" s="51"/>
      <c r="C128" s="51"/>
      <c r="D128" s="51"/>
      <c r="H128" s="51"/>
      <c r="K128" s="93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</row>
    <row r="129" spans="2:35" s="50" customFormat="1">
      <c r="B129" s="51"/>
      <c r="C129" s="51"/>
      <c r="D129" s="51"/>
      <c r="H129" s="51"/>
      <c r="K129" s="93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</row>
    <row r="130" spans="2:35" s="50" customFormat="1">
      <c r="B130" s="51"/>
      <c r="C130" s="51"/>
      <c r="D130" s="51"/>
      <c r="H130" s="51"/>
      <c r="K130" s="93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</row>
    <row r="131" spans="2:35" s="50" customFormat="1">
      <c r="B131" s="51"/>
      <c r="C131" s="51"/>
      <c r="D131" s="51"/>
      <c r="H131" s="51"/>
      <c r="K131" s="93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</row>
    <row r="132" spans="2:35" s="50" customFormat="1">
      <c r="B132" s="51"/>
      <c r="C132" s="51"/>
      <c r="D132" s="51"/>
      <c r="H132" s="51"/>
      <c r="K132" s="93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</row>
    <row r="133" spans="2:35" s="50" customFormat="1">
      <c r="B133" s="51"/>
      <c r="C133" s="51"/>
      <c r="D133" s="51"/>
      <c r="H133" s="51"/>
      <c r="K133" s="93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</row>
    <row r="134" spans="2:35" s="50" customFormat="1">
      <c r="B134" s="51"/>
      <c r="C134" s="51"/>
      <c r="D134" s="51"/>
      <c r="H134" s="51"/>
      <c r="K134" s="93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</row>
    <row r="135" spans="2:35" s="50" customFormat="1">
      <c r="B135" s="51"/>
      <c r="C135" s="51"/>
      <c r="D135" s="51"/>
      <c r="H135" s="51"/>
      <c r="K135" s="93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</row>
    <row r="136" spans="2:35" s="50" customFormat="1">
      <c r="B136" s="51"/>
      <c r="C136" s="51"/>
      <c r="D136" s="51"/>
      <c r="H136" s="51"/>
      <c r="K136" s="93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</row>
    <row r="137" spans="2:35" s="50" customFormat="1">
      <c r="B137" s="51"/>
      <c r="C137" s="51"/>
      <c r="D137" s="51"/>
      <c r="H137" s="51"/>
      <c r="K137" s="93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</row>
    <row r="138" spans="2:35" s="50" customFormat="1">
      <c r="B138" s="51"/>
      <c r="C138" s="51"/>
      <c r="D138" s="51"/>
      <c r="H138" s="51"/>
      <c r="K138" s="93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</row>
    <row r="139" spans="2:35" s="50" customFormat="1">
      <c r="B139" s="51"/>
      <c r="C139" s="51"/>
      <c r="D139" s="51"/>
      <c r="H139" s="51"/>
      <c r="K139" s="93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</row>
    <row r="140" spans="2:35" s="50" customFormat="1">
      <c r="B140" s="51"/>
      <c r="C140" s="51"/>
      <c r="D140" s="51"/>
      <c r="H140" s="51"/>
      <c r="K140" s="93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</row>
    <row r="141" spans="2:35" s="50" customFormat="1">
      <c r="B141" s="51"/>
      <c r="C141" s="51"/>
      <c r="D141" s="51"/>
      <c r="H141" s="51"/>
      <c r="K141" s="93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</row>
    <row r="142" spans="2:35" s="50" customFormat="1">
      <c r="B142" s="51"/>
      <c r="C142" s="51"/>
      <c r="D142" s="51"/>
      <c r="H142" s="51"/>
      <c r="K142" s="93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</row>
    <row r="143" spans="2:35" s="50" customFormat="1">
      <c r="B143" s="51"/>
      <c r="C143" s="51"/>
      <c r="D143" s="51"/>
      <c r="H143" s="51"/>
      <c r="K143" s="93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</row>
    <row r="144" spans="2:35" s="50" customFormat="1">
      <c r="B144" s="51"/>
      <c r="C144" s="51"/>
      <c r="D144" s="51"/>
      <c r="H144" s="51"/>
      <c r="K144" s="93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</row>
    <row r="145" spans="2:35" s="50" customFormat="1">
      <c r="B145" s="51"/>
      <c r="C145" s="51"/>
      <c r="D145" s="51"/>
      <c r="H145" s="51"/>
      <c r="K145" s="93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</row>
    <row r="146" spans="2:35" s="50" customFormat="1">
      <c r="B146" s="51"/>
      <c r="C146" s="51"/>
      <c r="D146" s="51"/>
      <c r="H146" s="51"/>
      <c r="K146" s="93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</row>
    <row r="147" spans="2:35" s="50" customFormat="1">
      <c r="B147" s="51"/>
      <c r="C147" s="51"/>
      <c r="D147" s="51"/>
      <c r="H147" s="51"/>
      <c r="K147" s="93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</row>
    <row r="148" spans="2:35" s="50" customFormat="1">
      <c r="B148" s="51"/>
      <c r="C148" s="51"/>
      <c r="D148" s="51"/>
      <c r="H148" s="51"/>
      <c r="K148" s="93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</row>
    <row r="149" spans="2:35" s="50" customFormat="1">
      <c r="B149" s="51"/>
      <c r="C149" s="51"/>
      <c r="D149" s="51"/>
      <c r="H149" s="51"/>
      <c r="K149" s="93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</row>
    <row r="150" spans="2:35" s="50" customFormat="1">
      <c r="B150" s="51"/>
      <c r="C150" s="51"/>
      <c r="D150" s="51"/>
      <c r="H150" s="51"/>
      <c r="K150" s="93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</row>
    <row r="151" spans="2:35" s="50" customFormat="1">
      <c r="B151" s="51"/>
      <c r="C151" s="51"/>
      <c r="D151" s="51"/>
      <c r="H151" s="51"/>
      <c r="K151" s="93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</row>
    <row r="152" spans="2:35" s="50" customFormat="1">
      <c r="B152" s="51"/>
      <c r="C152" s="51"/>
      <c r="D152" s="51"/>
      <c r="H152" s="51"/>
      <c r="K152" s="93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</row>
    <row r="153" spans="2:35" s="50" customFormat="1">
      <c r="B153" s="51"/>
      <c r="C153" s="51"/>
      <c r="D153" s="51"/>
      <c r="H153" s="51"/>
      <c r="K153" s="93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</row>
    <row r="154" spans="2:35" s="50" customFormat="1">
      <c r="B154" s="51"/>
      <c r="C154" s="51"/>
      <c r="D154" s="51"/>
      <c r="H154" s="51"/>
      <c r="K154" s="93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</row>
    <row r="155" spans="2:35" s="50" customFormat="1">
      <c r="B155" s="51"/>
      <c r="C155" s="51"/>
      <c r="D155" s="51"/>
      <c r="H155" s="51"/>
      <c r="K155" s="93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</row>
    <row r="156" spans="2:35" s="50" customFormat="1">
      <c r="B156" s="51"/>
      <c r="C156" s="51"/>
      <c r="D156" s="51"/>
      <c r="H156" s="51"/>
      <c r="K156" s="93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</row>
    <row r="157" spans="2:35" s="50" customFormat="1">
      <c r="B157" s="51"/>
      <c r="C157" s="51"/>
      <c r="D157" s="51"/>
      <c r="H157" s="51"/>
      <c r="K157" s="93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</row>
    <row r="158" spans="2:35" s="50" customFormat="1">
      <c r="B158" s="51"/>
      <c r="C158" s="51"/>
      <c r="D158" s="51"/>
      <c r="H158" s="51"/>
      <c r="K158" s="93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</row>
    <row r="159" spans="2:35" s="50" customFormat="1">
      <c r="B159" s="51"/>
      <c r="C159" s="51"/>
      <c r="D159" s="51"/>
      <c r="H159" s="51"/>
      <c r="K159" s="93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</row>
    <row r="160" spans="2:35" s="50" customFormat="1">
      <c r="B160" s="51"/>
      <c r="C160" s="51"/>
      <c r="D160" s="51"/>
      <c r="H160" s="51"/>
      <c r="K160" s="93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</row>
    <row r="161" spans="2:35" s="50" customFormat="1">
      <c r="B161" s="51"/>
      <c r="C161" s="51"/>
      <c r="D161" s="51"/>
      <c r="H161" s="51"/>
      <c r="K161" s="93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</row>
    <row r="162" spans="2:35" s="50" customFormat="1">
      <c r="B162" s="51"/>
      <c r="C162" s="51"/>
      <c r="D162" s="51"/>
      <c r="H162" s="51"/>
      <c r="K162" s="93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</row>
    <row r="163" spans="2:35" s="50" customFormat="1">
      <c r="B163" s="51"/>
      <c r="C163" s="51"/>
      <c r="D163" s="51"/>
      <c r="H163" s="51"/>
      <c r="K163" s="93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</row>
    <row r="164" spans="2:35" s="50" customFormat="1">
      <c r="B164" s="51"/>
      <c r="C164" s="51"/>
      <c r="D164" s="51"/>
      <c r="H164" s="51"/>
      <c r="K164" s="93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</row>
    <row r="165" spans="2:35" s="50" customFormat="1">
      <c r="B165" s="51"/>
      <c r="C165" s="51"/>
      <c r="D165" s="51"/>
      <c r="H165" s="51"/>
      <c r="K165" s="93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</row>
    <row r="166" spans="2:35" s="50" customFormat="1">
      <c r="B166" s="51"/>
      <c r="C166" s="51"/>
      <c r="D166" s="51"/>
      <c r="H166" s="51"/>
      <c r="K166" s="93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</row>
    <row r="167" spans="2:35" s="50" customFormat="1">
      <c r="B167" s="51"/>
      <c r="C167" s="51"/>
      <c r="D167" s="51"/>
      <c r="H167" s="51"/>
      <c r="K167" s="93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</row>
    <row r="168" spans="2:35" s="50" customFormat="1">
      <c r="B168" s="51"/>
      <c r="C168" s="51"/>
      <c r="D168" s="51"/>
      <c r="H168" s="51"/>
      <c r="K168" s="93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</row>
    <row r="169" spans="2:35" s="50" customFormat="1">
      <c r="B169" s="51"/>
      <c r="C169" s="51"/>
      <c r="D169" s="51"/>
      <c r="H169" s="51"/>
      <c r="K169" s="93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</row>
    <row r="170" spans="2:35" s="50" customFormat="1">
      <c r="B170" s="51"/>
      <c r="C170" s="51"/>
      <c r="D170" s="51"/>
      <c r="H170" s="51"/>
      <c r="K170" s="93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</row>
    <row r="171" spans="2:35" s="50" customFormat="1">
      <c r="B171" s="51"/>
      <c r="C171" s="51"/>
      <c r="D171" s="51"/>
      <c r="H171" s="51"/>
      <c r="K171" s="93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</row>
    <row r="172" spans="2:35" s="50" customFormat="1">
      <c r="B172" s="51"/>
      <c r="C172" s="51"/>
      <c r="D172" s="51"/>
      <c r="H172" s="51"/>
      <c r="K172" s="93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</row>
    <row r="173" spans="2:35" s="50" customFormat="1">
      <c r="B173" s="51"/>
      <c r="C173" s="51"/>
      <c r="D173" s="51"/>
      <c r="H173" s="51"/>
      <c r="K173" s="93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</row>
    <row r="174" spans="2:35" s="50" customFormat="1">
      <c r="B174" s="51"/>
      <c r="C174" s="51"/>
      <c r="D174" s="51"/>
      <c r="H174" s="51"/>
      <c r="K174" s="93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</row>
    <row r="175" spans="2:35" s="50" customFormat="1">
      <c r="B175" s="51"/>
      <c r="C175" s="51"/>
      <c r="D175" s="51"/>
      <c r="H175" s="51"/>
      <c r="K175" s="93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</row>
    <row r="176" spans="2:35" s="50" customFormat="1">
      <c r="B176" s="51"/>
      <c r="C176" s="51"/>
      <c r="D176" s="51"/>
      <c r="H176" s="51"/>
      <c r="K176" s="93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</row>
    <row r="177" spans="2:35" s="50" customFormat="1">
      <c r="B177" s="51"/>
      <c r="C177" s="51"/>
      <c r="D177" s="51"/>
      <c r="H177" s="51"/>
      <c r="K177" s="93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</row>
    <row r="178" spans="2:35" s="50" customFormat="1">
      <c r="B178" s="51"/>
      <c r="C178" s="51"/>
      <c r="D178" s="51"/>
      <c r="H178" s="51"/>
      <c r="K178" s="93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</row>
    <row r="179" spans="2:35" s="50" customFormat="1">
      <c r="B179" s="51"/>
      <c r="C179" s="51"/>
      <c r="D179" s="51"/>
      <c r="H179" s="51"/>
      <c r="K179" s="93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</row>
    <row r="180" spans="2:35" s="50" customFormat="1">
      <c r="B180" s="51"/>
      <c r="C180" s="51"/>
      <c r="D180" s="51"/>
      <c r="H180" s="51"/>
      <c r="K180" s="93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</row>
    <row r="181" spans="2:35" s="50" customFormat="1">
      <c r="B181" s="51"/>
      <c r="C181" s="51"/>
      <c r="D181" s="51"/>
      <c r="H181" s="51"/>
      <c r="K181" s="93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</row>
    <row r="182" spans="2:35" s="50" customFormat="1">
      <c r="B182" s="51"/>
      <c r="C182" s="51"/>
      <c r="D182" s="51"/>
      <c r="H182" s="51"/>
      <c r="K182" s="93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</row>
    <row r="183" spans="2:35" s="50" customFormat="1">
      <c r="B183" s="51"/>
      <c r="C183" s="51"/>
      <c r="D183" s="51"/>
      <c r="H183" s="51"/>
      <c r="K183" s="93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</row>
    <row r="184" spans="2:35" s="50" customFormat="1">
      <c r="B184" s="51"/>
      <c r="C184" s="51"/>
      <c r="D184" s="51"/>
      <c r="H184" s="51"/>
      <c r="K184" s="93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</row>
    <row r="185" spans="2:35" s="50" customFormat="1">
      <c r="B185" s="51"/>
      <c r="C185" s="51"/>
      <c r="D185" s="51"/>
      <c r="H185" s="51"/>
      <c r="K185" s="93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</row>
    <row r="186" spans="2:35" s="50" customFormat="1">
      <c r="B186" s="51"/>
      <c r="C186" s="51"/>
      <c r="D186" s="51"/>
      <c r="H186" s="51"/>
      <c r="K186" s="93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</row>
    <row r="187" spans="2:35" s="50" customFormat="1">
      <c r="B187" s="51"/>
      <c r="C187" s="51"/>
      <c r="D187" s="51"/>
      <c r="H187" s="51"/>
      <c r="K187" s="93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</row>
    <row r="188" spans="2:35" s="50" customFormat="1">
      <c r="B188" s="51"/>
      <c r="C188" s="51"/>
      <c r="D188" s="51"/>
      <c r="H188" s="51"/>
      <c r="K188" s="93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</row>
    <row r="189" spans="2:35" s="50" customFormat="1">
      <c r="B189" s="51"/>
      <c r="C189" s="51"/>
      <c r="D189" s="51"/>
      <c r="H189" s="51"/>
      <c r="K189" s="93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</row>
    <row r="190" spans="2:35" s="50" customFormat="1">
      <c r="B190" s="51"/>
      <c r="C190" s="51"/>
      <c r="D190" s="51"/>
      <c r="H190" s="51"/>
      <c r="K190" s="93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</row>
    <row r="191" spans="2:35" s="50" customFormat="1">
      <c r="B191" s="51"/>
      <c r="C191" s="51"/>
      <c r="D191" s="51"/>
      <c r="H191" s="51"/>
      <c r="K191" s="93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</row>
    <row r="192" spans="2:35" s="50" customFormat="1">
      <c r="B192" s="51"/>
      <c r="C192" s="51"/>
      <c r="D192" s="51"/>
      <c r="H192" s="51"/>
      <c r="K192" s="93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</row>
    <row r="193" spans="2:35" s="50" customFormat="1">
      <c r="B193" s="51"/>
      <c r="C193" s="51"/>
      <c r="D193" s="51"/>
      <c r="H193" s="51"/>
      <c r="K193" s="93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</row>
    <row r="194" spans="2:35" s="50" customFormat="1">
      <c r="B194" s="51"/>
      <c r="C194" s="51"/>
      <c r="D194" s="51"/>
      <c r="H194" s="51"/>
      <c r="K194" s="93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</row>
    <row r="195" spans="2:35" s="50" customFormat="1">
      <c r="B195" s="51"/>
      <c r="C195" s="51"/>
      <c r="D195" s="51"/>
      <c r="H195" s="51"/>
      <c r="K195" s="93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</row>
    <row r="196" spans="2:35" s="50" customFormat="1">
      <c r="B196" s="51"/>
      <c r="C196" s="51"/>
      <c r="D196" s="51"/>
      <c r="H196" s="51"/>
      <c r="K196" s="93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</row>
    <row r="197" spans="2:35" s="50" customFormat="1">
      <c r="B197" s="51"/>
      <c r="C197" s="51"/>
      <c r="D197" s="51"/>
      <c r="H197" s="51"/>
      <c r="K197" s="93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</row>
    <row r="198" spans="2:35" s="50" customFormat="1">
      <c r="B198" s="51"/>
      <c r="C198" s="51"/>
      <c r="D198" s="51"/>
      <c r="H198" s="51"/>
      <c r="K198" s="93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</row>
    <row r="199" spans="2:35" s="50" customFormat="1">
      <c r="B199" s="51"/>
      <c r="C199" s="51"/>
      <c r="D199" s="51"/>
      <c r="H199" s="51"/>
      <c r="K199" s="93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</row>
    <row r="200" spans="2:35" s="50" customFormat="1">
      <c r="B200" s="51"/>
      <c r="C200" s="51"/>
      <c r="D200" s="51"/>
      <c r="H200" s="51"/>
      <c r="K200" s="93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</row>
    <row r="201" spans="2:35" s="50" customFormat="1">
      <c r="B201" s="51"/>
      <c r="C201" s="51"/>
      <c r="D201" s="51"/>
      <c r="H201" s="51"/>
      <c r="K201" s="93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</row>
    <row r="202" spans="2:35" s="50" customFormat="1">
      <c r="B202" s="51"/>
      <c r="C202" s="51"/>
      <c r="D202" s="51"/>
      <c r="H202" s="51"/>
      <c r="K202" s="93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</row>
    <row r="203" spans="2:35" s="50" customFormat="1">
      <c r="B203" s="51"/>
      <c r="C203" s="51"/>
      <c r="D203" s="51"/>
      <c r="H203" s="51"/>
      <c r="K203" s="93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</row>
    <row r="204" spans="2:35" s="50" customFormat="1">
      <c r="B204" s="51"/>
      <c r="C204" s="51"/>
      <c r="D204" s="51"/>
      <c r="H204" s="51"/>
      <c r="K204" s="93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</row>
    <row r="205" spans="2:35" s="50" customFormat="1">
      <c r="B205" s="51"/>
      <c r="C205" s="51"/>
      <c r="D205" s="51"/>
      <c r="H205" s="51"/>
      <c r="K205" s="93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</row>
    <row r="206" spans="2:35" s="50" customFormat="1">
      <c r="B206" s="51"/>
      <c r="C206" s="51"/>
      <c r="D206" s="51"/>
      <c r="H206" s="51"/>
      <c r="K206" s="93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</row>
    <row r="207" spans="2:35" s="50" customFormat="1">
      <c r="B207" s="51"/>
      <c r="C207" s="51"/>
      <c r="D207" s="51"/>
      <c r="H207" s="51"/>
      <c r="K207" s="93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</row>
    <row r="208" spans="2:35" s="50" customFormat="1">
      <c r="B208" s="51"/>
      <c r="C208" s="51"/>
      <c r="D208" s="51"/>
      <c r="H208" s="51"/>
      <c r="K208" s="93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</row>
    <row r="209" spans="2:35" s="50" customFormat="1">
      <c r="B209" s="51"/>
      <c r="C209" s="51"/>
      <c r="D209" s="51"/>
      <c r="H209" s="51"/>
      <c r="K209" s="93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</row>
    <row r="210" spans="2:35" s="50" customFormat="1">
      <c r="B210" s="51"/>
      <c r="C210" s="51"/>
      <c r="D210" s="51"/>
      <c r="H210" s="51"/>
      <c r="K210" s="93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</row>
    <row r="211" spans="2:35" s="50" customFormat="1">
      <c r="B211" s="51"/>
      <c r="C211" s="51"/>
      <c r="D211" s="51"/>
      <c r="H211" s="51"/>
      <c r="K211" s="93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</row>
    <row r="212" spans="2:35" s="50" customFormat="1">
      <c r="B212" s="51"/>
      <c r="C212" s="51"/>
      <c r="D212" s="51"/>
      <c r="H212" s="51"/>
      <c r="K212" s="93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</row>
    <row r="213" spans="2:35" s="50" customFormat="1">
      <c r="B213" s="51"/>
      <c r="C213" s="51"/>
      <c r="D213" s="51"/>
      <c r="H213" s="51"/>
      <c r="K213" s="93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</row>
    <row r="214" spans="2:35" s="50" customFormat="1">
      <c r="B214" s="51"/>
      <c r="C214" s="51"/>
      <c r="D214" s="51"/>
      <c r="H214" s="51"/>
      <c r="K214" s="93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</row>
    <row r="215" spans="2:35" s="50" customFormat="1">
      <c r="B215" s="51"/>
      <c r="C215" s="51"/>
      <c r="D215" s="51"/>
      <c r="H215" s="51"/>
      <c r="K215" s="93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</row>
    <row r="216" spans="2:35" s="50" customFormat="1">
      <c r="B216" s="51"/>
      <c r="C216" s="51"/>
      <c r="D216" s="51"/>
      <c r="H216" s="51"/>
      <c r="K216" s="93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</row>
    <row r="217" spans="2:35" s="50" customFormat="1">
      <c r="B217" s="51"/>
      <c r="C217" s="51"/>
      <c r="D217" s="51"/>
      <c r="H217" s="51"/>
      <c r="K217" s="93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</row>
    <row r="218" spans="2:35" s="50" customFormat="1">
      <c r="B218" s="51"/>
      <c r="C218" s="51"/>
      <c r="D218" s="51"/>
      <c r="H218" s="51"/>
      <c r="K218" s="93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</row>
    <row r="219" spans="2:35" s="50" customFormat="1">
      <c r="B219" s="51"/>
      <c r="C219" s="51"/>
      <c r="D219" s="51"/>
      <c r="H219" s="51"/>
      <c r="K219" s="93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</row>
    <row r="220" spans="2:35" s="50" customFormat="1">
      <c r="B220" s="51"/>
      <c r="C220" s="51"/>
      <c r="D220" s="51"/>
      <c r="H220" s="51"/>
      <c r="K220" s="93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</row>
    <row r="221" spans="2:35" s="50" customFormat="1">
      <c r="B221" s="51"/>
      <c r="C221" s="51"/>
      <c r="D221" s="51"/>
      <c r="H221" s="51"/>
      <c r="K221" s="93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</row>
    <row r="222" spans="2:35" s="50" customFormat="1">
      <c r="B222" s="51"/>
      <c r="C222" s="51"/>
      <c r="D222" s="51"/>
      <c r="H222" s="51"/>
      <c r="K222" s="93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</row>
    <row r="223" spans="2:35" s="50" customFormat="1">
      <c r="B223" s="51"/>
      <c r="C223" s="51"/>
      <c r="D223" s="51"/>
      <c r="H223" s="51"/>
      <c r="K223" s="93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</row>
    <row r="224" spans="2:35" s="50" customFormat="1">
      <c r="B224" s="51"/>
      <c r="C224" s="51"/>
      <c r="D224" s="51"/>
      <c r="H224" s="51"/>
      <c r="K224" s="93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</row>
    <row r="225" spans="2:35" s="50" customFormat="1">
      <c r="B225" s="51"/>
      <c r="C225" s="51"/>
      <c r="D225" s="51"/>
      <c r="H225" s="51"/>
      <c r="K225" s="93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</row>
    <row r="226" spans="2:35" s="50" customFormat="1">
      <c r="B226" s="51"/>
      <c r="C226" s="51"/>
      <c r="D226" s="51"/>
      <c r="H226" s="51"/>
      <c r="K226" s="93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</row>
    <row r="227" spans="2:35" s="50" customFormat="1">
      <c r="B227" s="51"/>
      <c r="C227" s="51"/>
      <c r="D227" s="51"/>
      <c r="H227" s="51"/>
      <c r="K227" s="93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</row>
    <row r="228" spans="2:35" s="50" customFormat="1">
      <c r="B228" s="51"/>
      <c r="C228" s="51"/>
      <c r="D228" s="51"/>
      <c r="H228" s="51"/>
      <c r="K228" s="93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</row>
    <row r="229" spans="2:35" s="50" customFormat="1">
      <c r="B229" s="51"/>
      <c r="C229" s="51"/>
      <c r="D229" s="51"/>
      <c r="H229" s="51"/>
      <c r="K229" s="93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</row>
    <row r="230" spans="2:35" s="50" customFormat="1">
      <c r="B230" s="51"/>
      <c r="C230" s="51"/>
      <c r="D230" s="51"/>
      <c r="H230" s="51"/>
      <c r="K230" s="93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</row>
    <row r="231" spans="2:35" s="50" customFormat="1">
      <c r="B231" s="51"/>
      <c r="C231" s="51"/>
      <c r="D231" s="51"/>
      <c r="H231" s="51"/>
      <c r="K231" s="93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</row>
    <row r="232" spans="2:35" s="50" customFormat="1">
      <c r="B232" s="51"/>
      <c r="C232" s="51"/>
      <c r="D232" s="51"/>
      <c r="H232" s="51"/>
      <c r="K232" s="93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</row>
    <row r="233" spans="2:35" s="50" customFormat="1">
      <c r="B233" s="51"/>
      <c r="C233" s="51"/>
      <c r="D233" s="51"/>
      <c r="H233" s="51"/>
      <c r="K233" s="93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</row>
    <row r="234" spans="2:35" s="50" customFormat="1">
      <c r="B234" s="51"/>
      <c r="C234" s="51"/>
      <c r="D234" s="51"/>
      <c r="H234" s="51"/>
      <c r="K234" s="93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</row>
    <row r="235" spans="2:35" s="50" customFormat="1">
      <c r="B235" s="51"/>
      <c r="C235" s="51"/>
      <c r="D235" s="51"/>
      <c r="H235" s="51"/>
      <c r="K235" s="93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</row>
    <row r="236" spans="2:35" s="50" customFormat="1">
      <c r="B236" s="51"/>
      <c r="C236" s="51"/>
      <c r="D236" s="51"/>
      <c r="H236" s="51"/>
      <c r="K236" s="93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</row>
    <row r="237" spans="2:35" s="50" customFormat="1">
      <c r="B237" s="51"/>
      <c r="C237" s="51"/>
      <c r="D237" s="51"/>
      <c r="H237" s="51"/>
      <c r="K237" s="93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</row>
    <row r="238" spans="2:35" s="50" customFormat="1">
      <c r="B238" s="51"/>
      <c r="C238" s="51"/>
      <c r="D238" s="51"/>
      <c r="H238" s="51"/>
      <c r="K238" s="93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</row>
    <row r="239" spans="2:35" s="50" customFormat="1">
      <c r="B239" s="51"/>
      <c r="C239" s="51"/>
      <c r="D239" s="51"/>
      <c r="H239" s="51"/>
      <c r="K239" s="93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</row>
    <row r="240" spans="2:35" s="50" customFormat="1">
      <c r="B240" s="51"/>
      <c r="C240" s="51"/>
      <c r="D240" s="51"/>
      <c r="H240" s="51"/>
      <c r="K240" s="93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</row>
    <row r="241" spans="2:35" s="50" customFormat="1">
      <c r="B241" s="51"/>
      <c r="C241" s="51"/>
      <c r="D241" s="51"/>
      <c r="H241" s="51"/>
      <c r="K241" s="93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</row>
    <row r="242" spans="2:35" s="50" customFormat="1">
      <c r="B242" s="51"/>
      <c r="C242" s="51"/>
      <c r="D242" s="51"/>
      <c r="H242" s="51"/>
      <c r="K242" s="93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</row>
    <row r="243" spans="2:35" s="50" customFormat="1">
      <c r="B243" s="51"/>
      <c r="C243" s="51"/>
      <c r="D243" s="51"/>
      <c r="H243" s="51"/>
      <c r="K243" s="93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</row>
    <row r="244" spans="2:35" s="50" customFormat="1">
      <c r="B244" s="51"/>
      <c r="C244" s="51"/>
      <c r="D244" s="51"/>
      <c r="H244" s="51"/>
      <c r="K244" s="93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</row>
    <row r="245" spans="2:35" s="50" customFormat="1">
      <c r="B245" s="51"/>
      <c r="C245" s="51"/>
      <c r="D245" s="51"/>
      <c r="H245" s="51"/>
      <c r="K245" s="93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</row>
    <row r="246" spans="2:35" s="50" customFormat="1">
      <c r="B246" s="51"/>
      <c r="C246" s="51"/>
      <c r="D246" s="51"/>
      <c r="H246" s="51"/>
      <c r="K246" s="93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</row>
    <row r="247" spans="2:35" s="50" customFormat="1">
      <c r="B247" s="51"/>
      <c r="C247" s="51"/>
      <c r="D247" s="51"/>
      <c r="H247" s="51"/>
      <c r="K247" s="93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</row>
    <row r="248" spans="2:35" s="50" customFormat="1">
      <c r="B248" s="51"/>
      <c r="C248" s="51"/>
      <c r="D248" s="51"/>
      <c r="H248" s="51"/>
      <c r="K248" s="93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</row>
    <row r="249" spans="2:35" s="50" customFormat="1">
      <c r="B249" s="51"/>
      <c r="C249" s="51"/>
      <c r="D249" s="51"/>
      <c r="H249" s="51"/>
      <c r="K249" s="93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</row>
    <row r="250" spans="2:35" s="50" customFormat="1">
      <c r="B250" s="51"/>
      <c r="C250" s="51"/>
      <c r="D250" s="51"/>
      <c r="H250" s="51"/>
      <c r="K250" s="93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</row>
    <row r="251" spans="2:35" s="50" customFormat="1">
      <c r="B251" s="51"/>
      <c r="C251" s="51"/>
      <c r="D251" s="51"/>
      <c r="H251" s="51"/>
      <c r="K251" s="93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</row>
    <row r="252" spans="2:35" s="50" customFormat="1">
      <c r="B252" s="51"/>
      <c r="C252" s="51"/>
      <c r="D252" s="51"/>
      <c r="H252" s="51"/>
      <c r="K252" s="93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</row>
    <row r="253" spans="2:35" s="50" customFormat="1">
      <c r="B253" s="51"/>
      <c r="C253" s="51"/>
      <c r="D253" s="51"/>
      <c r="H253" s="51"/>
      <c r="K253" s="93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</row>
    <row r="254" spans="2:35" s="50" customFormat="1">
      <c r="B254" s="51"/>
      <c r="C254" s="51"/>
      <c r="D254" s="51"/>
      <c r="H254" s="51"/>
      <c r="K254" s="93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</row>
    <row r="255" spans="2:35" s="50" customFormat="1">
      <c r="B255" s="51"/>
      <c r="C255" s="51"/>
      <c r="D255" s="51"/>
      <c r="H255" s="51"/>
      <c r="K255" s="93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</row>
    <row r="256" spans="2:35" s="50" customFormat="1">
      <c r="B256" s="51"/>
      <c r="C256" s="51"/>
      <c r="D256" s="51"/>
      <c r="H256" s="51"/>
      <c r="K256" s="93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</row>
    <row r="257" spans="2:35" s="50" customFormat="1">
      <c r="B257" s="51"/>
      <c r="C257" s="51"/>
      <c r="D257" s="51"/>
      <c r="H257" s="51"/>
      <c r="K257" s="93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</row>
    <row r="258" spans="2:35" s="50" customFormat="1">
      <c r="B258" s="51"/>
      <c r="C258" s="51"/>
      <c r="D258" s="51"/>
      <c r="H258" s="51"/>
      <c r="K258" s="93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</row>
    <row r="259" spans="2:35" s="50" customFormat="1">
      <c r="B259" s="51"/>
      <c r="C259" s="51"/>
      <c r="D259" s="51"/>
      <c r="H259" s="51"/>
      <c r="K259" s="93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</row>
    <row r="260" spans="2:35" s="50" customFormat="1">
      <c r="B260" s="51"/>
      <c r="C260" s="51"/>
      <c r="D260" s="51"/>
      <c r="H260" s="51"/>
      <c r="K260" s="93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</row>
    <row r="261" spans="2:35" s="50" customFormat="1">
      <c r="B261" s="51"/>
      <c r="C261" s="51"/>
      <c r="D261" s="51"/>
      <c r="H261" s="51"/>
      <c r="K261" s="93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</row>
    <row r="262" spans="2:35" s="50" customFormat="1">
      <c r="B262" s="51"/>
      <c r="C262" s="51"/>
      <c r="D262" s="51"/>
      <c r="H262" s="51"/>
      <c r="K262" s="93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</row>
    <row r="263" spans="2:35" s="50" customFormat="1">
      <c r="B263" s="51"/>
      <c r="C263" s="51"/>
      <c r="D263" s="51"/>
      <c r="H263" s="51"/>
      <c r="K263" s="93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</row>
    <row r="264" spans="2:35" s="50" customFormat="1">
      <c r="B264" s="51"/>
      <c r="C264" s="51"/>
      <c r="D264" s="51"/>
      <c r="H264" s="51"/>
      <c r="K264" s="93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</row>
    <row r="265" spans="2:35" s="50" customFormat="1">
      <c r="B265" s="51"/>
      <c r="C265" s="51"/>
      <c r="D265" s="51"/>
      <c r="H265" s="51"/>
      <c r="K265" s="93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</row>
    <row r="266" spans="2:35" s="50" customFormat="1">
      <c r="B266" s="51"/>
      <c r="C266" s="51"/>
      <c r="D266" s="51"/>
      <c r="H266" s="51"/>
      <c r="K266" s="93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</row>
    <row r="267" spans="2:35" s="50" customFormat="1">
      <c r="B267" s="51"/>
      <c r="C267" s="51"/>
      <c r="D267" s="51"/>
      <c r="H267" s="51"/>
      <c r="K267" s="93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</row>
  </sheetData>
  <mergeCells count="1">
    <mergeCell ref="A1:B1"/>
  </mergeCells>
  <pageMargins left="0.23622047244094491" right="0.31496062992125984" top="0.74803149606299213" bottom="0.74803149606299213" header="0.51181102362204722" footer="0.51181102362204722"/>
  <pageSetup paperSize="9" scale="30" fitToHeight="1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69FAE-9095-4582-9ED6-1971E0B3E0DF}">
  <sheetPr codeName="Sheet10">
    <pageSetUpPr fitToPage="1"/>
  </sheetPr>
  <dimension ref="A1:AJ245"/>
  <sheetViews>
    <sheetView showGridLines="0" zoomScale="80" zoomScaleNormal="80" workbookViewId="0">
      <selection activeCell="B77" sqref="B77"/>
    </sheetView>
  </sheetViews>
  <sheetFormatPr defaultColWidth="8.7109375" defaultRowHeight="15.95"/>
  <cols>
    <col min="1" max="1" width="46.42578125" style="49" customWidth="1"/>
    <col min="2" max="2" width="29.42578125" style="49" customWidth="1"/>
    <col min="3" max="3" width="23.42578125" style="49" customWidth="1"/>
    <col min="4" max="4" width="29" style="45" customWidth="1"/>
    <col min="5" max="5" width="17.28515625" style="45" customWidth="1"/>
    <col min="6" max="6" width="20.28515625" style="45" customWidth="1"/>
    <col min="7" max="7" width="15.28515625" style="49" customWidth="1"/>
    <col min="8" max="8" width="12" style="45" customWidth="1"/>
    <col min="9" max="9" width="15.28515625" style="45" customWidth="1"/>
    <col min="10" max="11" width="12.7109375" style="45" customWidth="1"/>
    <col min="12" max="12" width="14.140625" style="45" bestFit="1" customWidth="1"/>
    <col min="13" max="13" width="14.7109375" style="45" customWidth="1"/>
    <col min="14" max="29" width="8.7109375" style="47"/>
    <col min="30" max="35" width="8.7109375" style="48"/>
    <col min="36" max="16384" width="8.7109375" style="49"/>
  </cols>
  <sheetData>
    <row r="1" spans="1:35" s="56" customFormat="1" ht="59.45" customHeight="1">
      <c r="A1" s="127" t="s">
        <v>349</v>
      </c>
      <c r="B1" s="127"/>
      <c r="C1" s="57"/>
      <c r="D1" s="57"/>
      <c r="E1" s="57"/>
      <c r="F1" s="57"/>
      <c r="G1" s="11"/>
      <c r="H1" s="57"/>
      <c r="I1" s="57"/>
      <c r="J1" s="57"/>
      <c r="K1" s="57"/>
      <c r="L1" s="57"/>
      <c r="M1" s="57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1:35" s="45" customFormat="1" ht="64.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46</v>
      </c>
      <c r="J2" s="14" t="s">
        <v>10</v>
      </c>
      <c r="K2" s="15" t="s">
        <v>11</v>
      </c>
      <c r="L2" s="15" t="s">
        <v>13</v>
      </c>
      <c r="M2" s="15" t="s">
        <v>96</v>
      </c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4"/>
      <c r="AE2" s="44"/>
      <c r="AF2" s="44"/>
      <c r="AG2" s="44"/>
      <c r="AH2" s="44"/>
      <c r="AI2" s="44"/>
    </row>
    <row r="3" spans="1:35">
      <c r="A3" s="46" t="s">
        <v>350</v>
      </c>
      <c r="B3" s="46" t="s">
        <v>351</v>
      </c>
      <c r="C3" s="46" t="s">
        <v>68</v>
      </c>
      <c r="D3" s="52" t="s">
        <v>86</v>
      </c>
      <c r="E3" s="52" t="s">
        <v>31</v>
      </c>
      <c r="F3" s="52" t="s">
        <v>53</v>
      </c>
      <c r="G3" s="46">
        <v>40</v>
      </c>
      <c r="H3" s="52">
        <v>26</v>
      </c>
      <c r="I3" s="53">
        <v>45201</v>
      </c>
      <c r="J3" s="46">
        <v>0</v>
      </c>
      <c r="K3" s="90">
        <v>0</v>
      </c>
      <c r="L3" s="46" t="s">
        <v>24</v>
      </c>
      <c r="M3" s="46" t="s">
        <v>24</v>
      </c>
    </row>
    <row r="4" spans="1:35">
      <c r="A4" s="46" t="s">
        <v>350</v>
      </c>
      <c r="B4" s="46" t="s">
        <v>351</v>
      </c>
      <c r="C4" s="46" t="s">
        <v>68</v>
      </c>
      <c r="D4" s="52" t="s">
        <v>69</v>
      </c>
      <c r="E4" s="52" t="s">
        <v>36</v>
      </c>
      <c r="F4" s="52" t="s">
        <v>53</v>
      </c>
      <c r="G4" s="46">
        <v>40</v>
      </c>
      <c r="H4" s="52">
        <v>9</v>
      </c>
      <c r="I4" s="53">
        <v>45717</v>
      </c>
      <c r="J4" s="46">
        <v>5</v>
      </c>
      <c r="K4" s="90">
        <v>200</v>
      </c>
      <c r="L4" s="46" t="s">
        <v>24</v>
      </c>
      <c r="M4" s="46" t="s">
        <v>24</v>
      </c>
    </row>
    <row r="5" spans="1:35">
      <c r="A5" s="46" t="s">
        <v>350</v>
      </c>
      <c r="B5" s="46" t="s">
        <v>351</v>
      </c>
      <c r="C5" s="46" t="s">
        <v>68</v>
      </c>
      <c r="D5" s="52" t="s">
        <v>69</v>
      </c>
      <c r="E5" s="52" t="s">
        <v>36</v>
      </c>
      <c r="F5" s="52" t="s">
        <v>53</v>
      </c>
      <c r="G5" s="46">
        <v>40</v>
      </c>
      <c r="H5" s="52">
        <v>9</v>
      </c>
      <c r="I5" s="53">
        <v>45717</v>
      </c>
      <c r="J5" s="46">
        <v>4</v>
      </c>
      <c r="K5" s="90">
        <v>200</v>
      </c>
      <c r="L5" s="46" t="s">
        <v>24</v>
      </c>
      <c r="M5" s="46" t="s">
        <v>24</v>
      </c>
    </row>
    <row r="6" spans="1:35">
      <c r="A6" s="46" t="s">
        <v>350</v>
      </c>
      <c r="B6" s="46" t="s">
        <v>351</v>
      </c>
      <c r="C6" s="46" t="s">
        <v>68</v>
      </c>
      <c r="D6" s="52" t="s">
        <v>86</v>
      </c>
      <c r="E6" s="52" t="s">
        <v>28</v>
      </c>
      <c r="F6" s="52" t="s">
        <v>53</v>
      </c>
      <c r="G6" s="46">
        <v>40</v>
      </c>
      <c r="H6" s="52">
        <v>254</v>
      </c>
      <c r="I6" s="53">
        <v>38271</v>
      </c>
      <c r="J6" s="46">
        <v>6</v>
      </c>
      <c r="K6" s="90">
        <v>558.25</v>
      </c>
      <c r="L6" s="46" t="s">
        <v>24</v>
      </c>
      <c r="M6" s="46" t="s">
        <v>24</v>
      </c>
    </row>
    <row r="7" spans="1:35">
      <c r="A7" s="46" t="s">
        <v>350</v>
      </c>
      <c r="B7" s="46" t="s">
        <v>351</v>
      </c>
      <c r="C7" s="46" t="s">
        <v>68</v>
      </c>
      <c r="D7" s="52" t="s">
        <v>178</v>
      </c>
      <c r="E7" s="52" t="s">
        <v>28</v>
      </c>
      <c r="F7" s="52" t="s">
        <v>53</v>
      </c>
      <c r="G7" s="46">
        <v>40</v>
      </c>
      <c r="H7" s="52">
        <v>105</v>
      </c>
      <c r="I7" s="53">
        <v>42784</v>
      </c>
      <c r="J7" s="46">
        <v>6</v>
      </c>
      <c r="K7" s="90">
        <v>185.54</v>
      </c>
      <c r="L7" s="46" t="s">
        <v>24</v>
      </c>
      <c r="M7" s="46" t="s">
        <v>24</v>
      </c>
    </row>
    <row r="8" spans="1:35">
      <c r="A8" s="46" t="s">
        <v>350</v>
      </c>
      <c r="B8" s="46" t="s">
        <v>351</v>
      </c>
      <c r="C8" s="46" t="s">
        <v>68</v>
      </c>
      <c r="D8" s="52" t="s">
        <v>69</v>
      </c>
      <c r="E8" s="52" t="s">
        <v>28</v>
      </c>
      <c r="F8" s="52" t="s">
        <v>53</v>
      </c>
      <c r="G8" s="46">
        <v>40</v>
      </c>
      <c r="H8" s="52">
        <v>200</v>
      </c>
      <c r="I8" s="53">
        <v>39904</v>
      </c>
      <c r="J8" s="46">
        <v>6</v>
      </c>
      <c r="K8" s="90">
        <v>191.43</v>
      </c>
      <c r="L8" s="46" t="s">
        <v>24</v>
      </c>
      <c r="M8" s="46" t="s">
        <v>24</v>
      </c>
    </row>
    <row r="9" spans="1:35">
      <c r="A9" s="46" t="s">
        <v>350</v>
      </c>
      <c r="B9" s="46" t="s">
        <v>351</v>
      </c>
      <c r="C9" s="46" t="s">
        <v>68</v>
      </c>
      <c r="D9" s="52" t="s">
        <v>86</v>
      </c>
      <c r="E9" s="52" t="s">
        <v>28</v>
      </c>
      <c r="F9" s="52" t="s">
        <v>53</v>
      </c>
      <c r="G9" s="46">
        <v>40</v>
      </c>
      <c r="H9" s="52">
        <v>222</v>
      </c>
      <c r="I9" s="53">
        <v>39237</v>
      </c>
      <c r="J9" s="46">
        <v>6</v>
      </c>
      <c r="K9" s="90">
        <v>194.03</v>
      </c>
      <c r="L9" s="46" t="s">
        <v>24</v>
      </c>
      <c r="M9" s="46" t="s">
        <v>24</v>
      </c>
    </row>
    <row r="10" spans="1:35">
      <c r="A10" s="46" t="s">
        <v>350</v>
      </c>
      <c r="B10" s="46" t="s">
        <v>351</v>
      </c>
      <c r="C10" s="46" t="s">
        <v>68</v>
      </c>
      <c r="D10" s="52" t="s">
        <v>86</v>
      </c>
      <c r="E10" s="52" t="s">
        <v>28</v>
      </c>
      <c r="F10" s="52" t="s">
        <v>53</v>
      </c>
      <c r="G10" s="46">
        <v>40</v>
      </c>
      <c r="H10" s="52">
        <v>13</v>
      </c>
      <c r="I10" s="53">
        <v>45593</v>
      </c>
      <c r="J10" s="46">
        <v>0</v>
      </c>
      <c r="K10" s="90">
        <v>0</v>
      </c>
      <c r="L10" s="46" t="s">
        <v>24</v>
      </c>
      <c r="M10" s="46" t="s">
        <v>24</v>
      </c>
    </row>
    <row r="11" spans="1:35">
      <c r="A11" s="46" t="s">
        <v>350</v>
      </c>
      <c r="B11" s="46" t="s">
        <v>351</v>
      </c>
      <c r="C11" s="46" t="s">
        <v>68</v>
      </c>
      <c r="D11" s="52" t="s">
        <v>86</v>
      </c>
      <c r="E11" s="52" t="s">
        <v>31</v>
      </c>
      <c r="F11" s="52" t="s">
        <v>53</v>
      </c>
      <c r="G11" s="46">
        <v>40</v>
      </c>
      <c r="H11" s="52">
        <v>6</v>
      </c>
      <c r="I11" s="53">
        <v>45824</v>
      </c>
      <c r="J11" s="46">
        <v>0</v>
      </c>
      <c r="K11" s="90">
        <v>0</v>
      </c>
      <c r="L11" s="46" t="s">
        <v>24</v>
      </c>
      <c r="M11" s="46" t="s">
        <v>24</v>
      </c>
    </row>
    <row r="12" spans="1:35">
      <c r="A12" s="46" t="s">
        <v>350</v>
      </c>
      <c r="B12" s="46" t="s">
        <v>351</v>
      </c>
      <c r="C12" s="46" t="s">
        <v>68</v>
      </c>
      <c r="D12" s="52" t="s">
        <v>86</v>
      </c>
      <c r="E12" s="52" t="s">
        <v>28</v>
      </c>
      <c r="F12" s="52" t="s">
        <v>53</v>
      </c>
      <c r="G12" s="46">
        <v>40</v>
      </c>
      <c r="H12" s="52">
        <v>38</v>
      </c>
      <c r="I12" s="80">
        <v>44830</v>
      </c>
      <c r="J12" s="46">
        <v>1</v>
      </c>
      <c r="K12" s="90">
        <v>0</v>
      </c>
      <c r="L12" s="46" t="s">
        <v>24</v>
      </c>
      <c r="M12" s="46" t="s">
        <v>24</v>
      </c>
    </row>
    <row r="13" spans="1:35">
      <c r="A13" s="46" t="s">
        <v>350</v>
      </c>
      <c r="B13" s="46" t="s">
        <v>351</v>
      </c>
      <c r="C13" s="46" t="s">
        <v>68</v>
      </c>
      <c r="D13" s="52" t="s">
        <v>352</v>
      </c>
      <c r="E13" s="52" t="s">
        <v>36</v>
      </c>
      <c r="F13" s="52" t="s">
        <v>53</v>
      </c>
      <c r="G13" s="46">
        <v>40</v>
      </c>
      <c r="H13" s="52">
        <v>24</v>
      </c>
      <c r="I13" s="53">
        <v>45251</v>
      </c>
      <c r="J13" s="46">
        <v>1</v>
      </c>
      <c r="K13" s="90">
        <v>0</v>
      </c>
      <c r="L13" s="46" t="s">
        <v>24</v>
      </c>
      <c r="M13" s="46" t="s">
        <v>24</v>
      </c>
    </row>
    <row r="14" spans="1:35">
      <c r="A14" s="46" t="s">
        <v>350</v>
      </c>
      <c r="B14" s="46" t="s">
        <v>351</v>
      </c>
      <c r="C14" s="46" t="s">
        <v>68</v>
      </c>
      <c r="D14" s="52" t="s">
        <v>69</v>
      </c>
      <c r="E14" s="52" t="s">
        <v>21</v>
      </c>
      <c r="F14" s="52" t="s">
        <v>53</v>
      </c>
      <c r="G14" s="46">
        <v>40</v>
      </c>
      <c r="H14" s="52">
        <v>45</v>
      </c>
      <c r="I14" s="53">
        <v>44621</v>
      </c>
      <c r="J14" s="46">
        <v>1</v>
      </c>
      <c r="K14" s="90">
        <v>0</v>
      </c>
      <c r="L14" s="46" t="s">
        <v>24</v>
      </c>
      <c r="M14" s="46" t="s">
        <v>24</v>
      </c>
    </row>
    <row r="15" spans="1:35">
      <c r="A15" s="46" t="s">
        <v>350</v>
      </c>
      <c r="B15" s="46" t="s">
        <v>351</v>
      </c>
      <c r="C15" s="46" t="s">
        <v>68</v>
      </c>
      <c r="D15" s="52" t="s">
        <v>86</v>
      </c>
      <c r="E15" s="52" t="s">
        <v>28</v>
      </c>
      <c r="F15" s="52" t="s">
        <v>53</v>
      </c>
      <c r="G15" s="46">
        <v>40</v>
      </c>
      <c r="H15" s="52">
        <v>222</v>
      </c>
      <c r="I15" s="53">
        <v>39249</v>
      </c>
      <c r="J15" s="46">
        <v>6</v>
      </c>
      <c r="K15" s="90">
        <v>148.97999999999999</v>
      </c>
      <c r="L15" s="46" t="s">
        <v>24</v>
      </c>
      <c r="M15" s="46" t="s">
        <v>24</v>
      </c>
    </row>
    <row r="16" spans="1:35">
      <c r="A16" s="46" t="s">
        <v>350</v>
      </c>
      <c r="B16" s="46" t="s">
        <v>351</v>
      </c>
      <c r="C16" s="46" t="s">
        <v>309</v>
      </c>
      <c r="D16" s="52" t="s">
        <v>353</v>
      </c>
      <c r="E16" s="52" t="s">
        <v>354</v>
      </c>
      <c r="F16" s="52" t="s">
        <v>53</v>
      </c>
      <c r="G16" s="46">
        <v>40</v>
      </c>
      <c r="H16" s="52">
        <v>105</v>
      </c>
      <c r="I16" s="53">
        <v>42784</v>
      </c>
      <c r="J16" s="46">
        <v>9</v>
      </c>
      <c r="K16" s="90">
        <v>1184.26</v>
      </c>
      <c r="L16" s="46" t="s">
        <v>24</v>
      </c>
      <c r="M16" s="46" t="s">
        <v>24</v>
      </c>
    </row>
    <row r="17" spans="1:36">
      <c r="A17" s="46" t="s">
        <v>350</v>
      </c>
      <c r="B17" s="46" t="s">
        <v>351</v>
      </c>
      <c r="C17" s="46" t="s">
        <v>68</v>
      </c>
      <c r="D17" s="52" t="s">
        <v>86</v>
      </c>
      <c r="E17" s="52" t="s">
        <v>28</v>
      </c>
      <c r="F17" s="52" t="s">
        <v>53</v>
      </c>
      <c r="G17" s="46">
        <v>40</v>
      </c>
      <c r="H17" s="52">
        <v>1</v>
      </c>
      <c r="I17" s="53">
        <v>46000</v>
      </c>
      <c r="J17" s="46">
        <v>0</v>
      </c>
      <c r="K17" s="90">
        <v>0</v>
      </c>
      <c r="L17" s="46" t="s">
        <v>24</v>
      </c>
      <c r="M17" s="46" t="s">
        <v>24</v>
      </c>
    </row>
    <row r="18" spans="1:36">
      <c r="A18" s="46" t="s">
        <v>350</v>
      </c>
      <c r="B18" s="46" t="s">
        <v>351</v>
      </c>
      <c r="C18" s="46" t="s">
        <v>68</v>
      </c>
      <c r="D18" s="52" t="s">
        <v>178</v>
      </c>
      <c r="E18" s="52" t="s">
        <v>28</v>
      </c>
      <c r="F18" s="52" t="s">
        <v>53</v>
      </c>
      <c r="G18" s="46">
        <v>40</v>
      </c>
      <c r="H18" s="52">
        <v>4</v>
      </c>
      <c r="I18" s="53">
        <v>45901</v>
      </c>
      <c r="J18" s="46">
        <v>0</v>
      </c>
      <c r="K18" s="90">
        <v>226.36</v>
      </c>
      <c r="L18" s="46" t="s">
        <v>24</v>
      </c>
      <c r="M18" s="46" t="s">
        <v>24</v>
      </c>
    </row>
    <row r="19" spans="1:36" s="47" customFormat="1">
      <c r="A19" s="46" t="s">
        <v>350</v>
      </c>
      <c r="B19" s="46" t="s">
        <v>351</v>
      </c>
      <c r="C19" s="46" t="s">
        <v>68</v>
      </c>
      <c r="D19" s="52" t="s">
        <v>69</v>
      </c>
      <c r="E19" s="52" t="s">
        <v>36</v>
      </c>
      <c r="F19" s="52" t="s">
        <v>53</v>
      </c>
      <c r="G19" s="46">
        <v>40</v>
      </c>
      <c r="H19" s="52">
        <v>9</v>
      </c>
      <c r="I19" s="53">
        <v>45717</v>
      </c>
      <c r="J19" s="46">
        <v>5</v>
      </c>
      <c r="K19" s="90">
        <v>200</v>
      </c>
      <c r="L19" s="46" t="s">
        <v>24</v>
      </c>
      <c r="M19" s="46" t="s">
        <v>24</v>
      </c>
      <c r="AD19" s="48"/>
      <c r="AE19" s="48"/>
      <c r="AF19" s="48"/>
      <c r="AG19" s="48"/>
      <c r="AH19" s="48"/>
      <c r="AI19" s="48"/>
      <c r="AJ19" s="49"/>
    </row>
    <row r="20" spans="1:36" s="47" customFormat="1">
      <c r="A20" s="46" t="s">
        <v>350</v>
      </c>
      <c r="B20" s="46" t="s">
        <v>351</v>
      </c>
      <c r="C20" s="46" t="s">
        <v>68</v>
      </c>
      <c r="D20" s="52" t="s">
        <v>69</v>
      </c>
      <c r="E20" s="52" t="s">
        <v>42</v>
      </c>
      <c r="F20" s="52" t="s">
        <v>53</v>
      </c>
      <c r="G20" s="46">
        <v>40</v>
      </c>
      <c r="H20" s="52">
        <v>9</v>
      </c>
      <c r="I20" s="53">
        <v>45717</v>
      </c>
      <c r="J20" s="46">
        <v>0</v>
      </c>
      <c r="K20" s="90">
        <v>0</v>
      </c>
      <c r="L20" s="46" t="s">
        <v>24</v>
      </c>
      <c r="M20" s="46" t="s">
        <v>24</v>
      </c>
      <c r="AD20" s="48"/>
      <c r="AE20" s="48"/>
      <c r="AF20" s="48"/>
      <c r="AG20" s="48"/>
      <c r="AH20" s="48"/>
      <c r="AI20" s="48"/>
      <c r="AJ20" s="49"/>
    </row>
    <row r="21" spans="1:36" s="47" customFormat="1">
      <c r="A21" s="46" t="s">
        <v>350</v>
      </c>
      <c r="B21" s="46" t="s">
        <v>351</v>
      </c>
      <c r="C21" s="46" t="s">
        <v>68</v>
      </c>
      <c r="D21" s="52" t="s">
        <v>352</v>
      </c>
      <c r="E21" s="52" t="s">
        <v>21</v>
      </c>
      <c r="F21" s="52" t="s">
        <v>53</v>
      </c>
      <c r="G21" s="46">
        <v>40</v>
      </c>
      <c r="H21" s="52">
        <v>181</v>
      </c>
      <c r="I21" s="53">
        <v>40484</v>
      </c>
      <c r="J21" s="46">
        <v>6</v>
      </c>
      <c r="K21" s="90">
        <v>143.22</v>
      </c>
      <c r="L21" s="46" t="s">
        <v>24</v>
      </c>
      <c r="M21" s="46" t="s">
        <v>23</v>
      </c>
      <c r="AD21" s="48"/>
      <c r="AE21" s="48"/>
      <c r="AF21" s="48"/>
      <c r="AG21" s="48"/>
      <c r="AH21" s="48"/>
      <c r="AI21" s="48"/>
      <c r="AJ21" s="49"/>
    </row>
    <row r="22" spans="1:36" s="47" customFormat="1">
      <c r="A22" s="46" t="s">
        <v>350</v>
      </c>
      <c r="B22" s="46" t="s">
        <v>351</v>
      </c>
      <c r="C22" s="46" t="s">
        <v>68</v>
      </c>
      <c r="D22" s="52" t="s">
        <v>178</v>
      </c>
      <c r="E22" s="52" t="s">
        <v>30</v>
      </c>
      <c r="F22" s="52" t="s">
        <v>53</v>
      </c>
      <c r="G22" s="46">
        <v>40</v>
      </c>
      <c r="H22" s="52">
        <v>105</v>
      </c>
      <c r="I22" s="53">
        <v>42784</v>
      </c>
      <c r="J22" s="46">
        <v>6</v>
      </c>
      <c r="K22" s="90">
        <v>705.6</v>
      </c>
      <c r="L22" s="46" t="s">
        <v>24</v>
      </c>
      <c r="M22" s="46" t="s">
        <v>24</v>
      </c>
      <c r="AD22" s="48"/>
      <c r="AE22" s="48"/>
      <c r="AF22" s="48"/>
      <c r="AG22" s="48"/>
      <c r="AH22" s="48"/>
      <c r="AI22" s="48"/>
      <c r="AJ22" s="49"/>
    </row>
    <row r="23" spans="1:36" s="47" customFormat="1">
      <c r="A23" s="46" t="s">
        <v>350</v>
      </c>
      <c r="B23" s="46" t="s">
        <v>351</v>
      </c>
      <c r="C23" s="46" t="s">
        <v>68</v>
      </c>
      <c r="D23" s="52" t="s">
        <v>69</v>
      </c>
      <c r="E23" s="52" t="s">
        <v>42</v>
      </c>
      <c r="F23" s="52" t="s">
        <v>53</v>
      </c>
      <c r="G23" s="46">
        <v>40</v>
      </c>
      <c r="H23" s="52">
        <v>9</v>
      </c>
      <c r="I23" s="53">
        <v>45717</v>
      </c>
      <c r="J23" s="46">
        <v>3</v>
      </c>
      <c r="K23" s="90">
        <v>0</v>
      </c>
      <c r="L23" s="46" t="s">
        <v>24</v>
      </c>
      <c r="M23" s="46" t="s">
        <v>24</v>
      </c>
      <c r="AD23" s="48"/>
      <c r="AE23" s="48"/>
      <c r="AF23" s="48"/>
      <c r="AG23" s="48"/>
      <c r="AH23" s="48"/>
      <c r="AI23" s="48"/>
      <c r="AJ23" s="49"/>
    </row>
    <row r="24" spans="1:36" s="47" customFormat="1">
      <c r="A24" s="46" t="s">
        <v>350</v>
      </c>
      <c r="B24" s="46" t="s">
        <v>351</v>
      </c>
      <c r="C24" s="46" t="s">
        <v>68</v>
      </c>
      <c r="D24" s="52" t="s">
        <v>86</v>
      </c>
      <c r="E24" s="52" t="s">
        <v>21</v>
      </c>
      <c r="F24" s="52" t="s">
        <v>53</v>
      </c>
      <c r="G24" s="46">
        <v>40</v>
      </c>
      <c r="H24" s="52">
        <v>8</v>
      </c>
      <c r="I24" s="53">
        <v>45775</v>
      </c>
      <c r="J24" s="46">
        <v>0</v>
      </c>
      <c r="K24" s="90">
        <v>0</v>
      </c>
      <c r="L24" s="46" t="s">
        <v>24</v>
      </c>
      <c r="M24" s="46" t="s">
        <v>24</v>
      </c>
      <c r="AD24" s="48"/>
      <c r="AE24" s="48"/>
      <c r="AF24" s="48"/>
      <c r="AG24" s="48"/>
      <c r="AH24" s="48"/>
      <c r="AI24" s="48"/>
      <c r="AJ24" s="49"/>
    </row>
    <row r="25" spans="1:36" s="47" customFormat="1">
      <c r="A25" s="46" t="s">
        <v>350</v>
      </c>
      <c r="B25" s="46" t="s">
        <v>351</v>
      </c>
      <c r="C25" s="46" t="s">
        <v>309</v>
      </c>
      <c r="D25" s="52" t="s">
        <v>355</v>
      </c>
      <c r="E25" s="52" t="s">
        <v>356</v>
      </c>
      <c r="F25" s="52" t="s">
        <v>53</v>
      </c>
      <c r="G25" s="46">
        <v>40</v>
      </c>
      <c r="H25" s="52">
        <v>10</v>
      </c>
      <c r="I25" s="53">
        <v>45705</v>
      </c>
      <c r="J25" s="46">
        <v>0</v>
      </c>
      <c r="K25" s="90">
        <v>1000</v>
      </c>
      <c r="L25" s="46" t="s">
        <v>24</v>
      </c>
      <c r="M25" s="46" t="s">
        <v>24</v>
      </c>
      <c r="AD25" s="48"/>
      <c r="AE25" s="48"/>
      <c r="AF25" s="48"/>
      <c r="AG25" s="48"/>
      <c r="AH25" s="48"/>
      <c r="AI25" s="48"/>
      <c r="AJ25" s="49"/>
    </row>
    <row r="26" spans="1:36" s="47" customFormat="1">
      <c r="A26" s="46" t="s">
        <v>350</v>
      </c>
      <c r="B26" s="46" t="s">
        <v>351</v>
      </c>
      <c r="C26" s="46" t="s">
        <v>68</v>
      </c>
      <c r="D26" s="52" t="s">
        <v>69</v>
      </c>
      <c r="E26" s="52" t="s">
        <v>36</v>
      </c>
      <c r="F26" s="52" t="s">
        <v>53</v>
      </c>
      <c r="G26" s="46">
        <v>40</v>
      </c>
      <c r="H26" s="52">
        <v>9</v>
      </c>
      <c r="I26" s="53">
        <v>45717</v>
      </c>
      <c r="J26" s="46">
        <v>4</v>
      </c>
      <c r="K26" s="90">
        <v>200</v>
      </c>
      <c r="L26" s="46" t="s">
        <v>24</v>
      </c>
      <c r="M26" s="46" t="s">
        <v>24</v>
      </c>
      <c r="AD26" s="48"/>
      <c r="AE26" s="48"/>
      <c r="AF26" s="48"/>
      <c r="AG26" s="48"/>
      <c r="AH26" s="48"/>
      <c r="AI26" s="48"/>
      <c r="AJ26" s="49"/>
    </row>
    <row r="27" spans="1:36" s="47" customFormat="1">
      <c r="A27" s="46" t="s">
        <v>350</v>
      </c>
      <c r="B27" s="46" t="s">
        <v>351</v>
      </c>
      <c r="C27" s="46" t="s">
        <v>68</v>
      </c>
      <c r="D27" s="52" t="s">
        <v>357</v>
      </c>
      <c r="E27" s="52" t="s">
        <v>21</v>
      </c>
      <c r="F27" s="52" t="s">
        <v>53</v>
      </c>
      <c r="G27" s="46">
        <v>40</v>
      </c>
      <c r="H27" s="52">
        <v>12</v>
      </c>
      <c r="I27" s="53">
        <v>45659</v>
      </c>
      <c r="J27" s="46">
        <v>0</v>
      </c>
      <c r="K27" s="90">
        <v>0</v>
      </c>
      <c r="L27" s="46" t="s">
        <v>24</v>
      </c>
      <c r="M27" s="46" t="s">
        <v>24</v>
      </c>
      <c r="AD27" s="48"/>
      <c r="AE27" s="48"/>
      <c r="AF27" s="48"/>
      <c r="AG27" s="48"/>
      <c r="AH27" s="48"/>
      <c r="AI27" s="48"/>
      <c r="AJ27" s="49"/>
    </row>
    <row r="28" spans="1:36" s="47" customFormat="1">
      <c r="A28" s="46" t="s">
        <v>350</v>
      </c>
      <c r="B28" s="46" t="s">
        <v>351</v>
      </c>
      <c r="C28" s="46" t="s">
        <v>68</v>
      </c>
      <c r="D28" s="52" t="s">
        <v>69</v>
      </c>
      <c r="E28" s="52" t="s">
        <v>36</v>
      </c>
      <c r="F28" s="52" t="s">
        <v>53</v>
      </c>
      <c r="G28" s="46">
        <v>40</v>
      </c>
      <c r="H28" s="52">
        <v>9</v>
      </c>
      <c r="I28" s="53">
        <v>45717</v>
      </c>
      <c r="J28" s="46">
        <v>5</v>
      </c>
      <c r="K28" s="90">
        <v>200</v>
      </c>
      <c r="L28" s="46" t="s">
        <v>24</v>
      </c>
      <c r="M28" s="46" t="s">
        <v>24</v>
      </c>
      <c r="AD28" s="48"/>
      <c r="AE28" s="48"/>
      <c r="AF28" s="48"/>
      <c r="AG28" s="48"/>
      <c r="AH28" s="48"/>
      <c r="AI28" s="48"/>
      <c r="AJ28" s="49"/>
    </row>
    <row r="29" spans="1:36" s="47" customFormat="1">
      <c r="A29" s="46" t="s">
        <v>350</v>
      </c>
      <c r="B29" s="46" t="s">
        <v>351</v>
      </c>
      <c r="C29" s="46" t="s">
        <v>68</v>
      </c>
      <c r="D29" s="52" t="s">
        <v>69</v>
      </c>
      <c r="E29" s="52" t="s">
        <v>42</v>
      </c>
      <c r="F29" s="52" t="s">
        <v>53</v>
      </c>
      <c r="G29" s="46">
        <v>40</v>
      </c>
      <c r="H29" s="52">
        <v>9</v>
      </c>
      <c r="I29" s="53">
        <v>45717</v>
      </c>
      <c r="J29" s="46">
        <v>2</v>
      </c>
      <c r="K29" s="90">
        <v>0</v>
      </c>
      <c r="L29" s="46" t="s">
        <v>24</v>
      </c>
      <c r="M29" s="46" t="s">
        <v>24</v>
      </c>
      <c r="AD29" s="48"/>
      <c r="AE29" s="48"/>
      <c r="AF29" s="48"/>
      <c r="AG29" s="48"/>
      <c r="AH29" s="48"/>
      <c r="AI29" s="48"/>
      <c r="AJ29" s="49"/>
    </row>
    <row r="30" spans="1:36" s="47" customFormat="1">
      <c r="A30" s="46" t="s">
        <v>350</v>
      </c>
      <c r="B30" s="46" t="s">
        <v>351</v>
      </c>
      <c r="C30" s="46" t="s">
        <v>68</v>
      </c>
      <c r="D30" s="52" t="s">
        <v>352</v>
      </c>
      <c r="E30" s="52" t="s">
        <v>36</v>
      </c>
      <c r="F30" s="52" t="s">
        <v>53</v>
      </c>
      <c r="G30" s="46">
        <v>40</v>
      </c>
      <c r="H30" s="52">
        <v>41</v>
      </c>
      <c r="I30" s="53">
        <v>44743</v>
      </c>
      <c r="J30" s="46">
        <v>1</v>
      </c>
      <c r="K30" s="90">
        <v>0</v>
      </c>
      <c r="L30" s="46" t="s">
        <v>24</v>
      </c>
      <c r="M30" s="46" t="s">
        <v>24</v>
      </c>
      <c r="AD30" s="48"/>
      <c r="AE30" s="48"/>
      <c r="AF30" s="48"/>
      <c r="AG30" s="48"/>
      <c r="AH30" s="48"/>
      <c r="AI30" s="48"/>
      <c r="AJ30" s="49"/>
    </row>
    <row r="31" spans="1:36" s="47" customFormat="1">
      <c r="A31" s="46" t="s">
        <v>350</v>
      </c>
      <c r="B31" s="46" t="s">
        <v>351</v>
      </c>
      <c r="C31" s="46" t="s">
        <v>68</v>
      </c>
      <c r="D31" s="52" t="s">
        <v>86</v>
      </c>
      <c r="E31" s="52" t="s">
        <v>28</v>
      </c>
      <c r="F31" s="52" t="s">
        <v>53</v>
      </c>
      <c r="G31" s="46">
        <v>40</v>
      </c>
      <c r="H31" s="52">
        <v>25</v>
      </c>
      <c r="I31" s="80">
        <v>45231</v>
      </c>
      <c r="J31" s="46">
        <v>6</v>
      </c>
      <c r="K31" s="90">
        <v>112.48</v>
      </c>
      <c r="L31" s="46" t="s">
        <v>24</v>
      </c>
      <c r="M31" s="46" t="s">
        <v>24</v>
      </c>
      <c r="AD31" s="48"/>
      <c r="AE31" s="48"/>
      <c r="AF31" s="48"/>
      <c r="AG31" s="48"/>
      <c r="AH31" s="48"/>
      <c r="AI31" s="48"/>
      <c r="AJ31" s="49"/>
    </row>
    <row r="32" spans="1:36" s="47" customFormat="1">
      <c r="A32" s="46" t="s">
        <v>350</v>
      </c>
      <c r="B32" s="46" t="s">
        <v>351</v>
      </c>
      <c r="C32" s="46" t="s">
        <v>68</v>
      </c>
      <c r="D32" s="52" t="s">
        <v>69</v>
      </c>
      <c r="E32" s="52" t="s">
        <v>28</v>
      </c>
      <c r="F32" s="52" t="s">
        <v>53</v>
      </c>
      <c r="G32" s="46">
        <v>40</v>
      </c>
      <c r="H32" s="52">
        <v>200</v>
      </c>
      <c r="I32" s="53">
        <v>39904</v>
      </c>
      <c r="J32" s="46">
        <v>6</v>
      </c>
      <c r="K32" s="90">
        <v>265.42</v>
      </c>
      <c r="L32" s="46" t="s">
        <v>24</v>
      </c>
      <c r="M32" s="46" t="s">
        <v>24</v>
      </c>
      <c r="AD32" s="48"/>
      <c r="AE32" s="48"/>
      <c r="AF32" s="48"/>
      <c r="AG32" s="48"/>
      <c r="AH32" s="48"/>
      <c r="AI32" s="48"/>
      <c r="AJ32" s="49"/>
    </row>
    <row r="33" spans="1:36" s="47" customFormat="1">
      <c r="A33" s="46" t="s">
        <v>350</v>
      </c>
      <c r="B33" s="46" t="s">
        <v>351</v>
      </c>
      <c r="C33" s="46" t="s">
        <v>68</v>
      </c>
      <c r="D33" s="52" t="s">
        <v>69</v>
      </c>
      <c r="E33" s="52" t="s">
        <v>30</v>
      </c>
      <c r="F33" s="52" t="s">
        <v>53</v>
      </c>
      <c r="G33" s="46">
        <v>40</v>
      </c>
      <c r="H33" s="52">
        <v>9</v>
      </c>
      <c r="I33" s="53">
        <v>45717</v>
      </c>
      <c r="J33" s="46">
        <v>6</v>
      </c>
      <c r="K33" s="90">
        <v>560</v>
      </c>
      <c r="L33" s="46" t="s">
        <v>24</v>
      </c>
      <c r="M33" s="46" t="s">
        <v>24</v>
      </c>
      <c r="AD33" s="48"/>
      <c r="AE33" s="48"/>
      <c r="AF33" s="48"/>
      <c r="AG33" s="48"/>
      <c r="AH33" s="48"/>
      <c r="AI33" s="48"/>
      <c r="AJ33" s="49"/>
    </row>
    <row r="34" spans="1:36" s="47" customFormat="1">
      <c r="A34" s="46" t="s">
        <v>350</v>
      </c>
      <c r="B34" s="46" t="s">
        <v>351</v>
      </c>
      <c r="C34" s="46" t="s">
        <v>68</v>
      </c>
      <c r="D34" s="52" t="s">
        <v>358</v>
      </c>
      <c r="E34" s="52" t="s">
        <v>28</v>
      </c>
      <c r="F34" s="52" t="s">
        <v>53</v>
      </c>
      <c r="G34" s="46">
        <v>40</v>
      </c>
      <c r="H34" s="52">
        <v>105</v>
      </c>
      <c r="I34" s="53">
        <v>42784</v>
      </c>
      <c r="J34" s="46">
        <v>6</v>
      </c>
      <c r="K34" s="90">
        <v>88.43</v>
      </c>
      <c r="L34" s="46" t="s">
        <v>24</v>
      </c>
      <c r="M34" s="46" t="s">
        <v>24</v>
      </c>
      <c r="AD34" s="48"/>
      <c r="AE34" s="48"/>
      <c r="AF34" s="48"/>
      <c r="AG34" s="48"/>
      <c r="AH34" s="48"/>
      <c r="AI34" s="48"/>
      <c r="AJ34" s="49"/>
    </row>
    <row r="35" spans="1:36" s="47" customFormat="1">
      <c r="A35" s="46" t="s">
        <v>350</v>
      </c>
      <c r="B35" s="46" t="s">
        <v>351</v>
      </c>
      <c r="C35" s="46" t="s">
        <v>68</v>
      </c>
      <c r="D35" s="52" t="s">
        <v>86</v>
      </c>
      <c r="E35" s="52" t="s">
        <v>21</v>
      </c>
      <c r="F35" s="52" t="s">
        <v>53</v>
      </c>
      <c r="G35" s="46">
        <v>40</v>
      </c>
      <c r="H35" s="52">
        <v>233</v>
      </c>
      <c r="I35" s="53">
        <v>38899</v>
      </c>
      <c r="J35" s="46">
        <v>5</v>
      </c>
      <c r="K35" s="90">
        <v>144.03</v>
      </c>
      <c r="L35" s="46" t="s">
        <v>24</v>
      </c>
      <c r="M35" s="46" t="s">
        <v>24</v>
      </c>
      <c r="AD35" s="48"/>
      <c r="AE35" s="48"/>
      <c r="AF35" s="48"/>
      <c r="AG35" s="48"/>
      <c r="AH35" s="48"/>
      <c r="AI35" s="48"/>
      <c r="AJ35" s="49"/>
    </row>
    <row r="36" spans="1:36" s="47" customFormat="1">
      <c r="A36" s="46" t="s">
        <v>350</v>
      </c>
      <c r="B36" s="46" t="s">
        <v>351</v>
      </c>
      <c r="C36" s="46" t="s">
        <v>309</v>
      </c>
      <c r="D36" s="52" t="s">
        <v>353</v>
      </c>
      <c r="E36" s="52" t="s">
        <v>354</v>
      </c>
      <c r="F36" s="52" t="s">
        <v>53</v>
      </c>
      <c r="G36" s="46">
        <v>40</v>
      </c>
      <c r="H36" s="52">
        <v>14</v>
      </c>
      <c r="I36" s="53">
        <v>45586</v>
      </c>
      <c r="J36" s="46">
        <v>0</v>
      </c>
      <c r="K36" s="90">
        <v>862</v>
      </c>
      <c r="L36" s="46" t="s">
        <v>24</v>
      </c>
      <c r="M36" s="46" t="s">
        <v>24</v>
      </c>
      <c r="AD36" s="48"/>
      <c r="AE36" s="48"/>
      <c r="AF36" s="48"/>
      <c r="AG36" s="48"/>
      <c r="AH36" s="48"/>
      <c r="AI36" s="48"/>
      <c r="AJ36" s="49"/>
    </row>
    <row r="37" spans="1:36" s="47" customFormat="1">
      <c r="A37" s="46" t="s">
        <v>350</v>
      </c>
      <c r="B37" s="46" t="s">
        <v>351</v>
      </c>
      <c r="C37" s="46" t="s">
        <v>68</v>
      </c>
      <c r="D37" s="52" t="s">
        <v>69</v>
      </c>
      <c r="E37" s="52" t="s">
        <v>36</v>
      </c>
      <c r="F37" s="52" t="s">
        <v>53</v>
      </c>
      <c r="G37" s="46">
        <v>40</v>
      </c>
      <c r="H37" s="52">
        <v>9</v>
      </c>
      <c r="I37" s="53">
        <v>45717</v>
      </c>
      <c r="J37" s="46">
        <v>5</v>
      </c>
      <c r="K37" s="90">
        <v>200</v>
      </c>
      <c r="L37" s="46" t="s">
        <v>24</v>
      </c>
      <c r="M37" s="46" t="s">
        <v>24</v>
      </c>
      <c r="AD37" s="48"/>
      <c r="AE37" s="48"/>
      <c r="AF37" s="48"/>
      <c r="AG37" s="48"/>
      <c r="AH37" s="48"/>
      <c r="AI37" s="48"/>
      <c r="AJ37" s="49"/>
    </row>
    <row r="38" spans="1:36" s="47" customFormat="1">
      <c r="A38" s="46" t="s">
        <v>359</v>
      </c>
      <c r="B38" s="46" t="s">
        <v>351</v>
      </c>
      <c r="C38" s="46" t="s">
        <v>68</v>
      </c>
      <c r="D38" s="46" t="s">
        <v>87</v>
      </c>
      <c r="E38" s="46" t="s">
        <v>21</v>
      </c>
      <c r="F38" s="52" t="s">
        <v>53</v>
      </c>
      <c r="G38" s="20">
        <v>40</v>
      </c>
      <c r="H38" s="52">
        <v>97</v>
      </c>
      <c r="I38" s="53" t="s">
        <v>360</v>
      </c>
      <c r="J38" s="20">
        <v>5</v>
      </c>
      <c r="K38" s="88">
        <v>44.57</v>
      </c>
      <c r="L38" s="46" t="s">
        <v>361</v>
      </c>
      <c r="M38" s="46" t="s">
        <v>24</v>
      </c>
      <c r="O38" s="48"/>
      <c r="P38" s="48"/>
      <c r="Q38" s="48"/>
      <c r="R38" s="48"/>
      <c r="S38" s="48"/>
      <c r="T38" s="48"/>
      <c r="U38" s="49"/>
    </row>
    <row r="39" spans="1:36">
      <c r="A39" s="46" t="s">
        <v>359</v>
      </c>
      <c r="B39" s="46" t="s">
        <v>351</v>
      </c>
      <c r="C39" s="46" t="s">
        <v>68</v>
      </c>
      <c r="D39" s="46" t="s">
        <v>352</v>
      </c>
      <c r="E39" s="46" t="s">
        <v>30</v>
      </c>
      <c r="F39" s="52" t="s">
        <v>53</v>
      </c>
      <c r="G39" s="20">
        <v>40</v>
      </c>
      <c r="H39" s="52">
        <v>97</v>
      </c>
      <c r="I39" s="53" t="s">
        <v>360</v>
      </c>
      <c r="J39" s="20" t="s">
        <v>362</v>
      </c>
      <c r="K39" s="88">
        <v>824.83</v>
      </c>
      <c r="L39" s="46" t="s">
        <v>361</v>
      </c>
      <c r="M39" s="46" t="s">
        <v>24</v>
      </c>
      <c r="O39" s="48"/>
      <c r="P39" s="48"/>
      <c r="Q39" s="48"/>
      <c r="R39" s="48"/>
      <c r="S39" s="48"/>
      <c r="T39" s="48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</row>
    <row r="40" spans="1:36">
      <c r="A40" s="46" t="s">
        <v>359</v>
      </c>
      <c r="B40" s="46" t="s">
        <v>351</v>
      </c>
      <c r="C40" s="46" t="s">
        <v>68</v>
      </c>
      <c r="D40" s="46" t="s">
        <v>352</v>
      </c>
      <c r="E40" s="46" t="s">
        <v>21</v>
      </c>
      <c r="F40" s="52" t="s">
        <v>53</v>
      </c>
      <c r="G40" s="20">
        <v>40</v>
      </c>
      <c r="H40" s="52">
        <v>9</v>
      </c>
      <c r="I40" s="53" t="s">
        <v>363</v>
      </c>
      <c r="J40" s="20" t="s">
        <v>364</v>
      </c>
      <c r="K40" s="88">
        <v>68.97</v>
      </c>
      <c r="L40" s="46" t="s">
        <v>365</v>
      </c>
      <c r="M40" s="46" t="s">
        <v>24</v>
      </c>
      <c r="O40" s="48"/>
      <c r="P40" s="48"/>
      <c r="Q40" s="48"/>
      <c r="R40" s="48"/>
      <c r="S40" s="48"/>
      <c r="T40" s="48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</row>
    <row r="41" spans="1:36" s="50" customFormat="1">
      <c r="A41" s="46" t="s">
        <v>359</v>
      </c>
      <c r="B41" s="46" t="s">
        <v>351</v>
      </c>
      <c r="C41" s="46" t="s">
        <v>68</v>
      </c>
      <c r="D41" s="46" t="s">
        <v>352</v>
      </c>
      <c r="E41" s="46" t="s">
        <v>36</v>
      </c>
      <c r="F41" s="52" t="s">
        <v>53</v>
      </c>
      <c r="G41" s="20">
        <v>40</v>
      </c>
      <c r="H41" s="52">
        <v>18</v>
      </c>
      <c r="I41" s="53" t="s">
        <v>366</v>
      </c>
      <c r="J41" s="20" t="s">
        <v>364</v>
      </c>
      <c r="K41" s="88">
        <v>274.45</v>
      </c>
      <c r="L41" s="46" t="s">
        <v>365</v>
      </c>
      <c r="M41" s="46" t="s">
        <v>24</v>
      </c>
      <c r="N41" s="47"/>
      <c r="O41" s="47"/>
      <c r="P41" s="47"/>
      <c r="Q41" s="47"/>
      <c r="R41" s="47"/>
      <c r="S41" s="47"/>
      <c r="T41" s="47"/>
    </row>
    <row r="42" spans="1:36" s="50" customFormat="1">
      <c r="A42" s="46" t="s">
        <v>359</v>
      </c>
      <c r="B42" s="46" t="s">
        <v>351</v>
      </c>
      <c r="C42" s="46" t="s">
        <v>68</v>
      </c>
      <c r="D42" s="46" t="s">
        <v>87</v>
      </c>
      <c r="E42" s="46" t="s">
        <v>28</v>
      </c>
      <c r="F42" s="52" t="s">
        <v>53</v>
      </c>
      <c r="G42" s="20">
        <v>40</v>
      </c>
      <c r="H42" s="52">
        <v>85</v>
      </c>
      <c r="I42" s="53" t="s">
        <v>367</v>
      </c>
      <c r="J42" s="20" t="s">
        <v>368</v>
      </c>
      <c r="K42" s="88">
        <v>176.6</v>
      </c>
      <c r="L42" s="46" t="s">
        <v>365</v>
      </c>
      <c r="M42" s="46" t="s">
        <v>24</v>
      </c>
      <c r="N42" s="47"/>
      <c r="O42" s="47"/>
      <c r="P42" s="47"/>
      <c r="Q42" s="47"/>
      <c r="R42" s="47"/>
      <c r="S42" s="47"/>
      <c r="T42" s="47"/>
    </row>
    <row r="43" spans="1:36" s="50" customFormat="1">
      <c r="A43" s="46" t="s">
        <v>359</v>
      </c>
      <c r="B43" s="46" t="s">
        <v>351</v>
      </c>
      <c r="C43" s="46" t="s">
        <v>68</v>
      </c>
      <c r="D43" s="46" t="s">
        <v>77</v>
      </c>
      <c r="E43" s="46" t="s">
        <v>28</v>
      </c>
      <c r="F43" s="52" t="s">
        <v>53</v>
      </c>
      <c r="G43" s="20">
        <v>40</v>
      </c>
      <c r="H43" s="52">
        <v>87</v>
      </c>
      <c r="I43" s="53" t="s">
        <v>369</v>
      </c>
      <c r="J43" s="20">
        <v>3</v>
      </c>
      <c r="K43" s="90">
        <v>0</v>
      </c>
      <c r="L43" s="46" t="s">
        <v>365</v>
      </c>
      <c r="M43" s="46" t="s">
        <v>23</v>
      </c>
      <c r="N43" s="47"/>
      <c r="O43" s="47"/>
      <c r="P43" s="47"/>
      <c r="Q43" s="47"/>
      <c r="R43" s="47"/>
      <c r="S43" s="47"/>
      <c r="T43" s="47"/>
    </row>
    <row r="44" spans="1:36" s="50" customFormat="1">
      <c r="A44" s="46" t="s">
        <v>359</v>
      </c>
      <c r="B44" s="46" t="s">
        <v>351</v>
      </c>
      <c r="C44" s="46" t="s">
        <v>68</v>
      </c>
      <c r="D44" s="46" t="s">
        <v>78</v>
      </c>
      <c r="E44" s="46" t="s">
        <v>28</v>
      </c>
      <c r="F44" s="52" t="s">
        <v>53</v>
      </c>
      <c r="G44" s="20">
        <v>40</v>
      </c>
      <c r="H44" s="52">
        <v>97</v>
      </c>
      <c r="I44" s="53" t="s">
        <v>360</v>
      </c>
      <c r="J44" s="20" t="s">
        <v>370</v>
      </c>
      <c r="K44" s="88">
        <v>108.23</v>
      </c>
      <c r="L44" s="46" t="s">
        <v>365</v>
      </c>
      <c r="M44" s="46" t="s">
        <v>24</v>
      </c>
      <c r="N44" s="47"/>
      <c r="O44" s="47"/>
      <c r="P44" s="47"/>
      <c r="Q44" s="47"/>
      <c r="R44" s="47"/>
      <c r="S44" s="47"/>
      <c r="T44" s="47"/>
    </row>
    <row r="45" spans="1:36" s="50" customFormat="1">
      <c r="A45" s="46" t="s">
        <v>359</v>
      </c>
      <c r="B45" s="46" t="s">
        <v>351</v>
      </c>
      <c r="C45" s="46" t="s">
        <v>68</v>
      </c>
      <c r="D45" s="46" t="s">
        <v>77</v>
      </c>
      <c r="E45" s="46" t="s">
        <v>30</v>
      </c>
      <c r="F45" s="52" t="s">
        <v>53</v>
      </c>
      <c r="G45" s="20">
        <v>40</v>
      </c>
      <c r="H45" s="52">
        <v>114</v>
      </c>
      <c r="I45" s="80">
        <v>42491</v>
      </c>
      <c r="J45" s="20">
        <v>5</v>
      </c>
      <c r="K45" s="90">
        <v>0</v>
      </c>
      <c r="L45" s="46" t="s">
        <v>361</v>
      </c>
      <c r="M45" s="46" t="s">
        <v>24</v>
      </c>
      <c r="N45" s="47"/>
      <c r="O45" s="47"/>
      <c r="P45" s="47"/>
      <c r="Q45" s="47"/>
      <c r="R45" s="47"/>
      <c r="S45" s="47"/>
      <c r="T45" s="47"/>
    </row>
    <row r="46" spans="1:36" s="50" customFormat="1">
      <c r="A46" s="46" t="s">
        <v>371</v>
      </c>
      <c r="B46" s="46" t="s">
        <v>351</v>
      </c>
      <c r="C46" s="46" t="s">
        <v>68</v>
      </c>
      <c r="D46" s="46" t="s">
        <v>372</v>
      </c>
      <c r="E46" s="46" t="s">
        <v>28</v>
      </c>
      <c r="F46" s="52" t="s">
        <v>53</v>
      </c>
      <c r="G46" s="20">
        <v>42</v>
      </c>
      <c r="H46" s="52" t="s">
        <v>373</v>
      </c>
      <c r="I46" s="53">
        <v>40401</v>
      </c>
      <c r="J46" s="20">
        <v>6</v>
      </c>
      <c r="K46" s="90">
        <v>0</v>
      </c>
      <c r="L46" s="46" t="s">
        <v>374</v>
      </c>
      <c r="M46" s="46" t="s">
        <v>24</v>
      </c>
      <c r="N46" s="47"/>
      <c r="O46" s="47"/>
      <c r="P46" s="47"/>
      <c r="Q46" s="47"/>
      <c r="R46" s="47"/>
      <c r="S46" s="47"/>
      <c r="T46" s="47"/>
    </row>
    <row r="47" spans="1:36" s="50" customFormat="1">
      <c r="A47" s="46" t="s">
        <v>371</v>
      </c>
      <c r="B47" s="46" t="s">
        <v>351</v>
      </c>
      <c r="C47" s="46" t="s">
        <v>68</v>
      </c>
      <c r="D47" s="46" t="s">
        <v>372</v>
      </c>
      <c r="E47" s="46" t="s">
        <v>28</v>
      </c>
      <c r="F47" s="52" t="s">
        <v>375</v>
      </c>
      <c r="G47" s="20">
        <v>42</v>
      </c>
      <c r="H47" s="52" t="s">
        <v>376</v>
      </c>
      <c r="I47" s="53">
        <v>45458</v>
      </c>
      <c r="J47" s="20">
        <v>0</v>
      </c>
      <c r="K47" s="90">
        <v>0</v>
      </c>
      <c r="L47" s="46" t="s">
        <v>374</v>
      </c>
      <c r="M47" s="46" t="s">
        <v>24</v>
      </c>
      <c r="N47" s="47"/>
      <c r="O47" s="47"/>
      <c r="P47" s="47"/>
      <c r="Q47" s="47"/>
      <c r="R47" s="47"/>
      <c r="S47" s="47"/>
      <c r="T47" s="47"/>
    </row>
    <row r="48" spans="1:36" s="50" customFormat="1">
      <c r="A48" s="46" t="s">
        <v>371</v>
      </c>
      <c r="B48" s="46" t="s">
        <v>351</v>
      </c>
      <c r="C48" s="46" t="s">
        <v>68</v>
      </c>
      <c r="D48" s="46" t="s">
        <v>372</v>
      </c>
      <c r="E48" s="46" t="s">
        <v>28</v>
      </c>
      <c r="F48" s="52" t="s">
        <v>53</v>
      </c>
      <c r="G48" s="20">
        <v>41</v>
      </c>
      <c r="H48" s="52" t="s">
        <v>377</v>
      </c>
      <c r="I48" s="53">
        <v>39449</v>
      </c>
      <c r="J48" s="20">
        <v>6</v>
      </c>
      <c r="K48" s="90">
        <v>0</v>
      </c>
      <c r="L48" s="46" t="s">
        <v>374</v>
      </c>
      <c r="M48" s="46" t="s">
        <v>24</v>
      </c>
      <c r="N48" s="47"/>
      <c r="O48" s="47"/>
      <c r="P48" s="47"/>
      <c r="Q48" s="47"/>
      <c r="R48" s="47"/>
      <c r="S48" s="47"/>
      <c r="T48" s="47"/>
    </row>
    <row r="49" spans="1:35" s="50" customFormat="1">
      <c r="A49" s="46" t="s">
        <v>371</v>
      </c>
      <c r="B49" s="46" t="s">
        <v>351</v>
      </c>
      <c r="C49" s="46" t="s">
        <v>68</v>
      </c>
      <c r="D49" s="46" t="s">
        <v>372</v>
      </c>
      <c r="E49" s="46" t="s">
        <v>28</v>
      </c>
      <c r="F49" s="52" t="s">
        <v>53</v>
      </c>
      <c r="G49" s="20">
        <v>41</v>
      </c>
      <c r="H49" s="52" t="s">
        <v>378</v>
      </c>
      <c r="I49" s="53">
        <v>42310</v>
      </c>
      <c r="J49" s="20">
        <v>3</v>
      </c>
      <c r="K49" s="90">
        <v>0</v>
      </c>
      <c r="L49" s="46" t="s">
        <v>374</v>
      </c>
      <c r="M49" s="46" t="s">
        <v>24</v>
      </c>
      <c r="N49" s="47"/>
      <c r="O49" s="47"/>
      <c r="P49" s="47"/>
      <c r="Q49" s="47"/>
      <c r="R49" s="47"/>
      <c r="S49" s="47"/>
      <c r="T49" s="47"/>
    </row>
    <row r="50" spans="1:35" s="50" customFormat="1">
      <c r="A50" s="46" t="s">
        <v>371</v>
      </c>
      <c r="B50" s="46" t="s">
        <v>351</v>
      </c>
      <c r="C50" s="46" t="s">
        <v>68</v>
      </c>
      <c r="D50" s="46" t="s">
        <v>372</v>
      </c>
      <c r="E50" s="46" t="s">
        <v>28</v>
      </c>
      <c r="F50" s="52" t="s">
        <v>53</v>
      </c>
      <c r="G50" s="20">
        <v>42</v>
      </c>
      <c r="H50" s="52" t="s">
        <v>379</v>
      </c>
      <c r="I50" s="53">
        <v>41190</v>
      </c>
      <c r="J50" s="20">
        <v>5</v>
      </c>
      <c r="K50" s="90">
        <v>0</v>
      </c>
      <c r="L50" s="46" t="s">
        <v>374</v>
      </c>
      <c r="M50" s="46" t="s">
        <v>24</v>
      </c>
      <c r="N50" s="47"/>
      <c r="O50" s="47"/>
      <c r="P50" s="47"/>
      <c r="Q50" s="47"/>
      <c r="R50" s="47"/>
      <c r="S50" s="47"/>
      <c r="T50" s="47"/>
    </row>
    <row r="51" spans="1:35" s="50" customFormat="1">
      <c r="D51" s="51"/>
      <c r="E51" s="51"/>
      <c r="F51" s="51"/>
      <c r="H51" s="51"/>
      <c r="I51" s="51"/>
      <c r="J51" s="51"/>
      <c r="K51" s="51"/>
      <c r="L51" s="51"/>
      <c r="M51" s="51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</row>
    <row r="52" spans="1:35" s="50" customFormat="1">
      <c r="D52" s="51"/>
      <c r="E52" s="51"/>
      <c r="F52" s="51"/>
      <c r="H52" s="51"/>
      <c r="I52" s="51"/>
      <c r="J52" s="51"/>
      <c r="K52" s="51"/>
      <c r="L52" s="51"/>
      <c r="M52" s="51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</row>
    <row r="53" spans="1:35" s="50" customFormat="1">
      <c r="D53" s="51"/>
      <c r="E53" s="51"/>
      <c r="F53" s="51"/>
      <c r="H53" s="51"/>
      <c r="I53" s="51"/>
      <c r="J53" s="51"/>
      <c r="K53" s="51"/>
      <c r="L53" s="51"/>
      <c r="M53" s="51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</row>
    <row r="54" spans="1:35" s="50" customFormat="1">
      <c r="D54" s="51"/>
      <c r="E54" s="51"/>
      <c r="F54" s="51"/>
      <c r="H54" s="51"/>
      <c r="I54" s="51"/>
      <c r="J54" s="51"/>
      <c r="K54" s="51"/>
      <c r="L54" s="51"/>
      <c r="M54" s="51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</row>
    <row r="55" spans="1:35" s="50" customFormat="1">
      <c r="D55" s="51"/>
      <c r="E55" s="51"/>
      <c r="F55" s="51"/>
      <c r="H55" s="51"/>
      <c r="I55" s="51"/>
      <c r="J55" s="51"/>
      <c r="K55" s="51"/>
      <c r="L55" s="51"/>
      <c r="M55" s="51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</row>
    <row r="56" spans="1:35" s="50" customFormat="1">
      <c r="D56" s="51"/>
      <c r="E56" s="51"/>
      <c r="F56" s="51"/>
      <c r="H56" s="51"/>
      <c r="I56" s="51"/>
      <c r="J56" s="51"/>
      <c r="K56" s="51"/>
      <c r="L56" s="51"/>
      <c r="M56" s="51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</row>
    <row r="57" spans="1:35" s="50" customFormat="1">
      <c r="D57" s="51"/>
      <c r="E57" s="51"/>
      <c r="F57" s="51"/>
      <c r="H57" s="51"/>
      <c r="I57" s="51"/>
      <c r="J57" s="51"/>
      <c r="K57" s="51"/>
      <c r="L57" s="51"/>
      <c r="M57" s="51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</row>
    <row r="58" spans="1:35" s="50" customFormat="1">
      <c r="D58" s="51"/>
      <c r="E58" s="51"/>
      <c r="F58" s="51"/>
      <c r="H58" s="51"/>
      <c r="I58" s="51"/>
      <c r="J58" s="51"/>
      <c r="K58" s="51"/>
      <c r="L58" s="51"/>
      <c r="M58" s="51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</row>
    <row r="59" spans="1:35" s="50" customFormat="1">
      <c r="D59" s="51"/>
      <c r="E59" s="51"/>
      <c r="F59" s="51"/>
      <c r="H59" s="51"/>
      <c r="I59" s="51"/>
      <c r="J59" s="51"/>
      <c r="K59" s="51"/>
      <c r="L59" s="51"/>
      <c r="M59" s="51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</row>
    <row r="60" spans="1:35" s="50" customFormat="1">
      <c r="D60" s="51"/>
      <c r="E60" s="51"/>
      <c r="F60" s="51"/>
      <c r="H60" s="51"/>
      <c r="I60" s="51"/>
      <c r="J60" s="51"/>
      <c r="K60" s="51"/>
      <c r="L60" s="51"/>
      <c r="M60" s="51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</row>
    <row r="61" spans="1:35" s="50" customFormat="1">
      <c r="D61" s="51"/>
      <c r="E61" s="51"/>
      <c r="F61" s="51"/>
      <c r="H61" s="51"/>
      <c r="I61" s="51"/>
      <c r="J61" s="51"/>
      <c r="K61" s="51"/>
      <c r="L61" s="51"/>
      <c r="M61" s="51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</row>
    <row r="62" spans="1:35" s="50" customFormat="1">
      <c r="D62" s="51"/>
      <c r="E62" s="51"/>
      <c r="F62" s="51"/>
      <c r="H62" s="51"/>
      <c r="I62" s="51"/>
      <c r="J62" s="51"/>
      <c r="K62" s="51"/>
      <c r="L62" s="51"/>
      <c r="M62" s="51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</row>
    <row r="63" spans="1:35" s="50" customFormat="1">
      <c r="D63" s="51"/>
      <c r="E63" s="51"/>
      <c r="F63" s="51"/>
      <c r="H63" s="51"/>
      <c r="I63" s="51"/>
      <c r="J63" s="51"/>
      <c r="K63" s="51"/>
      <c r="L63" s="51"/>
      <c r="M63" s="51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</row>
    <row r="64" spans="1:35" s="50" customFormat="1">
      <c r="D64" s="51"/>
      <c r="E64" s="51"/>
      <c r="F64" s="51"/>
      <c r="H64" s="51"/>
      <c r="I64" s="51"/>
      <c r="J64" s="51"/>
      <c r="K64" s="51"/>
      <c r="L64" s="51"/>
      <c r="M64" s="51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</row>
    <row r="65" spans="4:35" s="50" customFormat="1">
      <c r="D65" s="51"/>
      <c r="E65" s="51"/>
      <c r="F65" s="51"/>
      <c r="H65" s="51"/>
      <c r="I65" s="51"/>
      <c r="J65" s="51"/>
      <c r="K65" s="51"/>
      <c r="L65" s="51"/>
      <c r="M65" s="51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</row>
    <row r="66" spans="4:35" s="50" customFormat="1">
      <c r="D66" s="51"/>
      <c r="E66" s="51"/>
      <c r="F66" s="51"/>
      <c r="H66" s="51"/>
      <c r="I66" s="51"/>
      <c r="J66" s="51"/>
      <c r="K66" s="51"/>
      <c r="L66" s="51"/>
      <c r="M66" s="51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</row>
    <row r="67" spans="4:35" s="50" customFormat="1">
      <c r="D67" s="51"/>
      <c r="E67" s="51"/>
      <c r="F67" s="51"/>
      <c r="H67" s="51"/>
      <c r="I67" s="51"/>
      <c r="J67" s="51"/>
      <c r="K67" s="51"/>
      <c r="L67" s="51"/>
      <c r="M67" s="51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</row>
    <row r="68" spans="4:35" s="50" customFormat="1">
      <c r="D68" s="51"/>
      <c r="E68" s="51"/>
      <c r="F68" s="51"/>
      <c r="H68" s="51"/>
      <c r="I68" s="51"/>
      <c r="J68" s="51"/>
      <c r="K68" s="51"/>
      <c r="L68" s="51"/>
      <c r="M68" s="51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</row>
    <row r="69" spans="4:35" s="50" customFormat="1">
      <c r="D69" s="51"/>
      <c r="E69" s="51"/>
      <c r="F69" s="51"/>
      <c r="H69" s="51"/>
      <c r="I69" s="51"/>
      <c r="J69" s="51"/>
      <c r="K69" s="51"/>
      <c r="L69" s="51"/>
      <c r="M69" s="51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</row>
    <row r="70" spans="4:35" s="50" customFormat="1">
      <c r="D70" s="51"/>
      <c r="E70" s="51"/>
      <c r="F70" s="51"/>
      <c r="H70" s="51"/>
      <c r="I70" s="51"/>
      <c r="J70" s="51"/>
      <c r="K70" s="51"/>
      <c r="L70" s="51"/>
      <c r="M70" s="51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</row>
    <row r="71" spans="4:35" s="50" customFormat="1">
      <c r="D71" s="51"/>
      <c r="E71" s="51"/>
      <c r="F71" s="51"/>
      <c r="H71" s="51"/>
      <c r="I71" s="51"/>
      <c r="J71" s="51"/>
      <c r="K71" s="51"/>
      <c r="L71" s="51"/>
      <c r="M71" s="51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</row>
    <row r="72" spans="4:35" s="50" customFormat="1">
      <c r="D72" s="51"/>
      <c r="E72" s="51"/>
      <c r="F72" s="51"/>
      <c r="H72" s="51"/>
      <c r="I72" s="51"/>
      <c r="J72" s="51"/>
      <c r="K72" s="51"/>
      <c r="L72" s="51"/>
      <c r="M72" s="51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</row>
    <row r="73" spans="4:35" s="50" customFormat="1">
      <c r="D73" s="51"/>
      <c r="E73" s="51"/>
      <c r="F73" s="51"/>
      <c r="H73" s="51"/>
      <c r="I73" s="51"/>
      <c r="J73" s="51"/>
      <c r="K73" s="51"/>
      <c r="L73" s="51"/>
      <c r="M73" s="51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</row>
    <row r="74" spans="4:35" s="50" customFormat="1">
      <c r="D74" s="51"/>
      <c r="E74" s="51"/>
      <c r="F74" s="51"/>
      <c r="H74" s="51"/>
      <c r="I74" s="51"/>
      <c r="J74" s="51"/>
      <c r="K74" s="51"/>
      <c r="L74" s="51"/>
      <c r="M74" s="51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</row>
    <row r="75" spans="4:35" s="50" customFormat="1">
      <c r="D75" s="51"/>
      <c r="E75" s="51"/>
      <c r="F75" s="51"/>
      <c r="H75" s="51"/>
      <c r="I75" s="51"/>
      <c r="J75" s="51"/>
      <c r="K75" s="51"/>
      <c r="L75" s="51"/>
      <c r="M75" s="51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</row>
    <row r="76" spans="4:35" s="50" customFormat="1">
      <c r="D76" s="51"/>
      <c r="E76" s="51"/>
      <c r="F76" s="51"/>
      <c r="H76" s="51"/>
      <c r="I76" s="51"/>
      <c r="J76" s="51"/>
      <c r="K76" s="51"/>
      <c r="L76" s="51"/>
      <c r="M76" s="51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</row>
    <row r="77" spans="4:35" s="50" customFormat="1">
      <c r="D77" s="51"/>
      <c r="E77" s="51"/>
      <c r="F77" s="51"/>
      <c r="H77" s="51"/>
      <c r="I77" s="51"/>
      <c r="J77" s="51"/>
      <c r="K77" s="51"/>
      <c r="L77" s="51"/>
      <c r="M77" s="51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</row>
    <row r="78" spans="4:35" s="50" customFormat="1">
      <c r="D78" s="51"/>
      <c r="E78" s="51"/>
      <c r="F78" s="51"/>
      <c r="H78" s="51"/>
      <c r="I78" s="51"/>
      <c r="J78" s="51"/>
      <c r="K78" s="51"/>
      <c r="L78" s="51"/>
      <c r="M78" s="51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</row>
    <row r="79" spans="4:35" s="50" customFormat="1">
      <c r="D79" s="51"/>
      <c r="E79" s="51"/>
      <c r="F79" s="51"/>
      <c r="H79" s="51"/>
      <c r="I79" s="51"/>
      <c r="J79" s="51"/>
      <c r="K79" s="51"/>
      <c r="L79" s="51"/>
      <c r="M79" s="51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</row>
    <row r="80" spans="4:35" s="50" customFormat="1">
      <c r="D80" s="51"/>
      <c r="E80" s="51"/>
      <c r="F80" s="51"/>
      <c r="H80" s="51"/>
      <c r="I80" s="51"/>
      <c r="J80" s="51"/>
      <c r="K80" s="51"/>
      <c r="L80" s="51"/>
      <c r="M80" s="51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</row>
    <row r="81" spans="4:35" s="50" customFormat="1">
      <c r="D81" s="51"/>
      <c r="E81" s="51"/>
      <c r="F81" s="51"/>
      <c r="H81" s="51"/>
      <c r="I81" s="51"/>
      <c r="J81" s="51"/>
      <c r="K81" s="51"/>
      <c r="L81" s="51"/>
      <c r="M81" s="51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</row>
    <row r="82" spans="4:35" s="50" customFormat="1">
      <c r="D82" s="51"/>
      <c r="E82" s="51"/>
      <c r="F82" s="51"/>
      <c r="H82" s="51"/>
      <c r="I82" s="51"/>
      <c r="J82" s="51"/>
      <c r="K82" s="51"/>
      <c r="L82" s="51"/>
      <c r="M82" s="51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</row>
    <row r="83" spans="4:35" s="50" customFormat="1">
      <c r="D83" s="51"/>
      <c r="E83" s="51"/>
      <c r="F83" s="51"/>
      <c r="H83" s="51"/>
      <c r="I83" s="51"/>
      <c r="J83" s="51"/>
      <c r="K83" s="51"/>
      <c r="L83" s="51"/>
      <c r="M83" s="51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</row>
    <row r="84" spans="4:35" s="50" customFormat="1">
      <c r="D84" s="51"/>
      <c r="E84" s="51"/>
      <c r="F84" s="51"/>
      <c r="H84" s="51"/>
      <c r="I84" s="51"/>
      <c r="J84" s="51"/>
      <c r="K84" s="51"/>
      <c r="L84" s="51"/>
      <c r="M84" s="51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</row>
    <row r="85" spans="4:35" s="50" customFormat="1">
      <c r="D85" s="51"/>
      <c r="E85" s="51"/>
      <c r="F85" s="51"/>
      <c r="H85" s="51"/>
      <c r="I85" s="51"/>
      <c r="J85" s="51"/>
      <c r="K85" s="51"/>
      <c r="L85" s="51"/>
      <c r="M85" s="51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</row>
    <row r="86" spans="4:35" s="50" customFormat="1">
      <c r="D86" s="51"/>
      <c r="E86" s="51"/>
      <c r="F86" s="51"/>
      <c r="H86" s="51"/>
      <c r="I86" s="51"/>
      <c r="J86" s="51"/>
      <c r="K86" s="51"/>
      <c r="L86" s="51"/>
      <c r="M86" s="51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</row>
    <row r="87" spans="4:35" s="50" customFormat="1">
      <c r="D87" s="51"/>
      <c r="E87" s="51"/>
      <c r="F87" s="51"/>
      <c r="H87" s="51"/>
      <c r="I87" s="51"/>
      <c r="J87" s="51"/>
      <c r="K87" s="51"/>
      <c r="L87" s="51"/>
      <c r="M87" s="51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</row>
    <row r="88" spans="4:35" s="50" customFormat="1">
      <c r="D88" s="51"/>
      <c r="E88" s="51"/>
      <c r="F88" s="51"/>
      <c r="H88" s="51"/>
      <c r="I88" s="51"/>
      <c r="J88" s="51"/>
      <c r="K88" s="51"/>
      <c r="L88" s="51"/>
      <c r="M88" s="51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</row>
    <row r="89" spans="4:35" s="50" customFormat="1">
      <c r="D89" s="51"/>
      <c r="E89" s="51"/>
      <c r="F89" s="51"/>
      <c r="H89" s="51"/>
      <c r="I89" s="51"/>
      <c r="J89" s="51"/>
      <c r="K89" s="51"/>
      <c r="L89" s="51"/>
      <c r="M89" s="51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</row>
    <row r="90" spans="4:35" s="50" customFormat="1">
      <c r="D90" s="51"/>
      <c r="E90" s="51"/>
      <c r="F90" s="51"/>
      <c r="H90" s="51"/>
      <c r="I90" s="51"/>
      <c r="J90" s="51"/>
      <c r="K90" s="51"/>
      <c r="L90" s="51"/>
      <c r="M90" s="51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</row>
    <row r="91" spans="4:35" s="50" customFormat="1">
      <c r="D91" s="51"/>
      <c r="E91" s="51"/>
      <c r="F91" s="51"/>
      <c r="H91" s="51"/>
      <c r="I91" s="51"/>
      <c r="J91" s="51"/>
      <c r="K91" s="51"/>
      <c r="L91" s="51"/>
      <c r="M91" s="51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</row>
    <row r="92" spans="4:35" s="50" customFormat="1">
      <c r="D92" s="51"/>
      <c r="E92" s="51"/>
      <c r="F92" s="51"/>
      <c r="H92" s="51"/>
      <c r="I92" s="51"/>
      <c r="J92" s="51"/>
      <c r="K92" s="51"/>
      <c r="L92" s="51"/>
      <c r="M92" s="51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</row>
    <row r="93" spans="4:35" s="50" customFormat="1">
      <c r="D93" s="51"/>
      <c r="E93" s="51"/>
      <c r="F93" s="51"/>
      <c r="H93" s="51"/>
      <c r="I93" s="51"/>
      <c r="J93" s="51"/>
      <c r="K93" s="51"/>
      <c r="L93" s="51"/>
      <c r="M93" s="51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</row>
    <row r="94" spans="4:35" s="50" customFormat="1">
      <c r="D94" s="51"/>
      <c r="E94" s="51"/>
      <c r="F94" s="51"/>
      <c r="H94" s="51"/>
      <c r="I94" s="51"/>
      <c r="J94" s="51"/>
      <c r="K94" s="51"/>
      <c r="L94" s="51"/>
      <c r="M94" s="51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</row>
    <row r="95" spans="4:35" s="50" customFormat="1">
      <c r="D95" s="51"/>
      <c r="E95" s="51"/>
      <c r="F95" s="51"/>
      <c r="H95" s="51"/>
      <c r="I95" s="51"/>
      <c r="J95" s="51"/>
      <c r="K95" s="51"/>
      <c r="L95" s="51"/>
      <c r="M95" s="51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</row>
    <row r="96" spans="4:35" s="50" customFormat="1">
      <c r="D96" s="51"/>
      <c r="E96" s="51"/>
      <c r="F96" s="51"/>
      <c r="H96" s="51"/>
      <c r="I96" s="51"/>
      <c r="J96" s="51"/>
      <c r="K96" s="51"/>
      <c r="L96" s="51"/>
      <c r="M96" s="51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</row>
    <row r="97" spans="4:35" s="50" customFormat="1">
      <c r="D97" s="51"/>
      <c r="E97" s="51"/>
      <c r="F97" s="51"/>
      <c r="H97" s="51"/>
      <c r="I97" s="51"/>
      <c r="J97" s="51"/>
      <c r="K97" s="51"/>
      <c r="L97" s="51"/>
      <c r="M97" s="51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</row>
    <row r="98" spans="4:35" s="50" customFormat="1">
      <c r="D98" s="51"/>
      <c r="E98" s="51"/>
      <c r="F98" s="51"/>
      <c r="H98" s="51"/>
      <c r="I98" s="51"/>
      <c r="J98" s="51"/>
      <c r="K98" s="51"/>
      <c r="L98" s="51"/>
      <c r="M98" s="51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</row>
    <row r="99" spans="4:35" s="50" customFormat="1">
      <c r="D99" s="51"/>
      <c r="E99" s="51"/>
      <c r="F99" s="51"/>
      <c r="H99" s="51"/>
      <c r="I99" s="51"/>
      <c r="J99" s="51"/>
      <c r="K99" s="51"/>
      <c r="L99" s="51"/>
      <c r="M99" s="51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</row>
    <row r="100" spans="4:35" s="50" customFormat="1">
      <c r="D100" s="51"/>
      <c r="E100" s="51"/>
      <c r="F100" s="51"/>
      <c r="H100" s="51"/>
      <c r="I100" s="51"/>
      <c r="J100" s="51"/>
      <c r="K100" s="51"/>
      <c r="L100" s="51"/>
      <c r="M100" s="51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</row>
    <row r="101" spans="4:35" s="50" customFormat="1">
      <c r="D101" s="51"/>
      <c r="E101" s="51"/>
      <c r="F101" s="51"/>
      <c r="H101" s="51"/>
      <c r="I101" s="51"/>
      <c r="J101" s="51"/>
      <c r="K101" s="51"/>
      <c r="L101" s="51"/>
      <c r="M101" s="51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</row>
    <row r="102" spans="4:35" s="50" customFormat="1">
      <c r="D102" s="51"/>
      <c r="E102" s="51"/>
      <c r="F102" s="51"/>
      <c r="H102" s="51"/>
      <c r="I102" s="51"/>
      <c r="J102" s="51"/>
      <c r="K102" s="51"/>
      <c r="L102" s="51"/>
      <c r="M102" s="51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</row>
    <row r="103" spans="4:35" s="50" customFormat="1">
      <c r="D103" s="51"/>
      <c r="E103" s="51"/>
      <c r="F103" s="51"/>
      <c r="H103" s="51"/>
      <c r="I103" s="51"/>
      <c r="J103" s="51"/>
      <c r="K103" s="51"/>
      <c r="L103" s="51"/>
      <c r="M103" s="51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</row>
    <row r="104" spans="4:35" s="50" customFormat="1">
      <c r="D104" s="51"/>
      <c r="E104" s="51"/>
      <c r="F104" s="51"/>
      <c r="H104" s="51"/>
      <c r="I104" s="51"/>
      <c r="J104" s="51"/>
      <c r="K104" s="51"/>
      <c r="L104" s="51"/>
      <c r="M104" s="51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</row>
    <row r="105" spans="4:35" s="50" customFormat="1">
      <c r="D105" s="51"/>
      <c r="E105" s="51"/>
      <c r="F105" s="51"/>
      <c r="H105" s="51"/>
      <c r="I105" s="51"/>
      <c r="J105" s="51"/>
      <c r="K105" s="51"/>
      <c r="L105" s="51"/>
      <c r="M105" s="51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</row>
    <row r="106" spans="4:35" s="50" customFormat="1">
      <c r="D106" s="51"/>
      <c r="E106" s="51"/>
      <c r="F106" s="51"/>
      <c r="H106" s="51"/>
      <c r="I106" s="51"/>
      <c r="J106" s="51"/>
      <c r="K106" s="51"/>
      <c r="L106" s="51"/>
      <c r="M106" s="51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</row>
    <row r="107" spans="4:35" s="50" customFormat="1">
      <c r="D107" s="51"/>
      <c r="E107" s="51"/>
      <c r="F107" s="51"/>
      <c r="H107" s="51"/>
      <c r="I107" s="51"/>
      <c r="J107" s="51"/>
      <c r="K107" s="51"/>
      <c r="L107" s="51"/>
      <c r="M107" s="51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</row>
    <row r="108" spans="4:35" s="50" customFormat="1">
      <c r="D108" s="51"/>
      <c r="E108" s="51"/>
      <c r="F108" s="51"/>
      <c r="H108" s="51"/>
      <c r="I108" s="51"/>
      <c r="J108" s="51"/>
      <c r="K108" s="51"/>
      <c r="L108" s="51"/>
      <c r="M108" s="51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</row>
    <row r="109" spans="4:35" s="50" customFormat="1">
      <c r="D109" s="51"/>
      <c r="E109" s="51"/>
      <c r="F109" s="51"/>
      <c r="H109" s="51"/>
      <c r="I109" s="51"/>
      <c r="J109" s="51"/>
      <c r="K109" s="51"/>
      <c r="L109" s="51"/>
      <c r="M109" s="51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</row>
    <row r="110" spans="4:35" s="50" customFormat="1">
      <c r="D110" s="51"/>
      <c r="E110" s="51"/>
      <c r="F110" s="51"/>
      <c r="H110" s="51"/>
      <c r="I110" s="51"/>
      <c r="J110" s="51"/>
      <c r="K110" s="51"/>
      <c r="L110" s="51"/>
      <c r="M110" s="51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</row>
    <row r="111" spans="4:35" s="50" customFormat="1">
      <c r="D111" s="51"/>
      <c r="E111" s="51"/>
      <c r="F111" s="51"/>
      <c r="H111" s="51"/>
      <c r="I111" s="51"/>
      <c r="J111" s="51"/>
      <c r="K111" s="51"/>
      <c r="L111" s="51"/>
      <c r="M111" s="51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</row>
    <row r="112" spans="4:35" s="50" customFormat="1">
      <c r="D112" s="51"/>
      <c r="E112" s="51"/>
      <c r="F112" s="51"/>
      <c r="H112" s="51"/>
      <c r="I112" s="51"/>
      <c r="J112" s="51"/>
      <c r="K112" s="51"/>
      <c r="L112" s="51"/>
      <c r="M112" s="51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</row>
    <row r="113" spans="4:35" s="50" customFormat="1">
      <c r="D113" s="51"/>
      <c r="E113" s="51"/>
      <c r="F113" s="51"/>
      <c r="H113" s="51"/>
      <c r="I113" s="51"/>
      <c r="J113" s="51"/>
      <c r="K113" s="51"/>
      <c r="L113" s="51"/>
      <c r="M113" s="51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</row>
    <row r="114" spans="4:35" s="50" customFormat="1">
      <c r="D114" s="51"/>
      <c r="E114" s="51"/>
      <c r="F114" s="51"/>
      <c r="H114" s="51"/>
      <c r="I114" s="51"/>
      <c r="J114" s="51"/>
      <c r="K114" s="51"/>
      <c r="L114" s="51"/>
      <c r="M114" s="51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</row>
    <row r="115" spans="4:35" s="50" customFormat="1">
      <c r="D115" s="51"/>
      <c r="E115" s="51"/>
      <c r="F115" s="51"/>
      <c r="H115" s="51"/>
      <c r="I115" s="51"/>
      <c r="J115" s="51"/>
      <c r="K115" s="51"/>
      <c r="L115" s="51"/>
      <c r="M115" s="51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</row>
    <row r="116" spans="4:35" s="50" customFormat="1">
      <c r="D116" s="51"/>
      <c r="E116" s="51"/>
      <c r="F116" s="51"/>
      <c r="H116" s="51"/>
      <c r="I116" s="51"/>
      <c r="J116" s="51"/>
      <c r="K116" s="51"/>
      <c r="L116" s="51"/>
      <c r="M116" s="51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</row>
    <row r="117" spans="4:35" s="50" customFormat="1">
      <c r="D117" s="51"/>
      <c r="E117" s="51"/>
      <c r="F117" s="51"/>
      <c r="H117" s="51"/>
      <c r="I117" s="51"/>
      <c r="J117" s="51"/>
      <c r="K117" s="51"/>
      <c r="L117" s="51"/>
      <c r="M117" s="51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</row>
    <row r="118" spans="4:35" s="50" customFormat="1">
      <c r="D118" s="51"/>
      <c r="E118" s="51"/>
      <c r="F118" s="51"/>
      <c r="H118" s="51"/>
      <c r="I118" s="51"/>
      <c r="J118" s="51"/>
      <c r="K118" s="51"/>
      <c r="L118" s="51"/>
      <c r="M118" s="51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</row>
    <row r="119" spans="4:35" s="50" customFormat="1">
      <c r="D119" s="51"/>
      <c r="E119" s="51"/>
      <c r="F119" s="51"/>
      <c r="H119" s="51"/>
      <c r="I119" s="51"/>
      <c r="J119" s="51"/>
      <c r="K119" s="51"/>
      <c r="L119" s="51"/>
      <c r="M119" s="51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</row>
    <row r="120" spans="4:35" s="50" customFormat="1">
      <c r="D120" s="51"/>
      <c r="E120" s="51"/>
      <c r="F120" s="51"/>
      <c r="H120" s="51"/>
      <c r="I120" s="51"/>
      <c r="J120" s="51"/>
      <c r="K120" s="51"/>
      <c r="L120" s="51"/>
      <c r="M120" s="51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</row>
    <row r="121" spans="4:35" s="50" customFormat="1">
      <c r="D121" s="51"/>
      <c r="E121" s="51"/>
      <c r="F121" s="51"/>
      <c r="H121" s="51"/>
      <c r="I121" s="51"/>
      <c r="J121" s="51"/>
      <c r="K121" s="51"/>
      <c r="L121" s="51"/>
      <c r="M121" s="51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</row>
    <row r="122" spans="4:35" s="50" customFormat="1">
      <c r="D122" s="51"/>
      <c r="E122" s="51"/>
      <c r="F122" s="51"/>
      <c r="H122" s="51"/>
      <c r="I122" s="51"/>
      <c r="J122" s="51"/>
      <c r="K122" s="51"/>
      <c r="L122" s="51"/>
      <c r="M122" s="51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</row>
    <row r="123" spans="4:35" s="50" customFormat="1">
      <c r="D123" s="51"/>
      <c r="E123" s="51"/>
      <c r="F123" s="51"/>
      <c r="H123" s="51"/>
      <c r="I123" s="51"/>
      <c r="J123" s="51"/>
      <c r="K123" s="51"/>
      <c r="L123" s="51"/>
      <c r="M123" s="51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</row>
    <row r="124" spans="4:35" s="50" customFormat="1">
      <c r="D124" s="51"/>
      <c r="E124" s="51"/>
      <c r="F124" s="51"/>
      <c r="H124" s="51"/>
      <c r="I124" s="51"/>
      <c r="J124" s="51"/>
      <c r="K124" s="51"/>
      <c r="L124" s="51"/>
      <c r="M124" s="51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</row>
    <row r="125" spans="4:35" s="50" customFormat="1">
      <c r="D125" s="51"/>
      <c r="E125" s="51"/>
      <c r="F125" s="51"/>
      <c r="H125" s="51"/>
      <c r="I125" s="51"/>
      <c r="J125" s="51"/>
      <c r="K125" s="51"/>
      <c r="L125" s="51"/>
      <c r="M125" s="51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</row>
    <row r="126" spans="4:35" s="50" customFormat="1">
      <c r="D126" s="51"/>
      <c r="E126" s="51"/>
      <c r="F126" s="51"/>
      <c r="H126" s="51"/>
      <c r="I126" s="51"/>
      <c r="J126" s="51"/>
      <c r="K126" s="51"/>
      <c r="L126" s="51"/>
      <c r="M126" s="51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</row>
    <row r="127" spans="4:35" s="50" customFormat="1">
      <c r="D127" s="51"/>
      <c r="E127" s="51"/>
      <c r="F127" s="51"/>
      <c r="H127" s="51"/>
      <c r="I127" s="51"/>
      <c r="J127" s="51"/>
      <c r="K127" s="51"/>
      <c r="L127" s="51"/>
      <c r="M127" s="51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</row>
    <row r="128" spans="4:35" s="50" customFormat="1">
      <c r="D128" s="51"/>
      <c r="E128" s="51"/>
      <c r="F128" s="51"/>
      <c r="H128" s="51"/>
      <c r="I128" s="51"/>
      <c r="J128" s="51"/>
      <c r="K128" s="51"/>
      <c r="L128" s="51"/>
      <c r="M128" s="51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</row>
    <row r="129" spans="4:35" s="50" customFormat="1">
      <c r="D129" s="51"/>
      <c r="E129" s="51"/>
      <c r="F129" s="51"/>
      <c r="H129" s="51"/>
      <c r="I129" s="51"/>
      <c r="J129" s="51"/>
      <c r="K129" s="51"/>
      <c r="L129" s="51"/>
      <c r="M129" s="51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</row>
    <row r="130" spans="4:35" s="50" customFormat="1">
      <c r="D130" s="51"/>
      <c r="E130" s="51"/>
      <c r="F130" s="51"/>
      <c r="H130" s="51"/>
      <c r="I130" s="51"/>
      <c r="J130" s="51"/>
      <c r="K130" s="51"/>
      <c r="L130" s="51"/>
      <c r="M130" s="51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</row>
    <row r="131" spans="4:35" s="50" customFormat="1">
      <c r="D131" s="51"/>
      <c r="E131" s="51"/>
      <c r="F131" s="51"/>
      <c r="H131" s="51"/>
      <c r="I131" s="51"/>
      <c r="J131" s="51"/>
      <c r="K131" s="51"/>
      <c r="L131" s="51"/>
      <c r="M131" s="51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</row>
    <row r="132" spans="4:35" s="50" customFormat="1">
      <c r="D132" s="51"/>
      <c r="E132" s="51"/>
      <c r="F132" s="51"/>
      <c r="H132" s="51"/>
      <c r="I132" s="51"/>
      <c r="J132" s="51"/>
      <c r="K132" s="51"/>
      <c r="L132" s="51"/>
      <c r="M132" s="51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</row>
    <row r="133" spans="4:35" s="50" customFormat="1">
      <c r="D133" s="51"/>
      <c r="E133" s="51"/>
      <c r="F133" s="51"/>
      <c r="H133" s="51"/>
      <c r="I133" s="51"/>
      <c r="J133" s="51"/>
      <c r="K133" s="51"/>
      <c r="L133" s="51"/>
      <c r="M133" s="51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</row>
    <row r="134" spans="4:35" s="50" customFormat="1">
      <c r="D134" s="51"/>
      <c r="E134" s="51"/>
      <c r="F134" s="51"/>
      <c r="H134" s="51"/>
      <c r="I134" s="51"/>
      <c r="J134" s="51"/>
      <c r="K134" s="51"/>
      <c r="L134" s="51"/>
      <c r="M134" s="51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</row>
    <row r="135" spans="4:35" s="50" customFormat="1">
      <c r="D135" s="51"/>
      <c r="E135" s="51"/>
      <c r="F135" s="51"/>
      <c r="H135" s="51"/>
      <c r="I135" s="51"/>
      <c r="J135" s="51"/>
      <c r="K135" s="51"/>
      <c r="L135" s="51"/>
      <c r="M135" s="51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</row>
    <row r="136" spans="4:35" s="50" customFormat="1">
      <c r="D136" s="51"/>
      <c r="E136" s="51"/>
      <c r="F136" s="51"/>
      <c r="H136" s="51"/>
      <c r="I136" s="51"/>
      <c r="J136" s="51"/>
      <c r="K136" s="51"/>
      <c r="L136" s="51"/>
      <c r="M136" s="51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</row>
    <row r="137" spans="4:35" s="50" customFormat="1">
      <c r="D137" s="51"/>
      <c r="E137" s="51"/>
      <c r="F137" s="51"/>
      <c r="H137" s="51"/>
      <c r="I137" s="51"/>
      <c r="J137" s="51"/>
      <c r="K137" s="51"/>
      <c r="L137" s="51"/>
      <c r="M137" s="51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</row>
    <row r="138" spans="4:35" s="50" customFormat="1">
      <c r="D138" s="51"/>
      <c r="E138" s="51"/>
      <c r="F138" s="51"/>
      <c r="H138" s="51"/>
      <c r="I138" s="51"/>
      <c r="J138" s="51"/>
      <c r="K138" s="51"/>
      <c r="L138" s="51"/>
      <c r="M138" s="51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</row>
    <row r="139" spans="4:35" s="50" customFormat="1">
      <c r="D139" s="51"/>
      <c r="E139" s="51"/>
      <c r="F139" s="51"/>
      <c r="H139" s="51"/>
      <c r="I139" s="51"/>
      <c r="J139" s="51"/>
      <c r="K139" s="51"/>
      <c r="L139" s="51"/>
      <c r="M139" s="51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</row>
    <row r="140" spans="4:35" s="50" customFormat="1">
      <c r="D140" s="51"/>
      <c r="E140" s="51"/>
      <c r="F140" s="51"/>
      <c r="H140" s="51"/>
      <c r="I140" s="51"/>
      <c r="J140" s="51"/>
      <c r="K140" s="51"/>
      <c r="L140" s="51"/>
      <c r="M140" s="51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</row>
    <row r="141" spans="4:35" s="50" customFormat="1">
      <c r="D141" s="51"/>
      <c r="E141" s="51"/>
      <c r="F141" s="51"/>
      <c r="H141" s="51"/>
      <c r="I141" s="51"/>
      <c r="J141" s="51"/>
      <c r="K141" s="51"/>
      <c r="L141" s="51"/>
      <c r="M141" s="51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</row>
    <row r="142" spans="4:35" s="50" customFormat="1">
      <c r="D142" s="51"/>
      <c r="E142" s="51"/>
      <c r="F142" s="51"/>
      <c r="H142" s="51"/>
      <c r="I142" s="51"/>
      <c r="J142" s="51"/>
      <c r="K142" s="51"/>
      <c r="L142" s="51"/>
      <c r="M142" s="51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</row>
    <row r="143" spans="4:35" s="50" customFormat="1">
      <c r="D143" s="51"/>
      <c r="E143" s="51"/>
      <c r="F143" s="51"/>
      <c r="H143" s="51"/>
      <c r="I143" s="51"/>
      <c r="J143" s="51"/>
      <c r="K143" s="51"/>
      <c r="L143" s="51"/>
      <c r="M143" s="51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</row>
    <row r="144" spans="4:35" s="50" customFormat="1">
      <c r="D144" s="51"/>
      <c r="E144" s="51"/>
      <c r="F144" s="51"/>
      <c r="H144" s="51"/>
      <c r="I144" s="51"/>
      <c r="J144" s="51"/>
      <c r="K144" s="51"/>
      <c r="L144" s="51"/>
      <c r="M144" s="51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</row>
    <row r="145" spans="4:35" s="50" customFormat="1">
      <c r="D145" s="51"/>
      <c r="E145" s="51"/>
      <c r="F145" s="51"/>
      <c r="H145" s="51"/>
      <c r="I145" s="51"/>
      <c r="J145" s="51"/>
      <c r="K145" s="51"/>
      <c r="L145" s="51"/>
      <c r="M145" s="51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</row>
    <row r="146" spans="4:35" s="50" customFormat="1">
      <c r="D146" s="51"/>
      <c r="E146" s="51"/>
      <c r="F146" s="51"/>
      <c r="H146" s="51"/>
      <c r="I146" s="51"/>
      <c r="J146" s="51"/>
      <c r="K146" s="51"/>
      <c r="L146" s="51"/>
      <c r="M146" s="51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</row>
    <row r="147" spans="4:35" s="50" customFormat="1">
      <c r="D147" s="51"/>
      <c r="E147" s="51"/>
      <c r="F147" s="51"/>
      <c r="H147" s="51"/>
      <c r="I147" s="51"/>
      <c r="J147" s="51"/>
      <c r="K147" s="51"/>
      <c r="L147" s="51"/>
      <c r="M147" s="51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</row>
    <row r="148" spans="4:35" s="50" customFormat="1">
      <c r="D148" s="51"/>
      <c r="E148" s="51"/>
      <c r="F148" s="51"/>
      <c r="H148" s="51"/>
      <c r="I148" s="51"/>
      <c r="J148" s="51"/>
      <c r="K148" s="51"/>
      <c r="L148" s="51"/>
      <c r="M148" s="51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</row>
    <row r="149" spans="4:35" s="50" customFormat="1">
      <c r="D149" s="51"/>
      <c r="E149" s="51"/>
      <c r="F149" s="51"/>
      <c r="H149" s="51"/>
      <c r="I149" s="51"/>
      <c r="J149" s="51"/>
      <c r="K149" s="51"/>
      <c r="L149" s="51"/>
      <c r="M149" s="51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</row>
    <row r="150" spans="4:35" s="50" customFormat="1">
      <c r="D150" s="51"/>
      <c r="E150" s="51"/>
      <c r="F150" s="51"/>
      <c r="H150" s="51"/>
      <c r="I150" s="51"/>
      <c r="J150" s="51"/>
      <c r="K150" s="51"/>
      <c r="L150" s="51"/>
      <c r="M150" s="51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</row>
    <row r="151" spans="4:35" s="50" customFormat="1">
      <c r="D151" s="51"/>
      <c r="E151" s="51"/>
      <c r="F151" s="51"/>
      <c r="H151" s="51"/>
      <c r="I151" s="51"/>
      <c r="J151" s="51"/>
      <c r="K151" s="51"/>
      <c r="L151" s="51"/>
      <c r="M151" s="51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</row>
    <row r="152" spans="4:35" s="50" customFormat="1">
      <c r="D152" s="51"/>
      <c r="E152" s="51"/>
      <c r="F152" s="51"/>
      <c r="H152" s="51"/>
      <c r="I152" s="51"/>
      <c r="J152" s="51"/>
      <c r="K152" s="51"/>
      <c r="L152" s="51"/>
      <c r="M152" s="51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</row>
    <row r="153" spans="4:35" s="50" customFormat="1">
      <c r="D153" s="51"/>
      <c r="E153" s="51"/>
      <c r="F153" s="51"/>
      <c r="H153" s="51"/>
      <c r="I153" s="51"/>
      <c r="J153" s="51"/>
      <c r="K153" s="51"/>
      <c r="L153" s="51"/>
      <c r="M153" s="51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</row>
    <row r="154" spans="4:35" s="50" customFormat="1">
      <c r="D154" s="51"/>
      <c r="E154" s="51"/>
      <c r="F154" s="51"/>
      <c r="H154" s="51"/>
      <c r="I154" s="51"/>
      <c r="J154" s="51"/>
      <c r="K154" s="51"/>
      <c r="L154" s="51"/>
      <c r="M154" s="51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</row>
    <row r="155" spans="4:35" s="50" customFormat="1">
      <c r="D155" s="51"/>
      <c r="E155" s="51"/>
      <c r="F155" s="51"/>
      <c r="H155" s="51"/>
      <c r="I155" s="51"/>
      <c r="J155" s="51"/>
      <c r="K155" s="51"/>
      <c r="L155" s="51"/>
      <c r="M155" s="51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</row>
    <row r="156" spans="4:35" s="50" customFormat="1">
      <c r="D156" s="51"/>
      <c r="E156" s="51"/>
      <c r="F156" s="51"/>
      <c r="H156" s="51"/>
      <c r="I156" s="51"/>
      <c r="J156" s="51"/>
      <c r="K156" s="51"/>
      <c r="L156" s="51"/>
      <c r="M156" s="51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</row>
    <row r="157" spans="4:35" s="50" customFormat="1">
      <c r="D157" s="51"/>
      <c r="E157" s="51"/>
      <c r="F157" s="51"/>
      <c r="H157" s="51"/>
      <c r="I157" s="51"/>
      <c r="J157" s="51"/>
      <c r="K157" s="51"/>
      <c r="L157" s="51"/>
      <c r="M157" s="51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</row>
    <row r="158" spans="4:35" s="50" customFormat="1">
      <c r="D158" s="51"/>
      <c r="E158" s="51"/>
      <c r="F158" s="51"/>
      <c r="H158" s="51"/>
      <c r="I158" s="51"/>
      <c r="J158" s="51"/>
      <c r="K158" s="51"/>
      <c r="L158" s="51"/>
      <c r="M158" s="51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</row>
    <row r="159" spans="4:35" s="50" customFormat="1">
      <c r="D159" s="51"/>
      <c r="E159" s="51"/>
      <c r="F159" s="51"/>
      <c r="H159" s="51"/>
      <c r="I159" s="51"/>
      <c r="J159" s="51"/>
      <c r="K159" s="51"/>
      <c r="L159" s="51"/>
      <c r="M159" s="51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</row>
    <row r="160" spans="4:35" s="50" customFormat="1">
      <c r="D160" s="51"/>
      <c r="E160" s="51"/>
      <c r="F160" s="51"/>
      <c r="H160" s="51"/>
      <c r="I160" s="51"/>
      <c r="J160" s="51"/>
      <c r="K160" s="51"/>
      <c r="L160" s="51"/>
      <c r="M160" s="51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</row>
    <row r="161" spans="4:35" s="50" customFormat="1">
      <c r="D161" s="51"/>
      <c r="E161" s="51"/>
      <c r="F161" s="51"/>
      <c r="H161" s="51"/>
      <c r="I161" s="51"/>
      <c r="J161" s="51"/>
      <c r="K161" s="51"/>
      <c r="L161" s="51"/>
      <c r="M161" s="51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</row>
    <row r="162" spans="4:35" s="50" customFormat="1">
      <c r="D162" s="51"/>
      <c r="E162" s="51"/>
      <c r="F162" s="51"/>
      <c r="H162" s="51"/>
      <c r="I162" s="51"/>
      <c r="J162" s="51"/>
      <c r="K162" s="51"/>
      <c r="L162" s="51"/>
      <c r="M162" s="51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</row>
    <row r="163" spans="4:35" s="50" customFormat="1">
      <c r="D163" s="51"/>
      <c r="E163" s="51"/>
      <c r="F163" s="51"/>
      <c r="H163" s="51"/>
      <c r="I163" s="51"/>
      <c r="J163" s="51"/>
      <c r="K163" s="51"/>
      <c r="L163" s="51"/>
      <c r="M163" s="51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</row>
    <row r="164" spans="4:35" s="50" customFormat="1">
      <c r="D164" s="51"/>
      <c r="E164" s="51"/>
      <c r="F164" s="51"/>
      <c r="H164" s="51"/>
      <c r="I164" s="51"/>
      <c r="J164" s="51"/>
      <c r="K164" s="51"/>
      <c r="L164" s="51"/>
      <c r="M164" s="51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</row>
    <row r="165" spans="4:35" s="50" customFormat="1">
      <c r="D165" s="51"/>
      <c r="E165" s="51"/>
      <c r="F165" s="51"/>
      <c r="H165" s="51"/>
      <c r="I165" s="51"/>
      <c r="J165" s="51"/>
      <c r="K165" s="51"/>
      <c r="L165" s="51"/>
      <c r="M165" s="51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</row>
    <row r="166" spans="4:35" s="50" customFormat="1">
      <c r="D166" s="51"/>
      <c r="E166" s="51"/>
      <c r="F166" s="51"/>
      <c r="H166" s="51"/>
      <c r="I166" s="51"/>
      <c r="J166" s="51"/>
      <c r="K166" s="51"/>
      <c r="L166" s="51"/>
      <c r="M166" s="51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</row>
    <row r="167" spans="4:35" s="50" customFormat="1">
      <c r="D167" s="51"/>
      <c r="E167" s="51"/>
      <c r="F167" s="51"/>
      <c r="H167" s="51"/>
      <c r="I167" s="51"/>
      <c r="J167" s="51"/>
      <c r="K167" s="51"/>
      <c r="L167" s="51"/>
      <c r="M167" s="51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</row>
    <row r="168" spans="4:35" s="50" customFormat="1">
      <c r="D168" s="51"/>
      <c r="E168" s="51"/>
      <c r="F168" s="51"/>
      <c r="H168" s="51"/>
      <c r="I168" s="51"/>
      <c r="J168" s="51"/>
      <c r="K168" s="51"/>
      <c r="L168" s="51"/>
      <c r="M168" s="51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</row>
    <row r="169" spans="4:35" s="50" customFormat="1">
      <c r="D169" s="51"/>
      <c r="E169" s="51"/>
      <c r="F169" s="51"/>
      <c r="H169" s="51"/>
      <c r="I169" s="51"/>
      <c r="J169" s="51"/>
      <c r="K169" s="51"/>
      <c r="L169" s="51"/>
      <c r="M169" s="51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</row>
    <row r="170" spans="4:35" s="50" customFormat="1">
      <c r="D170" s="51"/>
      <c r="E170" s="51"/>
      <c r="F170" s="51"/>
      <c r="H170" s="51"/>
      <c r="I170" s="51"/>
      <c r="J170" s="51"/>
      <c r="K170" s="51"/>
      <c r="L170" s="51"/>
      <c r="M170" s="51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</row>
    <row r="171" spans="4:35" s="50" customFormat="1">
      <c r="D171" s="51"/>
      <c r="E171" s="51"/>
      <c r="F171" s="51"/>
      <c r="H171" s="51"/>
      <c r="I171" s="51"/>
      <c r="J171" s="51"/>
      <c r="K171" s="51"/>
      <c r="L171" s="51"/>
      <c r="M171" s="51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</row>
    <row r="172" spans="4:35" s="50" customFormat="1">
      <c r="D172" s="51"/>
      <c r="E172" s="51"/>
      <c r="F172" s="51"/>
      <c r="H172" s="51"/>
      <c r="I172" s="51"/>
      <c r="J172" s="51"/>
      <c r="K172" s="51"/>
      <c r="L172" s="51"/>
      <c r="M172" s="51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</row>
    <row r="173" spans="4:35" s="50" customFormat="1">
      <c r="D173" s="51"/>
      <c r="E173" s="51"/>
      <c r="F173" s="51"/>
      <c r="H173" s="51"/>
      <c r="I173" s="51"/>
      <c r="J173" s="51"/>
      <c r="K173" s="51"/>
      <c r="L173" s="51"/>
      <c r="M173" s="51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</row>
    <row r="174" spans="4:35" s="50" customFormat="1">
      <c r="D174" s="51"/>
      <c r="E174" s="51"/>
      <c r="F174" s="51"/>
      <c r="H174" s="51"/>
      <c r="I174" s="51"/>
      <c r="J174" s="51"/>
      <c r="K174" s="51"/>
      <c r="L174" s="51"/>
      <c r="M174" s="51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</row>
    <row r="175" spans="4:35" s="50" customFormat="1">
      <c r="D175" s="51"/>
      <c r="E175" s="51"/>
      <c r="F175" s="51"/>
      <c r="H175" s="51"/>
      <c r="I175" s="51"/>
      <c r="J175" s="51"/>
      <c r="K175" s="51"/>
      <c r="L175" s="51"/>
      <c r="M175" s="51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</row>
    <row r="176" spans="4:35" s="50" customFormat="1">
      <c r="D176" s="51"/>
      <c r="E176" s="51"/>
      <c r="F176" s="51"/>
      <c r="H176" s="51"/>
      <c r="I176" s="51"/>
      <c r="J176" s="51"/>
      <c r="K176" s="51"/>
      <c r="L176" s="51"/>
      <c r="M176" s="51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</row>
    <row r="177" spans="4:35" s="50" customFormat="1">
      <c r="D177" s="51"/>
      <c r="E177" s="51"/>
      <c r="F177" s="51"/>
      <c r="H177" s="51"/>
      <c r="I177" s="51"/>
      <c r="J177" s="51"/>
      <c r="K177" s="51"/>
      <c r="L177" s="51"/>
      <c r="M177" s="51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</row>
    <row r="178" spans="4:35" s="50" customFormat="1">
      <c r="D178" s="51"/>
      <c r="E178" s="51"/>
      <c r="F178" s="51"/>
      <c r="H178" s="51"/>
      <c r="I178" s="51"/>
      <c r="J178" s="51"/>
      <c r="K178" s="51"/>
      <c r="L178" s="51"/>
      <c r="M178" s="51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</row>
    <row r="179" spans="4:35" s="50" customFormat="1">
      <c r="D179" s="51"/>
      <c r="E179" s="51"/>
      <c r="F179" s="51"/>
      <c r="H179" s="51"/>
      <c r="I179" s="51"/>
      <c r="J179" s="51"/>
      <c r="K179" s="51"/>
      <c r="L179" s="51"/>
      <c r="M179" s="51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</row>
    <row r="180" spans="4:35" s="50" customFormat="1">
      <c r="D180" s="51"/>
      <c r="E180" s="51"/>
      <c r="F180" s="51"/>
      <c r="H180" s="51"/>
      <c r="I180" s="51"/>
      <c r="J180" s="51"/>
      <c r="K180" s="51"/>
      <c r="L180" s="51"/>
      <c r="M180" s="51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</row>
    <row r="181" spans="4:35" s="50" customFormat="1">
      <c r="D181" s="51"/>
      <c r="E181" s="51"/>
      <c r="F181" s="51"/>
      <c r="H181" s="51"/>
      <c r="I181" s="51"/>
      <c r="J181" s="51"/>
      <c r="K181" s="51"/>
      <c r="L181" s="51"/>
      <c r="M181" s="51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</row>
    <row r="182" spans="4:35" s="50" customFormat="1">
      <c r="D182" s="51"/>
      <c r="E182" s="51"/>
      <c r="F182" s="51"/>
      <c r="H182" s="51"/>
      <c r="I182" s="51"/>
      <c r="J182" s="51"/>
      <c r="K182" s="51"/>
      <c r="L182" s="51"/>
      <c r="M182" s="51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</row>
    <row r="183" spans="4:35" s="50" customFormat="1">
      <c r="D183" s="51"/>
      <c r="E183" s="51"/>
      <c r="F183" s="51"/>
      <c r="H183" s="51"/>
      <c r="I183" s="51"/>
      <c r="J183" s="51"/>
      <c r="K183" s="51"/>
      <c r="L183" s="51"/>
      <c r="M183" s="51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</row>
    <row r="184" spans="4:35" s="50" customFormat="1">
      <c r="D184" s="51"/>
      <c r="E184" s="51"/>
      <c r="F184" s="51"/>
      <c r="H184" s="51"/>
      <c r="I184" s="51"/>
      <c r="J184" s="51"/>
      <c r="K184" s="51"/>
      <c r="L184" s="51"/>
      <c r="M184" s="51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</row>
    <row r="185" spans="4:35" s="50" customFormat="1">
      <c r="D185" s="51"/>
      <c r="E185" s="51"/>
      <c r="F185" s="51"/>
      <c r="H185" s="51"/>
      <c r="I185" s="51"/>
      <c r="J185" s="51"/>
      <c r="K185" s="51"/>
      <c r="L185" s="51"/>
      <c r="M185" s="51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</row>
    <row r="186" spans="4:35" s="50" customFormat="1">
      <c r="D186" s="51"/>
      <c r="E186" s="51"/>
      <c r="F186" s="51"/>
      <c r="H186" s="51"/>
      <c r="I186" s="51"/>
      <c r="J186" s="51"/>
      <c r="K186" s="51"/>
      <c r="L186" s="51"/>
      <c r="M186" s="51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</row>
    <row r="187" spans="4:35" s="50" customFormat="1">
      <c r="D187" s="51"/>
      <c r="E187" s="51"/>
      <c r="F187" s="51"/>
      <c r="H187" s="51"/>
      <c r="I187" s="51"/>
      <c r="J187" s="51"/>
      <c r="K187" s="51"/>
      <c r="L187" s="51"/>
      <c r="M187" s="51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</row>
    <row r="188" spans="4:35" s="50" customFormat="1">
      <c r="D188" s="51"/>
      <c r="E188" s="51"/>
      <c r="F188" s="51"/>
      <c r="H188" s="51"/>
      <c r="I188" s="51"/>
      <c r="J188" s="51"/>
      <c r="K188" s="51"/>
      <c r="L188" s="51"/>
      <c r="M188" s="51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</row>
    <row r="189" spans="4:35" s="50" customFormat="1">
      <c r="D189" s="51"/>
      <c r="E189" s="51"/>
      <c r="F189" s="51"/>
      <c r="H189" s="51"/>
      <c r="I189" s="51"/>
      <c r="J189" s="51"/>
      <c r="K189" s="51"/>
      <c r="L189" s="51"/>
      <c r="M189" s="51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</row>
    <row r="190" spans="4:35" s="50" customFormat="1">
      <c r="D190" s="51"/>
      <c r="E190" s="51"/>
      <c r="F190" s="51"/>
      <c r="H190" s="51"/>
      <c r="I190" s="51"/>
      <c r="J190" s="51"/>
      <c r="K190" s="51"/>
      <c r="L190" s="51"/>
      <c r="M190" s="51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</row>
    <row r="191" spans="4:35" s="50" customFormat="1">
      <c r="D191" s="51"/>
      <c r="E191" s="51"/>
      <c r="F191" s="51"/>
      <c r="H191" s="51"/>
      <c r="I191" s="51"/>
      <c r="J191" s="51"/>
      <c r="K191" s="51"/>
      <c r="L191" s="51"/>
      <c r="M191" s="51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</row>
    <row r="192" spans="4:35" s="50" customFormat="1">
      <c r="D192" s="51"/>
      <c r="E192" s="51"/>
      <c r="F192" s="51"/>
      <c r="H192" s="51"/>
      <c r="I192" s="51"/>
      <c r="J192" s="51"/>
      <c r="K192" s="51"/>
      <c r="L192" s="51"/>
      <c r="M192" s="51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</row>
    <row r="193" spans="4:35" s="50" customFormat="1">
      <c r="D193" s="51"/>
      <c r="E193" s="51"/>
      <c r="F193" s="51"/>
      <c r="H193" s="51"/>
      <c r="I193" s="51"/>
      <c r="J193" s="51"/>
      <c r="K193" s="51"/>
      <c r="L193" s="51"/>
      <c r="M193" s="51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</row>
    <row r="194" spans="4:35" s="50" customFormat="1">
      <c r="D194" s="51"/>
      <c r="E194" s="51"/>
      <c r="F194" s="51"/>
      <c r="H194" s="51"/>
      <c r="I194" s="51"/>
      <c r="J194" s="51"/>
      <c r="K194" s="51"/>
      <c r="L194" s="51"/>
      <c r="M194" s="51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</row>
    <row r="195" spans="4:35" s="50" customFormat="1">
      <c r="D195" s="51"/>
      <c r="E195" s="51"/>
      <c r="F195" s="51"/>
      <c r="H195" s="51"/>
      <c r="I195" s="51"/>
      <c r="J195" s="51"/>
      <c r="K195" s="51"/>
      <c r="L195" s="51"/>
      <c r="M195" s="51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</row>
    <row r="196" spans="4:35" s="50" customFormat="1">
      <c r="D196" s="51"/>
      <c r="E196" s="51"/>
      <c r="F196" s="51"/>
      <c r="H196" s="51"/>
      <c r="I196" s="51"/>
      <c r="J196" s="51"/>
      <c r="K196" s="51"/>
      <c r="L196" s="51"/>
      <c r="M196" s="51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</row>
    <row r="197" spans="4:35" s="50" customFormat="1">
      <c r="D197" s="51"/>
      <c r="E197" s="51"/>
      <c r="F197" s="51"/>
      <c r="H197" s="51"/>
      <c r="I197" s="51"/>
      <c r="J197" s="51"/>
      <c r="K197" s="51"/>
      <c r="L197" s="51"/>
      <c r="M197" s="51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</row>
    <row r="198" spans="4:35" s="50" customFormat="1">
      <c r="D198" s="51"/>
      <c r="E198" s="51"/>
      <c r="F198" s="51"/>
      <c r="H198" s="51"/>
      <c r="I198" s="51"/>
      <c r="J198" s="51"/>
      <c r="K198" s="51"/>
      <c r="L198" s="51"/>
      <c r="M198" s="51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</row>
    <row r="199" spans="4:35" s="50" customFormat="1">
      <c r="D199" s="51"/>
      <c r="E199" s="51"/>
      <c r="F199" s="51"/>
      <c r="H199" s="51"/>
      <c r="I199" s="51"/>
      <c r="J199" s="51"/>
      <c r="K199" s="51"/>
      <c r="L199" s="51"/>
      <c r="M199" s="51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</row>
    <row r="200" spans="4:35" s="50" customFormat="1">
      <c r="D200" s="51"/>
      <c r="E200" s="51"/>
      <c r="F200" s="51"/>
      <c r="H200" s="51"/>
      <c r="I200" s="51"/>
      <c r="J200" s="51"/>
      <c r="K200" s="51"/>
      <c r="L200" s="51"/>
      <c r="M200" s="51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</row>
    <row r="201" spans="4:35" s="50" customFormat="1">
      <c r="D201" s="51"/>
      <c r="E201" s="51"/>
      <c r="F201" s="51"/>
      <c r="H201" s="51"/>
      <c r="I201" s="51"/>
      <c r="J201" s="51"/>
      <c r="K201" s="51"/>
      <c r="L201" s="51"/>
      <c r="M201" s="51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</row>
    <row r="202" spans="4:35" s="50" customFormat="1">
      <c r="D202" s="51"/>
      <c r="E202" s="51"/>
      <c r="F202" s="51"/>
      <c r="H202" s="51"/>
      <c r="I202" s="51"/>
      <c r="J202" s="51"/>
      <c r="K202" s="51"/>
      <c r="L202" s="51"/>
      <c r="M202" s="51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</row>
    <row r="203" spans="4:35" s="50" customFormat="1">
      <c r="D203" s="51"/>
      <c r="E203" s="51"/>
      <c r="F203" s="51"/>
      <c r="H203" s="51"/>
      <c r="I203" s="51"/>
      <c r="J203" s="51"/>
      <c r="K203" s="51"/>
      <c r="L203" s="51"/>
      <c r="M203" s="51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</row>
    <row r="204" spans="4:35" s="50" customFormat="1">
      <c r="D204" s="51"/>
      <c r="E204" s="51"/>
      <c r="F204" s="51"/>
      <c r="H204" s="51"/>
      <c r="I204" s="51"/>
      <c r="J204" s="51"/>
      <c r="K204" s="51"/>
      <c r="L204" s="51"/>
      <c r="M204" s="51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</row>
    <row r="205" spans="4:35" s="50" customFormat="1">
      <c r="D205" s="51"/>
      <c r="E205" s="51"/>
      <c r="F205" s="51"/>
      <c r="H205" s="51"/>
      <c r="I205" s="51"/>
      <c r="J205" s="51"/>
      <c r="K205" s="51"/>
      <c r="L205" s="51"/>
      <c r="M205" s="51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</row>
    <row r="206" spans="4:35" s="50" customFormat="1">
      <c r="D206" s="51"/>
      <c r="E206" s="51"/>
      <c r="F206" s="51"/>
      <c r="H206" s="51"/>
      <c r="I206" s="51"/>
      <c r="J206" s="51"/>
      <c r="K206" s="51"/>
      <c r="L206" s="51"/>
      <c r="M206" s="51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</row>
    <row r="207" spans="4:35" s="50" customFormat="1">
      <c r="D207" s="51"/>
      <c r="E207" s="51"/>
      <c r="F207" s="51"/>
      <c r="H207" s="51"/>
      <c r="I207" s="51"/>
      <c r="J207" s="51"/>
      <c r="K207" s="51"/>
      <c r="L207" s="51"/>
      <c r="M207" s="51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</row>
    <row r="208" spans="4:35" s="50" customFormat="1">
      <c r="D208" s="51"/>
      <c r="E208" s="51"/>
      <c r="F208" s="51"/>
      <c r="H208" s="51"/>
      <c r="I208" s="51"/>
      <c r="J208" s="51"/>
      <c r="K208" s="51"/>
      <c r="L208" s="51"/>
      <c r="M208" s="51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</row>
    <row r="209" spans="4:35" s="50" customFormat="1">
      <c r="D209" s="51"/>
      <c r="E209" s="51"/>
      <c r="F209" s="51"/>
      <c r="H209" s="51"/>
      <c r="I209" s="51"/>
      <c r="J209" s="51"/>
      <c r="K209" s="51"/>
      <c r="L209" s="51"/>
      <c r="M209" s="51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</row>
    <row r="210" spans="4:35" s="50" customFormat="1">
      <c r="D210" s="51"/>
      <c r="E210" s="51"/>
      <c r="F210" s="51"/>
      <c r="H210" s="51"/>
      <c r="I210" s="51"/>
      <c r="J210" s="51"/>
      <c r="K210" s="51"/>
      <c r="L210" s="51"/>
      <c r="M210" s="51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</row>
    <row r="211" spans="4:35" s="50" customFormat="1">
      <c r="D211" s="51"/>
      <c r="E211" s="51"/>
      <c r="F211" s="51"/>
      <c r="H211" s="51"/>
      <c r="I211" s="51"/>
      <c r="J211" s="51"/>
      <c r="K211" s="51"/>
      <c r="L211" s="51"/>
      <c r="M211" s="51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</row>
    <row r="212" spans="4:35" s="50" customFormat="1">
      <c r="D212" s="51"/>
      <c r="E212" s="51"/>
      <c r="F212" s="51"/>
      <c r="H212" s="51"/>
      <c r="I212" s="51"/>
      <c r="J212" s="51"/>
      <c r="K212" s="51"/>
      <c r="L212" s="51"/>
      <c r="M212" s="51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</row>
    <row r="213" spans="4:35" s="50" customFormat="1">
      <c r="D213" s="51"/>
      <c r="E213" s="51"/>
      <c r="F213" s="51"/>
      <c r="H213" s="51"/>
      <c r="I213" s="51"/>
      <c r="J213" s="51"/>
      <c r="K213" s="51"/>
      <c r="L213" s="51"/>
      <c r="M213" s="51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</row>
    <row r="214" spans="4:35" s="50" customFormat="1">
      <c r="D214" s="51"/>
      <c r="E214" s="51"/>
      <c r="F214" s="51"/>
      <c r="H214" s="51"/>
      <c r="I214" s="51"/>
      <c r="J214" s="51"/>
      <c r="K214" s="51"/>
      <c r="L214" s="51"/>
      <c r="M214" s="51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</row>
    <row r="215" spans="4:35" s="50" customFormat="1">
      <c r="D215" s="51"/>
      <c r="E215" s="51"/>
      <c r="F215" s="51"/>
      <c r="H215" s="51"/>
      <c r="I215" s="51"/>
      <c r="J215" s="51"/>
      <c r="K215" s="51"/>
      <c r="L215" s="51"/>
      <c r="M215" s="51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</row>
    <row r="216" spans="4:35" s="50" customFormat="1">
      <c r="D216" s="51"/>
      <c r="E216" s="51"/>
      <c r="F216" s="51"/>
      <c r="H216" s="51"/>
      <c r="I216" s="51"/>
      <c r="J216" s="51"/>
      <c r="K216" s="51"/>
      <c r="L216" s="51"/>
      <c r="M216" s="51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</row>
    <row r="217" spans="4:35" s="50" customFormat="1">
      <c r="D217" s="51"/>
      <c r="E217" s="51"/>
      <c r="F217" s="51"/>
      <c r="H217" s="51"/>
      <c r="I217" s="51"/>
      <c r="J217" s="51"/>
      <c r="K217" s="51"/>
      <c r="L217" s="51"/>
      <c r="M217" s="51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</row>
    <row r="218" spans="4:35" s="50" customFormat="1">
      <c r="D218" s="51"/>
      <c r="E218" s="51"/>
      <c r="F218" s="51"/>
      <c r="H218" s="51"/>
      <c r="I218" s="51"/>
      <c r="J218" s="51"/>
      <c r="K218" s="51"/>
      <c r="L218" s="51"/>
      <c r="M218" s="51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</row>
    <row r="219" spans="4:35" s="50" customFormat="1">
      <c r="D219" s="51"/>
      <c r="E219" s="51"/>
      <c r="F219" s="51"/>
      <c r="H219" s="51"/>
      <c r="I219" s="51"/>
      <c r="J219" s="51"/>
      <c r="K219" s="51"/>
      <c r="L219" s="51"/>
      <c r="M219" s="51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</row>
    <row r="220" spans="4:35" s="50" customFormat="1">
      <c r="D220" s="51"/>
      <c r="E220" s="51"/>
      <c r="F220" s="51"/>
      <c r="H220" s="51"/>
      <c r="I220" s="51"/>
      <c r="J220" s="51"/>
      <c r="K220" s="51"/>
      <c r="L220" s="51"/>
      <c r="M220" s="51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</row>
    <row r="221" spans="4:35" s="50" customFormat="1">
      <c r="D221" s="51"/>
      <c r="E221" s="51"/>
      <c r="F221" s="51"/>
      <c r="H221" s="51"/>
      <c r="I221" s="51"/>
      <c r="J221" s="51"/>
      <c r="K221" s="51"/>
      <c r="L221" s="51"/>
      <c r="M221" s="51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</row>
    <row r="222" spans="4:35" s="50" customFormat="1">
      <c r="D222" s="51"/>
      <c r="E222" s="51"/>
      <c r="F222" s="51"/>
      <c r="H222" s="51"/>
      <c r="I222" s="51"/>
      <c r="J222" s="51"/>
      <c r="K222" s="51"/>
      <c r="L222" s="51"/>
      <c r="M222" s="51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</row>
    <row r="223" spans="4:35" s="50" customFormat="1">
      <c r="D223" s="51"/>
      <c r="E223" s="51"/>
      <c r="F223" s="51"/>
      <c r="H223" s="51"/>
      <c r="I223" s="51"/>
      <c r="J223" s="51"/>
      <c r="K223" s="51"/>
      <c r="L223" s="51"/>
      <c r="M223" s="51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</row>
    <row r="224" spans="4:35" s="50" customFormat="1">
      <c r="D224" s="51"/>
      <c r="E224" s="51"/>
      <c r="F224" s="51"/>
      <c r="H224" s="51"/>
      <c r="I224" s="51"/>
      <c r="J224" s="51"/>
      <c r="K224" s="51"/>
      <c r="L224" s="51"/>
      <c r="M224" s="51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</row>
    <row r="225" spans="4:35" s="50" customFormat="1">
      <c r="D225" s="51"/>
      <c r="E225" s="51"/>
      <c r="F225" s="51"/>
      <c r="H225" s="51"/>
      <c r="I225" s="51"/>
      <c r="J225" s="51"/>
      <c r="K225" s="51"/>
      <c r="L225" s="51"/>
      <c r="M225" s="51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</row>
    <row r="226" spans="4:35" s="50" customFormat="1">
      <c r="D226" s="51"/>
      <c r="E226" s="51"/>
      <c r="F226" s="51"/>
      <c r="H226" s="51"/>
      <c r="I226" s="51"/>
      <c r="J226" s="51"/>
      <c r="K226" s="51"/>
      <c r="L226" s="51"/>
      <c r="M226" s="51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</row>
    <row r="227" spans="4:35" s="50" customFormat="1">
      <c r="D227" s="51"/>
      <c r="E227" s="51"/>
      <c r="F227" s="51"/>
      <c r="H227" s="51"/>
      <c r="I227" s="51"/>
      <c r="J227" s="51"/>
      <c r="K227" s="51"/>
      <c r="L227" s="51"/>
      <c r="M227" s="51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</row>
    <row r="228" spans="4:35" s="50" customFormat="1">
      <c r="D228" s="51"/>
      <c r="E228" s="51"/>
      <c r="F228" s="51"/>
      <c r="H228" s="51"/>
      <c r="I228" s="51"/>
      <c r="J228" s="51"/>
      <c r="K228" s="51"/>
      <c r="L228" s="51"/>
      <c r="M228" s="51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</row>
    <row r="229" spans="4:35" s="50" customFormat="1">
      <c r="D229" s="51"/>
      <c r="E229" s="51"/>
      <c r="F229" s="51"/>
      <c r="H229" s="51"/>
      <c r="I229" s="51"/>
      <c r="J229" s="51"/>
      <c r="K229" s="51"/>
      <c r="L229" s="51"/>
      <c r="M229" s="51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</row>
    <row r="230" spans="4:35" s="50" customFormat="1">
      <c r="D230" s="51"/>
      <c r="E230" s="51"/>
      <c r="F230" s="51"/>
      <c r="H230" s="51"/>
      <c r="I230" s="51"/>
      <c r="J230" s="51"/>
      <c r="K230" s="51"/>
      <c r="L230" s="51"/>
      <c r="M230" s="51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</row>
    <row r="231" spans="4:35" s="50" customFormat="1">
      <c r="D231" s="51"/>
      <c r="E231" s="51"/>
      <c r="F231" s="51"/>
      <c r="H231" s="51"/>
      <c r="I231" s="51"/>
      <c r="J231" s="51"/>
      <c r="K231" s="51"/>
      <c r="L231" s="51"/>
      <c r="M231" s="51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</row>
    <row r="232" spans="4:35" s="50" customFormat="1">
      <c r="D232" s="51"/>
      <c r="E232" s="51"/>
      <c r="F232" s="51"/>
      <c r="H232" s="51"/>
      <c r="I232" s="51"/>
      <c r="J232" s="51"/>
      <c r="K232" s="51"/>
      <c r="L232" s="51"/>
      <c r="M232" s="51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</row>
    <row r="233" spans="4:35" s="50" customFormat="1">
      <c r="D233" s="51"/>
      <c r="E233" s="51"/>
      <c r="F233" s="51"/>
      <c r="H233" s="51"/>
      <c r="I233" s="51"/>
      <c r="J233" s="51"/>
      <c r="K233" s="51"/>
      <c r="L233" s="51"/>
      <c r="M233" s="51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</row>
    <row r="234" spans="4:35" s="50" customFormat="1">
      <c r="D234" s="51"/>
      <c r="E234" s="51"/>
      <c r="F234" s="51"/>
      <c r="H234" s="51"/>
      <c r="I234" s="51"/>
      <c r="J234" s="51"/>
      <c r="K234" s="51"/>
      <c r="L234" s="51"/>
      <c r="M234" s="51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</row>
    <row r="235" spans="4:35" s="50" customFormat="1">
      <c r="D235" s="51"/>
      <c r="E235" s="51"/>
      <c r="F235" s="51"/>
      <c r="H235" s="51"/>
      <c r="I235" s="51"/>
      <c r="J235" s="51"/>
      <c r="K235" s="51"/>
      <c r="L235" s="51"/>
      <c r="M235" s="51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</row>
    <row r="236" spans="4:35" s="50" customFormat="1">
      <c r="D236" s="51"/>
      <c r="E236" s="51"/>
      <c r="F236" s="51"/>
      <c r="H236" s="51"/>
      <c r="I236" s="51"/>
      <c r="J236" s="51"/>
      <c r="K236" s="51"/>
      <c r="L236" s="51"/>
      <c r="M236" s="51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</row>
    <row r="237" spans="4:35" s="50" customFormat="1">
      <c r="D237" s="51"/>
      <c r="E237" s="51"/>
      <c r="F237" s="51"/>
      <c r="H237" s="51"/>
      <c r="I237" s="51"/>
      <c r="J237" s="51"/>
      <c r="K237" s="51"/>
      <c r="L237" s="51"/>
      <c r="M237" s="51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</row>
    <row r="238" spans="4:35" s="50" customFormat="1">
      <c r="D238" s="51"/>
      <c r="E238" s="51"/>
      <c r="F238" s="51"/>
      <c r="H238" s="51"/>
      <c r="I238" s="51"/>
      <c r="J238" s="51"/>
      <c r="K238" s="51"/>
      <c r="L238" s="51"/>
      <c r="M238" s="51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</row>
    <row r="239" spans="4:35" s="50" customFormat="1">
      <c r="D239" s="51"/>
      <c r="E239" s="51"/>
      <c r="F239" s="51"/>
      <c r="H239" s="51"/>
      <c r="I239" s="51"/>
      <c r="J239" s="51"/>
      <c r="K239" s="51"/>
      <c r="L239" s="51"/>
      <c r="M239" s="51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</row>
    <row r="240" spans="4:35" s="50" customFormat="1">
      <c r="D240" s="51"/>
      <c r="E240" s="51"/>
      <c r="F240" s="51"/>
      <c r="H240" s="51"/>
      <c r="I240" s="51"/>
      <c r="J240" s="51"/>
      <c r="K240" s="51"/>
      <c r="L240" s="51"/>
      <c r="M240" s="51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</row>
    <row r="241" spans="4:35" s="50" customFormat="1">
      <c r="D241" s="51"/>
      <c r="E241" s="51"/>
      <c r="F241" s="51"/>
      <c r="H241" s="51"/>
      <c r="I241" s="51"/>
      <c r="J241" s="51"/>
      <c r="K241" s="51"/>
      <c r="L241" s="51"/>
      <c r="M241" s="51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</row>
    <row r="242" spans="4:35" s="50" customFormat="1">
      <c r="D242" s="51"/>
      <c r="E242" s="51"/>
      <c r="F242" s="51"/>
      <c r="H242" s="51"/>
      <c r="I242" s="51"/>
      <c r="J242" s="51"/>
      <c r="K242" s="51"/>
      <c r="L242" s="51"/>
      <c r="M242" s="51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</row>
    <row r="243" spans="4:35" s="50" customFormat="1">
      <c r="D243" s="51"/>
      <c r="E243" s="51"/>
      <c r="F243" s="51"/>
      <c r="H243" s="51"/>
      <c r="I243" s="51"/>
      <c r="J243" s="51"/>
      <c r="K243" s="51"/>
      <c r="L243" s="51"/>
      <c r="M243" s="51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</row>
    <row r="244" spans="4:35" s="50" customFormat="1">
      <c r="D244" s="51"/>
      <c r="E244" s="51"/>
      <c r="F244" s="51"/>
      <c r="H244" s="51"/>
      <c r="I244" s="51"/>
      <c r="J244" s="51"/>
      <c r="K244" s="51"/>
      <c r="L244" s="51"/>
      <c r="M244" s="51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</row>
    <row r="245" spans="4:35" s="50" customFormat="1">
      <c r="D245" s="51"/>
      <c r="E245" s="51"/>
      <c r="F245" s="51"/>
      <c r="H245" s="51"/>
      <c r="I245" s="51"/>
      <c r="J245" s="51"/>
      <c r="K245" s="51"/>
      <c r="L245" s="51"/>
      <c r="M245" s="51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</row>
  </sheetData>
  <mergeCells count="1">
    <mergeCell ref="A1:B1"/>
  </mergeCells>
  <phoneticPr fontId="19" type="noConversion"/>
  <pageMargins left="0.23622047244094491" right="0.31496062992125984" top="0.74803149606299213" bottom="0.74803149606299213" header="0.51181102362204722" footer="0.51181102362204722"/>
  <pageSetup paperSize="9" scale="30" fitToHeight="1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93D6-1F0F-402C-ABF8-33866A9954CB}">
  <sheetPr codeName="Sheet11">
    <pageSetUpPr fitToPage="1"/>
  </sheetPr>
  <dimension ref="A1:AF125"/>
  <sheetViews>
    <sheetView showGridLines="0" topLeftCell="A22" zoomScale="80" zoomScaleNormal="80" workbookViewId="0">
      <selection activeCell="B77" sqref="B77"/>
    </sheetView>
  </sheetViews>
  <sheetFormatPr defaultColWidth="8.7109375" defaultRowHeight="12.95"/>
  <cols>
    <col min="1" max="1" width="29.5703125" style="39" customWidth="1"/>
    <col min="2" max="2" width="23.28515625" style="39" customWidth="1"/>
    <col min="3" max="3" width="29.28515625" style="64" customWidth="1"/>
    <col min="4" max="4" width="28.42578125" style="40" bestFit="1" customWidth="1"/>
    <col min="5" max="5" width="17.28515625" style="39" customWidth="1"/>
    <col min="6" max="6" width="22.140625" style="39" bestFit="1" customWidth="1"/>
    <col min="7" max="7" width="15.28515625" style="39" customWidth="1"/>
    <col min="8" max="8" width="17.5703125" style="39" bestFit="1" customWidth="1"/>
    <col min="9" max="9" width="15.28515625" style="40" customWidth="1"/>
    <col min="10" max="10" width="12.7109375" style="40" customWidth="1"/>
    <col min="11" max="11" width="12.7109375" style="100" customWidth="1"/>
    <col min="12" max="12" width="31.140625" style="40" bestFit="1" customWidth="1"/>
    <col min="13" max="13" width="14.7109375" style="39" customWidth="1"/>
    <col min="14" max="14" width="8.7109375" style="58"/>
    <col min="15" max="21" width="8.7109375" style="37"/>
    <col min="22" max="27" width="8.7109375" style="38"/>
    <col min="28" max="16384" width="8.7109375" style="39"/>
  </cols>
  <sheetData>
    <row r="1" spans="1:32" s="56" customFormat="1" ht="59.45" customHeight="1">
      <c r="A1" s="127" t="s">
        <v>380</v>
      </c>
      <c r="B1" s="127"/>
      <c r="C1" s="57"/>
      <c r="D1" s="57"/>
      <c r="E1" s="11"/>
      <c r="F1" s="11"/>
      <c r="G1" s="11"/>
      <c r="H1" s="11"/>
      <c r="I1" s="57"/>
      <c r="J1" s="11"/>
      <c r="K1" s="91"/>
      <c r="L1" s="57"/>
      <c r="M1" s="11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</row>
    <row r="2" spans="1:32" s="45" customFormat="1" ht="64.5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46</v>
      </c>
      <c r="J2" s="14" t="s">
        <v>10</v>
      </c>
      <c r="K2" s="87" t="s">
        <v>11</v>
      </c>
      <c r="L2" s="15" t="s">
        <v>13</v>
      </c>
      <c r="M2" s="15" t="s">
        <v>49</v>
      </c>
      <c r="N2" s="59"/>
      <c r="O2" s="43"/>
      <c r="P2" s="43"/>
      <c r="Q2" s="43"/>
      <c r="R2" s="43"/>
      <c r="S2" s="43"/>
      <c r="T2" s="43"/>
      <c r="U2" s="43"/>
      <c r="V2" s="44"/>
      <c r="W2" s="44"/>
      <c r="X2" s="44"/>
      <c r="Y2" s="44"/>
      <c r="Z2" s="44"/>
      <c r="AA2" s="44"/>
    </row>
    <row r="3" spans="1:32" s="49" customFormat="1" ht="15.95">
      <c r="A3" s="46" t="s">
        <v>381</v>
      </c>
      <c r="B3" s="46" t="s">
        <v>382</v>
      </c>
      <c r="C3" s="20" t="s">
        <v>68</v>
      </c>
      <c r="D3" s="46" t="s">
        <v>383</v>
      </c>
      <c r="E3" s="46" t="s">
        <v>28</v>
      </c>
      <c r="F3" s="46" t="s">
        <v>249</v>
      </c>
      <c r="G3" s="46">
        <v>40</v>
      </c>
      <c r="H3" s="46">
        <v>14</v>
      </c>
      <c r="I3" s="65">
        <v>45446</v>
      </c>
      <c r="J3" s="46">
        <v>0</v>
      </c>
      <c r="K3" s="90">
        <v>264.64999999999998</v>
      </c>
      <c r="L3" s="46" t="s">
        <v>384</v>
      </c>
      <c r="M3" s="46" t="s">
        <v>24</v>
      </c>
      <c r="N3" s="60"/>
      <c r="O3" s="47"/>
      <c r="P3" s="47"/>
      <c r="Q3" s="47"/>
      <c r="R3" s="47"/>
      <c r="S3" s="47"/>
      <c r="T3" s="47"/>
      <c r="U3" s="47"/>
      <c r="V3" s="48"/>
      <c r="W3" s="48"/>
      <c r="X3" s="48"/>
      <c r="Y3" s="48"/>
      <c r="Z3" s="48"/>
      <c r="AA3" s="48"/>
    </row>
    <row r="4" spans="1:32" s="49" customFormat="1" ht="15.95">
      <c r="A4" s="46" t="s">
        <v>381</v>
      </c>
      <c r="B4" s="46" t="s">
        <v>382</v>
      </c>
      <c r="C4" s="20" t="s">
        <v>68</v>
      </c>
      <c r="D4" s="46" t="s">
        <v>385</v>
      </c>
      <c r="E4" s="46" t="s">
        <v>30</v>
      </c>
      <c r="F4" s="46" t="s">
        <v>249</v>
      </c>
      <c r="G4" s="46">
        <v>40</v>
      </c>
      <c r="H4" s="46">
        <v>112</v>
      </c>
      <c r="I4" s="65">
        <v>42736</v>
      </c>
      <c r="J4" s="46">
        <v>2</v>
      </c>
      <c r="K4" s="90">
        <v>90.8</v>
      </c>
      <c r="L4" s="46" t="s">
        <v>386</v>
      </c>
      <c r="M4" s="46" t="s">
        <v>24</v>
      </c>
      <c r="N4" s="60"/>
      <c r="O4" s="47"/>
      <c r="P4" s="47"/>
      <c r="Q4" s="47"/>
      <c r="R4" s="47"/>
      <c r="S4" s="47"/>
      <c r="T4" s="47"/>
      <c r="U4" s="47"/>
      <c r="V4" s="48"/>
      <c r="W4" s="48"/>
      <c r="X4" s="48"/>
      <c r="Y4" s="48"/>
      <c r="Z4" s="48"/>
      <c r="AA4" s="48"/>
    </row>
    <row r="5" spans="1:32" s="49" customFormat="1" ht="15.95">
      <c r="A5" s="46" t="s">
        <v>381</v>
      </c>
      <c r="B5" s="46" t="s">
        <v>382</v>
      </c>
      <c r="C5" s="20" t="s">
        <v>68</v>
      </c>
      <c r="D5" s="46" t="s">
        <v>231</v>
      </c>
      <c r="E5" s="46" t="s">
        <v>28</v>
      </c>
      <c r="F5" s="46" t="s">
        <v>249</v>
      </c>
      <c r="G5" s="46">
        <v>40</v>
      </c>
      <c r="H5" s="46">
        <v>112</v>
      </c>
      <c r="I5" s="65">
        <v>42736</v>
      </c>
      <c r="J5" s="46">
        <v>5</v>
      </c>
      <c r="K5" s="90">
        <v>71.08</v>
      </c>
      <c r="L5" s="46" t="s">
        <v>386</v>
      </c>
      <c r="M5" s="46" t="s">
        <v>24</v>
      </c>
      <c r="N5" s="60"/>
      <c r="O5" s="47"/>
      <c r="P5" s="47"/>
      <c r="Q5" s="47"/>
      <c r="R5" s="47"/>
      <c r="S5" s="47"/>
      <c r="T5" s="47"/>
      <c r="U5" s="47"/>
      <c r="V5" s="48"/>
      <c r="W5" s="48"/>
      <c r="X5" s="48"/>
      <c r="Y5" s="48"/>
      <c r="Z5" s="48"/>
      <c r="AA5" s="48"/>
    </row>
    <row r="6" spans="1:32" s="49" customFormat="1" ht="15.95">
      <c r="A6" s="46" t="s">
        <v>381</v>
      </c>
      <c r="B6" s="46" t="s">
        <v>382</v>
      </c>
      <c r="C6" s="20" t="s">
        <v>68</v>
      </c>
      <c r="D6" s="46" t="s">
        <v>231</v>
      </c>
      <c r="E6" s="46" t="s">
        <v>28</v>
      </c>
      <c r="F6" s="46" t="s">
        <v>249</v>
      </c>
      <c r="G6" s="46">
        <v>40</v>
      </c>
      <c r="H6" s="46">
        <v>112</v>
      </c>
      <c r="I6" s="65">
        <v>42736</v>
      </c>
      <c r="J6" s="46">
        <v>5</v>
      </c>
      <c r="K6" s="90">
        <v>101.53</v>
      </c>
      <c r="L6" s="46" t="s">
        <v>386</v>
      </c>
      <c r="M6" s="46" t="s">
        <v>23</v>
      </c>
      <c r="N6" s="60"/>
      <c r="O6" s="47"/>
      <c r="P6" s="47"/>
      <c r="Q6" s="47"/>
      <c r="R6" s="47"/>
      <c r="S6" s="47"/>
      <c r="T6" s="47"/>
      <c r="U6" s="47"/>
      <c r="V6" s="48"/>
      <c r="W6" s="48"/>
      <c r="X6" s="48"/>
      <c r="Y6" s="48"/>
      <c r="Z6" s="48"/>
      <c r="AA6" s="48"/>
    </row>
    <row r="7" spans="1:32" s="49" customFormat="1" ht="15.95">
      <c r="A7" s="46" t="s">
        <v>387</v>
      </c>
      <c r="B7" s="46" t="s">
        <v>388</v>
      </c>
      <c r="C7" s="20" t="s">
        <v>68</v>
      </c>
      <c r="D7" s="52" t="s">
        <v>352</v>
      </c>
      <c r="E7" s="46" t="s">
        <v>36</v>
      </c>
      <c r="F7" s="46" t="s">
        <v>249</v>
      </c>
      <c r="G7" s="46">
        <v>40</v>
      </c>
      <c r="H7" s="61">
        <v>39</v>
      </c>
      <c r="I7" s="53">
        <v>44593</v>
      </c>
      <c r="J7" s="46">
        <v>25.05</v>
      </c>
      <c r="K7" s="90">
        <v>0</v>
      </c>
      <c r="L7" s="46" t="s">
        <v>386</v>
      </c>
      <c r="M7" s="46" t="s">
        <v>24</v>
      </c>
      <c r="N7" s="60"/>
      <c r="O7" s="47"/>
      <c r="P7" s="47"/>
      <c r="Q7" s="47"/>
      <c r="R7" s="47"/>
      <c r="S7" s="47"/>
      <c r="T7" s="47"/>
      <c r="U7" s="47"/>
      <c r="V7" s="48"/>
      <c r="W7" s="48"/>
      <c r="X7" s="48"/>
      <c r="Y7" s="48"/>
      <c r="Z7" s="48"/>
      <c r="AA7" s="48"/>
    </row>
    <row r="8" spans="1:32" s="49" customFormat="1" ht="15.95">
      <c r="A8" s="46" t="s">
        <v>387</v>
      </c>
      <c r="B8" s="46" t="s">
        <v>388</v>
      </c>
      <c r="C8" s="20" t="s">
        <v>68</v>
      </c>
      <c r="D8" s="52" t="s">
        <v>352</v>
      </c>
      <c r="E8" s="46" t="s">
        <v>36</v>
      </c>
      <c r="F8" s="46" t="s">
        <v>249</v>
      </c>
      <c r="G8" s="46">
        <v>40</v>
      </c>
      <c r="H8" s="61">
        <v>35</v>
      </c>
      <c r="I8" s="53">
        <v>44743</v>
      </c>
      <c r="J8" s="46">
        <v>25.05</v>
      </c>
      <c r="K8" s="90">
        <v>0</v>
      </c>
      <c r="L8" s="46" t="s">
        <v>386</v>
      </c>
      <c r="M8" s="46" t="s">
        <v>24</v>
      </c>
      <c r="N8" s="60"/>
      <c r="O8" s="47"/>
      <c r="P8" s="47"/>
      <c r="Q8" s="47"/>
      <c r="R8" s="47"/>
      <c r="S8" s="47"/>
      <c r="T8" s="47"/>
      <c r="U8" s="47"/>
      <c r="V8" s="48"/>
      <c r="W8" s="48"/>
      <c r="X8" s="48"/>
      <c r="Y8" s="48"/>
      <c r="Z8" s="48"/>
      <c r="AA8" s="48"/>
    </row>
    <row r="9" spans="1:32" s="49" customFormat="1" ht="15.95">
      <c r="A9" s="46" t="s">
        <v>387</v>
      </c>
      <c r="B9" s="46" t="s">
        <v>388</v>
      </c>
      <c r="C9" s="20" t="s">
        <v>68</v>
      </c>
      <c r="D9" s="52" t="s">
        <v>353</v>
      </c>
      <c r="E9" s="46" t="s">
        <v>30</v>
      </c>
      <c r="F9" s="46" t="s">
        <v>249</v>
      </c>
      <c r="G9" s="46">
        <v>40</v>
      </c>
      <c r="H9" s="61">
        <v>61</v>
      </c>
      <c r="I9" s="53">
        <v>44004</v>
      </c>
      <c r="J9" s="46">
        <v>2</v>
      </c>
      <c r="K9" s="90">
        <v>23.22</v>
      </c>
      <c r="L9" s="46" t="s">
        <v>386</v>
      </c>
      <c r="M9" s="46" t="s">
        <v>24</v>
      </c>
      <c r="N9" s="60"/>
      <c r="O9" s="47"/>
      <c r="P9" s="47"/>
      <c r="Q9" s="47"/>
      <c r="R9" s="47"/>
      <c r="S9" s="47"/>
      <c r="T9" s="47"/>
      <c r="U9" s="47"/>
      <c r="V9" s="48"/>
      <c r="W9" s="48"/>
      <c r="X9" s="48"/>
      <c r="Y9" s="48"/>
      <c r="Z9" s="48"/>
      <c r="AA9" s="48"/>
    </row>
    <row r="10" spans="1:32" s="49" customFormat="1" ht="15.95">
      <c r="A10" s="46" t="s">
        <v>387</v>
      </c>
      <c r="B10" s="46" t="s">
        <v>388</v>
      </c>
      <c r="C10" s="20" t="s">
        <v>68</v>
      </c>
      <c r="D10" s="52" t="s">
        <v>69</v>
      </c>
      <c r="E10" s="46" t="s">
        <v>21</v>
      </c>
      <c r="F10" s="46" t="s">
        <v>249</v>
      </c>
      <c r="G10" s="46">
        <v>40</v>
      </c>
      <c r="H10" s="61">
        <v>41</v>
      </c>
      <c r="I10" s="53">
        <v>44562</v>
      </c>
      <c r="J10" s="46">
        <v>26.75</v>
      </c>
      <c r="K10" s="90">
        <v>0</v>
      </c>
      <c r="L10" s="46" t="s">
        <v>386</v>
      </c>
      <c r="M10" s="46" t="s">
        <v>24</v>
      </c>
      <c r="N10" s="60"/>
      <c r="O10" s="47"/>
      <c r="P10" s="47"/>
      <c r="Q10" s="47"/>
      <c r="R10" s="47"/>
      <c r="S10" s="47"/>
      <c r="T10" s="47"/>
      <c r="U10" s="47"/>
      <c r="V10" s="48"/>
      <c r="W10" s="48"/>
      <c r="X10" s="48"/>
      <c r="Y10" s="48"/>
      <c r="Z10" s="48"/>
      <c r="AA10" s="48"/>
    </row>
    <row r="11" spans="1:32" s="49" customFormat="1" ht="15.95">
      <c r="A11" s="46" t="s">
        <v>387</v>
      </c>
      <c r="B11" s="46" t="s">
        <v>388</v>
      </c>
      <c r="C11" s="20" t="s">
        <v>68</v>
      </c>
      <c r="D11" s="52" t="s">
        <v>86</v>
      </c>
      <c r="E11" s="46" t="s">
        <v>21</v>
      </c>
      <c r="F11" s="46" t="s">
        <v>249</v>
      </c>
      <c r="G11" s="46">
        <v>40</v>
      </c>
      <c r="H11" s="61">
        <v>59</v>
      </c>
      <c r="I11" s="53">
        <v>44013</v>
      </c>
      <c r="J11" s="46">
        <v>53.5</v>
      </c>
      <c r="K11" s="90">
        <v>10</v>
      </c>
      <c r="L11" s="46" t="s">
        <v>386</v>
      </c>
      <c r="M11" s="46" t="s">
        <v>24</v>
      </c>
      <c r="N11" s="60"/>
      <c r="O11" s="47"/>
      <c r="P11" s="47"/>
      <c r="Q11" s="47"/>
      <c r="R11" s="47"/>
      <c r="S11" s="47"/>
      <c r="T11" s="47"/>
      <c r="U11" s="47"/>
      <c r="V11" s="48"/>
      <c r="W11" s="48"/>
      <c r="X11" s="48"/>
      <c r="Y11" s="48"/>
      <c r="Z11" s="48"/>
      <c r="AA11" s="48"/>
    </row>
    <row r="12" spans="1:32" s="49" customFormat="1" ht="15.95">
      <c r="A12" s="46" t="s">
        <v>387</v>
      </c>
      <c r="B12" s="46" t="s">
        <v>388</v>
      </c>
      <c r="C12" s="20" t="s">
        <v>68</v>
      </c>
      <c r="D12" s="52" t="s">
        <v>352</v>
      </c>
      <c r="E12" s="46" t="s">
        <v>21</v>
      </c>
      <c r="F12" s="46" t="s">
        <v>249</v>
      </c>
      <c r="G12" s="46">
        <v>40</v>
      </c>
      <c r="H12" s="61">
        <v>108</v>
      </c>
      <c r="I12" s="53">
        <v>42513</v>
      </c>
      <c r="J12" s="46">
        <v>107</v>
      </c>
      <c r="K12" s="90">
        <v>24.03</v>
      </c>
      <c r="L12" s="46" t="s">
        <v>386</v>
      </c>
      <c r="M12" s="46" t="s">
        <v>24</v>
      </c>
      <c r="N12" s="60"/>
      <c r="O12" s="47"/>
      <c r="P12" s="47"/>
      <c r="Q12" s="47"/>
      <c r="R12" s="47"/>
      <c r="S12" s="47"/>
      <c r="T12" s="47"/>
      <c r="U12" s="47"/>
      <c r="V12" s="48"/>
      <c r="W12" s="48"/>
      <c r="X12" s="48"/>
      <c r="Y12" s="48"/>
      <c r="Z12" s="48"/>
      <c r="AA12" s="48"/>
    </row>
    <row r="13" spans="1:32" s="49" customFormat="1" ht="15.95">
      <c r="A13" s="46" t="s">
        <v>387</v>
      </c>
      <c r="B13" s="46" t="s">
        <v>388</v>
      </c>
      <c r="C13" s="20" t="s">
        <v>68</v>
      </c>
      <c r="D13" s="52" t="s">
        <v>86</v>
      </c>
      <c r="E13" s="46" t="s">
        <v>21</v>
      </c>
      <c r="F13" s="46" t="s">
        <v>249</v>
      </c>
      <c r="G13" s="46">
        <v>40</v>
      </c>
      <c r="H13" s="61">
        <v>59</v>
      </c>
      <c r="I13" s="53">
        <v>44013</v>
      </c>
      <c r="J13" s="46">
        <v>133.75</v>
      </c>
      <c r="K13" s="90">
        <v>24.03</v>
      </c>
      <c r="L13" s="46" t="s">
        <v>386</v>
      </c>
      <c r="M13" s="46" t="s">
        <v>24</v>
      </c>
      <c r="N13" s="60"/>
      <c r="O13" s="47"/>
      <c r="P13" s="47"/>
      <c r="Q13" s="47"/>
      <c r="R13" s="47"/>
      <c r="S13" s="47"/>
      <c r="T13" s="47"/>
      <c r="U13" s="47"/>
      <c r="V13" s="48"/>
      <c r="W13" s="48"/>
      <c r="X13" s="48"/>
      <c r="Y13" s="48"/>
      <c r="Z13" s="48"/>
      <c r="AA13" s="48"/>
    </row>
    <row r="14" spans="1:32" s="49" customFormat="1" ht="15.95">
      <c r="A14" s="46" t="s">
        <v>387</v>
      </c>
      <c r="B14" s="46" t="s">
        <v>388</v>
      </c>
      <c r="C14" s="20" t="s">
        <v>68</v>
      </c>
      <c r="D14" s="52" t="s">
        <v>86</v>
      </c>
      <c r="E14" s="46" t="s">
        <v>21</v>
      </c>
      <c r="F14" s="46" t="s">
        <v>249</v>
      </c>
      <c r="G14" s="46">
        <v>40</v>
      </c>
      <c r="H14" s="61">
        <v>112</v>
      </c>
      <c r="I14" s="53">
        <v>42401</v>
      </c>
      <c r="J14" s="46">
        <v>107</v>
      </c>
      <c r="K14" s="90">
        <v>24.03</v>
      </c>
      <c r="L14" s="46" t="s">
        <v>386</v>
      </c>
      <c r="M14" s="46" t="s">
        <v>24</v>
      </c>
      <c r="N14" s="60"/>
      <c r="O14" s="47"/>
      <c r="P14" s="47"/>
      <c r="Q14" s="47"/>
      <c r="R14" s="47"/>
      <c r="S14" s="47"/>
      <c r="T14" s="47"/>
      <c r="U14" s="47"/>
      <c r="V14" s="48"/>
      <c r="W14" s="48"/>
      <c r="X14" s="48"/>
      <c r="Y14" s="48"/>
      <c r="Z14" s="48"/>
      <c r="AA14" s="48"/>
    </row>
    <row r="15" spans="1:32" s="47" customFormat="1" ht="15.95">
      <c r="A15" s="46" t="s">
        <v>387</v>
      </c>
      <c r="B15" s="46" t="s">
        <v>388</v>
      </c>
      <c r="C15" s="20" t="s">
        <v>68</v>
      </c>
      <c r="D15" s="52" t="s">
        <v>86</v>
      </c>
      <c r="E15" s="46" t="s">
        <v>21</v>
      </c>
      <c r="F15" s="46" t="s">
        <v>249</v>
      </c>
      <c r="G15" s="46">
        <v>40</v>
      </c>
      <c r="H15" s="61">
        <v>59</v>
      </c>
      <c r="I15" s="53">
        <v>44013</v>
      </c>
      <c r="J15" s="46">
        <v>133.75</v>
      </c>
      <c r="K15" s="90">
        <v>24.03</v>
      </c>
      <c r="L15" s="46" t="s">
        <v>386</v>
      </c>
      <c r="M15" s="46" t="s">
        <v>24</v>
      </c>
      <c r="N15" s="60"/>
      <c r="V15" s="48"/>
      <c r="W15" s="48"/>
      <c r="X15" s="48"/>
      <c r="Y15" s="48"/>
      <c r="Z15" s="48"/>
      <c r="AA15" s="48"/>
      <c r="AB15" s="49"/>
    </row>
    <row r="16" spans="1:32" s="47" customFormat="1" ht="15.95">
      <c r="A16" s="46" t="s">
        <v>387</v>
      </c>
      <c r="B16" s="46" t="s">
        <v>388</v>
      </c>
      <c r="C16" s="20" t="s">
        <v>68</v>
      </c>
      <c r="D16" s="52" t="s">
        <v>86</v>
      </c>
      <c r="E16" s="46" t="s">
        <v>21</v>
      </c>
      <c r="F16" s="46" t="s">
        <v>249</v>
      </c>
      <c r="G16" s="46">
        <v>40</v>
      </c>
      <c r="H16" s="61">
        <v>59</v>
      </c>
      <c r="I16" s="53">
        <v>44013</v>
      </c>
      <c r="J16" s="46">
        <v>133.75</v>
      </c>
      <c r="K16" s="90">
        <v>24.03</v>
      </c>
      <c r="L16" s="46" t="s">
        <v>386</v>
      </c>
      <c r="M16" s="46" t="s">
        <v>24</v>
      </c>
      <c r="N16" s="60"/>
      <c r="V16" s="48"/>
      <c r="W16" s="48"/>
      <c r="X16" s="48"/>
      <c r="Y16" s="48"/>
      <c r="Z16" s="48"/>
      <c r="AA16" s="48"/>
      <c r="AB16" s="49"/>
    </row>
    <row r="17" spans="1:28" s="47" customFormat="1" ht="15.95">
      <c r="A17" s="46" t="s">
        <v>387</v>
      </c>
      <c r="B17" s="46" t="s">
        <v>388</v>
      </c>
      <c r="C17" s="20" t="s">
        <v>68</v>
      </c>
      <c r="D17" s="52" t="s">
        <v>69</v>
      </c>
      <c r="E17" s="46" t="s">
        <v>21</v>
      </c>
      <c r="F17" s="46" t="s">
        <v>249</v>
      </c>
      <c r="G17" s="46">
        <v>40</v>
      </c>
      <c r="H17" s="61">
        <v>56</v>
      </c>
      <c r="I17" s="53">
        <v>44105</v>
      </c>
      <c r="J17" s="46">
        <v>160.25</v>
      </c>
      <c r="K17" s="90">
        <v>24.03</v>
      </c>
      <c r="L17" s="46" t="s">
        <v>386</v>
      </c>
      <c r="M17" s="46" t="s">
        <v>24</v>
      </c>
      <c r="N17" s="60"/>
      <c r="V17" s="48"/>
      <c r="W17" s="48"/>
      <c r="X17" s="48"/>
      <c r="Y17" s="48"/>
      <c r="Z17" s="48"/>
      <c r="AA17" s="48"/>
      <c r="AB17" s="49"/>
    </row>
    <row r="18" spans="1:28" s="47" customFormat="1" ht="15.95">
      <c r="A18" s="46" t="s">
        <v>387</v>
      </c>
      <c r="B18" s="46" t="s">
        <v>388</v>
      </c>
      <c r="C18" s="20" t="s">
        <v>68</v>
      </c>
      <c r="D18" s="52" t="s">
        <v>178</v>
      </c>
      <c r="E18" s="46" t="s">
        <v>28</v>
      </c>
      <c r="F18" s="46" t="s">
        <v>249</v>
      </c>
      <c r="G18" s="46">
        <v>40</v>
      </c>
      <c r="H18" s="61">
        <v>58</v>
      </c>
      <c r="I18" s="53">
        <v>44048</v>
      </c>
      <c r="J18" s="46">
        <v>59.28</v>
      </c>
      <c r="K18" s="90">
        <v>25.43</v>
      </c>
      <c r="L18" s="46" t="s">
        <v>386</v>
      </c>
      <c r="M18" s="46" t="s">
        <v>23</v>
      </c>
      <c r="N18" s="60"/>
      <c r="V18" s="48"/>
      <c r="W18" s="48"/>
      <c r="X18" s="48"/>
      <c r="Y18" s="48"/>
      <c r="Z18" s="48"/>
      <c r="AA18" s="48"/>
      <c r="AB18" s="49"/>
    </row>
    <row r="19" spans="1:28" s="47" customFormat="1" ht="15.95">
      <c r="A19" s="46" t="s">
        <v>387</v>
      </c>
      <c r="B19" s="46" t="s">
        <v>388</v>
      </c>
      <c r="C19" s="20" t="s">
        <v>68</v>
      </c>
      <c r="D19" s="52" t="s">
        <v>69</v>
      </c>
      <c r="E19" s="46" t="s">
        <v>21</v>
      </c>
      <c r="F19" s="46" t="s">
        <v>249</v>
      </c>
      <c r="G19" s="46">
        <v>40</v>
      </c>
      <c r="H19" s="61">
        <v>101</v>
      </c>
      <c r="I19" s="53">
        <v>42736</v>
      </c>
      <c r="J19" s="46">
        <v>133.75</v>
      </c>
      <c r="K19" s="90">
        <v>24.03</v>
      </c>
      <c r="L19" s="46" t="s">
        <v>386</v>
      </c>
      <c r="M19" s="46" t="s">
        <v>24</v>
      </c>
      <c r="N19" s="60"/>
      <c r="V19" s="48"/>
      <c r="W19" s="48"/>
      <c r="X19" s="48"/>
      <c r="Y19" s="48"/>
      <c r="Z19" s="48"/>
      <c r="AA19" s="48"/>
      <c r="AB19" s="49"/>
    </row>
    <row r="20" spans="1:28" s="47" customFormat="1" ht="15.95">
      <c r="A20" s="46" t="s">
        <v>387</v>
      </c>
      <c r="B20" s="46" t="s">
        <v>388</v>
      </c>
      <c r="C20" s="20" t="s">
        <v>68</v>
      </c>
      <c r="D20" s="52" t="s">
        <v>69</v>
      </c>
      <c r="E20" s="46" t="s">
        <v>21</v>
      </c>
      <c r="F20" s="46" t="s">
        <v>249</v>
      </c>
      <c r="G20" s="46">
        <v>40</v>
      </c>
      <c r="H20" s="61">
        <v>11</v>
      </c>
      <c r="I20" s="53">
        <v>45463</v>
      </c>
      <c r="J20" s="46">
        <v>0</v>
      </c>
      <c r="K20" s="90">
        <v>0</v>
      </c>
      <c r="L20" s="46" t="s">
        <v>386</v>
      </c>
      <c r="M20" s="46" t="s">
        <v>24</v>
      </c>
      <c r="N20" s="60"/>
      <c r="V20" s="48"/>
      <c r="W20" s="48"/>
      <c r="X20" s="48"/>
      <c r="Y20" s="48"/>
      <c r="Z20" s="48"/>
      <c r="AA20" s="48"/>
      <c r="AB20" s="49"/>
    </row>
    <row r="21" spans="1:28" s="47" customFormat="1" ht="15.95">
      <c r="A21" s="46" t="s">
        <v>387</v>
      </c>
      <c r="B21" s="46" t="s">
        <v>388</v>
      </c>
      <c r="C21" s="20" t="s">
        <v>68</v>
      </c>
      <c r="D21" s="52" t="s">
        <v>69</v>
      </c>
      <c r="E21" s="46" t="s">
        <v>28</v>
      </c>
      <c r="F21" s="46" t="s">
        <v>249</v>
      </c>
      <c r="G21" s="46">
        <v>40</v>
      </c>
      <c r="H21" s="61">
        <v>56</v>
      </c>
      <c r="I21" s="53">
        <v>44105</v>
      </c>
      <c r="J21" s="46">
        <v>88.92</v>
      </c>
      <c r="K21" s="90">
        <v>85.43</v>
      </c>
      <c r="L21" s="46" t="s">
        <v>386</v>
      </c>
      <c r="M21" s="46" t="s">
        <v>24</v>
      </c>
      <c r="N21" s="60"/>
      <c r="V21" s="48"/>
      <c r="W21" s="48"/>
      <c r="X21" s="48"/>
      <c r="Y21" s="48"/>
      <c r="Z21" s="48"/>
      <c r="AA21" s="48"/>
      <c r="AB21" s="49"/>
    </row>
    <row r="22" spans="1:28" s="47" customFormat="1" ht="15.95">
      <c r="A22" s="46" t="s">
        <v>387</v>
      </c>
      <c r="B22" s="46" t="s">
        <v>388</v>
      </c>
      <c r="C22" s="20" t="s">
        <v>68</v>
      </c>
      <c r="D22" s="52" t="s">
        <v>69</v>
      </c>
      <c r="E22" s="46" t="s">
        <v>28</v>
      </c>
      <c r="F22" s="46" t="s">
        <v>249</v>
      </c>
      <c r="G22" s="46">
        <v>40</v>
      </c>
      <c r="H22" s="61">
        <v>56</v>
      </c>
      <c r="I22" s="53">
        <v>44105</v>
      </c>
      <c r="J22" s="46">
        <v>148.19999999999999</v>
      </c>
      <c r="K22" s="90">
        <v>85.43</v>
      </c>
      <c r="L22" s="46" t="s">
        <v>386</v>
      </c>
      <c r="M22" s="46" t="s">
        <v>24</v>
      </c>
      <c r="N22" s="60"/>
      <c r="V22" s="48"/>
      <c r="W22" s="48"/>
      <c r="X22" s="48"/>
      <c r="Y22" s="48"/>
      <c r="Z22" s="48"/>
      <c r="AA22" s="48"/>
      <c r="AB22" s="49"/>
    </row>
    <row r="23" spans="1:28" s="47" customFormat="1" ht="15.95">
      <c r="A23" s="46" t="s">
        <v>387</v>
      </c>
      <c r="B23" s="46" t="s">
        <v>388</v>
      </c>
      <c r="C23" s="20" t="s">
        <v>68</v>
      </c>
      <c r="D23" s="52" t="s">
        <v>69</v>
      </c>
      <c r="E23" s="46" t="s">
        <v>28</v>
      </c>
      <c r="F23" s="46" t="s">
        <v>249</v>
      </c>
      <c r="G23" s="46">
        <v>40</v>
      </c>
      <c r="H23" s="61">
        <v>56</v>
      </c>
      <c r="I23" s="53">
        <v>44105</v>
      </c>
      <c r="J23" s="46">
        <v>148.19999999999999</v>
      </c>
      <c r="K23" s="90">
        <v>85.43</v>
      </c>
      <c r="L23" s="46" t="s">
        <v>386</v>
      </c>
      <c r="M23" s="46" t="s">
        <v>24</v>
      </c>
      <c r="N23" s="60"/>
      <c r="V23" s="48"/>
      <c r="W23" s="48"/>
      <c r="X23" s="48"/>
      <c r="Y23" s="48"/>
      <c r="Z23" s="48"/>
      <c r="AA23" s="48"/>
      <c r="AB23" s="49"/>
    </row>
    <row r="24" spans="1:28" s="47" customFormat="1" ht="15.95">
      <c r="A24" s="46" t="s">
        <v>387</v>
      </c>
      <c r="B24" s="46" t="s">
        <v>388</v>
      </c>
      <c r="C24" s="20" t="s">
        <v>68</v>
      </c>
      <c r="D24" s="52" t="s">
        <v>86</v>
      </c>
      <c r="E24" s="46" t="s">
        <v>28</v>
      </c>
      <c r="F24" s="46" t="s">
        <v>249</v>
      </c>
      <c r="G24" s="46">
        <v>40</v>
      </c>
      <c r="H24" s="61">
        <v>101</v>
      </c>
      <c r="I24" s="53">
        <v>42736</v>
      </c>
      <c r="J24" s="46">
        <v>148.19999999999999</v>
      </c>
      <c r="K24" s="90">
        <v>85.43</v>
      </c>
      <c r="L24" s="46" t="s">
        <v>386</v>
      </c>
      <c r="M24" s="46" t="s">
        <v>24</v>
      </c>
      <c r="N24" s="60"/>
      <c r="V24" s="48"/>
      <c r="W24" s="48"/>
      <c r="X24" s="48"/>
      <c r="Y24" s="48"/>
      <c r="Z24" s="48"/>
      <c r="AA24" s="48"/>
      <c r="AB24" s="49"/>
    </row>
    <row r="25" spans="1:28" s="47" customFormat="1" ht="15.95">
      <c r="A25" s="46" t="s">
        <v>387</v>
      </c>
      <c r="B25" s="46" t="s">
        <v>388</v>
      </c>
      <c r="C25" s="20" t="s">
        <v>68</v>
      </c>
      <c r="D25" s="52" t="s">
        <v>69</v>
      </c>
      <c r="E25" s="46" t="s">
        <v>28</v>
      </c>
      <c r="F25" s="46" t="s">
        <v>249</v>
      </c>
      <c r="G25" s="46">
        <v>40</v>
      </c>
      <c r="H25" s="61">
        <v>56</v>
      </c>
      <c r="I25" s="53">
        <v>44105</v>
      </c>
      <c r="J25" s="46">
        <v>148.19999999999999</v>
      </c>
      <c r="K25" s="90">
        <v>85.73</v>
      </c>
      <c r="L25" s="46" t="s">
        <v>386</v>
      </c>
      <c r="M25" s="46" t="s">
        <v>24</v>
      </c>
      <c r="N25" s="60"/>
      <c r="V25" s="48"/>
      <c r="W25" s="48"/>
      <c r="X25" s="48"/>
      <c r="Y25" s="48"/>
      <c r="Z25" s="48"/>
      <c r="AA25" s="48"/>
      <c r="AB25" s="49"/>
    </row>
    <row r="26" spans="1:28" s="47" customFormat="1" ht="15.95">
      <c r="A26" s="46" t="s">
        <v>387</v>
      </c>
      <c r="B26" s="46" t="s">
        <v>388</v>
      </c>
      <c r="C26" s="20" t="s">
        <v>68</v>
      </c>
      <c r="D26" s="52" t="s">
        <v>178</v>
      </c>
      <c r="E26" s="46" t="s">
        <v>28</v>
      </c>
      <c r="F26" s="46" t="s">
        <v>249</v>
      </c>
      <c r="G26" s="46">
        <v>40</v>
      </c>
      <c r="H26" s="61">
        <v>101</v>
      </c>
      <c r="I26" s="53">
        <v>42736</v>
      </c>
      <c r="J26" s="46">
        <v>148.19999999999999</v>
      </c>
      <c r="K26" s="90">
        <v>105.43</v>
      </c>
      <c r="L26" s="46" t="s">
        <v>386</v>
      </c>
      <c r="M26" s="46" t="s">
        <v>24</v>
      </c>
      <c r="N26" s="60"/>
      <c r="V26" s="48"/>
      <c r="W26" s="48"/>
      <c r="X26" s="48"/>
      <c r="Y26" s="48"/>
      <c r="Z26" s="48"/>
      <c r="AA26" s="48"/>
      <c r="AB26" s="49"/>
    </row>
    <row r="27" spans="1:28" s="47" customFormat="1" ht="15.95">
      <c r="A27" s="46" t="s">
        <v>387</v>
      </c>
      <c r="B27" s="46" t="s">
        <v>388</v>
      </c>
      <c r="C27" s="20" t="s">
        <v>68</v>
      </c>
      <c r="D27" s="52" t="s">
        <v>178</v>
      </c>
      <c r="E27" s="46" t="s">
        <v>28</v>
      </c>
      <c r="F27" s="46" t="s">
        <v>249</v>
      </c>
      <c r="G27" s="46">
        <v>40</v>
      </c>
      <c r="H27" s="61">
        <v>101</v>
      </c>
      <c r="I27" s="53">
        <v>42736</v>
      </c>
      <c r="J27" s="46">
        <v>148.19999999999999</v>
      </c>
      <c r="K27" s="90">
        <v>107.58</v>
      </c>
      <c r="L27" s="46" t="s">
        <v>386</v>
      </c>
      <c r="M27" s="46" t="s">
        <v>24</v>
      </c>
      <c r="N27" s="60"/>
      <c r="V27" s="48"/>
      <c r="W27" s="48"/>
      <c r="X27" s="48"/>
      <c r="Y27" s="48"/>
      <c r="Z27" s="48"/>
      <c r="AA27" s="48"/>
      <c r="AB27" s="49"/>
    </row>
    <row r="28" spans="1:28" s="47" customFormat="1" ht="15.95">
      <c r="A28" s="46" t="s">
        <v>387</v>
      </c>
      <c r="B28" s="46" t="s">
        <v>388</v>
      </c>
      <c r="C28" s="20" t="s">
        <v>68</v>
      </c>
      <c r="D28" s="52" t="s">
        <v>69</v>
      </c>
      <c r="E28" s="46" t="s">
        <v>28</v>
      </c>
      <c r="F28" s="46" t="s">
        <v>249</v>
      </c>
      <c r="G28" s="46">
        <v>40</v>
      </c>
      <c r="H28" s="61">
        <v>56</v>
      </c>
      <c r="I28" s="53">
        <v>44105</v>
      </c>
      <c r="J28" s="46">
        <v>148.19999999999999</v>
      </c>
      <c r="K28" s="90">
        <v>125.43</v>
      </c>
      <c r="L28" s="46" t="s">
        <v>386</v>
      </c>
      <c r="M28" s="46" t="s">
        <v>24</v>
      </c>
      <c r="N28" s="60"/>
      <c r="V28" s="48"/>
      <c r="W28" s="48"/>
      <c r="X28" s="48"/>
      <c r="Y28" s="48"/>
      <c r="Z28" s="48"/>
      <c r="AA28" s="48"/>
      <c r="AB28" s="49"/>
    </row>
    <row r="29" spans="1:28" s="47" customFormat="1" ht="15.95">
      <c r="A29" s="46" t="s">
        <v>387</v>
      </c>
      <c r="B29" s="46" t="s">
        <v>388</v>
      </c>
      <c r="C29" s="20" t="s">
        <v>68</v>
      </c>
      <c r="D29" s="52" t="s">
        <v>69</v>
      </c>
      <c r="E29" s="46" t="s">
        <v>28</v>
      </c>
      <c r="F29" s="46" t="s">
        <v>249</v>
      </c>
      <c r="G29" s="46">
        <v>40</v>
      </c>
      <c r="H29" s="61">
        <v>56</v>
      </c>
      <c r="I29" s="53">
        <v>44105</v>
      </c>
      <c r="J29" s="46">
        <v>148.19999999999999</v>
      </c>
      <c r="K29" s="90">
        <v>135.43</v>
      </c>
      <c r="L29" s="46" t="s">
        <v>386</v>
      </c>
      <c r="M29" s="46" t="s">
        <v>24</v>
      </c>
      <c r="N29" s="60"/>
      <c r="V29" s="48"/>
      <c r="W29" s="48"/>
      <c r="X29" s="48"/>
      <c r="Y29" s="48"/>
      <c r="Z29" s="48"/>
      <c r="AA29" s="48"/>
      <c r="AB29" s="49"/>
    </row>
    <row r="30" spans="1:28" s="47" customFormat="1" ht="15.95">
      <c r="A30" s="46" t="s">
        <v>387</v>
      </c>
      <c r="B30" s="46" t="s">
        <v>388</v>
      </c>
      <c r="C30" s="20" t="s">
        <v>68</v>
      </c>
      <c r="D30" s="52" t="s">
        <v>69</v>
      </c>
      <c r="E30" s="46" t="s">
        <v>28</v>
      </c>
      <c r="F30" s="46" t="s">
        <v>249</v>
      </c>
      <c r="G30" s="46">
        <v>40</v>
      </c>
      <c r="H30" s="61">
        <v>56</v>
      </c>
      <c r="I30" s="53">
        <v>44105</v>
      </c>
      <c r="J30" s="46">
        <v>148.19999999999999</v>
      </c>
      <c r="K30" s="90">
        <v>140.43</v>
      </c>
      <c r="L30" s="46" t="s">
        <v>386</v>
      </c>
      <c r="M30" s="46" t="s">
        <v>24</v>
      </c>
      <c r="N30" s="60"/>
      <c r="V30" s="48"/>
      <c r="W30" s="48"/>
      <c r="X30" s="48"/>
      <c r="Y30" s="48"/>
      <c r="Z30" s="48"/>
      <c r="AA30" s="48"/>
      <c r="AB30" s="49"/>
    </row>
    <row r="31" spans="1:28" s="47" customFormat="1" ht="15.95">
      <c r="A31" s="46" t="s">
        <v>387</v>
      </c>
      <c r="B31" s="46" t="s">
        <v>388</v>
      </c>
      <c r="C31" s="20" t="s">
        <v>68</v>
      </c>
      <c r="D31" s="52" t="s">
        <v>69</v>
      </c>
      <c r="E31" s="46" t="s">
        <v>28</v>
      </c>
      <c r="F31" s="46" t="s">
        <v>249</v>
      </c>
      <c r="G31" s="46">
        <v>40</v>
      </c>
      <c r="H31" s="61">
        <v>56</v>
      </c>
      <c r="I31" s="53">
        <v>44105</v>
      </c>
      <c r="J31" s="46">
        <v>148.19999999999999</v>
      </c>
      <c r="K31" s="90">
        <v>151.43</v>
      </c>
      <c r="L31" s="46" t="s">
        <v>386</v>
      </c>
      <c r="M31" s="46" t="s">
        <v>24</v>
      </c>
      <c r="N31" s="60"/>
      <c r="V31" s="48"/>
      <c r="W31" s="48"/>
      <c r="X31" s="48"/>
      <c r="Y31" s="48"/>
      <c r="Z31" s="48"/>
      <c r="AA31" s="48"/>
      <c r="AB31" s="49"/>
    </row>
    <row r="32" spans="1:28" s="47" customFormat="1" ht="15.95">
      <c r="A32" s="46" t="s">
        <v>387</v>
      </c>
      <c r="B32" s="46" t="s">
        <v>388</v>
      </c>
      <c r="C32" s="20" t="s">
        <v>68</v>
      </c>
      <c r="D32" s="52" t="s">
        <v>178</v>
      </c>
      <c r="E32" s="46" t="s">
        <v>28</v>
      </c>
      <c r="F32" s="46" t="s">
        <v>249</v>
      </c>
      <c r="G32" s="46">
        <v>40</v>
      </c>
      <c r="H32" s="61">
        <v>101</v>
      </c>
      <c r="I32" s="53">
        <v>42736</v>
      </c>
      <c r="J32" s="46">
        <v>148.19999999999999</v>
      </c>
      <c r="K32" s="90">
        <v>163.79</v>
      </c>
      <c r="L32" s="46" t="s">
        <v>386</v>
      </c>
      <c r="M32" s="46" t="s">
        <v>24</v>
      </c>
      <c r="N32" s="60"/>
      <c r="V32" s="48"/>
      <c r="W32" s="48"/>
      <c r="X32" s="48"/>
      <c r="Y32" s="48"/>
      <c r="Z32" s="48"/>
      <c r="AA32" s="48"/>
      <c r="AB32" s="49"/>
    </row>
    <row r="33" spans="1:28" s="47" customFormat="1" ht="15.95">
      <c r="A33" s="46" t="s">
        <v>387</v>
      </c>
      <c r="B33" s="46" t="s">
        <v>388</v>
      </c>
      <c r="C33" s="20" t="s">
        <v>68</v>
      </c>
      <c r="D33" s="52" t="s">
        <v>69</v>
      </c>
      <c r="E33" s="46" t="s">
        <v>28</v>
      </c>
      <c r="F33" s="46" t="s">
        <v>249</v>
      </c>
      <c r="G33" s="46">
        <v>40</v>
      </c>
      <c r="H33" s="61">
        <v>56</v>
      </c>
      <c r="I33" s="53">
        <v>44105</v>
      </c>
      <c r="J33" s="46">
        <v>148.19999999999999</v>
      </c>
      <c r="K33" s="90">
        <v>204.47</v>
      </c>
      <c r="L33" s="46" t="s">
        <v>386</v>
      </c>
      <c r="M33" s="46" t="s">
        <v>24</v>
      </c>
      <c r="N33" s="60"/>
      <c r="V33" s="48"/>
      <c r="W33" s="48"/>
      <c r="X33" s="48"/>
      <c r="Y33" s="48"/>
      <c r="Z33" s="48"/>
      <c r="AA33" s="48"/>
      <c r="AB33" s="49"/>
    </row>
    <row r="34" spans="1:28" s="47" customFormat="1" ht="15.95">
      <c r="A34" s="46" t="s">
        <v>387</v>
      </c>
      <c r="B34" s="46" t="s">
        <v>388</v>
      </c>
      <c r="C34" s="20" t="s">
        <v>68</v>
      </c>
      <c r="D34" s="52" t="s">
        <v>178</v>
      </c>
      <c r="E34" s="46" t="s">
        <v>28</v>
      </c>
      <c r="F34" s="46" t="s">
        <v>249</v>
      </c>
      <c r="G34" s="46">
        <v>40</v>
      </c>
      <c r="H34" s="61">
        <v>101</v>
      </c>
      <c r="I34" s="53">
        <v>42736</v>
      </c>
      <c r="J34" s="46">
        <v>148.19999999999999</v>
      </c>
      <c r="K34" s="90">
        <v>244.35</v>
      </c>
      <c r="L34" s="46" t="s">
        <v>386</v>
      </c>
      <c r="M34" s="46" t="s">
        <v>24</v>
      </c>
      <c r="N34" s="60"/>
      <c r="V34" s="48"/>
      <c r="W34" s="48"/>
      <c r="X34" s="48"/>
      <c r="Y34" s="48"/>
      <c r="Z34" s="48"/>
      <c r="AA34" s="48"/>
      <c r="AB34" s="49"/>
    </row>
    <row r="35" spans="1:28" s="47" customFormat="1" ht="15.95">
      <c r="A35" s="46" t="s">
        <v>387</v>
      </c>
      <c r="B35" s="46" t="s">
        <v>388</v>
      </c>
      <c r="C35" s="20" t="s">
        <v>68</v>
      </c>
      <c r="D35" s="52" t="s">
        <v>69</v>
      </c>
      <c r="E35" s="46" t="s">
        <v>28</v>
      </c>
      <c r="F35" s="46" t="s">
        <v>249</v>
      </c>
      <c r="G35" s="46">
        <v>40</v>
      </c>
      <c r="H35" s="61">
        <v>56</v>
      </c>
      <c r="I35" s="53">
        <v>44105</v>
      </c>
      <c r="J35" s="46">
        <v>148.19999999999999</v>
      </c>
      <c r="K35" s="90">
        <v>250.43</v>
      </c>
      <c r="L35" s="46" t="s">
        <v>386</v>
      </c>
      <c r="M35" s="46" t="s">
        <v>24</v>
      </c>
      <c r="N35" s="60"/>
      <c r="V35" s="48"/>
      <c r="W35" s="48"/>
      <c r="X35" s="48"/>
      <c r="Y35" s="48"/>
      <c r="Z35" s="48"/>
      <c r="AA35" s="48"/>
      <c r="AB35" s="49"/>
    </row>
    <row r="36" spans="1:28" s="47" customFormat="1" ht="15.95">
      <c r="A36" s="46" t="s">
        <v>387</v>
      </c>
      <c r="B36" s="46" t="s">
        <v>388</v>
      </c>
      <c r="C36" s="20" t="s">
        <v>68</v>
      </c>
      <c r="D36" s="52" t="s">
        <v>178</v>
      </c>
      <c r="E36" s="46" t="s">
        <v>30</v>
      </c>
      <c r="F36" s="46" t="s">
        <v>249</v>
      </c>
      <c r="G36" s="46">
        <v>40</v>
      </c>
      <c r="H36" s="61">
        <v>101</v>
      </c>
      <c r="I36" s="53">
        <v>42736</v>
      </c>
      <c r="J36" s="46">
        <v>162.15</v>
      </c>
      <c r="K36" s="90">
        <v>107.58</v>
      </c>
      <c r="L36" s="46" t="s">
        <v>386</v>
      </c>
      <c r="M36" s="46" t="s">
        <v>24</v>
      </c>
      <c r="N36" s="60"/>
      <c r="V36" s="48"/>
      <c r="W36" s="48"/>
      <c r="X36" s="48"/>
      <c r="Y36" s="48"/>
      <c r="Z36" s="48"/>
      <c r="AA36" s="48"/>
      <c r="AB36" s="49"/>
    </row>
    <row r="37" spans="1:28" s="47" customFormat="1" ht="15.95">
      <c r="A37" s="46" t="s">
        <v>387</v>
      </c>
      <c r="B37" s="46" t="s">
        <v>388</v>
      </c>
      <c r="C37" s="20" t="s">
        <v>68</v>
      </c>
      <c r="D37" s="52" t="s">
        <v>352</v>
      </c>
      <c r="E37" s="46" t="s">
        <v>21</v>
      </c>
      <c r="F37" s="46" t="s">
        <v>249</v>
      </c>
      <c r="G37" s="46">
        <v>40</v>
      </c>
      <c r="H37" s="61">
        <v>216</v>
      </c>
      <c r="I37" s="53">
        <v>39222</v>
      </c>
      <c r="J37" s="46">
        <v>133.75</v>
      </c>
      <c r="K37" s="90">
        <v>412.98</v>
      </c>
      <c r="L37" s="46" t="s">
        <v>386</v>
      </c>
      <c r="M37" s="46" t="s">
        <v>24</v>
      </c>
      <c r="N37" s="60"/>
      <c r="V37" s="48"/>
      <c r="W37" s="48"/>
      <c r="X37" s="48"/>
      <c r="Y37" s="48"/>
      <c r="Z37" s="48"/>
      <c r="AA37" s="48"/>
      <c r="AB37" s="49"/>
    </row>
    <row r="38" spans="1:28" s="47" customFormat="1" ht="15.95">
      <c r="A38" s="46" t="s">
        <v>387</v>
      </c>
      <c r="B38" s="46" t="s">
        <v>388</v>
      </c>
      <c r="C38" s="20" t="s">
        <v>68</v>
      </c>
      <c r="D38" s="52" t="s">
        <v>86</v>
      </c>
      <c r="E38" s="46" t="s">
        <v>30</v>
      </c>
      <c r="F38" s="46" t="s">
        <v>249</v>
      </c>
      <c r="G38" s="46">
        <v>40</v>
      </c>
      <c r="H38" s="61">
        <v>216</v>
      </c>
      <c r="I38" s="53">
        <v>39230</v>
      </c>
      <c r="J38" s="46">
        <v>162.15</v>
      </c>
      <c r="K38" s="90">
        <v>315.43</v>
      </c>
      <c r="L38" s="46" t="s">
        <v>386</v>
      </c>
      <c r="M38" s="46" t="s">
        <v>24</v>
      </c>
      <c r="N38" s="60"/>
      <c r="V38" s="48"/>
      <c r="W38" s="48"/>
      <c r="X38" s="48"/>
      <c r="Y38" s="48"/>
      <c r="Z38" s="48"/>
      <c r="AA38" s="48"/>
      <c r="AB38" s="49"/>
    </row>
    <row r="39" spans="1:28" s="47" customFormat="1" ht="15.95">
      <c r="A39" s="46" t="s">
        <v>387</v>
      </c>
      <c r="B39" s="46" t="s">
        <v>388</v>
      </c>
      <c r="C39" s="20" t="s">
        <v>68</v>
      </c>
      <c r="D39" s="52" t="s">
        <v>69</v>
      </c>
      <c r="E39" s="46" t="s">
        <v>38</v>
      </c>
      <c r="F39" s="46" t="s">
        <v>249</v>
      </c>
      <c r="G39" s="46">
        <v>40</v>
      </c>
      <c r="H39" s="61">
        <v>56</v>
      </c>
      <c r="I39" s="53">
        <v>44105</v>
      </c>
      <c r="J39" s="46">
        <v>162.15</v>
      </c>
      <c r="K39" s="90">
        <v>127.14</v>
      </c>
      <c r="L39" s="46" t="s">
        <v>386</v>
      </c>
      <c r="M39" s="46" t="s">
        <v>24</v>
      </c>
      <c r="N39" s="60"/>
      <c r="V39" s="48"/>
      <c r="W39" s="48"/>
      <c r="X39" s="48"/>
      <c r="Y39" s="48"/>
      <c r="Z39" s="48"/>
      <c r="AA39" s="48"/>
      <c r="AB39" s="49"/>
    </row>
    <row r="40" spans="1:28" s="47" customFormat="1" ht="15.95">
      <c r="A40" s="46" t="s">
        <v>387</v>
      </c>
      <c r="B40" s="46" t="s">
        <v>388</v>
      </c>
      <c r="C40" s="20" t="s">
        <v>389</v>
      </c>
      <c r="D40" s="52" t="s">
        <v>390</v>
      </c>
      <c r="E40" s="46" t="s">
        <v>391</v>
      </c>
      <c r="F40" s="46" t="s">
        <v>249</v>
      </c>
      <c r="G40" s="46">
        <v>40</v>
      </c>
      <c r="H40" s="61">
        <v>35</v>
      </c>
      <c r="I40" s="53">
        <v>44725</v>
      </c>
      <c r="J40" s="46">
        <v>0</v>
      </c>
      <c r="K40" s="90">
        <v>514.21</v>
      </c>
      <c r="L40" s="46" t="s">
        <v>386</v>
      </c>
      <c r="M40" s="46" t="s">
        <v>24</v>
      </c>
      <c r="N40" s="60"/>
      <c r="V40" s="48"/>
      <c r="W40" s="48"/>
      <c r="X40" s="48"/>
      <c r="Y40" s="48"/>
      <c r="Z40" s="48"/>
      <c r="AA40" s="48"/>
      <c r="AB40" s="49"/>
    </row>
    <row r="41" spans="1:28" s="47" customFormat="1" ht="15.95">
      <c r="A41" s="46" t="s">
        <v>387</v>
      </c>
      <c r="B41" s="46" t="s">
        <v>388</v>
      </c>
      <c r="C41" s="20" t="s">
        <v>389</v>
      </c>
      <c r="D41" s="52" t="s">
        <v>355</v>
      </c>
      <c r="E41" s="46" t="s">
        <v>356</v>
      </c>
      <c r="F41" s="46" t="s">
        <v>249</v>
      </c>
      <c r="G41" s="46">
        <v>40</v>
      </c>
      <c r="H41" s="61">
        <v>5</v>
      </c>
      <c r="I41" s="53">
        <v>45659</v>
      </c>
      <c r="J41" s="46">
        <v>0</v>
      </c>
      <c r="K41" s="90">
        <v>787.7</v>
      </c>
      <c r="L41" s="46" t="s">
        <v>392</v>
      </c>
      <c r="M41" s="46" t="s">
        <v>24</v>
      </c>
      <c r="N41" s="60"/>
      <c r="V41" s="48"/>
      <c r="W41" s="48"/>
      <c r="X41" s="48"/>
      <c r="Y41" s="48"/>
      <c r="Z41" s="48"/>
      <c r="AA41" s="48"/>
      <c r="AB41" s="49"/>
    </row>
    <row r="42" spans="1:28" s="41" customFormat="1">
      <c r="C42" s="63"/>
      <c r="D42" s="42"/>
      <c r="I42" s="42"/>
      <c r="J42" s="42"/>
      <c r="K42" s="99"/>
      <c r="L42" s="42"/>
      <c r="N42" s="58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1:28" s="41" customFormat="1">
      <c r="C43" s="63"/>
      <c r="D43" s="42"/>
      <c r="I43" s="42"/>
      <c r="J43" s="42"/>
      <c r="K43" s="99"/>
      <c r="L43" s="42"/>
      <c r="N43" s="58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1:28" s="41" customFormat="1">
      <c r="C44" s="63"/>
      <c r="D44" s="42"/>
      <c r="I44" s="42"/>
      <c r="J44" s="42"/>
      <c r="K44" s="99"/>
      <c r="L44" s="42"/>
      <c r="N44" s="58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1:28" s="41" customFormat="1">
      <c r="C45" s="63"/>
      <c r="D45" s="42"/>
      <c r="I45" s="42"/>
      <c r="J45" s="42"/>
      <c r="K45" s="99"/>
      <c r="L45" s="42"/>
      <c r="N45" s="58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1:28" s="41" customFormat="1">
      <c r="C46" s="63"/>
      <c r="D46" s="42"/>
      <c r="I46" s="42"/>
      <c r="J46" s="42"/>
      <c r="K46" s="99"/>
      <c r="L46" s="42"/>
      <c r="N46" s="58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1:28" s="41" customFormat="1">
      <c r="C47" s="63"/>
      <c r="D47" s="42"/>
      <c r="I47" s="42"/>
      <c r="J47" s="42"/>
      <c r="K47" s="99"/>
      <c r="L47" s="42"/>
      <c r="N47" s="58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1:28" s="41" customFormat="1">
      <c r="C48" s="63"/>
      <c r="D48" s="42"/>
      <c r="I48" s="42"/>
      <c r="J48" s="42"/>
      <c r="K48" s="99"/>
      <c r="L48" s="42"/>
      <c r="N48" s="58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3:27" s="41" customFormat="1">
      <c r="C49" s="63"/>
      <c r="D49" s="42"/>
      <c r="I49" s="42"/>
      <c r="J49" s="42"/>
      <c r="K49" s="99"/>
      <c r="L49" s="42"/>
      <c r="N49" s="58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3:27" s="41" customFormat="1">
      <c r="C50" s="63"/>
      <c r="D50" s="42"/>
      <c r="I50" s="42"/>
      <c r="J50" s="42"/>
      <c r="K50" s="99"/>
      <c r="L50" s="42"/>
      <c r="N50" s="58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3:27" s="41" customFormat="1">
      <c r="C51" s="63"/>
      <c r="D51" s="42"/>
      <c r="I51" s="42"/>
      <c r="J51" s="42"/>
      <c r="K51" s="99"/>
      <c r="L51" s="42"/>
      <c r="N51" s="58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3:27" s="41" customFormat="1">
      <c r="C52" s="63"/>
      <c r="D52" s="42"/>
      <c r="I52" s="42"/>
      <c r="J52" s="42"/>
      <c r="K52" s="99"/>
      <c r="L52" s="42"/>
      <c r="N52" s="58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3:27" s="41" customFormat="1">
      <c r="C53" s="63"/>
      <c r="D53" s="42"/>
      <c r="I53" s="42"/>
      <c r="J53" s="42"/>
      <c r="K53" s="99"/>
      <c r="L53" s="42"/>
      <c r="N53" s="58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3:27" s="41" customFormat="1">
      <c r="C54" s="63"/>
      <c r="D54" s="42"/>
      <c r="I54" s="42"/>
      <c r="J54" s="42"/>
      <c r="K54" s="99"/>
      <c r="L54" s="42"/>
      <c r="N54" s="58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3:27" s="41" customFormat="1">
      <c r="C55" s="63"/>
      <c r="D55" s="42"/>
      <c r="I55" s="42"/>
      <c r="J55" s="42"/>
      <c r="K55" s="99"/>
      <c r="L55" s="42"/>
      <c r="N55" s="58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3:27" s="41" customFormat="1">
      <c r="C56" s="63"/>
      <c r="D56" s="42"/>
      <c r="I56" s="42"/>
      <c r="J56" s="42"/>
      <c r="K56" s="99"/>
      <c r="L56" s="42"/>
      <c r="N56" s="58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3:27" s="41" customFormat="1">
      <c r="C57" s="63"/>
      <c r="D57" s="42"/>
      <c r="I57" s="42"/>
      <c r="J57" s="42"/>
      <c r="K57" s="99"/>
      <c r="L57" s="42"/>
      <c r="N57" s="58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3:27" s="41" customFormat="1">
      <c r="C58" s="63"/>
      <c r="D58" s="42"/>
      <c r="I58" s="42"/>
      <c r="J58" s="42"/>
      <c r="K58" s="99"/>
      <c r="L58" s="42"/>
      <c r="N58" s="58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3:27" s="41" customFormat="1">
      <c r="C59" s="63"/>
      <c r="D59" s="42"/>
      <c r="I59" s="42"/>
      <c r="J59" s="42"/>
      <c r="K59" s="99"/>
      <c r="L59" s="42"/>
      <c r="N59" s="58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spans="3:27" s="41" customFormat="1">
      <c r="C60" s="63"/>
      <c r="D60" s="42"/>
      <c r="I60" s="42"/>
      <c r="J60" s="42"/>
      <c r="K60" s="99"/>
      <c r="L60" s="42"/>
      <c r="N60" s="58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3:27" s="41" customFormat="1">
      <c r="C61" s="63"/>
      <c r="D61" s="42"/>
      <c r="I61" s="42"/>
      <c r="J61" s="42"/>
      <c r="K61" s="99"/>
      <c r="L61" s="42"/>
      <c r="N61" s="58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3:27" s="41" customFormat="1">
      <c r="C62" s="63"/>
      <c r="D62" s="42"/>
      <c r="I62" s="42"/>
      <c r="J62" s="42"/>
      <c r="K62" s="99"/>
      <c r="L62" s="42"/>
      <c r="N62" s="58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3:27" s="41" customFormat="1">
      <c r="C63" s="63"/>
      <c r="D63" s="42"/>
      <c r="I63" s="42"/>
      <c r="J63" s="42"/>
      <c r="K63" s="99"/>
      <c r="L63" s="42"/>
      <c r="N63" s="58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3:27" s="41" customFormat="1">
      <c r="C64" s="63"/>
      <c r="D64" s="42"/>
      <c r="I64" s="42"/>
      <c r="J64" s="42"/>
      <c r="K64" s="99"/>
      <c r="L64" s="42"/>
      <c r="N64" s="58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3:27" s="41" customFormat="1">
      <c r="C65" s="63"/>
      <c r="D65" s="42"/>
      <c r="I65" s="42"/>
      <c r="J65" s="42"/>
      <c r="K65" s="99"/>
      <c r="L65" s="42"/>
      <c r="N65" s="58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3:27" s="41" customFormat="1">
      <c r="C66" s="63"/>
      <c r="D66" s="42"/>
      <c r="I66" s="42"/>
      <c r="J66" s="42"/>
      <c r="K66" s="99"/>
      <c r="L66" s="42"/>
      <c r="N66" s="58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3:27" s="41" customFormat="1">
      <c r="C67" s="63"/>
      <c r="D67" s="42"/>
      <c r="I67" s="42"/>
      <c r="J67" s="42"/>
      <c r="K67" s="99"/>
      <c r="L67" s="42"/>
      <c r="N67" s="58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3:27" s="41" customFormat="1">
      <c r="C68" s="63"/>
      <c r="D68" s="42"/>
      <c r="I68" s="42"/>
      <c r="J68" s="42"/>
      <c r="K68" s="99"/>
      <c r="L68" s="42"/>
      <c r="N68" s="58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spans="3:27" s="41" customFormat="1">
      <c r="C69" s="63"/>
      <c r="D69" s="42"/>
      <c r="I69" s="42"/>
      <c r="J69" s="42"/>
      <c r="K69" s="99"/>
      <c r="L69" s="42"/>
      <c r="N69" s="58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spans="3:27" s="41" customFormat="1">
      <c r="C70" s="63"/>
      <c r="D70" s="42"/>
      <c r="I70" s="42"/>
      <c r="J70" s="42"/>
      <c r="K70" s="99"/>
      <c r="L70" s="42"/>
      <c r="N70" s="58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spans="3:27" s="41" customFormat="1">
      <c r="C71" s="63"/>
      <c r="D71" s="42"/>
      <c r="I71" s="42"/>
      <c r="J71" s="42"/>
      <c r="K71" s="99"/>
      <c r="L71" s="42"/>
      <c r="N71" s="58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spans="3:27" s="41" customFormat="1">
      <c r="C72" s="63"/>
      <c r="D72" s="42"/>
      <c r="I72" s="42"/>
      <c r="J72" s="42"/>
      <c r="K72" s="99"/>
      <c r="L72" s="42"/>
      <c r="N72" s="58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spans="3:27" s="41" customFormat="1">
      <c r="C73" s="63"/>
      <c r="D73" s="42"/>
      <c r="I73" s="42"/>
      <c r="J73" s="42"/>
      <c r="K73" s="99"/>
      <c r="L73" s="42"/>
      <c r="N73" s="58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spans="3:27" s="41" customFormat="1">
      <c r="C74" s="63"/>
      <c r="D74" s="42"/>
      <c r="I74" s="42"/>
      <c r="J74" s="42"/>
      <c r="K74" s="99"/>
      <c r="L74" s="42"/>
      <c r="N74" s="58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spans="3:27" s="41" customFormat="1">
      <c r="C75" s="63"/>
      <c r="D75" s="42"/>
      <c r="I75" s="42"/>
      <c r="J75" s="42"/>
      <c r="K75" s="99"/>
      <c r="L75" s="42"/>
      <c r="N75" s="58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spans="3:27" s="41" customFormat="1">
      <c r="C76" s="63"/>
      <c r="D76" s="42"/>
      <c r="I76" s="42"/>
      <c r="J76" s="42"/>
      <c r="K76" s="99"/>
      <c r="L76" s="42"/>
      <c r="N76" s="58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spans="3:27" s="41" customFormat="1">
      <c r="C77" s="63"/>
      <c r="D77" s="42"/>
      <c r="I77" s="42"/>
      <c r="J77" s="42"/>
      <c r="K77" s="99"/>
      <c r="L77" s="42"/>
      <c r="N77" s="58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spans="3:27" s="41" customFormat="1">
      <c r="C78" s="63"/>
      <c r="D78" s="42"/>
      <c r="I78" s="42"/>
      <c r="J78" s="42"/>
      <c r="K78" s="99"/>
      <c r="L78" s="42"/>
      <c r="N78" s="58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spans="3:27" s="41" customFormat="1">
      <c r="C79" s="63"/>
      <c r="D79" s="42"/>
      <c r="I79" s="42"/>
      <c r="J79" s="42"/>
      <c r="K79" s="99"/>
      <c r="L79" s="42"/>
      <c r="N79" s="58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spans="3:27" s="41" customFormat="1">
      <c r="C80" s="63"/>
      <c r="D80" s="42"/>
      <c r="I80" s="42"/>
      <c r="J80" s="42"/>
      <c r="K80" s="99"/>
      <c r="L80" s="42"/>
      <c r="N80" s="58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spans="3:27" s="41" customFormat="1">
      <c r="C81" s="63"/>
      <c r="D81" s="42"/>
      <c r="I81" s="42"/>
      <c r="J81" s="42"/>
      <c r="K81" s="99"/>
      <c r="L81" s="42"/>
      <c r="N81" s="58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spans="3:27" s="41" customFormat="1">
      <c r="C82" s="63"/>
      <c r="D82" s="42"/>
      <c r="I82" s="42"/>
      <c r="J82" s="42"/>
      <c r="K82" s="99"/>
      <c r="L82" s="42"/>
      <c r="N82" s="58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spans="3:27" s="41" customFormat="1">
      <c r="C83" s="63"/>
      <c r="D83" s="42"/>
      <c r="I83" s="42"/>
      <c r="J83" s="42"/>
      <c r="K83" s="99"/>
      <c r="L83" s="42"/>
      <c r="N83" s="58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spans="3:27" s="41" customFormat="1">
      <c r="C84" s="63"/>
      <c r="D84" s="42"/>
      <c r="I84" s="42"/>
      <c r="J84" s="42"/>
      <c r="K84" s="99"/>
      <c r="L84" s="42"/>
      <c r="N84" s="58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spans="3:27" s="41" customFormat="1">
      <c r="C85" s="63"/>
      <c r="D85" s="42"/>
      <c r="I85" s="42"/>
      <c r="J85" s="42"/>
      <c r="K85" s="99"/>
      <c r="L85" s="42"/>
      <c r="N85" s="58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spans="3:27" s="41" customFormat="1">
      <c r="C86" s="63"/>
      <c r="D86" s="42"/>
      <c r="I86" s="42"/>
      <c r="J86" s="42"/>
      <c r="K86" s="99"/>
      <c r="L86" s="42"/>
      <c r="N86" s="58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spans="3:27" s="41" customFormat="1">
      <c r="C87" s="63"/>
      <c r="D87" s="42"/>
      <c r="I87" s="42"/>
      <c r="J87" s="42"/>
      <c r="K87" s="99"/>
      <c r="L87" s="42"/>
      <c r="N87" s="58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spans="3:27" s="41" customFormat="1">
      <c r="C88" s="63"/>
      <c r="D88" s="42"/>
      <c r="I88" s="42"/>
      <c r="J88" s="42"/>
      <c r="K88" s="99"/>
      <c r="L88" s="42"/>
      <c r="N88" s="58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spans="3:27" s="41" customFormat="1">
      <c r="C89" s="63"/>
      <c r="D89" s="42"/>
      <c r="I89" s="42"/>
      <c r="J89" s="42"/>
      <c r="K89" s="99"/>
      <c r="L89" s="42"/>
      <c r="N89" s="58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spans="3:27" s="41" customFormat="1">
      <c r="C90" s="63"/>
      <c r="D90" s="42"/>
      <c r="I90" s="42"/>
      <c r="J90" s="42"/>
      <c r="K90" s="99"/>
      <c r="L90" s="42"/>
      <c r="N90" s="58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spans="3:27" s="41" customFormat="1">
      <c r="C91" s="63"/>
      <c r="D91" s="42"/>
      <c r="I91" s="42"/>
      <c r="J91" s="42"/>
      <c r="K91" s="99"/>
      <c r="L91" s="42"/>
      <c r="N91" s="58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3:27" s="41" customFormat="1">
      <c r="C92" s="63"/>
      <c r="D92" s="42"/>
      <c r="I92" s="42"/>
      <c r="J92" s="42"/>
      <c r="K92" s="99"/>
      <c r="L92" s="42"/>
      <c r="N92" s="58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spans="3:27" s="41" customFormat="1">
      <c r="C93" s="63"/>
      <c r="D93" s="42"/>
      <c r="I93" s="42"/>
      <c r="J93" s="42"/>
      <c r="K93" s="99"/>
      <c r="L93" s="42"/>
      <c r="N93" s="58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spans="3:27" s="41" customFormat="1">
      <c r="C94" s="63"/>
      <c r="D94" s="42"/>
      <c r="I94" s="42"/>
      <c r="J94" s="42"/>
      <c r="K94" s="99"/>
      <c r="L94" s="42"/>
      <c r="N94" s="58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spans="3:27" s="41" customFormat="1">
      <c r="C95" s="63"/>
      <c r="D95" s="42"/>
      <c r="I95" s="42"/>
      <c r="J95" s="42"/>
      <c r="K95" s="99"/>
      <c r="L95" s="42"/>
      <c r="N95" s="58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spans="3:27" s="41" customFormat="1">
      <c r="C96" s="63"/>
      <c r="D96" s="42"/>
      <c r="I96" s="42"/>
      <c r="J96" s="42"/>
      <c r="K96" s="99"/>
      <c r="L96" s="42"/>
      <c r="N96" s="58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spans="3:27" s="41" customFormat="1">
      <c r="C97" s="63"/>
      <c r="D97" s="42"/>
      <c r="I97" s="42"/>
      <c r="J97" s="42"/>
      <c r="K97" s="99"/>
      <c r="L97" s="42"/>
      <c r="N97" s="58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spans="3:27" s="41" customFormat="1">
      <c r="C98" s="63"/>
      <c r="D98" s="42"/>
      <c r="I98" s="42"/>
      <c r="J98" s="42"/>
      <c r="K98" s="99"/>
      <c r="L98" s="42"/>
      <c r="N98" s="58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spans="3:27" s="41" customFormat="1">
      <c r="C99" s="63"/>
      <c r="D99" s="42"/>
      <c r="I99" s="42"/>
      <c r="J99" s="42"/>
      <c r="K99" s="99"/>
      <c r="L99" s="42"/>
      <c r="N99" s="58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spans="3:27" s="41" customFormat="1">
      <c r="C100" s="63"/>
      <c r="D100" s="42"/>
      <c r="I100" s="42"/>
      <c r="J100" s="42"/>
      <c r="K100" s="99"/>
      <c r="L100" s="42"/>
      <c r="N100" s="58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3:27" s="41" customFormat="1">
      <c r="C101" s="63"/>
      <c r="D101" s="42"/>
      <c r="I101" s="42"/>
      <c r="J101" s="42"/>
      <c r="K101" s="99"/>
      <c r="L101" s="42"/>
      <c r="N101" s="58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3:27" s="41" customFormat="1">
      <c r="C102" s="63"/>
      <c r="D102" s="42"/>
      <c r="I102" s="42"/>
      <c r="J102" s="42"/>
      <c r="K102" s="99"/>
      <c r="L102" s="42"/>
      <c r="N102" s="58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spans="3:27" s="41" customFormat="1">
      <c r="C103" s="63"/>
      <c r="D103" s="42"/>
      <c r="I103" s="42"/>
      <c r="J103" s="42"/>
      <c r="K103" s="99"/>
      <c r="L103" s="42"/>
      <c r="N103" s="58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spans="3:27" s="41" customFormat="1">
      <c r="C104" s="63"/>
      <c r="D104" s="42"/>
      <c r="I104" s="42"/>
      <c r="J104" s="42"/>
      <c r="K104" s="99"/>
      <c r="L104" s="42"/>
      <c r="N104" s="58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spans="3:27" s="41" customFormat="1">
      <c r="C105" s="63"/>
      <c r="D105" s="42"/>
      <c r="I105" s="42"/>
      <c r="J105" s="42"/>
      <c r="K105" s="99"/>
      <c r="L105" s="42"/>
      <c r="N105" s="58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spans="3:27" s="41" customFormat="1">
      <c r="C106" s="63"/>
      <c r="D106" s="42"/>
      <c r="I106" s="42"/>
      <c r="J106" s="42"/>
      <c r="K106" s="99"/>
      <c r="L106" s="42"/>
      <c r="N106" s="58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spans="3:27" s="41" customFormat="1">
      <c r="C107" s="63"/>
      <c r="D107" s="42"/>
      <c r="I107" s="42"/>
      <c r="J107" s="42"/>
      <c r="K107" s="99"/>
      <c r="L107" s="42"/>
      <c r="N107" s="58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spans="3:27" s="41" customFormat="1">
      <c r="C108" s="63"/>
      <c r="D108" s="42"/>
      <c r="I108" s="42"/>
      <c r="J108" s="42"/>
      <c r="K108" s="99"/>
      <c r="L108" s="42"/>
      <c r="N108" s="58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spans="3:27" s="41" customFormat="1">
      <c r="C109" s="63"/>
      <c r="D109" s="42"/>
      <c r="I109" s="42"/>
      <c r="J109" s="42"/>
      <c r="K109" s="99"/>
      <c r="L109" s="42"/>
      <c r="N109" s="58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spans="3:27" s="41" customFormat="1">
      <c r="C110" s="63"/>
      <c r="D110" s="42"/>
      <c r="I110" s="42"/>
      <c r="J110" s="42"/>
      <c r="K110" s="99"/>
      <c r="L110" s="42"/>
      <c r="N110" s="58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spans="3:27" s="41" customFormat="1">
      <c r="C111" s="63"/>
      <c r="D111" s="42"/>
      <c r="I111" s="42"/>
      <c r="J111" s="42"/>
      <c r="K111" s="99"/>
      <c r="L111" s="42"/>
      <c r="N111" s="58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spans="3:27" s="41" customFormat="1">
      <c r="C112" s="63"/>
      <c r="D112" s="42"/>
      <c r="I112" s="42"/>
      <c r="J112" s="42"/>
      <c r="K112" s="99"/>
      <c r="L112" s="42"/>
      <c r="N112" s="58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spans="3:27" s="41" customFormat="1">
      <c r="C113" s="63"/>
      <c r="D113" s="42"/>
      <c r="I113" s="42"/>
      <c r="J113" s="42"/>
      <c r="K113" s="99"/>
      <c r="L113" s="42"/>
      <c r="N113" s="58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spans="3:27" s="41" customFormat="1">
      <c r="C114" s="63"/>
      <c r="D114" s="42"/>
      <c r="I114" s="42"/>
      <c r="J114" s="42"/>
      <c r="K114" s="99"/>
      <c r="L114" s="42"/>
      <c r="N114" s="58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spans="3:27" s="41" customFormat="1">
      <c r="C115" s="63"/>
      <c r="D115" s="42"/>
      <c r="I115" s="42"/>
      <c r="J115" s="42"/>
      <c r="K115" s="99"/>
      <c r="L115" s="42"/>
      <c r="N115" s="58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spans="3:27" s="41" customFormat="1">
      <c r="C116" s="63"/>
      <c r="D116" s="42"/>
      <c r="I116" s="42"/>
      <c r="J116" s="42"/>
      <c r="K116" s="99"/>
      <c r="L116" s="42"/>
      <c r="N116" s="58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spans="3:27" s="41" customFormat="1">
      <c r="C117" s="63"/>
      <c r="D117" s="42"/>
      <c r="I117" s="42"/>
      <c r="J117" s="42"/>
      <c r="K117" s="99"/>
      <c r="L117" s="42"/>
      <c r="N117" s="58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spans="3:27" s="41" customFormat="1">
      <c r="C118" s="63"/>
      <c r="D118" s="42"/>
      <c r="I118" s="42"/>
      <c r="J118" s="42"/>
      <c r="K118" s="99"/>
      <c r="L118" s="42"/>
      <c r="N118" s="58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spans="3:27" s="41" customFormat="1">
      <c r="C119" s="63"/>
      <c r="D119" s="42"/>
      <c r="I119" s="42"/>
      <c r="J119" s="42"/>
      <c r="K119" s="99"/>
      <c r="L119" s="42"/>
      <c r="N119" s="58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spans="3:27" s="41" customFormat="1">
      <c r="C120" s="63"/>
      <c r="D120" s="42"/>
      <c r="I120" s="42"/>
      <c r="J120" s="42"/>
      <c r="K120" s="99"/>
      <c r="L120" s="42"/>
      <c r="N120" s="58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spans="3:27" s="41" customFormat="1">
      <c r="C121" s="63"/>
      <c r="D121" s="42"/>
      <c r="I121" s="42"/>
      <c r="J121" s="42"/>
      <c r="K121" s="99"/>
      <c r="L121" s="42"/>
      <c r="N121" s="58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spans="3:27" s="41" customFormat="1">
      <c r="C122" s="63"/>
      <c r="D122" s="42"/>
      <c r="I122" s="42"/>
      <c r="J122" s="42"/>
      <c r="K122" s="99"/>
      <c r="L122" s="42"/>
      <c r="N122" s="58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spans="3:27" s="41" customFormat="1">
      <c r="C123" s="63"/>
      <c r="D123" s="42"/>
      <c r="I123" s="42"/>
      <c r="J123" s="42"/>
      <c r="K123" s="99"/>
      <c r="L123" s="42"/>
      <c r="N123" s="58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spans="3:27" s="41" customFormat="1">
      <c r="C124" s="63"/>
      <c r="D124" s="42"/>
      <c r="I124" s="42"/>
      <c r="J124" s="42"/>
      <c r="K124" s="99"/>
      <c r="L124" s="42"/>
      <c r="N124" s="58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spans="3:27" s="41" customFormat="1">
      <c r="C125" s="63"/>
      <c r="D125" s="42"/>
      <c r="I125" s="42"/>
      <c r="J125" s="42"/>
      <c r="K125" s="99"/>
      <c r="L125" s="42"/>
      <c r="N125" s="58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</sheetData>
  <mergeCells count="1">
    <mergeCell ref="A1:B1"/>
  </mergeCells>
  <pageMargins left="0.23622047244094491" right="0.31496062992125984" top="0.74803149606299213" bottom="0.74803149606299213" header="0.51181102362204722" footer="0.51181102362204722"/>
  <pageSetup paperSize="9" scale="32" fitToHeight="1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D3E7-E135-4411-A35D-8481E5FFFF6F}">
  <sheetPr codeName="Sheet12">
    <pageSetUpPr fitToPage="1"/>
  </sheetPr>
  <dimension ref="A1:M248"/>
  <sheetViews>
    <sheetView showGridLines="0" zoomScale="80" zoomScaleNormal="80" workbookViewId="0">
      <selection activeCell="B77" sqref="B77"/>
    </sheetView>
  </sheetViews>
  <sheetFormatPr defaultColWidth="8.7109375" defaultRowHeight="12.95"/>
  <cols>
    <col min="1" max="1" width="29.5703125" style="39" customWidth="1"/>
    <col min="2" max="2" width="23.140625" style="39" customWidth="1"/>
    <col min="3" max="3" width="42.5703125" style="40" bestFit="1" customWidth="1"/>
    <col min="4" max="4" width="56.42578125" style="40" customWidth="1"/>
    <col min="5" max="5" width="13.5703125" style="39" customWidth="1"/>
    <col min="6" max="6" width="23.7109375" style="39" customWidth="1"/>
    <col min="7" max="8" width="15.140625" style="39" customWidth="1"/>
    <col min="9" max="9" width="15.140625" style="40" customWidth="1"/>
    <col min="10" max="10" width="12.85546875" style="40" customWidth="1"/>
    <col min="11" max="12" width="12.85546875" style="39" customWidth="1"/>
    <col min="13" max="13" width="14.85546875" style="39" customWidth="1"/>
    <col min="14" max="16384" width="8.7109375" style="39"/>
  </cols>
  <sheetData>
    <row r="1" spans="1:13" s="56" customFormat="1" ht="59.45" customHeight="1">
      <c r="A1" s="127" t="s">
        <v>393</v>
      </c>
      <c r="B1" s="127"/>
      <c r="C1" s="57"/>
      <c r="D1" s="57"/>
      <c r="E1" s="11"/>
      <c r="F1" s="11"/>
      <c r="G1" s="11"/>
      <c r="H1" s="11"/>
      <c r="I1" s="57"/>
      <c r="J1" s="11"/>
      <c r="K1" s="91"/>
      <c r="L1" s="57"/>
      <c r="M1" s="11"/>
    </row>
    <row r="2" spans="1:13" s="40" customFormat="1" ht="48.6" customHeight="1">
      <c r="A2" s="113" t="s">
        <v>1</v>
      </c>
      <c r="B2" s="113" t="s">
        <v>2</v>
      </c>
      <c r="C2" s="113" t="s">
        <v>3</v>
      </c>
      <c r="D2" s="113" t="s">
        <v>4</v>
      </c>
      <c r="E2" s="113" t="s">
        <v>5</v>
      </c>
      <c r="F2" s="113" t="s">
        <v>95</v>
      </c>
      <c r="G2" s="113" t="s">
        <v>7</v>
      </c>
      <c r="H2" s="113" t="s">
        <v>8</v>
      </c>
      <c r="I2" s="113" t="s">
        <v>46</v>
      </c>
      <c r="J2" s="14" t="s">
        <v>10</v>
      </c>
      <c r="K2" s="113" t="s">
        <v>11</v>
      </c>
      <c r="L2" s="113" t="s">
        <v>13</v>
      </c>
      <c r="M2" s="113" t="s">
        <v>96</v>
      </c>
    </row>
    <row r="3" spans="1:13" s="49" customFormat="1" ht="15.95">
      <c r="A3" s="46" t="s">
        <v>394</v>
      </c>
      <c r="B3" s="46" t="s">
        <v>395</v>
      </c>
      <c r="C3" s="114" t="s">
        <v>396</v>
      </c>
      <c r="D3" s="114" t="s">
        <v>397</v>
      </c>
      <c r="E3" s="114" t="s">
        <v>38</v>
      </c>
      <c r="F3" s="114" t="s">
        <v>53</v>
      </c>
      <c r="G3" s="114">
        <v>40</v>
      </c>
      <c r="H3" s="114">
        <v>219</v>
      </c>
      <c r="I3" s="116">
        <v>39188</v>
      </c>
      <c r="J3" s="114">
        <v>5</v>
      </c>
      <c r="K3" s="114" t="s">
        <v>398</v>
      </c>
      <c r="L3" s="114" t="s">
        <v>398</v>
      </c>
      <c r="M3" s="114" t="s">
        <v>164</v>
      </c>
    </row>
    <row r="4" spans="1:13" s="49" customFormat="1" ht="15.95">
      <c r="A4" s="46" t="s">
        <v>394</v>
      </c>
      <c r="B4" s="46" t="s">
        <v>395</v>
      </c>
      <c r="C4" s="114" t="s">
        <v>396</v>
      </c>
      <c r="D4" s="114" t="s">
        <v>399</v>
      </c>
      <c r="E4" s="114" t="s">
        <v>28</v>
      </c>
      <c r="F4" s="114" t="s">
        <v>53</v>
      </c>
      <c r="G4" s="114">
        <v>40</v>
      </c>
      <c r="H4" s="114">
        <v>274</v>
      </c>
      <c r="I4" s="117">
        <v>37508</v>
      </c>
      <c r="J4" s="114">
        <v>5</v>
      </c>
      <c r="K4" s="114" t="s">
        <v>398</v>
      </c>
      <c r="L4" s="114" t="s">
        <v>398</v>
      </c>
      <c r="M4" s="114" t="s">
        <v>164</v>
      </c>
    </row>
    <row r="5" spans="1:13" s="49" customFormat="1" ht="15.95">
      <c r="A5" s="46" t="s">
        <v>394</v>
      </c>
      <c r="B5" s="46" t="s">
        <v>395</v>
      </c>
      <c r="C5" s="114" t="s">
        <v>396</v>
      </c>
      <c r="D5" s="114" t="s">
        <v>400</v>
      </c>
      <c r="E5" s="114" t="s">
        <v>38</v>
      </c>
      <c r="F5" s="114" t="s">
        <v>53</v>
      </c>
      <c r="G5" s="114">
        <v>40</v>
      </c>
      <c r="H5" s="114">
        <v>94</v>
      </c>
      <c r="I5" s="117">
        <v>43010</v>
      </c>
      <c r="J5" s="114">
        <v>3</v>
      </c>
      <c r="K5" s="114" t="s">
        <v>398</v>
      </c>
      <c r="L5" s="114" t="s">
        <v>398</v>
      </c>
      <c r="M5" s="114" t="s">
        <v>164</v>
      </c>
    </row>
    <row r="6" spans="1:13" s="49" customFormat="1" ht="15.95">
      <c r="A6" s="46" t="s">
        <v>394</v>
      </c>
      <c r="B6" s="46" t="s">
        <v>395</v>
      </c>
      <c r="C6" s="114" t="s">
        <v>396</v>
      </c>
      <c r="D6" s="114" t="s">
        <v>399</v>
      </c>
      <c r="E6" s="114" t="s">
        <v>21</v>
      </c>
      <c r="F6" s="114" t="s">
        <v>53</v>
      </c>
      <c r="G6" s="114">
        <v>40</v>
      </c>
      <c r="H6" s="114">
        <v>43</v>
      </c>
      <c r="I6" s="117">
        <v>44655</v>
      </c>
      <c r="J6" s="114">
        <v>1</v>
      </c>
      <c r="K6" s="114" t="s">
        <v>398</v>
      </c>
      <c r="L6" s="114" t="s">
        <v>398</v>
      </c>
      <c r="M6" s="114" t="s">
        <v>164</v>
      </c>
    </row>
    <row r="7" spans="1:13" s="49" customFormat="1" ht="15.95">
      <c r="A7" s="46" t="s">
        <v>394</v>
      </c>
      <c r="B7" s="46" t="s">
        <v>395</v>
      </c>
      <c r="C7" s="114" t="s">
        <v>396</v>
      </c>
      <c r="D7" s="114" t="s">
        <v>401</v>
      </c>
      <c r="E7" s="114" t="s">
        <v>36</v>
      </c>
      <c r="F7" s="114" t="s">
        <v>53</v>
      </c>
      <c r="G7" s="114">
        <v>40</v>
      </c>
      <c r="H7" s="114">
        <v>46</v>
      </c>
      <c r="I7" s="117">
        <v>44473</v>
      </c>
      <c r="J7" s="114">
        <v>1</v>
      </c>
      <c r="K7" s="114" t="s">
        <v>164</v>
      </c>
      <c r="L7" s="114" t="s">
        <v>398</v>
      </c>
      <c r="M7" s="114" t="s">
        <v>164</v>
      </c>
    </row>
    <row r="8" spans="1:13" s="49" customFormat="1" ht="15.95">
      <c r="A8" s="46" t="s">
        <v>394</v>
      </c>
      <c r="B8" s="46" t="s">
        <v>395</v>
      </c>
      <c r="C8" s="114" t="s">
        <v>396</v>
      </c>
      <c r="D8" s="114" t="s">
        <v>401</v>
      </c>
      <c r="E8" s="114" t="s">
        <v>21</v>
      </c>
      <c r="F8" s="114" t="s">
        <v>53</v>
      </c>
      <c r="G8" s="114">
        <v>40</v>
      </c>
      <c r="H8" s="114">
        <v>225</v>
      </c>
      <c r="I8" s="117">
        <v>39023</v>
      </c>
      <c r="J8" s="114">
        <v>5</v>
      </c>
      <c r="K8" s="114" t="s">
        <v>398</v>
      </c>
      <c r="L8" s="114" t="s">
        <v>398</v>
      </c>
      <c r="M8" s="114" t="s">
        <v>164</v>
      </c>
    </row>
    <row r="9" spans="1:13" s="49" customFormat="1" ht="15.95">
      <c r="A9" s="46" t="s">
        <v>394</v>
      </c>
      <c r="B9" s="46" t="s">
        <v>395</v>
      </c>
      <c r="C9" s="114" t="s">
        <v>396</v>
      </c>
      <c r="D9" s="114" t="s">
        <v>401</v>
      </c>
      <c r="E9" s="114" t="s">
        <v>31</v>
      </c>
      <c r="F9" s="114" t="s">
        <v>53</v>
      </c>
      <c r="G9" s="114">
        <v>40</v>
      </c>
      <c r="H9" s="114">
        <v>98</v>
      </c>
      <c r="I9" s="117">
        <v>42887</v>
      </c>
      <c r="J9" s="114">
        <v>3</v>
      </c>
      <c r="K9" s="114" t="s">
        <v>398</v>
      </c>
      <c r="L9" s="114" t="s">
        <v>398</v>
      </c>
      <c r="M9" s="114" t="s">
        <v>164</v>
      </c>
    </row>
    <row r="10" spans="1:13" s="49" customFormat="1" ht="15.95">
      <c r="A10" s="46" t="s">
        <v>394</v>
      </c>
      <c r="B10" s="46" t="s">
        <v>395</v>
      </c>
      <c r="C10" s="114" t="s">
        <v>396</v>
      </c>
      <c r="D10" s="114" t="s">
        <v>401</v>
      </c>
      <c r="E10" s="114" t="s">
        <v>21</v>
      </c>
      <c r="F10" s="114" t="s">
        <v>53</v>
      </c>
      <c r="G10" s="114">
        <v>40</v>
      </c>
      <c r="H10" s="114">
        <v>98</v>
      </c>
      <c r="I10" s="117">
        <v>42887</v>
      </c>
      <c r="J10" s="114">
        <v>3</v>
      </c>
      <c r="K10" s="114" t="s">
        <v>398</v>
      </c>
      <c r="L10" s="114" t="s">
        <v>398</v>
      </c>
      <c r="M10" s="114" t="s">
        <v>164</v>
      </c>
    </row>
    <row r="11" spans="1:13" s="49" customFormat="1" ht="15.95">
      <c r="A11" s="46" t="s">
        <v>394</v>
      </c>
      <c r="B11" s="46" t="s">
        <v>395</v>
      </c>
      <c r="C11" s="114" t="s">
        <v>396</v>
      </c>
      <c r="D11" s="114" t="s">
        <v>401</v>
      </c>
      <c r="E11" s="114" t="s">
        <v>31</v>
      </c>
      <c r="F11" s="114" t="s">
        <v>53</v>
      </c>
      <c r="G11" s="114">
        <v>40</v>
      </c>
      <c r="H11" s="114">
        <v>3</v>
      </c>
      <c r="I11" s="117">
        <v>45811</v>
      </c>
      <c r="J11" s="114">
        <v>0</v>
      </c>
      <c r="K11" s="114" t="s">
        <v>164</v>
      </c>
      <c r="L11" s="114" t="s">
        <v>398</v>
      </c>
      <c r="M11" s="114" t="s">
        <v>164</v>
      </c>
    </row>
    <row r="12" spans="1:13" s="49" customFormat="1" ht="15.95">
      <c r="A12" s="46" t="s">
        <v>394</v>
      </c>
      <c r="B12" s="46" t="s">
        <v>395</v>
      </c>
      <c r="C12" s="114" t="s">
        <v>396</v>
      </c>
      <c r="D12" s="114" t="s">
        <v>402</v>
      </c>
      <c r="E12" s="114" t="s">
        <v>28</v>
      </c>
      <c r="F12" s="114" t="s">
        <v>53</v>
      </c>
      <c r="G12" s="114">
        <v>40</v>
      </c>
      <c r="H12" s="114">
        <v>186</v>
      </c>
      <c r="I12" s="117">
        <v>40217</v>
      </c>
      <c r="J12" s="114">
        <v>5</v>
      </c>
      <c r="K12" s="114" t="s">
        <v>398</v>
      </c>
      <c r="L12" s="114" t="s">
        <v>398</v>
      </c>
      <c r="M12" s="114" t="s">
        <v>164</v>
      </c>
    </row>
    <row r="13" spans="1:13" s="49" customFormat="1" ht="15.95">
      <c r="A13" s="46" t="s">
        <v>394</v>
      </c>
      <c r="B13" s="46" t="s">
        <v>395</v>
      </c>
      <c r="C13" s="114" t="s">
        <v>396</v>
      </c>
      <c r="D13" s="114" t="s">
        <v>403</v>
      </c>
      <c r="E13" s="114" t="s">
        <v>21</v>
      </c>
      <c r="F13" s="114" t="s">
        <v>53</v>
      </c>
      <c r="G13" s="114">
        <v>40</v>
      </c>
      <c r="H13" s="114">
        <v>102</v>
      </c>
      <c r="I13" s="117">
        <v>42781</v>
      </c>
      <c r="J13" s="114">
        <v>4</v>
      </c>
      <c r="K13" s="114" t="s">
        <v>398</v>
      </c>
      <c r="L13" s="114" t="s">
        <v>398</v>
      </c>
      <c r="M13" s="114" t="s">
        <v>164</v>
      </c>
    </row>
    <row r="14" spans="1:13" s="49" customFormat="1" ht="15.95">
      <c r="A14" s="46" t="s">
        <v>394</v>
      </c>
      <c r="B14" s="46" t="s">
        <v>395</v>
      </c>
      <c r="C14" s="114" t="s">
        <v>396</v>
      </c>
      <c r="D14" s="114" t="s">
        <v>403</v>
      </c>
      <c r="E14" s="114" t="s">
        <v>21</v>
      </c>
      <c r="F14" s="114" t="s">
        <v>53</v>
      </c>
      <c r="G14" s="114">
        <v>40</v>
      </c>
      <c r="H14" s="114">
        <v>29</v>
      </c>
      <c r="I14" s="117">
        <v>45042</v>
      </c>
      <c r="J14" s="114">
        <v>1</v>
      </c>
      <c r="K14" s="114" t="s">
        <v>398</v>
      </c>
      <c r="L14" s="114" t="s">
        <v>398</v>
      </c>
      <c r="M14" s="114" t="s">
        <v>164</v>
      </c>
    </row>
    <row r="15" spans="1:13" s="49" customFormat="1" ht="15.95">
      <c r="A15" s="46" t="s">
        <v>394</v>
      </c>
      <c r="B15" s="46" t="s">
        <v>395</v>
      </c>
      <c r="C15" s="114" t="s">
        <v>396</v>
      </c>
      <c r="D15" s="114" t="s">
        <v>404</v>
      </c>
      <c r="E15" s="114" t="s">
        <v>21</v>
      </c>
      <c r="F15" s="114" t="s">
        <v>53</v>
      </c>
      <c r="G15" s="114">
        <v>40</v>
      </c>
      <c r="H15" s="114">
        <v>102</v>
      </c>
      <c r="I15" s="117">
        <v>42781</v>
      </c>
      <c r="J15" s="114">
        <v>4</v>
      </c>
      <c r="K15" s="114" t="s">
        <v>398</v>
      </c>
      <c r="L15" s="114" t="s">
        <v>398</v>
      </c>
      <c r="M15" s="114" t="s">
        <v>164</v>
      </c>
    </row>
    <row r="16" spans="1:13" s="49" customFormat="1" ht="15.95">
      <c r="A16" s="46" t="s">
        <v>394</v>
      </c>
      <c r="B16" s="46" t="s">
        <v>395</v>
      </c>
      <c r="C16" s="114" t="s">
        <v>396</v>
      </c>
      <c r="D16" s="114" t="s">
        <v>403</v>
      </c>
      <c r="E16" s="114" t="s">
        <v>28</v>
      </c>
      <c r="F16" s="114" t="s">
        <v>53</v>
      </c>
      <c r="G16" s="114">
        <v>40</v>
      </c>
      <c r="H16" s="114">
        <v>154</v>
      </c>
      <c r="I16" s="117">
        <v>41198</v>
      </c>
      <c r="J16" s="114">
        <v>5</v>
      </c>
      <c r="K16" s="114" t="s">
        <v>398</v>
      </c>
      <c r="L16" s="114" t="s">
        <v>398</v>
      </c>
      <c r="M16" s="114" t="s">
        <v>164</v>
      </c>
    </row>
    <row r="17" spans="1:13" s="47" customFormat="1" ht="15.95">
      <c r="A17" s="46" t="s">
        <v>394</v>
      </c>
      <c r="B17" s="46" t="s">
        <v>395</v>
      </c>
      <c r="C17" s="114" t="s">
        <v>396</v>
      </c>
      <c r="D17" s="114" t="s">
        <v>404</v>
      </c>
      <c r="E17" s="114" t="s">
        <v>28</v>
      </c>
      <c r="F17" s="114" t="s">
        <v>53</v>
      </c>
      <c r="G17" s="114">
        <v>40</v>
      </c>
      <c r="H17" s="114">
        <v>158</v>
      </c>
      <c r="I17" s="117">
        <v>41082</v>
      </c>
      <c r="J17" s="114">
        <v>5</v>
      </c>
      <c r="K17" s="114" t="s">
        <v>398</v>
      </c>
      <c r="L17" s="114" t="s">
        <v>398</v>
      </c>
      <c r="M17" s="114" t="s">
        <v>164</v>
      </c>
    </row>
    <row r="18" spans="1:13" s="47" customFormat="1" ht="15.95">
      <c r="A18" s="46" t="s">
        <v>394</v>
      </c>
      <c r="B18" s="46" t="s">
        <v>395</v>
      </c>
      <c r="C18" s="114" t="s">
        <v>396</v>
      </c>
      <c r="D18" s="114" t="s">
        <v>403</v>
      </c>
      <c r="E18" s="114" t="s">
        <v>21</v>
      </c>
      <c r="F18" s="114" t="s">
        <v>53</v>
      </c>
      <c r="G18" s="114">
        <v>40</v>
      </c>
      <c r="H18" s="114">
        <v>102</v>
      </c>
      <c r="I18" s="117">
        <v>42781</v>
      </c>
      <c r="J18" s="114">
        <v>4</v>
      </c>
      <c r="K18" s="114" t="s">
        <v>164</v>
      </c>
      <c r="L18" s="114" t="s">
        <v>398</v>
      </c>
      <c r="M18" s="114" t="s">
        <v>164</v>
      </c>
    </row>
    <row r="19" spans="1:13" s="47" customFormat="1" ht="15.95">
      <c r="A19" s="46" t="s">
        <v>394</v>
      </c>
      <c r="B19" s="46" t="s">
        <v>395</v>
      </c>
      <c r="C19" s="114" t="s">
        <v>396</v>
      </c>
      <c r="D19" s="114" t="s">
        <v>403</v>
      </c>
      <c r="E19" s="114" t="s">
        <v>21</v>
      </c>
      <c r="F19" s="114" t="s">
        <v>53</v>
      </c>
      <c r="G19" s="114">
        <v>40</v>
      </c>
      <c r="H19" s="114">
        <v>118</v>
      </c>
      <c r="I19" s="117">
        <v>42310</v>
      </c>
      <c r="J19" s="114">
        <v>4</v>
      </c>
      <c r="K19" s="114" t="s">
        <v>398</v>
      </c>
      <c r="L19" s="114" t="s">
        <v>398</v>
      </c>
      <c r="M19" s="114" t="s">
        <v>164</v>
      </c>
    </row>
    <row r="20" spans="1:13" s="47" customFormat="1" ht="15.95">
      <c r="A20" s="46" t="s">
        <v>394</v>
      </c>
      <c r="B20" s="46" t="s">
        <v>395</v>
      </c>
      <c r="C20" s="114" t="s">
        <v>396</v>
      </c>
      <c r="D20" s="114" t="s">
        <v>403</v>
      </c>
      <c r="E20" s="114" t="s">
        <v>21</v>
      </c>
      <c r="F20" s="114" t="s">
        <v>53</v>
      </c>
      <c r="G20" s="114">
        <v>40</v>
      </c>
      <c r="H20" s="114">
        <v>154</v>
      </c>
      <c r="I20" s="117">
        <v>41198</v>
      </c>
      <c r="J20" s="114">
        <v>5</v>
      </c>
      <c r="K20" s="114" t="s">
        <v>398</v>
      </c>
      <c r="L20" s="114" t="s">
        <v>398</v>
      </c>
      <c r="M20" s="114" t="s">
        <v>164</v>
      </c>
    </row>
    <row r="21" spans="1:13" s="47" customFormat="1" ht="15.95">
      <c r="A21" s="46" t="s">
        <v>394</v>
      </c>
      <c r="B21" s="46" t="s">
        <v>395</v>
      </c>
      <c r="C21" s="114" t="s">
        <v>396</v>
      </c>
      <c r="D21" s="114" t="s">
        <v>403</v>
      </c>
      <c r="E21" s="114" t="s">
        <v>28</v>
      </c>
      <c r="F21" s="114" t="s">
        <v>53</v>
      </c>
      <c r="G21" s="114">
        <v>40</v>
      </c>
      <c r="H21" s="114">
        <v>102</v>
      </c>
      <c r="I21" s="117">
        <v>42781</v>
      </c>
      <c r="J21" s="114">
        <v>4</v>
      </c>
      <c r="K21" s="114" t="s">
        <v>164</v>
      </c>
      <c r="L21" s="114" t="s">
        <v>398</v>
      </c>
      <c r="M21" s="114" t="s">
        <v>164</v>
      </c>
    </row>
    <row r="22" spans="1:13" s="47" customFormat="1" ht="15.95">
      <c r="A22" s="46" t="s">
        <v>394</v>
      </c>
      <c r="B22" s="46" t="s">
        <v>395</v>
      </c>
      <c r="C22" s="114" t="s">
        <v>396</v>
      </c>
      <c r="D22" s="114" t="s">
        <v>403</v>
      </c>
      <c r="E22" s="114" t="s">
        <v>21</v>
      </c>
      <c r="F22" s="114" t="s">
        <v>53</v>
      </c>
      <c r="G22" s="114">
        <v>40</v>
      </c>
      <c r="H22" s="114">
        <v>154</v>
      </c>
      <c r="I22" s="117">
        <v>41198</v>
      </c>
      <c r="J22" s="114">
        <v>5</v>
      </c>
      <c r="K22" s="114" t="s">
        <v>398</v>
      </c>
      <c r="L22" s="114" t="s">
        <v>398</v>
      </c>
      <c r="M22" s="114" t="s">
        <v>164</v>
      </c>
    </row>
    <row r="23" spans="1:13" s="47" customFormat="1" ht="15.95">
      <c r="A23" s="46" t="s">
        <v>394</v>
      </c>
      <c r="B23" s="46" t="s">
        <v>395</v>
      </c>
      <c r="C23" s="114" t="s">
        <v>396</v>
      </c>
      <c r="D23" s="114" t="s">
        <v>404</v>
      </c>
      <c r="E23" s="114" t="s">
        <v>28</v>
      </c>
      <c r="F23" s="114" t="s">
        <v>53</v>
      </c>
      <c r="G23" s="114">
        <v>40</v>
      </c>
      <c r="H23" s="114">
        <v>34</v>
      </c>
      <c r="I23" s="117">
        <v>44852</v>
      </c>
      <c r="J23" s="114">
        <v>1</v>
      </c>
      <c r="K23" s="114" t="s">
        <v>398</v>
      </c>
      <c r="L23" s="114" t="s">
        <v>398</v>
      </c>
      <c r="M23" s="114" t="s">
        <v>164</v>
      </c>
    </row>
    <row r="24" spans="1:13" s="47" customFormat="1" ht="15.95">
      <c r="A24" s="46" t="s">
        <v>394</v>
      </c>
      <c r="B24" s="46" t="s">
        <v>395</v>
      </c>
      <c r="C24" s="114" t="s">
        <v>396</v>
      </c>
      <c r="D24" s="114" t="s">
        <v>404</v>
      </c>
      <c r="E24" s="114" t="s">
        <v>28</v>
      </c>
      <c r="F24" s="114" t="s">
        <v>53</v>
      </c>
      <c r="G24" s="114">
        <v>40</v>
      </c>
      <c r="H24" s="114">
        <v>57</v>
      </c>
      <c r="I24" s="117">
        <v>44172</v>
      </c>
      <c r="J24" s="114">
        <v>2</v>
      </c>
      <c r="K24" s="114" t="s">
        <v>398</v>
      </c>
      <c r="L24" s="114" t="s">
        <v>398</v>
      </c>
      <c r="M24" s="114" t="s">
        <v>164</v>
      </c>
    </row>
    <row r="25" spans="1:13" s="47" customFormat="1" ht="15.95">
      <c r="A25" s="46" t="s">
        <v>394</v>
      </c>
      <c r="B25" s="46" t="s">
        <v>395</v>
      </c>
      <c r="C25" s="114" t="s">
        <v>396</v>
      </c>
      <c r="D25" s="114" t="s">
        <v>403</v>
      </c>
      <c r="E25" s="114" t="s">
        <v>21</v>
      </c>
      <c r="F25" s="114" t="s">
        <v>53</v>
      </c>
      <c r="G25" s="114">
        <v>40</v>
      </c>
      <c r="H25" s="114">
        <v>102</v>
      </c>
      <c r="I25" s="117">
        <v>42781</v>
      </c>
      <c r="J25" s="114">
        <v>4</v>
      </c>
      <c r="K25" s="114" t="s">
        <v>164</v>
      </c>
      <c r="L25" s="114" t="s">
        <v>398</v>
      </c>
      <c r="M25" s="114" t="s">
        <v>164</v>
      </c>
    </row>
    <row r="26" spans="1:13" s="47" customFormat="1" ht="15.95">
      <c r="A26" s="46" t="s">
        <v>394</v>
      </c>
      <c r="B26" s="46" t="s">
        <v>395</v>
      </c>
      <c r="C26" s="114" t="s">
        <v>396</v>
      </c>
      <c r="D26" s="114" t="s">
        <v>403</v>
      </c>
      <c r="E26" s="114" t="s">
        <v>28</v>
      </c>
      <c r="F26" s="114" t="s">
        <v>53</v>
      </c>
      <c r="G26" s="114">
        <v>40</v>
      </c>
      <c r="H26" s="114">
        <v>225</v>
      </c>
      <c r="I26" s="117">
        <v>39104</v>
      </c>
      <c r="J26" s="114">
        <v>5</v>
      </c>
      <c r="K26" s="114" t="s">
        <v>164</v>
      </c>
      <c r="L26" s="114" t="s">
        <v>398</v>
      </c>
      <c r="M26" s="114" t="s">
        <v>164</v>
      </c>
    </row>
    <row r="27" spans="1:13" s="47" customFormat="1" ht="15.95">
      <c r="A27" s="46" t="s">
        <v>394</v>
      </c>
      <c r="B27" s="46" t="s">
        <v>395</v>
      </c>
      <c r="C27" s="114" t="s">
        <v>396</v>
      </c>
      <c r="D27" s="114" t="s">
        <v>403</v>
      </c>
      <c r="E27" s="114" t="s">
        <v>21</v>
      </c>
      <c r="F27" s="114" t="s">
        <v>53</v>
      </c>
      <c r="G27" s="114">
        <v>40</v>
      </c>
      <c r="H27" s="114">
        <v>102</v>
      </c>
      <c r="I27" s="117">
        <v>42781</v>
      </c>
      <c r="J27" s="114">
        <v>4</v>
      </c>
      <c r="K27" s="114" t="s">
        <v>164</v>
      </c>
      <c r="L27" s="114" t="s">
        <v>398</v>
      </c>
      <c r="M27" s="114" t="s">
        <v>164</v>
      </c>
    </row>
    <row r="28" spans="1:13" s="47" customFormat="1" ht="15.95">
      <c r="A28" s="46" t="s">
        <v>394</v>
      </c>
      <c r="B28" s="46" t="s">
        <v>395</v>
      </c>
      <c r="C28" s="114" t="s">
        <v>396</v>
      </c>
      <c r="D28" s="114" t="s">
        <v>403</v>
      </c>
      <c r="E28" s="114" t="s">
        <v>21</v>
      </c>
      <c r="F28" s="114" t="s">
        <v>53</v>
      </c>
      <c r="G28" s="114">
        <v>40</v>
      </c>
      <c r="H28" s="114">
        <v>102</v>
      </c>
      <c r="I28" s="117">
        <v>42781</v>
      </c>
      <c r="J28" s="114">
        <v>4</v>
      </c>
      <c r="K28" s="114" t="s">
        <v>164</v>
      </c>
      <c r="L28" s="114" t="s">
        <v>398</v>
      </c>
      <c r="M28" s="114" t="s">
        <v>164</v>
      </c>
    </row>
    <row r="29" spans="1:13" s="47" customFormat="1" ht="15.95">
      <c r="A29" s="46" t="s">
        <v>394</v>
      </c>
      <c r="B29" s="46" t="s">
        <v>395</v>
      </c>
      <c r="C29" s="114" t="s">
        <v>396</v>
      </c>
      <c r="D29" s="114" t="s">
        <v>404</v>
      </c>
      <c r="E29" s="114" t="s">
        <v>21</v>
      </c>
      <c r="F29" s="114" t="s">
        <v>53</v>
      </c>
      <c r="G29" s="114">
        <v>40</v>
      </c>
      <c r="H29" s="114">
        <v>50</v>
      </c>
      <c r="I29" s="117">
        <v>44368</v>
      </c>
      <c r="J29" s="114">
        <v>1</v>
      </c>
      <c r="K29" s="114" t="s">
        <v>398</v>
      </c>
      <c r="L29" s="114" t="s">
        <v>398</v>
      </c>
      <c r="M29" s="114" t="s">
        <v>164</v>
      </c>
    </row>
    <row r="30" spans="1:13" s="47" customFormat="1" ht="15.95">
      <c r="A30" s="46" t="s">
        <v>394</v>
      </c>
      <c r="B30" s="46" t="s">
        <v>395</v>
      </c>
      <c r="C30" s="114" t="s">
        <v>396</v>
      </c>
      <c r="D30" s="114" t="s">
        <v>404</v>
      </c>
      <c r="E30" s="114" t="s">
        <v>28</v>
      </c>
      <c r="F30" s="114" t="s">
        <v>53</v>
      </c>
      <c r="G30" s="114">
        <v>40</v>
      </c>
      <c r="H30" s="114">
        <v>102</v>
      </c>
      <c r="I30" s="117">
        <v>42781</v>
      </c>
      <c r="J30" s="115">
        <v>4</v>
      </c>
      <c r="K30" s="114" t="s">
        <v>398</v>
      </c>
      <c r="L30" s="114" t="s">
        <v>398</v>
      </c>
      <c r="M30" s="114" t="s">
        <v>164</v>
      </c>
    </row>
    <row r="31" spans="1:13" s="47" customFormat="1" ht="15.95">
      <c r="A31" s="46" t="s">
        <v>394</v>
      </c>
      <c r="B31" s="46" t="s">
        <v>395</v>
      </c>
      <c r="C31" s="114" t="s">
        <v>396</v>
      </c>
      <c r="D31" s="114" t="s">
        <v>404</v>
      </c>
      <c r="E31" s="114" t="s">
        <v>28</v>
      </c>
      <c r="F31" s="114" t="s">
        <v>53</v>
      </c>
      <c r="G31" s="114">
        <v>40</v>
      </c>
      <c r="H31" s="114">
        <v>177</v>
      </c>
      <c r="I31" s="117">
        <v>40546</v>
      </c>
      <c r="J31" s="115">
        <v>5</v>
      </c>
      <c r="K31" s="114" t="s">
        <v>164</v>
      </c>
      <c r="L31" s="114" t="s">
        <v>398</v>
      </c>
      <c r="M31" s="114" t="s">
        <v>164</v>
      </c>
    </row>
    <row r="32" spans="1:13" s="47" customFormat="1" ht="15.95">
      <c r="A32" s="46" t="s">
        <v>394</v>
      </c>
      <c r="B32" s="46" t="s">
        <v>395</v>
      </c>
      <c r="C32" s="114" t="s">
        <v>396</v>
      </c>
      <c r="D32" s="114" t="s">
        <v>404</v>
      </c>
      <c r="E32" s="114" t="s">
        <v>21</v>
      </c>
      <c r="F32" s="114" t="s">
        <v>53</v>
      </c>
      <c r="G32" s="114">
        <v>40</v>
      </c>
      <c r="H32" s="114">
        <v>59</v>
      </c>
      <c r="I32" s="117">
        <v>44095</v>
      </c>
      <c r="J32" s="114">
        <v>2</v>
      </c>
      <c r="K32" s="114" t="s">
        <v>398</v>
      </c>
      <c r="L32" s="114" t="s">
        <v>398</v>
      </c>
      <c r="M32" s="114" t="s">
        <v>164</v>
      </c>
    </row>
    <row r="33" spans="1:13" s="47" customFormat="1" ht="15.95">
      <c r="A33" s="46" t="s">
        <v>394</v>
      </c>
      <c r="B33" s="46" t="s">
        <v>395</v>
      </c>
      <c r="C33" s="114" t="s">
        <v>396</v>
      </c>
      <c r="D33" s="114" t="s">
        <v>404</v>
      </c>
      <c r="E33" s="114" t="s">
        <v>21</v>
      </c>
      <c r="F33" s="114" t="s">
        <v>53</v>
      </c>
      <c r="G33" s="114">
        <v>40</v>
      </c>
      <c r="H33" s="114">
        <v>50</v>
      </c>
      <c r="I33" s="117">
        <v>44383</v>
      </c>
      <c r="J33" s="114">
        <v>1</v>
      </c>
      <c r="K33" s="114" t="s">
        <v>398</v>
      </c>
      <c r="L33" s="114" t="s">
        <v>398</v>
      </c>
      <c r="M33" s="114" t="s">
        <v>164</v>
      </c>
    </row>
    <row r="34" spans="1:13" s="47" customFormat="1" ht="15.95">
      <c r="A34" s="46" t="s">
        <v>394</v>
      </c>
      <c r="B34" s="46" t="s">
        <v>395</v>
      </c>
      <c r="C34" s="114" t="s">
        <v>396</v>
      </c>
      <c r="D34" s="114" t="s">
        <v>403</v>
      </c>
      <c r="E34" s="114" t="s">
        <v>28</v>
      </c>
      <c r="F34" s="114" t="s">
        <v>53</v>
      </c>
      <c r="G34" s="114">
        <v>40</v>
      </c>
      <c r="H34" s="114">
        <v>154</v>
      </c>
      <c r="I34" s="117">
        <v>41198</v>
      </c>
      <c r="J34" s="114">
        <v>5</v>
      </c>
      <c r="K34" s="114" t="s">
        <v>398</v>
      </c>
      <c r="L34" s="114" t="s">
        <v>398</v>
      </c>
      <c r="M34" s="114" t="s">
        <v>164</v>
      </c>
    </row>
    <row r="35" spans="1:13" s="47" customFormat="1" ht="15.95">
      <c r="A35" s="46" t="s">
        <v>394</v>
      </c>
      <c r="B35" s="46" t="s">
        <v>395</v>
      </c>
      <c r="C35" s="114" t="s">
        <v>396</v>
      </c>
      <c r="D35" s="114" t="s">
        <v>403</v>
      </c>
      <c r="E35" s="114" t="s">
        <v>21</v>
      </c>
      <c r="F35" s="114" t="s">
        <v>53</v>
      </c>
      <c r="G35" s="114">
        <v>40</v>
      </c>
      <c r="H35" s="114">
        <v>27</v>
      </c>
      <c r="I35" s="117">
        <v>45110</v>
      </c>
      <c r="J35" s="114">
        <v>0</v>
      </c>
      <c r="K35" s="114" t="s">
        <v>398</v>
      </c>
      <c r="L35" s="114" t="s">
        <v>398</v>
      </c>
      <c r="M35" s="114" t="s">
        <v>164</v>
      </c>
    </row>
    <row r="36" spans="1:13" s="47" customFormat="1" ht="15.95">
      <c r="A36" s="46" t="s">
        <v>394</v>
      </c>
      <c r="B36" s="46" t="s">
        <v>395</v>
      </c>
      <c r="C36" s="114" t="s">
        <v>396</v>
      </c>
      <c r="D36" s="114" t="s">
        <v>404</v>
      </c>
      <c r="E36" s="114" t="s">
        <v>28</v>
      </c>
      <c r="F36" s="114" t="s">
        <v>53</v>
      </c>
      <c r="G36" s="114">
        <v>40</v>
      </c>
      <c r="H36" s="114">
        <v>102</v>
      </c>
      <c r="I36" s="117">
        <v>42781</v>
      </c>
      <c r="J36" s="114">
        <v>4</v>
      </c>
      <c r="K36" s="114" t="s">
        <v>164</v>
      </c>
      <c r="L36" s="114" t="s">
        <v>398</v>
      </c>
      <c r="M36" s="114" t="s">
        <v>164</v>
      </c>
    </row>
    <row r="37" spans="1:13" s="47" customFormat="1" ht="15.95">
      <c r="A37" s="46" t="s">
        <v>394</v>
      </c>
      <c r="B37" s="46" t="s">
        <v>395</v>
      </c>
      <c r="C37" s="114" t="s">
        <v>396</v>
      </c>
      <c r="D37" s="114" t="s">
        <v>403</v>
      </c>
      <c r="E37" s="114" t="s">
        <v>21</v>
      </c>
      <c r="F37" s="114" t="s">
        <v>53</v>
      </c>
      <c r="G37" s="114">
        <v>40</v>
      </c>
      <c r="H37" s="114">
        <v>89</v>
      </c>
      <c r="I37" s="117">
        <v>43191</v>
      </c>
      <c r="J37" s="114">
        <v>3</v>
      </c>
      <c r="K37" s="114" t="s">
        <v>398</v>
      </c>
      <c r="L37" s="114" t="s">
        <v>398</v>
      </c>
      <c r="M37" s="114" t="s">
        <v>164</v>
      </c>
    </row>
    <row r="38" spans="1:13" s="47" customFormat="1" ht="15.95">
      <c r="A38" s="46" t="s">
        <v>394</v>
      </c>
      <c r="B38" s="46" t="s">
        <v>395</v>
      </c>
      <c r="C38" s="114" t="s">
        <v>396</v>
      </c>
      <c r="D38" s="114" t="s">
        <v>403</v>
      </c>
      <c r="E38" s="114" t="s">
        <v>21</v>
      </c>
      <c r="F38" s="114" t="s">
        <v>53</v>
      </c>
      <c r="G38" s="114">
        <v>40</v>
      </c>
      <c r="H38" s="114">
        <v>102</v>
      </c>
      <c r="I38" s="117">
        <v>42781</v>
      </c>
      <c r="J38" s="114">
        <v>4</v>
      </c>
      <c r="K38" s="114" t="s">
        <v>398</v>
      </c>
      <c r="L38" s="114" t="s">
        <v>398</v>
      </c>
      <c r="M38" s="114" t="s">
        <v>164</v>
      </c>
    </row>
    <row r="39" spans="1:13" s="47" customFormat="1" ht="15.95">
      <c r="A39" s="46" t="s">
        <v>394</v>
      </c>
      <c r="B39" s="46" t="s">
        <v>395</v>
      </c>
      <c r="C39" s="114" t="s">
        <v>396</v>
      </c>
      <c r="D39" s="114" t="s">
        <v>403</v>
      </c>
      <c r="E39" s="114" t="s">
        <v>28</v>
      </c>
      <c r="F39" s="114" t="s">
        <v>53</v>
      </c>
      <c r="G39" s="114">
        <v>40</v>
      </c>
      <c r="H39" s="114">
        <v>102</v>
      </c>
      <c r="I39" s="117">
        <v>42781</v>
      </c>
      <c r="J39" s="114">
        <v>4</v>
      </c>
      <c r="K39" s="114" t="s">
        <v>164</v>
      </c>
      <c r="L39" s="114" t="s">
        <v>398</v>
      </c>
      <c r="M39" s="114" t="s">
        <v>164</v>
      </c>
    </row>
    <row r="40" spans="1:13" s="47" customFormat="1" ht="15.95">
      <c r="A40" s="46" t="s">
        <v>394</v>
      </c>
      <c r="B40" s="46" t="s">
        <v>395</v>
      </c>
      <c r="C40" s="114" t="s">
        <v>396</v>
      </c>
      <c r="D40" s="114" t="s">
        <v>404</v>
      </c>
      <c r="E40" s="114" t="s">
        <v>28</v>
      </c>
      <c r="F40" s="114" t="s">
        <v>53</v>
      </c>
      <c r="G40" s="114">
        <v>40</v>
      </c>
      <c r="H40" s="114">
        <v>102</v>
      </c>
      <c r="I40" s="117">
        <v>42781</v>
      </c>
      <c r="J40" s="114">
        <v>4</v>
      </c>
      <c r="K40" s="114" t="s">
        <v>398</v>
      </c>
      <c r="L40" s="114" t="s">
        <v>398</v>
      </c>
      <c r="M40" s="114" t="s">
        <v>164</v>
      </c>
    </row>
    <row r="41" spans="1:13" s="47" customFormat="1" ht="15.95">
      <c r="A41" s="46" t="s">
        <v>405</v>
      </c>
      <c r="B41" s="46" t="s">
        <v>395</v>
      </c>
      <c r="C41" s="46" t="s">
        <v>406</v>
      </c>
      <c r="D41" s="46" t="s">
        <v>407</v>
      </c>
      <c r="E41" s="46">
        <v>5</v>
      </c>
      <c r="F41" s="46" t="s">
        <v>53</v>
      </c>
      <c r="G41" s="46">
        <v>40</v>
      </c>
      <c r="H41" s="46">
        <v>248</v>
      </c>
      <c r="I41" s="65">
        <v>38356</v>
      </c>
      <c r="J41" s="46">
        <v>4</v>
      </c>
      <c r="K41" s="114" t="s">
        <v>398</v>
      </c>
      <c r="L41" s="114" t="s">
        <v>164</v>
      </c>
      <c r="M41" s="114" t="s">
        <v>164</v>
      </c>
    </row>
    <row r="42" spans="1:13" s="47" customFormat="1" ht="15.95">
      <c r="A42" s="46" t="s">
        <v>405</v>
      </c>
      <c r="B42" s="46" t="s">
        <v>395</v>
      </c>
      <c r="C42" s="46" t="s">
        <v>406</v>
      </c>
      <c r="D42" s="46" t="s">
        <v>35</v>
      </c>
      <c r="E42" s="46">
        <v>5</v>
      </c>
      <c r="F42" s="46" t="s">
        <v>53</v>
      </c>
      <c r="G42" s="46">
        <v>40</v>
      </c>
      <c r="H42" s="46">
        <v>238</v>
      </c>
      <c r="I42" s="65">
        <v>38769</v>
      </c>
      <c r="J42" s="46">
        <v>2</v>
      </c>
      <c r="K42" s="114" t="s">
        <v>398</v>
      </c>
      <c r="L42" s="114" t="s">
        <v>164</v>
      </c>
      <c r="M42" s="114" t="s">
        <v>164</v>
      </c>
    </row>
    <row r="43" spans="1:13" s="47" customFormat="1" ht="15.95">
      <c r="A43" s="46" t="s">
        <v>405</v>
      </c>
      <c r="B43" s="46" t="s">
        <v>395</v>
      </c>
      <c r="C43" s="46" t="s">
        <v>406</v>
      </c>
      <c r="D43" s="46" t="s">
        <v>408</v>
      </c>
      <c r="E43" s="46">
        <v>6</v>
      </c>
      <c r="F43" s="46" t="s">
        <v>53</v>
      </c>
      <c r="G43" s="46">
        <v>20</v>
      </c>
      <c r="H43" s="46">
        <v>10</v>
      </c>
      <c r="I43" s="65">
        <v>45579</v>
      </c>
      <c r="J43" s="46">
        <v>1</v>
      </c>
      <c r="K43" s="114" t="s">
        <v>398</v>
      </c>
      <c r="L43" s="114" t="s">
        <v>164</v>
      </c>
      <c r="M43" s="114" t="s">
        <v>164</v>
      </c>
    </row>
    <row r="44" spans="1:13" s="47" customFormat="1" ht="15.95">
      <c r="A44" s="46" t="s">
        <v>405</v>
      </c>
      <c r="B44" s="46" t="s">
        <v>395</v>
      </c>
      <c r="C44" s="46" t="s">
        <v>406</v>
      </c>
      <c r="D44" s="46" t="s">
        <v>409</v>
      </c>
      <c r="E44" s="46">
        <v>5</v>
      </c>
      <c r="F44" s="46" t="s">
        <v>53</v>
      </c>
      <c r="G44" s="46">
        <v>40</v>
      </c>
      <c r="H44" s="46">
        <v>197</v>
      </c>
      <c r="I44" s="65">
        <v>40018</v>
      </c>
      <c r="J44" s="46">
        <v>4</v>
      </c>
      <c r="K44" s="114" t="s">
        <v>398</v>
      </c>
      <c r="L44" s="114" t="s">
        <v>164</v>
      </c>
      <c r="M44" s="114" t="s">
        <v>164</v>
      </c>
    </row>
    <row r="45" spans="1:13" s="47" customFormat="1" ht="15.95">
      <c r="A45" s="46" t="s">
        <v>405</v>
      </c>
      <c r="B45" s="46" t="s">
        <v>395</v>
      </c>
      <c r="C45" s="46" t="s">
        <v>406</v>
      </c>
      <c r="D45" s="46" t="s">
        <v>407</v>
      </c>
      <c r="E45" s="46">
        <v>5</v>
      </c>
      <c r="F45" s="46" t="s">
        <v>53</v>
      </c>
      <c r="G45" s="46">
        <v>40</v>
      </c>
      <c r="H45" s="46">
        <v>77</v>
      </c>
      <c r="I45" s="65">
        <v>43675</v>
      </c>
      <c r="J45" s="46">
        <v>2</v>
      </c>
      <c r="K45" s="114" t="s">
        <v>164</v>
      </c>
      <c r="L45" s="114" t="s">
        <v>164</v>
      </c>
      <c r="M45" s="114" t="s">
        <v>164</v>
      </c>
    </row>
    <row r="46" spans="1:13" s="47" customFormat="1" ht="15.95">
      <c r="A46" s="46" t="s">
        <v>405</v>
      </c>
      <c r="B46" s="46" t="s">
        <v>395</v>
      </c>
      <c r="C46" s="46" t="s">
        <v>406</v>
      </c>
      <c r="D46" s="46" t="s">
        <v>409</v>
      </c>
      <c r="E46" s="46">
        <v>4</v>
      </c>
      <c r="F46" s="46" t="s">
        <v>53</v>
      </c>
      <c r="G46" s="46">
        <v>40</v>
      </c>
      <c r="H46" s="46">
        <v>58</v>
      </c>
      <c r="I46" s="65">
        <v>44130</v>
      </c>
      <c r="J46" s="46">
        <v>1</v>
      </c>
      <c r="K46" s="114" t="s">
        <v>164</v>
      </c>
      <c r="L46" s="114" t="s">
        <v>164</v>
      </c>
      <c r="M46" s="114" t="s">
        <v>164</v>
      </c>
    </row>
    <row r="47" spans="1:13" s="47" customFormat="1" ht="15.95">
      <c r="A47" s="46" t="s">
        <v>405</v>
      </c>
      <c r="B47" s="46" t="s">
        <v>395</v>
      </c>
      <c r="C47" s="46" t="s">
        <v>406</v>
      </c>
      <c r="D47" s="46" t="s">
        <v>410</v>
      </c>
      <c r="E47" s="46">
        <v>5</v>
      </c>
      <c r="F47" s="46" t="s">
        <v>53</v>
      </c>
      <c r="G47" s="46">
        <v>40</v>
      </c>
      <c r="H47" s="46">
        <v>103</v>
      </c>
      <c r="I47" s="65">
        <v>42781</v>
      </c>
      <c r="J47" s="46">
        <v>4</v>
      </c>
      <c r="K47" s="114" t="s">
        <v>164</v>
      </c>
      <c r="L47" s="114" t="s">
        <v>164</v>
      </c>
      <c r="M47" s="114" t="s">
        <v>164</v>
      </c>
    </row>
    <row r="48" spans="1:13" s="47" customFormat="1" ht="15.95">
      <c r="A48" s="46" t="s">
        <v>405</v>
      </c>
      <c r="B48" s="46" t="s">
        <v>395</v>
      </c>
      <c r="C48" s="46" t="s">
        <v>406</v>
      </c>
      <c r="D48" s="46" t="s">
        <v>410</v>
      </c>
      <c r="E48" s="46">
        <v>5</v>
      </c>
      <c r="F48" s="46" t="s">
        <v>53</v>
      </c>
      <c r="G48" s="46">
        <v>40</v>
      </c>
      <c r="H48" s="46">
        <v>103</v>
      </c>
      <c r="I48" s="65">
        <v>42781</v>
      </c>
      <c r="J48" s="46">
        <v>4</v>
      </c>
      <c r="K48" s="114" t="s">
        <v>164</v>
      </c>
      <c r="L48" s="114" t="s">
        <v>164</v>
      </c>
      <c r="M48" s="114" t="s">
        <v>164</v>
      </c>
    </row>
    <row r="49" spans="1:13" s="47" customFormat="1" ht="15.95">
      <c r="A49" s="46" t="s">
        <v>405</v>
      </c>
      <c r="B49" s="46" t="s">
        <v>395</v>
      </c>
      <c r="C49" s="46" t="s">
        <v>406</v>
      </c>
      <c r="D49" s="46" t="s">
        <v>410</v>
      </c>
      <c r="E49" s="46">
        <v>5</v>
      </c>
      <c r="F49" s="46" t="s">
        <v>53</v>
      </c>
      <c r="G49" s="46">
        <v>40</v>
      </c>
      <c r="H49" s="46">
        <v>103</v>
      </c>
      <c r="I49" s="65">
        <v>42781</v>
      </c>
      <c r="J49" s="46">
        <v>4</v>
      </c>
      <c r="K49" s="114" t="s">
        <v>164</v>
      </c>
      <c r="L49" s="114" t="s">
        <v>164</v>
      </c>
      <c r="M49" s="114" t="s">
        <v>164</v>
      </c>
    </row>
    <row r="50" spans="1:13" s="47" customFormat="1" ht="15.95">
      <c r="A50" s="46" t="s">
        <v>405</v>
      </c>
      <c r="B50" s="46" t="s">
        <v>395</v>
      </c>
      <c r="C50" s="46" t="s">
        <v>406</v>
      </c>
      <c r="D50" s="46" t="s">
        <v>410</v>
      </c>
      <c r="E50" s="46">
        <v>4</v>
      </c>
      <c r="F50" s="46" t="s">
        <v>53</v>
      </c>
      <c r="G50" s="46">
        <v>40</v>
      </c>
      <c r="H50" s="46">
        <v>39</v>
      </c>
      <c r="I50" s="65">
        <v>44690</v>
      </c>
      <c r="J50" s="46">
        <v>1</v>
      </c>
      <c r="K50" s="114" t="s">
        <v>164</v>
      </c>
      <c r="L50" s="114" t="s">
        <v>164</v>
      </c>
      <c r="M50" s="114" t="s">
        <v>164</v>
      </c>
    </row>
    <row r="51" spans="1:13" s="47" customFormat="1" ht="15.95">
      <c r="A51" s="46" t="s">
        <v>411</v>
      </c>
      <c r="B51" s="46" t="s">
        <v>395</v>
      </c>
      <c r="C51" s="46" t="s">
        <v>412</v>
      </c>
      <c r="D51" s="46" t="s">
        <v>413</v>
      </c>
      <c r="E51" s="46" t="s">
        <v>21</v>
      </c>
      <c r="F51" s="46" t="s">
        <v>53</v>
      </c>
      <c r="G51" s="46">
        <v>18</v>
      </c>
      <c r="H51" s="114">
        <v>154</v>
      </c>
      <c r="I51" s="117">
        <v>41198</v>
      </c>
      <c r="J51" s="114">
        <v>5</v>
      </c>
      <c r="K51" s="114" t="s">
        <v>398</v>
      </c>
      <c r="L51" s="114" t="s">
        <v>164</v>
      </c>
      <c r="M51" s="114" t="s">
        <v>164</v>
      </c>
    </row>
    <row r="52" spans="1:13" s="47" customFormat="1" ht="15.95">
      <c r="A52" s="46" t="s">
        <v>411</v>
      </c>
      <c r="B52" s="46" t="s">
        <v>395</v>
      </c>
      <c r="C52" s="46" t="s">
        <v>412</v>
      </c>
      <c r="D52" s="46" t="s">
        <v>413</v>
      </c>
      <c r="E52" s="46" t="s">
        <v>28</v>
      </c>
      <c r="F52" s="46" t="s">
        <v>53</v>
      </c>
      <c r="G52" s="46">
        <v>18</v>
      </c>
      <c r="H52" s="114">
        <v>102</v>
      </c>
      <c r="I52" s="117">
        <v>42781</v>
      </c>
      <c r="J52" s="114">
        <v>4</v>
      </c>
      <c r="K52" s="114" t="s">
        <v>398</v>
      </c>
      <c r="L52" s="114" t="s">
        <v>164</v>
      </c>
      <c r="M52" s="114" t="s">
        <v>164</v>
      </c>
    </row>
    <row r="53" spans="1:13" s="47" customFormat="1" ht="15.95">
      <c r="A53" s="46" t="s">
        <v>414</v>
      </c>
      <c r="B53" s="46" t="s">
        <v>395</v>
      </c>
      <c r="C53" s="46" t="s">
        <v>415</v>
      </c>
      <c r="D53" s="46" t="s">
        <v>416</v>
      </c>
      <c r="E53" s="46" t="s">
        <v>21</v>
      </c>
      <c r="F53" s="46" t="s">
        <v>53</v>
      </c>
      <c r="G53" s="46">
        <v>20</v>
      </c>
      <c r="H53" s="114">
        <v>34</v>
      </c>
      <c r="I53" s="117">
        <v>44852</v>
      </c>
      <c r="J53" s="114">
        <v>1</v>
      </c>
      <c r="K53" s="114" t="s">
        <v>164</v>
      </c>
      <c r="L53" s="114" t="s">
        <v>164</v>
      </c>
      <c r="M53" s="114" t="s">
        <v>164</v>
      </c>
    </row>
    <row r="54" spans="1:13" s="41" customFormat="1">
      <c r="C54" s="42"/>
      <c r="D54" s="42"/>
      <c r="I54" s="42"/>
      <c r="J54" s="42"/>
    </row>
    <row r="55" spans="1:13" s="41" customFormat="1">
      <c r="C55" s="42"/>
      <c r="D55" s="42"/>
      <c r="I55" s="42"/>
      <c r="J55" s="42"/>
    </row>
    <row r="56" spans="1:13" s="41" customFormat="1">
      <c r="C56" s="42"/>
      <c r="D56" s="42"/>
      <c r="I56" s="42"/>
      <c r="J56" s="42"/>
    </row>
    <row r="57" spans="1:13" s="41" customFormat="1">
      <c r="C57" s="42"/>
      <c r="D57" s="42"/>
      <c r="I57" s="42"/>
      <c r="J57" s="42"/>
    </row>
    <row r="58" spans="1:13" s="41" customFormat="1">
      <c r="C58" s="42"/>
      <c r="D58" s="42"/>
      <c r="I58" s="42"/>
      <c r="J58" s="42"/>
    </row>
    <row r="59" spans="1:13" s="41" customFormat="1">
      <c r="C59" s="42"/>
      <c r="D59" s="42"/>
      <c r="I59" s="42"/>
      <c r="J59" s="42"/>
    </row>
    <row r="60" spans="1:13" s="41" customFormat="1">
      <c r="C60" s="42"/>
      <c r="D60" s="42"/>
      <c r="I60" s="42"/>
      <c r="J60" s="42"/>
    </row>
    <row r="61" spans="1:13" s="41" customFormat="1">
      <c r="C61" s="42"/>
      <c r="D61" s="42"/>
      <c r="I61" s="42"/>
      <c r="J61" s="42"/>
    </row>
    <row r="62" spans="1:13" s="41" customFormat="1">
      <c r="C62" s="42"/>
      <c r="D62" s="42"/>
      <c r="I62" s="42"/>
      <c r="J62" s="42"/>
    </row>
    <row r="63" spans="1:13" s="41" customFormat="1">
      <c r="C63" s="42"/>
      <c r="D63" s="42"/>
      <c r="I63" s="42"/>
      <c r="J63" s="42"/>
    </row>
    <row r="64" spans="1:13" s="41" customFormat="1">
      <c r="C64" s="42"/>
      <c r="D64" s="42"/>
      <c r="I64" s="42"/>
      <c r="J64" s="42"/>
    </row>
    <row r="65" spans="3:10" s="41" customFormat="1">
      <c r="C65" s="42"/>
      <c r="D65" s="42"/>
      <c r="I65" s="42"/>
      <c r="J65" s="42"/>
    </row>
    <row r="66" spans="3:10" s="41" customFormat="1">
      <c r="C66" s="42"/>
      <c r="D66" s="42"/>
      <c r="I66" s="42"/>
      <c r="J66" s="42"/>
    </row>
    <row r="67" spans="3:10" s="41" customFormat="1">
      <c r="C67" s="42"/>
      <c r="D67" s="42"/>
      <c r="I67" s="42"/>
      <c r="J67" s="42"/>
    </row>
    <row r="68" spans="3:10" s="41" customFormat="1">
      <c r="C68" s="42"/>
      <c r="D68" s="42"/>
      <c r="I68" s="42"/>
      <c r="J68" s="42"/>
    </row>
    <row r="69" spans="3:10" s="41" customFormat="1">
      <c r="C69" s="42"/>
      <c r="D69" s="42"/>
      <c r="I69" s="42"/>
      <c r="J69" s="42"/>
    </row>
    <row r="70" spans="3:10" s="41" customFormat="1">
      <c r="C70" s="42"/>
      <c r="D70" s="42"/>
      <c r="I70" s="42"/>
      <c r="J70" s="42"/>
    </row>
    <row r="71" spans="3:10" s="41" customFormat="1">
      <c r="C71" s="42"/>
      <c r="D71" s="42"/>
      <c r="I71" s="42"/>
      <c r="J71" s="42"/>
    </row>
    <row r="72" spans="3:10" s="41" customFormat="1">
      <c r="C72" s="42"/>
      <c r="D72" s="42"/>
      <c r="I72" s="42"/>
      <c r="J72" s="42"/>
    </row>
    <row r="73" spans="3:10" s="41" customFormat="1">
      <c r="C73" s="42"/>
      <c r="D73" s="42"/>
      <c r="I73" s="42"/>
      <c r="J73" s="42"/>
    </row>
    <row r="74" spans="3:10" s="41" customFormat="1">
      <c r="C74" s="42"/>
      <c r="D74" s="42"/>
      <c r="I74" s="42"/>
      <c r="J74" s="42"/>
    </row>
    <row r="75" spans="3:10" s="41" customFormat="1">
      <c r="C75" s="42"/>
      <c r="D75" s="42"/>
      <c r="I75" s="42"/>
      <c r="J75" s="42"/>
    </row>
    <row r="76" spans="3:10" s="41" customFormat="1">
      <c r="C76" s="42"/>
      <c r="D76" s="42"/>
      <c r="I76" s="42"/>
      <c r="J76" s="42"/>
    </row>
    <row r="77" spans="3:10" s="41" customFormat="1">
      <c r="C77" s="42"/>
      <c r="D77" s="42"/>
      <c r="I77" s="42"/>
      <c r="J77" s="42"/>
    </row>
    <row r="78" spans="3:10" s="41" customFormat="1">
      <c r="C78" s="42"/>
      <c r="D78" s="42"/>
      <c r="I78" s="42"/>
      <c r="J78" s="42"/>
    </row>
    <row r="79" spans="3:10" s="41" customFormat="1">
      <c r="C79" s="42"/>
      <c r="D79" s="42"/>
      <c r="I79" s="42"/>
      <c r="J79" s="42"/>
    </row>
    <row r="80" spans="3:10" s="41" customFormat="1">
      <c r="C80" s="42"/>
      <c r="D80" s="42"/>
      <c r="I80" s="42"/>
      <c r="J80" s="42"/>
    </row>
    <row r="81" spans="3:10" s="41" customFormat="1">
      <c r="C81" s="42"/>
      <c r="D81" s="42"/>
      <c r="I81" s="42"/>
      <c r="J81" s="42"/>
    </row>
    <row r="82" spans="3:10" s="41" customFormat="1">
      <c r="C82" s="42"/>
      <c r="D82" s="42"/>
      <c r="I82" s="42"/>
      <c r="J82" s="42"/>
    </row>
    <row r="83" spans="3:10" s="41" customFormat="1">
      <c r="C83" s="42"/>
      <c r="D83" s="42"/>
      <c r="I83" s="42"/>
      <c r="J83" s="42"/>
    </row>
    <row r="84" spans="3:10" s="41" customFormat="1">
      <c r="C84" s="42"/>
      <c r="D84" s="42"/>
      <c r="I84" s="42"/>
      <c r="J84" s="42"/>
    </row>
    <row r="85" spans="3:10" s="41" customFormat="1">
      <c r="C85" s="42"/>
      <c r="D85" s="42"/>
      <c r="I85" s="42"/>
      <c r="J85" s="42"/>
    </row>
    <row r="86" spans="3:10" s="41" customFormat="1">
      <c r="C86" s="42"/>
      <c r="D86" s="42"/>
      <c r="I86" s="42"/>
      <c r="J86" s="42"/>
    </row>
    <row r="87" spans="3:10" s="41" customFormat="1">
      <c r="C87" s="42"/>
      <c r="D87" s="42"/>
      <c r="I87" s="42"/>
      <c r="J87" s="42"/>
    </row>
    <row r="88" spans="3:10" s="41" customFormat="1">
      <c r="C88" s="42"/>
      <c r="D88" s="42"/>
      <c r="I88" s="42"/>
      <c r="J88" s="42"/>
    </row>
    <row r="89" spans="3:10" s="41" customFormat="1">
      <c r="C89" s="42"/>
      <c r="D89" s="42"/>
      <c r="I89" s="42"/>
      <c r="J89" s="42"/>
    </row>
    <row r="90" spans="3:10" s="41" customFormat="1">
      <c r="C90" s="42"/>
      <c r="D90" s="42"/>
      <c r="I90" s="42"/>
      <c r="J90" s="42"/>
    </row>
    <row r="91" spans="3:10" s="41" customFormat="1">
      <c r="C91" s="42"/>
      <c r="D91" s="42"/>
      <c r="I91" s="42"/>
      <c r="J91" s="42"/>
    </row>
    <row r="92" spans="3:10" s="41" customFormat="1">
      <c r="C92" s="42"/>
      <c r="D92" s="42"/>
      <c r="I92" s="42"/>
      <c r="J92" s="42"/>
    </row>
    <row r="93" spans="3:10" s="41" customFormat="1">
      <c r="C93" s="42"/>
      <c r="D93" s="42"/>
      <c r="I93" s="42"/>
      <c r="J93" s="42"/>
    </row>
    <row r="94" spans="3:10" s="41" customFormat="1">
      <c r="C94" s="42"/>
      <c r="D94" s="42"/>
      <c r="I94" s="42"/>
      <c r="J94" s="42"/>
    </row>
    <row r="95" spans="3:10" s="41" customFormat="1">
      <c r="C95" s="42"/>
      <c r="D95" s="42"/>
      <c r="I95" s="42"/>
      <c r="J95" s="42"/>
    </row>
    <row r="96" spans="3:10" s="41" customFormat="1">
      <c r="C96" s="42"/>
      <c r="D96" s="42"/>
      <c r="I96" s="42"/>
      <c r="J96" s="42"/>
    </row>
    <row r="97" spans="3:10" s="41" customFormat="1">
      <c r="C97" s="42"/>
      <c r="D97" s="42"/>
      <c r="I97" s="42"/>
      <c r="J97" s="42"/>
    </row>
    <row r="98" spans="3:10" s="41" customFormat="1">
      <c r="C98" s="42"/>
      <c r="D98" s="42"/>
      <c r="I98" s="42"/>
      <c r="J98" s="42"/>
    </row>
    <row r="99" spans="3:10" s="41" customFormat="1">
      <c r="C99" s="42"/>
      <c r="D99" s="42"/>
      <c r="I99" s="42"/>
      <c r="J99" s="42"/>
    </row>
    <row r="100" spans="3:10" s="41" customFormat="1">
      <c r="C100" s="42"/>
      <c r="D100" s="42"/>
      <c r="I100" s="42"/>
      <c r="J100" s="42"/>
    </row>
    <row r="101" spans="3:10" s="41" customFormat="1">
      <c r="C101" s="42"/>
      <c r="D101" s="42"/>
      <c r="I101" s="42"/>
      <c r="J101" s="42"/>
    </row>
    <row r="102" spans="3:10" s="41" customFormat="1">
      <c r="C102" s="42"/>
      <c r="D102" s="42"/>
      <c r="I102" s="42"/>
      <c r="J102" s="42"/>
    </row>
    <row r="103" spans="3:10" s="41" customFormat="1">
      <c r="C103" s="42"/>
      <c r="D103" s="42"/>
      <c r="I103" s="42"/>
      <c r="J103" s="42"/>
    </row>
    <row r="104" spans="3:10" s="41" customFormat="1">
      <c r="C104" s="42"/>
      <c r="D104" s="42"/>
      <c r="I104" s="42"/>
      <c r="J104" s="42"/>
    </row>
    <row r="105" spans="3:10" s="41" customFormat="1">
      <c r="C105" s="42"/>
      <c r="D105" s="42"/>
      <c r="I105" s="42"/>
      <c r="J105" s="42"/>
    </row>
    <row r="106" spans="3:10" s="41" customFormat="1">
      <c r="C106" s="42"/>
      <c r="D106" s="42"/>
      <c r="I106" s="42"/>
      <c r="J106" s="42"/>
    </row>
    <row r="107" spans="3:10" s="41" customFormat="1">
      <c r="C107" s="42"/>
      <c r="D107" s="42"/>
      <c r="I107" s="42"/>
      <c r="J107" s="42"/>
    </row>
    <row r="108" spans="3:10" s="41" customFormat="1">
      <c r="C108" s="42"/>
      <c r="D108" s="42"/>
      <c r="I108" s="42"/>
      <c r="J108" s="42"/>
    </row>
    <row r="109" spans="3:10" s="41" customFormat="1">
      <c r="C109" s="42"/>
      <c r="D109" s="42"/>
      <c r="I109" s="42"/>
      <c r="J109" s="42"/>
    </row>
    <row r="110" spans="3:10" s="41" customFormat="1">
      <c r="C110" s="42"/>
      <c r="D110" s="42"/>
      <c r="I110" s="42"/>
      <c r="J110" s="42"/>
    </row>
    <row r="111" spans="3:10" s="41" customFormat="1">
      <c r="C111" s="42"/>
      <c r="D111" s="42"/>
      <c r="I111" s="42"/>
      <c r="J111" s="42"/>
    </row>
    <row r="112" spans="3:10" s="41" customFormat="1">
      <c r="C112" s="42"/>
      <c r="D112" s="42"/>
      <c r="I112" s="42"/>
      <c r="J112" s="42"/>
    </row>
    <row r="113" spans="3:10" s="41" customFormat="1">
      <c r="C113" s="42"/>
      <c r="D113" s="42"/>
      <c r="I113" s="42"/>
      <c r="J113" s="42"/>
    </row>
    <row r="114" spans="3:10" s="41" customFormat="1">
      <c r="C114" s="42"/>
      <c r="D114" s="42"/>
      <c r="I114" s="42"/>
      <c r="J114" s="42"/>
    </row>
    <row r="115" spans="3:10" s="41" customFormat="1">
      <c r="C115" s="42"/>
      <c r="D115" s="42"/>
      <c r="I115" s="42"/>
      <c r="J115" s="42"/>
    </row>
    <row r="116" spans="3:10" s="41" customFormat="1">
      <c r="C116" s="42"/>
      <c r="D116" s="42"/>
      <c r="I116" s="42"/>
      <c r="J116" s="42"/>
    </row>
    <row r="117" spans="3:10" s="41" customFormat="1">
      <c r="C117" s="42"/>
      <c r="D117" s="42"/>
      <c r="I117" s="42"/>
      <c r="J117" s="42"/>
    </row>
    <row r="118" spans="3:10" s="41" customFormat="1">
      <c r="C118" s="42"/>
      <c r="D118" s="42"/>
      <c r="I118" s="42"/>
      <c r="J118" s="42"/>
    </row>
    <row r="119" spans="3:10" s="41" customFormat="1">
      <c r="C119" s="42"/>
      <c r="D119" s="42"/>
      <c r="I119" s="42"/>
      <c r="J119" s="42"/>
    </row>
    <row r="120" spans="3:10" s="41" customFormat="1">
      <c r="C120" s="42"/>
      <c r="D120" s="42"/>
      <c r="I120" s="42"/>
      <c r="J120" s="42"/>
    </row>
    <row r="121" spans="3:10" s="41" customFormat="1">
      <c r="C121" s="42"/>
      <c r="D121" s="42"/>
      <c r="I121" s="42"/>
      <c r="J121" s="42"/>
    </row>
    <row r="122" spans="3:10" s="41" customFormat="1">
      <c r="C122" s="42"/>
      <c r="D122" s="42"/>
      <c r="I122" s="42"/>
      <c r="J122" s="42"/>
    </row>
    <row r="123" spans="3:10" s="41" customFormat="1">
      <c r="C123" s="42"/>
      <c r="D123" s="42"/>
      <c r="I123" s="42"/>
      <c r="J123" s="42"/>
    </row>
    <row r="124" spans="3:10" s="41" customFormat="1">
      <c r="C124" s="42"/>
      <c r="D124" s="42"/>
      <c r="I124" s="42"/>
      <c r="J124" s="42"/>
    </row>
    <row r="125" spans="3:10" s="41" customFormat="1">
      <c r="C125" s="42"/>
      <c r="D125" s="42"/>
      <c r="I125" s="42"/>
      <c r="J125" s="42"/>
    </row>
    <row r="126" spans="3:10" s="41" customFormat="1">
      <c r="C126" s="42"/>
      <c r="D126" s="42"/>
      <c r="I126" s="42"/>
      <c r="J126" s="42"/>
    </row>
    <row r="127" spans="3:10" s="41" customFormat="1">
      <c r="C127" s="42"/>
      <c r="D127" s="42"/>
      <c r="I127" s="42"/>
      <c r="J127" s="42"/>
    </row>
    <row r="128" spans="3:10" s="41" customFormat="1">
      <c r="C128" s="42"/>
      <c r="D128" s="42"/>
      <c r="I128" s="42"/>
      <c r="J128" s="42"/>
    </row>
    <row r="129" spans="3:10" s="41" customFormat="1">
      <c r="C129" s="42"/>
      <c r="D129" s="42"/>
      <c r="I129" s="42"/>
      <c r="J129" s="42"/>
    </row>
    <row r="130" spans="3:10" s="41" customFormat="1">
      <c r="C130" s="42"/>
      <c r="D130" s="42"/>
      <c r="I130" s="42"/>
      <c r="J130" s="42"/>
    </row>
    <row r="131" spans="3:10" s="41" customFormat="1">
      <c r="C131" s="42"/>
      <c r="D131" s="42"/>
      <c r="I131" s="42"/>
      <c r="J131" s="42"/>
    </row>
    <row r="132" spans="3:10" s="41" customFormat="1">
      <c r="C132" s="42"/>
      <c r="D132" s="42"/>
      <c r="I132" s="42"/>
      <c r="J132" s="42"/>
    </row>
    <row r="133" spans="3:10" s="41" customFormat="1">
      <c r="C133" s="42"/>
      <c r="D133" s="42"/>
      <c r="I133" s="42"/>
      <c r="J133" s="42"/>
    </row>
    <row r="134" spans="3:10" s="41" customFormat="1">
      <c r="C134" s="42"/>
      <c r="D134" s="42"/>
      <c r="I134" s="42"/>
      <c r="J134" s="42"/>
    </row>
    <row r="135" spans="3:10" s="41" customFormat="1">
      <c r="C135" s="42"/>
      <c r="D135" s="42"/>
      <c r="I135" s="42"/>
      <c r="J135" s="42"/>
    </row>
    <row r="136" spans="3:10" s="41" customFormat="1">
      <c r="C136" s="42"/>
      <c r="D136" s="42"/>
      <c r="I136" s="42"/>
      <c r="J136" s="42"/>
    </row>
    <row r="137" spans="3:10" s="41" customFormat="1">
      <c r="C137" s="42"/>
      <c r="D137" s="42"/>
      <c r="I137" s="42"/>
      <c r="J137" s="42"/>
    </row>
    <row r="138" spans="3:10" s="41" customFormat="1">
      <c r="C138" s="42"/>
      <c r="D138" s="42"/>
      <c r="I138" s="42"/>
      <c r="J138" s="42"/>
    </row>
    <row r="139" spans="3:10" s="41" customFormat="1">
      <c r="C139" s="42"/>
      <c r="D139" s="42"/>
      <c r="I139" s="42"/>
      <c r="J139" s="42"/>
    </row>
    <row r="140" spans="3:10" s="41" customFormat="1">
      <c r="C140" s="42"/>
      <c r="D140" s="42"/>
      <c r="I140" s="42"/>
      <c r="J140" s="42"/>
    </row>
    <row r="141" spans="3:10" s="41" customFormat="1">
      <c r="C141" s="42"/>
      <c r="D141" s="42"/>
      <c r="I141" s="42"/>
      <c r="J141" s="42"/>
    </row>
    <row r="142" spans="3:10" s="41" customFormat="1">
      <c r="C142" s="42"/>
      <c r="D142" s="42"/>
      <c r="I142" s="42"/>
      <c r="J142" s="42"/>
    </row>
    <row r="143" spans="3:10" s="41" customFormat="1">
      <c r="C143" s="42"/>
      <c r="D143" s="42"/>
      <c r="I143" s="42"/>
      <c r="J143" s="42"/>
    </row>
    <row r="144" spans="3:10" s="41" customFormat="1">
      <c r="C144" s="42"/>
      <c r="D144" s="42"/>
      <c r="I144" s="42"/>
      <c r="J144" s="42"/>
    </row>
    <row r="145" spans="3:10" s="41" customFormat="1">
      <c r="C145" s="42"/>
      <c r="D145" s="42"/>
      <c r="I145" s="42"/>
      <c r="J145" s="42"/>
    </row>
    <row r="146" spans="3:10" s="41" customFormat="1">
      <c r="C146" s="42"/>
      <c r="D146" s="42"/>
      <c r="I146" s="42"/>
      <c r="J146" s="42"/>
    </row>
    <row r="147" spans="3:10" s="41" customFormat="1">
      <c r="C147" s="42"/>
      <c r="D147" s="42"/>
      <c r="I147" s="42"/>
      <c r="J147" s="42"/>
    </row>
    <row r="148" spans="3:10" s="41" customFormat="1">
      <c r="C148" s="42"/>
      <c r="D148" s="42"/>
      <c r="I148" s="42"/>
      <c r="J148" s="42"/>
    </row>
    <row r="149" spans="3:10" s="41" customFormat="1">
      <c r="C149" s="42"/>
      <c r="D149" s="42"/>
      <c r="I149" s="42"/>
      <c r="J149" s="42"/>
    </row>
    <row r="150" spans="3:10" s="41" customFormat="1">
      <c r="C150" s="42"/>
      <c r="D150" s="42"/>
      <c r="I150" s="42"/>
      <c r="J150" s="42"/>
    </row>
    <row r="151" spans="3:10" s="41" customFormat="1">
      <c r="C151" s="42"/>
      <c r="D151" s="42"/>
      <c r="I151" s="42"/>
      <c r="J151" s="42"/>
    </row>
    <row r="152" spans="3:10" s="41" customFormat="1">
      <c r="C152" s="42"/>
      <c r="D152" s="42"/>
      <c r="I152" s="42"/>
      <c r="J152" s="42"/>
    </row>
    <row r="153" spans="3:10" s="41" customFormat="1">
      <c r="C153" s="42"/>
      <c r="D153" s="42"/>
      <c r="I153" s="42"/>
      <c r="J153" s="42"/>
    </row>
    <row r="154" spans="3:10" s="41" customFormat="1">
      <c r="C154" s="42"/>
      <c r="D154" s="42"/>
      <c r="I154" s="42"/>
      <c r="J154" s="42"/>
    </row>
    <row r="155" spans="3:10" s="41" customFormat="1">
      <c r="C155" s="42"/>
      <c r="D155" s="42"/>
      <c r="I155" s="42"/>
      <c r="J155" s="42"/>
    </row>
    <row r="156" spans="3:10" s="41" customFormat="1">
      <c r="C156" s="42"/>
      <c r="D156" s="42"/>
      <c r="I156" s="42"/>
      <c r="J156" s="42"/>
    </row>
    <row r="157" spans="3:10" s="41" customFormat="1">
      <c r="C157" s="42"/>
      <c r="D157" s="42"/>
      <c r="I157" s="42"/>
      <c r="J157" s="42"/>
    </row>
    <row r="158" spans="3:10" s="41" customFormat="1">
      <c r="C158" s="42"/>
      <c r="D158" s="42"/>
      <c r="I158" s="42"/>
      <c r="J158" s="42"/>
    </row>
    <row r="159" spans="3:10" s="41" customFormat="1">
      <c r="C159" s="42"/>
      <c r="D159" s="42"/>
      <c r="I159" s="42"/>
      <c r="J159" s="42"/>
    </row>
    <row r="160" spans="3:10" s="41" customFormat="1">
      <c r="C160" s="42"/>
      <c r="D160" s="42"/>
      <c r="I160" s="42"/>
      <c r="J160" s="42"/>
    </row>
    <row r="161" spans="3:10" s="41" customFormat="1">
      <c r="C161" s="42"/>
      <c r="D161" s="42"/>
      <c r="I161" s="42"/>
      <c r="J161" s="42"/>
    </row>
    <row r="162" spans="3:10" s="41" customFormat="1">
      <c r="C162" s="42"/>
      <c r="D162" s="42"/>
      <c r="I162" s="42"/>
      <c r="J162" s="42"/>
    </row>
    <row r="163" spans="3:10" s="41" customFormat="1">
      <c r="C163" s="42"/>
      <c r="D163" s="42"/>
      <c r="I163" s="42"/>
      <c r="J163" s="42"/>
    </row>
    <row r="164" spans="3:10" s="41" customFormat="1">
      <c r="C164" s="42"/>
      <c r="D164" s="42"/>
      <c r="I164" s="42"/>
      <c r="J164" s="42"/>
    </row>
    <row r="165" spans="3:10" s="41" customFormat="1">
      <c r="C165" s="42"/>
      <c r="D165" s="42"/>
      <c r="I165" s="42"/>
      <c r="J165" s="42"/>
    </row>
    <row r="166" spans="3:10" s="41" customFormat="1">
      <c r="C166" s="42"/>
      <c r="D166" s="42"/>
      <c r="I166" s="42"/>
      <c r="J166" s="42"/>
    </row>
    <row r="167" spans="3:10" s="41" customFormat="1">
      <c r="C167" s="42"/>
      <c r="D167" s="42"/>
      <c r="I167" s="42"/>
      <c r="J167" s="42"/>
    </row>
    <row r="168" spans="3:10" s="41" customFormat="1">
      <c r="C168" s="42"/>
      <c r="D168" s="42"/>
      <c r="I168" s="42"/>
      <c r="J168" s="42"/>
    </row>
    <row r="169" spans="3:10" s="41" customFormat="1">
      <c r="C169" s="42"/>
      <c r="D169" s="42"/>
      <c r="I169" s="42"/>
      <c r="J169" s="42"/>
    </row>
    <row r="170" spans="3:10" s="41" customFormat="1">
      <c r="C170" s="42"/>
      <c r="D170" s="42"/>
      <c r="I170" s="42"/>
      <c r="J170" s="42"/>
    </row>
    <row r="171" spans="3:10" s="41" customFormat="1">
      <c r="C171" s="42"/>
      <c r="D171" s="42"/>
      <c r="I171" s="42"/>
      <c r="J171" s="42"/>
    </row>
    <row r="172" spans="3:10" s="41" customFormat="1">
      <c r="C172" s="42"/>
      <c r="D172" s="42"/>
      <c r="I172" s="42"/>
      <c r="J172" s="42"/>
    </row>
    <row r="173" spans="3:10" s="41" customFormat="1">
      <c r="C173" s="42"/>
      <c r="D173" s="42"/>
      <c r="I173" s="42"/>
      <c r="J173" s="42"/>
    </row>
    <row r="174" spans="3:10" s="41" customFormat="1">
      <c r="C174" s="42"/>
      <c r="D174" s="42"/>
      <c r="I174" s="42"/>
      <c r="J174" s="42"/>
    </row>
    <row r="175" spans="3:10" s="41" customFormat="1">
      <c r="C175" s="42"/>
      <c r="D175" s="42"/>
      <c r="I175" s="42"/>
      <c r="J175" s="42"/>
    </row>
    <row r="176" spans="3:10" s="41" customFormat="1">
      <c r="C176" s="42"/>
      <c r="D176" s="42"/>
      <c r="I176" s="42"/>
      <c r="J176" s="42"/>
    </row>
    <row r="177" spans="3:10" s="41" customFormat="1">
      <c r="C177" s="42"/>
      <c r="D177" s="42"/>
      <c r="I177" s="42"/>
      <c r="J177" s="42"/>
    </row>
    <row r="178" spans="3:10" s="41" customFormat="1">
      <c r="C178" s="42"/>
      <c r="D178" s="42"/>
      <c r="I178" s="42"/>
      <c r="J178" s="42"/>
    </row>
    <row r="179" spans="3:10" s="41" customFormat="1">
      <c r="C179" s="42"/>
      <c r="D179" s="42"/>
      <c r="I179" s="42"/>
      <c r="J179" s="42"/>
    </row>
    <row r="180" spans="3:10" s="41" customFormat="1">
      <c r="C180" s="42"/>
      <c r="D180" s="42"/>
      <c r="I180" s="42"/>
      <c r="J180" s="42"/>
    </row>
    <row r="181" spans="3:10" s="41" customFormat="1">
      <c r="C181" s="42"/>
      <c r="D181" s="42"/>
      <c r="I181" s="42"/>
      <c r="J181" s="42"/>
    </row>
    <row r="182" spans="3:10" s="41" customFormat="1">
      <c r="C182" s="42"/>
      <c r="D182" s="42"/>
      <c r="I182" s="42"/>
      <c r="J182" s="42"/>
    </row>
    <row r="183" spans="3:10" s="41" customFormat="1">
      <c r="C183" s="42"/>
      <c r="D183" s="42"/>
      <c r="I183" s="42"/>
      <c r="J183" s="42"/>
    </row>
    <row r="184" spans="3:10" s="41" customFormat="1">
      <c r="C184" s="42"/>
      <c r="D184" s="42"/>
      <c r="I184" s="42"/>
      <c r="J184" s="42"/>
    </row>
    <row r="185" spans="3:10" s="41" customFormat="1">
      <c r="C185" s="42"/>
      <c r="D185" s="42"/>
      <c r="I185" s="42"/>
      <c r="J185" s="42"/>
    </row>
    <row r="186" spans="3:10" s="41" customFormat="1">
      <c r="C186" s="42"/>
      <c r="D186" s="42"/>
      <c r="I186" s="42"/>
      <c r="J186" s="42"/>
    </row>
    <row r="187" spans="3:10" s="41" customFormat="1">
      <c r="C187" s="42"/>
      <c r="D187" s="42"/>
      <c r="I187" s="42"/>
      <c r="J187" s="42"/>
    </row>
    <row r="188" spans="3:10" s="41" customFormat="1">
      <c r="C188" s="42"/>
      <c r="D188" s="42"/>
      <c r="I188" s="42"/>
      <c r="J188" s="42"/>
    </row>
    <row r="189" spans="3:10" s="41" customFormat="1">
      <c r="C189" s="42"/>
      <c r="D189" s="42"/>
      <c r="I189" s="42"/>
      <c r="J189" s="42"/>
    </row>
    <row r="190" spans="3:10" s="41" customFormat="1">
      <c r="C190" s="42"/>
      <c r="D190" s="42"/>
      <c r="I190" s="42"/>
      <c r="J190" s="42"/>
    </row>
    <row r="191" spans="3:10" s="41" customFormat="1">
      <c r="C191" s="42"/>
      <c r="D191" s="42"/>
      <c r="I191" s="42"/>
      <c r="J191" s="42"/>
    </row>
    <row r="192" spans="3:10" s="41" customFormat="1">
      <c r="C192" s="42"/>
      <c r="D192" s="42"/>
      <c r="I192" s="42"/>
      <c r="J192" s="42"/>
    </row>
    <row r="193" spans="3:10" s="41" customFormat="1">
      <c r="C193" s="42"/>
      <c r="D193" s="42"/>
      <c r="I193" s="42"/>
      <c r="J193" s="42"/>
    </row>
    <row r="194" spans="3:10" s="41" customFormat="1">
      <c r="C194" s="42"/>
      <c r="D194" s="42"/>
      <c r="I194" s="42"/>
      <c r="J194" s="42"/>
    </row>
    <row r="195" spans="3:10" s="41" customFormat="1">
      <c r="C195" s="42"/>
      <c r="D195" s="42"/>
      <c r="I195" s="42"/>
      <c r="J195" s="42"/>
    </row>
    <row r="196" spans="3:10" s="41" customFormat="1">
      <c r="C196" s="42"/>
      <c r="D196" s="42"/>
      <c r="I196" s="42"/>
      <c r="J196" s="42"/>
    </row>
    <row r="197" spans="3:10" s="41" customFormat="1">
      <c r="C197" s="42"/>
      <c r="D197" s="42"/>
      <c r="I197" s="42"/>
      <c r="J197" s="42"/>
    </row>
    <row r="198" spans="3:10" s="41" customFormat="1">
      <c r="C198" s="42"/>
      <c r="D198" s="42"/>
      <c r="I198" s="42"/>
      <c r="J198" s="42"/>
    </row>
    <row r="199" spans="3:10" s="41" customFormat="1">
      <c r="C199" s="42"/>
      <c r="D199" s="42"/>
      <c r="I199" s="42"/>
      <c r="J199" s="42"/>
    </row>
    <row r="200" spans="3:10" s="41" customFormat="1">
      <c r="C200" s="42"/>
      <c r="D200" s="42"/>
      <c r="I200" s="42"/>
      <c r="J200" s="42"/>
    </row>
    <row r="201" spans="3:10" s="41" customFormat="1">
      <c r="C201" s="42"/>
      <c r="D201" s="42"/>
      <c r="I201" s="42"/>
      <c r="J201" s="42"/>
    </row>
    <row r="202" spans="3:10" s="41" customFormat="1">
      <c r="C202" s="42"/>
      <c r="D202" s="42"/>
      <c r="I202" s="42"/>
      <c r="J202" s="42"/>
    </row>
    <row r="203" spans="3:10" s="41" customFormat="1">
      <c r="C203" s="42"/>
      <c r="D203" s="42"/>
      <c r="I203" s="42"/>
      <c r="J203" s="42"/>
    </row>
    <row r="204" spans="3:10" s="41" customFormat="1">
      <c r="C204" s="42"/>
      <c r="D204" s="42"/>
      <c r="I204" s="42"/>
      <c r="J204" s="42"/>
    </row>
    <row r="205" spans="3:10" s="41" customFormat="1">
      <c r="C205" s="42"/>
      <c r="D205" s="42"/>
      <c r="I205" s="42"/>
      <c r="J205" s="42"/>
    </row>
    <row r="206" spans="3:10" s="41" customFormat="1">
      <c r="C206" s="42"/>
      <c r="D206" s="42"/>
      <c r="I206" s="42"/>
      <c r="J206" s="42"/>
    </row>
    <row r="207" spans="3:10" s="41" customFormat="1">
      <c r="C207" s="42"/>
      <c r="D207" s="42"/>
      <c r="I207" s="42"/>
      <c r="J207" s="42"/>
    </row>
    <row r="208" spans="3:10" s="41" customFormat="1">
      <c r="C208" s="42"/>
      <c r="D208" s="42"/>
      <c r="I208" s="42"/>
      <c r="J208" s="42"/>
    </row>
    <row r="209" spans="3:10" s="41" customFormat="1">
      <c r="C209" s="42"/>
      <c r="D209" s="42"/>
      <c r="I209" s="42"/>
      <c r="J209" s="42"/>
    </row>
    <row r="210" spans="3:10" s="41" customFormat="1">
      <c r="C210" s="42"/>
      <c r="D210" s="42"/>
      <c r="I210" s="42"/>
      <c r="J210" s="42"/>
    </row>
    <row r="211" spans="3:10" s="41" customFormat="1">
      <c r="C211" s="42"/>
      <c r="D211" s="42"/>
      <c r="I211" s="42"/>
      <c r="J211" s="42"/>
    </row>
    <row r="212" spans="3:10" s="41" customFormat="1">
      <c r="C212" s="42"/>
      <c r="D212" s="42"/>
      <c r="I212" s="42"/>
      <c r="J212" s="42"/>
    </row>
    <row r="213" spans="3:10" s="41" customFormat="1">
      <c r="C213" s="42"/>
      <c r="D213" s="42"/>
      <c r="I213" s="42"/>
      <c r="J213" s="42"/>
    </row>
    <row r="214" spans="3:10" s="41" customFormat="1">
      <c r="C214" s="42"/>
      <c r="D214" s="42"/>
      <c r="I214" s="42"/>
      <c r="J214" s="42"/>
    </row>
    <row r="215" spans="3:10" s="41" customFormat="1">
      <c r="C215" s="42"/>
      <c r="D215" s="42"/>
      <c r="I215" s="42"/>
      <c r="J215" s="42"/>
    </row>
    <row r="216" spans="3:10" s="41" customFormat="1">
      <c r="C216" s="42"/>
      <c r="D216" s="42"/>
      <c r="I216" s="42"/>
      <c r="J216" s="42"/>
    </row>
    <row r="217" spans="3:10" s="41" customFormat="1">
      <c r="C217" s="42"/>
      <c r="D217" s="42"/>
      <c r="I217" s="42"/>
      <c r="J217" s="42"/>
    </row>
    <row r="218" spans="3:10" s="41" customFormat="1">
      <c r="C218" s="42"/>
      <c r="D218" s="42"/>
      <c r="I218" s="42"/>
      <c r="J218" s="42"/>
    </row>
    <row r="219" spans="3:10" s="41" customFormat="1">
      <c r="C219" s="42"/>
      <c r="D219" s="42"/>
      <c r="I219" s="42"/>
      <c r="J219" s="42"/>
    </row>
    <row r="220" spans="3:10" s="41" customFormat="1">
      <c r="C220" s="42"/>
      <c r="D220" s="42"/>
      <c r="I220" s="42"/>
      <c r="J220" s="42"/>
    </row>
    <row r="221" spans="3:10" s="41" customFormat="1">
      <c r="C221" s="42"/>
      <c r="D221" s="42"/>
      <c r="I221" s="42"/>
      <c r="J221" s="42"/>
    </row>
    <row r="222" spans="3:10" s="41" customFormat="1">
      <c r="C222" s="42"/>
      <c r="D222" s="42"/>
      <c r="I222" s="42"/>
      <c r="J222" s="42"/>
    </row>
    <row r="223" spans="3:10" s="41" customFormat="1">
      <c r="C223" s="42"/>
      <c r="D223" s="42"/>
      <c r="I223" s="42"/>
      <c r="J223" s="42"/>
    </row>
    <row r="224" spans="3:10" s="41" customFormat="1">
      <c r="C224" s="42"/>
      <c r="D224" s="42"/>
      <c r="I224" s="42"/>
      <c r="J224" s="42"/>
    </row>
    <row r="225" spans="3:10" s="41" customFormat="1">
      <c r="C225" s="42"/>
      <c r="D225" s="42"/>
      <c r="I225" s="42"/>
      <c r="J225" s="42"/>
    </row>
    <row r="226" spans="3:10" s="41" customFormat="1">
      <c r="C226" s="42"/>
      <c r="D226" s="42"/>
      <c r="I226" s="42"/>
      <c r="J226" s="42"/>
    </row>
    <row r="227" spans="3:10" s="41" customFormat="1">
      <c r="C227" s="42"/>
      <c r="D227" s="42"/>
      <c r="I227" s="42"/>
      <c r="J227" s="42"/>
    </row>
    <row r="228" spans="3:10" s="41" customFormat="1">
      <c r="C228" s="42"/>
      <c r="D228" s="42"/>
      <c r="I228" s="42"/>
      <c r="J228" s="42"/>
    </row>
    <row r="229" spans="3:10" s="41" customFormat="1">
      <c r="C229" s="42"/>
      <c r="D229" s="42"/>
      <c r="I229" s="42"/>
      <c r="J229" s="42"/>
    </row>
    <row r="230" spans="3:10" s="41" customFormat="1">
      <c r="C230" s="42"/>
      <c r="D230" s="42"/>
      <c r="I230" s="42"/>
      <c r="J230" s="42"/>
    </row>
    <row r="231" spans="3:10" s="41" customFormat="1">
      <c r="C231" s="42"/>
      <c r="D231" s="42"/>
      <c r="I231" s="42"/>
      <c r="J231" s="42"/>
    </row>
    <row r="232" spans="3:10" s="41" customFormat="1">
      <c r="C232" s="42"/>
      <c r="D232" s="42"/>
      <c r="I232" s="42"/>
      <c r="J232" s="42"/>
    </row>
    <row r="233" spans="3:10" s="41" customFormat="1">
      <c r="C233" s="42"/>
      <c r="D233" s="42"/>
      <c r="I233" s="42"/>
      <c r="J233" s="42"/>
    </row>
    <row r="234" spans="3:10" s="41" customFormat="1">
      <c r="C234" s="42"/>
      <c r="D234" s="42"/>
      <c r="I234" s="42"/>
      <c r="J234" s="42"/>
    </row>
    <row r="235" spans="3:10" s="41" customFormat="1">
      <c r="C235" s="42"/>
      <c r="D235" s="42"/>
      <c r="I235" s="42"/>
      <c r="J235" s="42"/>
    </row>
    <row r="236" spans="3:10" s="41" customFormat="1">
      <c r="C236" s="42"/>
      <c r="D236" s="42"/>
      <c r="I236" s="42"/>
      <c r="J236" s="42"/>
    </row>
    <row r="237" spans="3:10" s="41" customFormat="1">
      <c r="C237" s="42"/>
      <c r="D237" s="42"/>
      <c r="I237" s="42"/>
      <c r="J237" s="42"/>
    </row>
    <row r="238" spans="3:10" s="41" customFormat="1">
      <c r="C238" s="42"/>
      <c r="D238" s="42"/>
      <c r="I238" s="42"/>
      <c r="J238" s="42"/>
    </row>
    <row r="239" spans="3:10" s="41" customFormat="1">
      <c r="C239" s="42"/>
      <c r="D239" s="42"/>
      <c r="I239" s="42"/>
      <c r="J239" s="42"/>
    </row>
    <row r="240" spans="3:10" s="41" customFormat="1">
      <c r="C240" s="42"/>
      <c r="D240" s="42"/>
      <c r="I240" s="42"/>
      <c r="J240" s="42"/>
    </row>
    <row r="241" spans="3:10" s="41" customFormat="1">
      <c r="C241" s="42"/>
      <c r="D241" s="42"/>
      <c r="I241" s="42"/>
      <c r="J241" s="42"/>
    </row>
    <row r="242" spans="3:10" s="41" customFormat="1">
      <c r="C242" s="42"/>
      <c r="D242" s="42"/>
      <c r="I242" s="42"/>
      <c r="J242" s="42"/>
    </row>
    <row r="243" spans="3:10" s="41" customFormat="1">
      <c r="C243" s="42"/>
      <c r="D243" s="42"/>
      <c r="I243" s="42"/>
      <c r="J243" s="42"/>
    </row>
    <row r="244" spans="3:10" s="41" customFormat="1">
      <c r="C244" s="42"/>
      <c r="D244" s="42"/>
      <c r="I244" s="42"/>
      <c r="J244" s="42"/>
    </row>
    <row r="245" spans="3:10" s="41" customFormat="1">
      <c r="C245" s="42"/>
      <c r="D245" s="42"/>
      <c r="I245" s="42"/>
      <c r="J245" s="42"/>
    </row>
    <row r="246" spans="3:10" s="41" customFormat="1">
      <c r="C246" s="42"/>
      <c r="D246" s="42"/>
      <c r="I246" s="42"/>
      <c r="J246" s="42"/>
    </row>
    <row r="247" spans="3:10" s="41" customFormat="1">
      <c r="C247" s="42"/>
      <c r="D247" s="42"/>
      <c r="I247" s="42"/>
      <c r="J247" s="42"/>
    </row>
    <row r="248" spans="3:10" s="41" customFormat="1">
      <c r="C248" s="42"/>
      <c r="D248" s="42"/>
      <c r="I248" s="42"/>
      <c r="J248" s="42"/>
    </row>
  </sheetData>
  <mergeCells count="1">
    <mergeCell ref="A1:B1"/>
  </mergeCells>
  <pageMargins left="0.23622047244094491" right="0.31496062992125984" top="0.74803149606299213" bottom="0.74803149606299213" header="0.51181102362204722" footer="0.51181102362204722"/>
  <pageSetup paperSize="9" scale="49" fitToHeight="14" orientation="landscape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2015-06-05T18:17:20Z</dcterms:created>
  <dcterms:modified xsi:type="dcterms:W3CDTF">2026-07-13T14:16:36Z</dcterms:modified>
  <cp:category/>
  <cp:contentStatus/>
</cp:coreProperties>
</file>