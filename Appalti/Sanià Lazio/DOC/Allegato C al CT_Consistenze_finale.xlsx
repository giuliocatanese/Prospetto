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myresources.deloitte.com/personal/giacosta_deloitte_it/Documents/Documents/Lazio/Multiservizio 2025/Documenti 17 giugno 2026/Allegati tecnici/"/>
    </mc:Choice>
  </mc:AlternateContent>
  <xr:revisionPtr revIDLastSave="2581" documentId="13_ncr:1_{D7E5EF4F-FF84-46C0-ADC5-F1CC5434A4BC}" xr6:coauthVersionLast="47" xr6:coauthVersionMax="47" xr10:uidLastSave="{57BE5AC5-EB51-48DA-B573-5AF7B6ED899D}"/>
  <bookViews>
    <workbookView xWindow="-110" yWindow="-110" windowWidth="19420" windowHeight="11500" firstSheet="8" activeTab="8" xr2:uid="{163FE8FE-E8B4-42A4-9E60-DD7A4E72BA07}"/>
  </bookViews>
  <sheets>
    <sheet name="ASL RM1" sheetId="14" r:id="rId1"/>
    <sheet name="ASL RM2" sheetId="19" r:id="rId2"/>
    <sheet name="ASL RM3" sheetId="10" r:id="rId3"/>
    <sheet name="ASL RM4" sheetId="12" r:id="rId4"/>
    <sheet name="ASL RM5" sheetId="20" r:id="rId5"/>
    <sheet name="ASL RM6" sheetId="15" r:id="rId6"/>
    <sheet name="ASL LT" sheetId="7" r:id="rId7"/>
    <sheet name="ASL RI" sheetId="5" r:id="rId8"/>
    <sheet name="ASL FR" sheetId="8" r:id="rId9"/>
    <sheet name="AO SGA" sheetId="21" r:id="rId10"/>
    <sheet name="AOU SA" sheetId="1" r:id="rId11"/>
    <sheet name="PTV" sheetId="4" r:id="rId12"/>
  </sheets>
  <externalReferences>
    <externalReference r:id="rId13"/>
  </externalReferences>
  <definedNames>
    <definedName name="_xlnm._FilterDatabase" localSheetId="10" hidden="1">'AOU SA'!$A$8:$AI$8</definedName>
    <definedName name="_xlnm._FilterDatabase" localSheetId="6" hidden="1">'ASL LT'!$A$8:$WRL$136</definedName>
    <definedName name="_xlnm._FilterDatabase" localSheetId="7" hidden="1">'ASL RI'!$A$8:$WUB$136</definedName>
    <definedName name="_xlnm._FilterDatabase" localSheetId="5" hidden="1">'ASL RM6'!$A$4:$AL$136</definedName>
    <definedName name="_xlnm.Print_Area" localSheetId="8">'ASL FR'!$A$1:$AH$136</definedName>
    <definedName name="_xlnm.Print_Area" localSheetId="2">'ASL RM3'!$A$1:$AU$137</definedName>
    <definedName name="_xlnm.Print_Area" localSheetId="11">PTV!$A$1:$E$136</definedName>
    <definedName name="_xlnm.Print_Titles" localSheetId="9">'AO SGA'!$8:$8</definedName>
    <definedName name="_xlnm.Print_Titles" localSheetId="10">'AOU SA'!$8:$8</definedName>
    <definedName name="_xlnm.Print_Titles" localSheetId="8">'ASL FR'!$1:$9</definedName>
    <definedName name="_xlnm.Print_Titles" localSheetId="6">'ASL LT'!$8:$8</definedName>
    <definedName name="_xlnm.Print_Titles" localSheetId="7">'ASL RI'!$8:$8</definedName>
    <definedName name="_xlnm.Print_Titles" localSheetId="2">'ASL RM3'!$8:$8</definedName>
    <definedName name="_xlnm.Print_Titles" localSheetId="3">'ASL RM4'!$8:$8</definedName>
    <definedName name="_xlnm.Print_Titles" localSheetId="11">PTV!$8:$8</definedName>
    <definedName name="Scelta">[1]Sheet1!$A$2:$A$3</definedName>
  </definedNames>
  <calcPr calcId="191028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1" l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6" i="1"/>
  <c r="D77" i="1"/>
  <c r="D78" i="1"/>
  <c r="D79" i="1"/>
  <c r="D80" i="1"/>
  <c r="D81" i="1"/>
  <c r="D82" i="1"/>
  <c r="D83" i="1"/>
  <c r="D84" i="1"/>
  <c r="D85" i="1"/>
  <c r="D86" i="1"/>
  <c r="D87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4" i="1"/>
  <c r="D105" i="1"/>
  <c r="D106" i="1"/>
  <c r="D107" i="1"/>
  <c r="D108" i="1"/>
  <c r="D109" i="1"/>
  <c r="D110" i="1"/>
  <c r="D112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13" i="1"/>
  <c r="D126" i="1"/>
  <c r="D127" i="1"/>
  <c r="D129" i="1"/>
  <c r="D130" i="1"/>
  <c r="D131" i="1"/>
  <c r="D132" i="1"/>
  <c r="D134" i="1"/>
  <c r="D135" i="1"/>
  <c r="D136" i="1"/>
  <c r="D10" i="1"/>
  <c r="D136" i="21"/>
  <c r="D135" i="21"/>
  <c r="D134" i="21"/>
  <c r="D132" i="21"/>
  <c r="D131" i="21"/>
  <c r="D130" i="21"/>
  <c r="D129" i="21"/>
  <c r="D127" i="21"/>
  <c r="D126" i="21"/>
  <c r="D113" i="21"/>
  <c r="D125" i="21"/>
  <c r="D124" i="21"/>
  <c r="D123" i="21"/>
  <c r="D122" i="21"/>
  <c r="D121" i="21"/>
  <c r="D120" i="21"/>
  <c r="D119" i="21"/>
  <c r="D118" i="21"/>
  <c r="D117" i="21"/>
  <c r="D116" i="21"/>
  <c r="D115" i="21"/>
  <c r="D114" i="21"/>
  <c r="D112" i="21"/>
  <c r="D109" i="21"/>
  <c r="D108" i="21"/>
  <c r="D107" i="21"/>
  <c r="D106" i="21"/>
  <c r="D105" i="21"/>
  <c r="D104" i="21"/>
  <c r="D102" i="21"/>
  <c r="D101" i="21"/>
  <c r="D100" i="21"/>
  <c r="D99" i="21"/>
  <c r="D98" i="21"/>
  <c r="D97" i="21"/>
  <c r="D96" i="21"/>
  <c r="D95" i="21"/>
  <c r="D94" i="21"/>
  <c r="D93" i="21"/>
  <c r="D92" i="21"/>
  <c r="D91" i="21"/>
  <c r="D90" i="21"/>
  <c r="D89" i="21"/>
  <c r="D87" i="21"/>
  <c r="D86" i="21"/>
  <c r="D85" i="21"/>
  <c r="D84" i="21"/>
  <c r="D82" i="21"/>
  <c r="D81" i="21"/>
  <c r="D80" i="21"/>
  <c r="D79" i="21"/>
  <c r="D78" i="21"/>
  <c r="D77" i="21"/>
  <c r="D76" i="21"/>
  <c r="D74" i="21"/>
  <c r="D73" i="21"/>
  <c r="D72" i="21"/>
  <c r="D71" i="21"/>
  <c r="D70" i="21"/>
  <c r="D69" i="21"/>
  <c r="D68" i="21"/>
  <c r="D67" i="21"/>
  <c r="D66" i="21"/>
  <c r="D65" i="21"/>
  <c r="D64" i="21"/>
  <c r="D63" i="21"/>
  <c r="D62" i="21"/>
  <c r="D61" i="21"/>
  <c r="D60" i="21"/>
  <c r="D59" i="21"/>
  <c r="D58" i="21"/>
  <c r="D57" i="21"/>
  <c r="D56" i="21"/>
  <c r="D55" i="21"/>
  <c r="D54" i="21"/>
  <c r="D53" i="21"/>
  <c r="D52" i="21"/>
  <c r="D51" i="21"/>
  <c r="D50" i="21"/>
  <c r="D49" i="21"/>
  <c r="D48" i="21"/>
  <c r="D47" i="21"/>
  <c r="D46" i="21"/>
  <c r="D45" i="21"/>
  <c r="D43" i="21"/>
  <c r="D41" i="21"/>
  <c r="D40" i="21"/>
  <c r="D39" i="21"/>
  <c r="D38" i="21"/>
  <c r="D37" i="21"/>
  <c r="D36" i="21"/>
  <c r="D35" i="21"/>
  <c r="D34" i="21"/>
  <c r="D33" i="21"/>
  <c r="D32" i="21"/>
  <c r="D31" i="21"/>
  <c r="D30" i="21"/>
  <c r="D29" i="21"/>
  <c r="D28" i="21"/>
  <c r="D27" i="21"/>
  <c r="D26" i="21"/>
  <c r="D25" i="21"/>
  <c r="D24" i="21"/>
  <c r="D23" i="21"/>
  <c r="D22" i="21"/>
  <c r="D21" i="21"/>
  <c r="D20" i="21"/>
  <c r="D19" i="21"/>
  <c r="D18" i="21"/>
  <c r="D17" i="21"/>
  <c r="D16" i="21"/>
  <c r="D15" i="21"/>
  <c r="D14" i="21"/>
  <c r="D13" i="21"/>
  <c r="D12" i="21"/>
  <c r="D11" i="21"/>
  <c r="D10" i="21"/>
  <c r="D137" i="20" l="1"/>
  <c r="D136" i="20"/>
  <c r="D135" i="20"/>
  <c r="D133" i="20"/>
  <c r="D132" i="20"/>
  <c r="D131" i="20"/>
  <c r="D130" i="20"/>
  <c r="D128" i="20"/>
  <c r="D127" i="20"/>
  <c r="D114" i="20"/>
  <c r="D126" i="20"/>
  <c r="D125" i="20"/>
  <c r="D124" i="20"/>
  <c r="D123" i="20"/>
  <c r="D122" i="20"/>
  <c r="D121" i="20"/>
  <c r="D120" i="20"/>
  <c r="D119" i="20"/>
  <c r="D118" i="20"/>
  <c r="D117" i="20"/>
  <c r="D116" i="20"/>
  <c r="D115" i="20"/>
  <c r="D113" i="20"/>
  <c r="D111" i="20"/>
  <c r="D110" i="20"/>
  <c r="D109" i="20"/>
  <c r="D108" i="20"/>
  <c r="D107" i="20"/>
  <c r="D106" i="20"/>
  <c r="D105" i="20"/>
  <c r="D103" i="20"/>
  <c r="D102" i="20"/>
  <c r="D101" i="20"/>
  <c r="D100" i="20"/>
  <c r="D99" i="20"/>
  <c r="D98" i="20"/>
  <c r="D97" i="20"/>
  <c r="D96" i="20"/>
  <c r="D95" i="20"/>
  <c r="D94" i="20"/>
  <c r="D93" i="20"/>
  <c r="D92" i="20"/>
  <c r="D91" i="20"/>
  <c r="D90" i="20"/>
  <c r="D88" i="20"/>
  <c r="D87" i="20"/>
  <c r="D86" i="20"/>
  <c r="D85" i="20"/>
  <c r="D84" i="20"/>
  <c r="D83" i="20"/>
  <c r="D82" i="20"/>
  <c r="D81" i="20"/>
  <c r="D80" i="20"/>
  <c r="D79" i="20"/>
  <c r="D78" i="20"/>
  <c r="D77" i="20"/>
  <c r="D75" i="20"/>
  <c r="D74" i="20"/>
  <c r="D73" i="20"/>
  <c r="D72" i="20"/>
  <c r="D71" i="20"/>
  <c r="D70" i="20"/>
  <c r="D69" i="20"/>
  <c r="D68" i="20"/>
  <c r="D67" i="20"/>
  <c r="D66" i="20"/>
  <c r="D65" i="20"/>
  <c r="D64" i="20"/>
  <c r="D63" i="20"/>
  <c r="D62" i="20"/>
  <c r="D61" i="20"/>
  <c r="D60" i="20"/>
  <c r="D59" i="20"/>
  <c r="D58" i="20"/>
  <c r="D57" i="20"/>
  <c r="D56" i="20"/>
  <c r="D55" i="20"/>
  <c r="D54" i="20"/>
  <c r="D53" i="20"/>
  <c r="D52" i="20"/>
  <c r="D51" i="20"/>
  <c r="D50" i="20"/>
  <c r="D49" i="20"/>
  <c r="D48" i="20"/>
  <c r="D47" i="20"/>
  <c r="D46" i="20"/>
  <c r="D44" i="20"/>
  <c r="D43" i="20"/>
  <c r="D42" i="20"/>
  <c r="D41" i="20"/>
  <c r="D40" i="20"/>
  <c r="D39" i="20"/>
  <c r="D38" i="20"/>
  <c r="D37" i="20"/>
  <c r="D36" i="20"/>
  <c r="D35" i="20"/>
  <c r="D34" i="20"/>
  <c r="D33" i="20"/>
  <c r="D32" i="20"/>
  <c r="D31" i="20"/>
  <c r="D30" i="20"/>
  <c r="D29" i="20"/>
  <c r="D28" i="20"/>
  <c r="D27" i="20"/>
  <c r="D26" i="20"/>
  <c r="D25" i="20"/>
  <c r="D24" i="20"/>
  <c r="D23" i="20"/>
  <c r="D22" i="20"/>
  <c r="D21" i="20"/>
  <c r="D20" i="20"/>
  <c r="D19" i="20"/>
  <c r="D18" i="20"/>
  <c r="D17" i="20"/>
  <c r="D16" i="20"/>
  <c r="D15" i="20"/>
  <c r="D14" i="20"/>
  <c r="D13" i="20"/>
  <c r="D12" i="20"/>
  <c r="D11" i="20"/>
  <c r="D110" i="4" l="1"/>
  <c r="D110" i="8"/>
  <c r="D110" i="5"/>
  <c r="D110" i="7"/>
  <c r="D110" i="15"/>
  <c r="D110" i="12"/>
  <c r="D110" i="10"/>
  <c r="D110" i="19"/>
  <c r="D110" i="14"/>
  <c r="D11" i="19" l="1"/>
  <c r="D12" i="19"/>
  <c r="D13" i="19"/>
  <c r="D14" i="19"/>
  <c r="D15" i="19"/>
  <c r="D16" i="19"/>
  <c r="D17" i="19"/>
  <c r="D18" i="19"/>
  <c r="D19" i="19"/>
  <c r="D20" i="19"/>
  <c r="D21" i="19"/>
  <c r="D22" i="19"/>
  <c r="D23" i="19"/>
  <c r="D24" i="19"/>
  <c r="D25" i="19"/>
  <c r="D26" i="19"/>
  <c r="D27" i="19"/>
  <c r="D28" i="19"/>
  <c r="D30" i="19"/>
  <c r="D31" i="19"/>
  <c r="D32" i="19"/>
  <c r="D33" i="19"/>
  <c r="D34" i="19"/>
  <c r="D35" i="19"/>
  <c r="D36" i="19"/>
  <c r="BI37" i="19"/>
  <c r="BJ37" i="19"/>
  <c r="BK37" i="19"/>
  <c r="D37" i="19"/>
  <c r="BI38" i="19"/>
  <c r="BJ38" i="19"/>
  <c r="BK38" i="19"/>
  <c r="BI39" i="19"/>
  <c r="BJ39" i="19"/>
  <c r="BK39" i="19"/>
  <c r="D39" i="19"/>
  <c r="D40" i="19"/>
  <c r="D41" i="19"/>
  <c r="D42" i="19"/>
  <c r="D43" i="19"/>
  <c r="D46" i="19"/>
  <c r="D47" i="19"/>
  <c r="D49" i="19"/>
  <c r="D50" i="19"/>
  <c r="D51" i="19"/>
  <c r="D52" i="19"/>
  <c r="D53" i="19"/>
  <c r="D54" i="19"/>
  <c r="D55" i="19"/>
  <c r="D56" i="19"/>
  <c r="D57" i="19"/>
  <c r="D58" i="19"/>
  <c r="D59" i="19"/>
  <c r="D60" i="19"/>
  <c r="D61" i="19"/>
  <c r="D62" i="19"/>
  <c r="D63" i="19"/>
  <c r="D64" i="19"/>
  <c r="D66" i="19"/>
  <c r="D67" i="19"/>
  <c r="D68" i="19"/>
  <c r="D69" i="19"/>
  <c r="D70" i="19"/>
  <c r="D71" i="19"/>
  <c r="D72" i="19"/>
  <c r="D73" i="19"/>
  <c r="D74" i="19"/>
  <c r="D76" i="19"/>
  <c r="D77" i="19"/>
  <c r="D78" i="19"/>
  <c r="D79" i="19"/>
  <c r="D80" i="19"/>
  <c r="D82" i="19"/>
  <c r="D83" i="19"/>
  <c r="D84" i="19"/>
  <c r="D85" i="19"/>
  <c r="D86" i="19"/>
  <c r="D87" i="19"/>
  <c r="D100" i="19"/>
  <c r="D101" i="19"/>
  <c r="D102" i="19"/>
  <c r="D112" i="19"/>
  <c r="D114" i="19"/>
  <c r="D115" i="19"/>
  <c r="D116" i="19"/>
  <c r="D117" i="19"/>
  <c r="D119" i="19"/>
  <c r="D120" i="19"/>
  <c r="D121" i="19"/>
  <c r="D122" i="19"/>
  <c r="D123" i="19"/>
  <c r="D124" i="19"/>
  <c r="D125" i="19"/>
  <c r="D113" i="19"/>
  <c r="D126" i="19"/>
  <c r="D127" i="19"/>
  <c r="D10" i="19"/>
  <c r="D136" i="19"/>
  <c r="D135" i="19"/>
  <c r="D134" i="19"/>
  <c r="D132" i="19"/>
  <c r="D131" i="19"/>
  <c r="D130" i="19"/>
  <c r="D129" i="19"/>
  <c r="D118" i="19"/>
  <c r="D109" i="19"/>
  <c r="D108" i="19"/>
  <c r="D107" i="19"/>
  <c r="D106" i="19"/>
  <c r="D105" i="19"/>
  <c r="D104" i="19"/>
  <c r="D99" i="19"/>
  <c r="D98" i="19"/>
  <c r="D97" i="19"/>
  <c r="D96" i="19"/>
  <c r="D95" i="19"/>
  <c r="D94" i="19"/>
  <c r="D93" i="19"/>
  <c r="D92" i="19"/>
  <c r="D91" i="19"/>
  <c r="D90" i="19"/>
  <c r="D89" i="19"/>
  <c r="D81" i="19"/>
  <c r="D65" i="19"/>
  <c r="D48" i="19"/>
  <c r="D45" i="19"/>
  <c r="D29" i="19"/>
  <c r="D14" i="15"/>
  <c r="D109" i="15"/>
  <c r="D10" i="15"/>
  <c r="D11" i="15"/>
  <c r="D12" i="15"/>
  <c r="D13" i="15"/>
  <c r="D15" i="15"/>
  <c r="D16" i="15"/>
  <c r="D17" i="15"/>
  <c r="D18" i="15"/>
  <c r="D19" i="15"/>
  <c r="D20" i="15"/>
  <c r="D21" i="15"/>
  <c r="D22" i="15"/>
  <c r="D23" i="15"/>
  <c r="D24" i="15"/>
  <c r="D25" i="15"/>
  <c r="D26" i="15"/>
  <c r="D27" i="15"/>
  <c r="D28" i="15"/>
  <c r="D29" i="15"/>
  <c r="D30" i="15"/>
  <c r="D31" i="15"/>
  <c r="D32" i="15"/>
  <c r="D33" i="15"/>
  <c r="D34" i="15"/>
  <c r="D35" i="15"/>
  <c r="D36" i="15"/>
  <c r="D37" i="15"/>
  <c r="D38" i="15"/>
  <c r="D39" i="15"/>
  <c r="D40" i="15"/>
  <c r="D41" i="15"/>
  <c r="D42" i="15"/>
  <c r="D43" i="15"/>
  <c r="D45" i="15"/>
  <c r="D46" i="15"/>
  <c r="D47" i="15"/>
  <c r="D48" i="15"/>
  <c r="D49" i="15"/>
  <c r="D50" i="15"/>
  <c r="D51" i="15"/>
  <c r="D52" i="15"/>
  <c r="D53" i="15"/>
  <c r="D54" i="15"/>
  <c r="D55" i="15"/>
  <c r="D56" i="15"/>
  <c r="D57" i="15"/>
  <c r="D58" i="15"/>
  <c r="D59" i="15"/>
  <c r="D60" i="15"/>
  <c r="D61" i="15"/>
  <c r="D62" i="15"/>
  <c r="D63" i="15"/>
  <c r="D64" i="15"/>
  <c r="D65" i="15"/>
  <c r="D66" i="15"/>
  <c r="D67" i="15"/>
  <c r="D68" i="15"/>
  <c r="D69" i="15"/>
  <c r="D70" i="15"/>
  <c r="D71" i="15"/>
  <c r="D72" i="15"/>
  <c r="D73" i="15"/>
  <c r="D74" i="15"/>
  <c r="D76" i="15"/>
  <c r="D77" i="15"/>
  <c r="D78" i="15"/>
  <c r="D79" i="15"/>
  <c r="D80" i="15"/>
  <c r="D81" i="15"/>
  <c r="D82" i="15"/>
  <c r="D83" i="15"/>
  <c r="D84" i="15"/>
  <c r="D85" i="15"/>
  <c r="D86" i="15"/>
  <c r="D87" i="15"/>
  <c r="D89" i="15"/>
  <c r="D90" i="15"/>
  <c r="D91" i="15"/>
  <c r="D92" i="15"/>
  <c r="D93" i="15"/>
  <c r="D94" i="15"/>
  <c r="D95" i="15"/>
  <c r="D96" i="15"/>
  <c r="D97" i="15"/>
  <c r="D98" i="15"/>
  <c r="D99" i="15"/>
  <c r="D100" i="15"/>
  <c r="D101" i="15"/>
  <c r="D102" i="15"/>
  <c r="D104" i="15"/>
  <c r="D105" i="15"/>
  <c r="D106" i="15"/>
  <c r="D107" i="15"/>
  <c r="D108" i="15"/>
  <c r="D112" i="15"/>
  <c r="D114" i="15"/>
  <c r="D115" i="15"/>
  <c r="D116" i="15"/>
  <c r="D117" i="15"/>
  <c r="D118" i="15"/>
  <c r="D119" i="15"/>
  <c r="D120" i="15"/>
  <c r="D121" i="15"/>
  <c r="D122" i="15"/>
  <c r="D123" i="15"/>
  <c r="D124" i="15"/>
  <c r="D125" i="15"/>
  <c r="D113" i="15"/>
  <c r="D126" i="15"/>
  <c r="D127" i="15"/>
  <c r="D129" i="15"/>
  <c r="D130" i="15"/>
  <c r="D131" i="15"/>
  <c r="D132" i="15"/>
  <c r="D134" i="15"/>
  <c r="D135" i="15"/>
  <c r="D136" i="15"/>
  <c r="D11" i="14"/>
  <c r="D12" i="14"/>
  <c r="D13" i="14"/>
  <c r="D14" i="14"/>
  <c r="D15" i="14"/>
  <c r="D16" i="14"/>
  <c r="D17" i="14"/>
  <c r="D18" i="14"/>
  <c r="D19" i="14"/>
  <c r="D20" i="14"/>
  <c r="D21" i="14"/>
  <c r="D22" i="14"/>
  <c r="D23" i="14"/>
  <c r="D24" i="14"/>
  <c r="D25" i="14"/>
  <c r="D26" i="14"/>
  <c r="D27" i="14"/>
  <c r="D28" i="14"/>
  <c r="D29" i="14"/>
  <c r="D30" i="14"/>
  <c r="D31" i="14"/>
  <c r="D32" i="14"/>
  <c r="D33" i="14"/>
  <c r="D34" i="14"/>
  <c r="D35" i="14"/>
  <c r="D36" i="14"/>
  <c r="D37" i="14"/>
  <c r="D38" i="14"/>
  <c r="D39" i="14"/>
  <c r="D40" i="14"/>
  <c r="D41" i="14"/>
  <c r="D42" i="14"/>
  <c r="D43" i="14"/>
  <c r="D45" i="14"/>
  <c r="D46" i="14"/>
  <c r="D47" i="14"/>
  <c r="D48" i="14"/>
  <c r="D49" i="14"/>
  <c r="D50" i="14"/>
  <c r="D51" i="14"/>
  <c r="D52" i="14"/>
  <c r="D53" i="14"/>
  <c r="D54" i="14"/>
  <c r="D55" i="14"/>
  <c r="D56" i="14"/>
  <c r="D57" i="14"/>
  <c r="D58" i="14"/>
  <c r="D59" i="14"/>
  <c r="D60" i="14"/>
  <c r="D61" i="14"/>
  <c r="D62" i="14"/>
  <c r="D63" i="14"/>
  <c r="D64" i="14"/>
  <c r="D65" i="14"/>
  <c r="D66" i="14"/>
  <c r="D67" i="14"/>
  <c r="D68" i="14"/>
  <c r="D69" i="14"/>
  <c r="D70" i="14"/>
  <c r="D71" i="14"/>
  <c r="D72" i="14"/>
  <c r="D73" i="14"/>
  <c r="D74" i="14"/>
  <c r="D76" i="14"/>
  <c r="D77" i="14"/>
  <c r="D78" i="14"/>
  <c r="D79" i="14"/>
  <c r="D80" i="14"/>
  <c r="D81" i="14"/>
  <c r="D82" i="14"/>
  <c r="D83" i="14"/>
  <c r="D84" i="14"/>
  <c r="D85" i="14"/>
  <c r="D86" i="14"/>
  <c r="D87" i="14"/>
  <c r="D89" i="14"/>
  <c r="D90" i="14"/>
  <c r="D91" i="14"/>
  <c r="D92" i="14"/>
  <c r="D93" i="14"/>
  <c r="D94" i="14"/>
  <c r="D95" i="14"/>
  <c r="D96" i="14"/>
  <c r="D97" i="14"/>
  <c r="D98" i="14"/>
  <c r="D99" i="14"/>
  <c r="D100" i="14"/>
  <c r="D101" i="14"/>
  <c r="D102" i="14"/>
  <c r="D104" i="14"/>
  <c r="D105" i="14"/>
  <c r="D106" i="14"/>
  <c r="D107" i="14"/>
  <c r="D108" i="14"/>
  <c r="D109" i="14"/>
  <c r="D112" i="14"/>
  <c r="D114" i="14"/>
  <c r="D115" i="14"/>
  <c r="D116" i="14"/>
  <c r="D117" i="14"/>
  <c r="D118" i="14"/>
  <c r="D119" i="14"/>
  <c r="D120" i="14"/>
  <c r="D121" i="14"/>
  <c r="D122" i="14"/>
  <c r="D123" i="14"/>
  <c r="D124" i="14"/>
  <c r="D125" i="14"/>
  <c r="D113" i="14"/>
  <c r="D126" i="14"/>
  <c r="D127" i="14"/>
  <c r="D129" i="14"/>
  <c r="D130" i="14"/>
  <c r="D131" i="14"/>
  <c r="D132" i="14"/>
  <c r="D134" i="14"/>
  <c r="D135" i="14"/>
  <c r="D136" i="14"/>
  <c r="D10" i="14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6" i="8"/>
  <c r="D77" i="8"/>
  <c r="D78" i="8"/>
  <c r="D79" i="8"/>
  <c r="D80" i="8"/>
  <c r="D81" i="8"/>
  <c r="D82" i="8"/>
  <c r="D83" i="8"/>
  <c r="D84" i="8"/>
  <c r="D85" i="8"/>
  <c r="D86" i="8"/>
  <c r="D87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4" i="8"/>
  <c r="D105" i="8"/>
  <c r="D106" i="8"/>
  <c r="D107" i="8"/>
  <c r="D108" i="8"/>
  <c r="D109" i="8"/>
  <c r="D112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13" i="8"/>
  <c r="D126" i="8"/>
  <c r="D127" i="8"/>
  <c r="D129" i="8"/>
  <c r="D130" i="8"/>
  <c r="D131" i="8"/>
  <c r="D132" i="8"/>
  <c r="D134" i="8"/>
  <c r="D135" i="8"/>
  <c r="D136" i="8"/>
  <c r="D10" i="8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6" i="5"/>
  <c r="D77" i="5"/>
  <c r="D78" i="5"/>
  <c r="D79" i="5"/>
  <c r="D80" i="5"/>
  <c r="D81" i="5"/>
  <c r="D82" i="5"/>
  <c r="D83" i="5"/>
  <c r="D84" i="5"/>
  <c r="D85" i="5"/>
  <c r="D86" i="5"/>
  <c r="D87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4" i="5"/>
  <c r="D105" i="5"/>
  <c r="D106" i="5"/>
  <c r="D107" i="5"/>
  <c r="D108" i="5"/>
  <c r="D109" i="5"/>
  <c r="D112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13" i="5"/>
  <c r="D126" i="5"/>
  <c r="D127" i="5"/>
  <c r="D129" i="5"/>
  <c r="D130" i="5"/>
  <c r="D131" i="5"/>
  <c r="D132" i="5"/>
  <c r="D134" i="5"/>
  <c r="D135" i="5"/>
  <c r="D136" i="5"/>
  <c r="D10" i="5"/>
  <c r="D135" i="7"/>
  <c r="D119" i="7"/>
  <c r="D120" i="7"/>
  <c r="D121" i="7"/>
  <c r="D122" i="7"/>
  <c r="D123" i="7"/>
  <c r="D124" i="7"/>
  <c r="D125" i="7"/>
  <c r="D113" i="7"/>
  <c r="D126" i="7"/>
  <c r="D127" i="7"/>
  <c r="D104" i="7"/>
  <c r="D97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6" i="7"/>
  <c r="D77" i="7"/>
  <c r="D78" i="7"/>
  <c r="D79" i="7"/>
  <c r="D80" i="7"/>
  <c r="D81" i="7"/>
  <c r="D82" i="7"/>
  <c r="D83" i="7"/>
  <c r="D84" i="7"/>
  <c r="D85" i="7"/>
  <c r="D86" i="7"/>
  <c r="D87" i="7"/>
  <c r="D89" i="7"/>
  <c r="D90" i="7"/>
  <c r="D91" i="7"/>
  <c r="D92" i="7"/>
  <c r="D93" i="7"/>
  <c r="D94" i="7"/>
  <c r="D95" i="7"/>
  <c r="D96" i="7"/>
  <c r="D98" i="7"/>
  <c r="D99" i="7"/>
  <c r="D100" i="7"/>
  <c r="D101" i="7"/>
  <c r="D102" i="7"/>
  <c r="D105" i="7"/>
  <c r="D106" i="7"/>
  <c r="D107" i="7"/>
  <c r="D108" i="7"/>
  <c r="D109" i="7"/>
  <c r="D112" i="7"/>
  <c r="D114" i="7"/>
  <c r="D115" i="7"/>
  <c r="D116" i="7"/>
  <c r="D117" i="7"/>
  <c r="D118" i="7"/>
  <c r="D129" i="7"/>
  <c r="D130" i="7"/>
  <c r="D131" i="7"/>
  <c r="D132" i="7"/>
  <c r="D134" i="7"/>
  <c r="D136" i="7"/>
  <c r="D10" i="7"/>
  <c r="D11" i="12"/>
  <c r="D12" i="12"/>
  <c r="D13" i="12"/>
  <c r="D14" i="12"/>
  <c r="D15" i="12"/>
  <c r="D16" i="12"/>
  <c r="D17" i="12"/>
  <c r="D18" i="12"/>
  <c r="D19" i="12"/>
  <c r="D20" i="12"/>
  <c r="D21" i="12"/>
  <c r="D22" i="12"/>
  <c r="D23" i="12"/>
  <c r="D24" i="12"/>
  <c r="D25" i="12"/>
  <c r="D26" i="12"/>
  <c r="D27" i="12"/>
  <c r="D28" i="12"/>
  <c r="D29" i="12"/>
  <c r="D30" i="12"/>
  <c r="D31" i="12"/>
  <c r="D32" i="12"/>
  <c r="D33" i="12"/>
  <c r="D34" i="12"/>
  <c r="D35" i="12"/>
  <c r="D36" i="12"/>
  <c r="D37" i="12"/>
  <c r="D38" i="12"/>
  <c r="D39" i="12"/>
  <c r="D40" i="12"/>
  <c r="D41" i="12"/>
  <c r="D42" i="12"/>
  <c r="D43" i="12"/>
  <c r="D45" i="12"/>
  <c r="D46" i="12"/>
  <c r="D47" i="12"/>
  <c r="D48" i="12"/>
  <c r="D49" i="12"/>
  <c r="D50" i="12"/>
  <c r="D51" i="12"/>
  <c r="D52" i="12"/>
  <c r="D53" i="12"/>
  <c r="D54" i="12"/>
  <c r="D55" i="12"/>
  <c r="D56" i="12"/>
  <c r="D57" i="12"/>
  <c r="D58" i="12"/>
  <c r="D59" i="12"/>
  <c r="D60" i="12"/>
  <c r="D61" i="12"/>
  <c r="D62" i="12"/>
  <c r="D63" i="12"/>
  <c r="D64" i="12"/>
  <c r="D65" i="12"/>
  <c r="D66" i="12"/>
  <c r="D67" i="12"/>
  <c r="D68" i="12"/>
  <c r="D69" i="12"/>
  <c r="D70" i="12"/>
  <c r="D73" i="12"/>
  <c r="D74" i="12"/>
  <c r="D76" i="12"/>
  <c r="D77" i="12"/>
  <c r="D78" i="12"/>
  <c r="D79" i="12"/>
  <c r="D80" i="12"/>
  <c r="D81" i="12"/>
  <c r="D82" i="12"/>
  <c r="D83" i="12"/>
  <c r="D84" i="12"/>
  <c r="D85" i="12"/>
  <c r="D86" i="12"/>
  <c r="D87" i="12"/>
  <c r="D89" i="12"/>
  <c r="D90" i="12"/>
  <c r="D91" i="12"/>
  <c r="D92" i="12"/>
  <c r="D93" i="12"/>
  <c r="D94" i="12"/>
  <c r="D95" i="12"/>
  <c r="D96" i="12"/>
  <c r="D97" i="12"/>
  <c r="D98" i="12"/>
  <c r="D99" i="12"/>
  <c r="D100" i="12"/>
  <c r="D101" i="12"/>
  <c r="D102" i="12"/>
  <c r="D104" i="12"/>
  <c r="D105" i="12"/>
  <c r="D106" i="12"/>
  <c r="D107" i="12"/>
  <c r="D108" i="12"/>
  <c r="D109" i="12"/>
  <c r="D112" i="12"/>
  <c r="D114" i="12"/>
  <c r="D115" i="12"/>
  <c r="D116" i="12"/>
  <c r="D117" i="12"/>
  <c r="D118" i="12"/>
  <c r="D119" i="12"/>
  <c r="D120" i="12"/>
  <c r="D121" i="12"/>
  <c r="D122" i="12"/>
  <c r="D123" i="12"/>
  <c r="D124" i="12"/>
  <c r="D125" i="12"/>
  <c r="D113" i="12"/>
  <c r="D126" i="12"/>
  <c r="D127" i="12"/>
  <c r="D129" i="12"/>
  <c r="D130" i="12"/>
  <c r="D131" i="12"/>
  <c r="D132" i="12"/>
  <c r="D134" i="12"/>
  <c r="D135" i="12"/>
  <c r="D136" i="12"/>
  <c r="D10" i="12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5" i="10"/>
  <c r="D46" i="10"/>
  <c r="D47" i="10"/>
  <c r="D48" i="10"/>
  <c r="D49" i="10"/>
  <c r="D50" i="10"/>
  <c r="D51" i="10"/>
  <c r="D52" i="10"/>
  <c r="D53" i="10"/>
  <c r="D54" i="10"/>
  <c r="D55" i="10"/>
  <c r="D56" i="10"/>
  <c r="D57" i="10"/>
  <c r="D58" i="10"/>
  <c r="D59" i="10"/>
  <c r="D60" i="10"/>
  <c r="D61" i="10"/>
  <c r="D62" i="10"/>
  <c r="D63" i="10"/>
  <c r="D64" i="10"/>
  <c r="D65" i="10"/>
  <c r="D66" i="10"/>
  <c r="D67" i="10"/>
  <c r="D68" i="10"/>
  <c r="D69" i="10"/>
  <c r="D70" i="10"/>
  <c r="D73" i="10"/>
  <c r="D74" i="10"/>
  <c r="D76" i="10"/>
  <c r="D77" i="10"/>
  <c r="D78" i="10"/>
  <c r="D79" i="10"/>
  <c r="D80" i="10"/>
  <c r="D81" i="10"/>
  <c r="D82" i="10"/>
  <c r="D83" i="10"/>
  <c r="D84" i="10"/>
  <c r="D85" i="10"/>
  <c r="D86" i="10"/>
  <c r="D87" i="10"/>
  <c r="D89" i="10"/>
  <c r="D90" i="10"/>
  <c r="D91" i="10"/>
  <c r="D92" i="10"/>
  <c r="D93" i="10"/>
  <c r="D94" i="10"/>
  <c r="D95" i="10"/>
  <c r="D96" i="10"/>
  <c r="D97" i="10"/>
  <c r="D98" i="10"/>
  <c r="D99" i="10"/>
  <c r="D100" i="10"/>
  <c r="D101" i="10"/>
  <c r="D102" i="10"/>
  <c r="D104" i="10"/>
  <c r="D105" i="10"/>
  <c r="D106" i="10"/>
  <c r="D107" i="10"/>
  <c r="D108" i="10"/>
  <c r="D109" i="10"/>
  <c r="D112" i="10"/>
  <c r="D114" i="10"/>
  <c r="D115" i="10"/>
  <c r="D116" i="10"/>
  <c r="D117" i="10"/>
  <c r="D118" i="10"/>
  <c r="D119" i="10"/>
  <c r="D120" i="10"/>
  <c r="D121" i="10"/>
  <c r="D122" i="10"/>
  <c r="D123" i="10"/>
  <c r="D124" i="10"/>
  <c r="D125" i="10"/>
  <c r="D113" i="10"/>
  <c r="D126" i="10"/>
  <c r="D127" i="10"/>
  <c r="D129" i="10"/>
  <c r="D130" i="10"/>
  <c r="D131" i="10"/>
  <c r="D132" i="10"/>
  <c r="D10" i="10"/>
  <c r="D134" i="10"/>
  <c r="D135" i="10"/>
  <c r="D136" i="10"/>
  <c r="D71" i="10"/>
  <c r="D72" i="10"/>
  <c r="D11" i="4"/>
  <c r="D12" i="4"/>
  <c r="D13" i="4"/>
  <c r="D14" i="4"/>
  <c r="D15" i="4"/>
  <c r="D16" i="4"/>
  <c r="D17" i="4"/>
  <c r="D19" i="4"/>
  <c r="D20" i="4"/>
  <c r="D21" i="4"/>
  <c r="D22" i="4"/>
  <c r="D23" i="4"/>
  <c r="D24" i="4"/>
  <c r="D25" i="4"/>
  <c r="D26" i="4"/>
  <c r="D27" i="4"/>
  <c r="D28" i="4"/>
  <c r="D29" i="4"/>
  <c r="D31" i="4"/>
  <c r="D33" i="4"/>
  <c r="D34" i="4"/>
  <c r="D36" i="4"/>
  <c r="D40" i="4"/>
  <c r="D41" i="4"/>
  <c r="D42" i="4"/>
  <c r="D43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6" i="4"/>
  <c r="D67" i="4"/>
  <c r="D68" i="4"/>
  <c r="D69" i="4"/>
  <c r="D70" i="4"/>
  <c r="D71" i="4"/>
  <c r="D72" i="4"/>
  <c r="D73" i="4"/>
  <c r="D74" i="4"/>
  <c r="D76" i="4"/>
  <c r="D77" i="4"/>
  <c r="D78" i="4"/>
  <c r="D79" i="4"/>
  <c r="D80" i="4"/>
  <c r="D81" i="4"/>
  <c r="D82" i="4"/>
  <c r="D84" i="4"/>
  <c r="D85" i="4"/>
  <c r="D86" i="4"/>
  <c r="D87" i="4"/>
  <c r="D89" i="4"/>
  <c r="D90" i="4"/>
  <c r="D91" i="4"/>
  <c r="D92" i="4"/>
  <c r="D93" i="4"/>
  <c r="D94" i="4"/>
  <c r="D95" i="4"/>
  <c r="D96" i="4"/>
  <c r="D99" i="4"/>
  <c r="D100" i="4"/>
  <c r="D101" i="4"/>
  <c r="D102" i="4"/>
  <c r="D104" i="4"/>
  <c r="D105" i="4"/>
  <c r="D106" i="4"/>
  <c r="D107" i="4"/>
  <c r="D108" i="4"/>
  <c r="D109" i="4"/>
  <c r="D112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13" i="4"/>
  <c r="D126" i="4"/>
  <c r="D127" i="4"/>
  <c r="D129" i="4"/>
  <c r="D130" i="4"/>
  <c r="D131" i="4"/>
  <c r="D132" i="4"/>
  <c r="D134" i="4"/>
  <c r="D135" i="4"/>
  <c r="D136" i="4"/>
  <c r="D10" i="4"/>
  <c r="E98" i="4"/>
  <c r="D98" i="4" s="1"/>
  <c r="E97" i="4"/>
  <c r="D97" i="4" s="1"/>
  <c r="E83" i="4"/>
  <c r="D83" i="4" s="1"/>
  <c r="E65" i="4"/>
  <c r="D65" i="4" s="1"/>
  <c r="E39" i="4"/>
  <c r="D39" i="4" s="1"/>
  <c r="E38" i="4"/>
  <c r="D38" i="4" s="1"/>
  <c r="E37" i="4"/>
  <c r="D37" i="4" s="1"/>
  <c r="E35" i="4"/>
  <c r="D35" i="4" s="1"/>
  <c r="E32" i="4"/>
  <c r="D32" i="4" s="1"/>
  <c r="E30" i="4"/>
  <c r="D30" i="4" s="1"/>
  <c r="E18" i="4"/>
  <c r="D18" i="4" s="1"/>
  <c r="D38" i="19" l="1"/>
</calcChain>
</file>

<file path=xl/sharedStrings.xml><?xml version="1.0" encoding="utf-8"?>
<sst xmlns="http://schemas.openxmlformats.org/spreadsheetml/2006/main" count="7726" uniqueCount="1412">
  <si>
    <t>ASL ROMA 1</t>
  </si>
  <si>
    <t>Numero</t>
  </si>
  <si>
    <t>Nome presidio</t>
  </si>
  <si>
    <t>Ospedale San Filippo Neri</t>
  </si>
  <si>
    <t>Ospedale Santo Spirito</t>
  </si>
  <si>
    <t>Ospedale Oftalmico</t>
  </si>
  <si>
    <t>Ospedale Sant'Andrea</t>
  </si>
  <si>
    <t>Ospedale Nuovo Regina Margherita</t>
  </si>
  <si>
    <t>Clinica Sant'Anna</t>
  </si>
  <si>
    <t>Ex Officine</t>
  </si>
  <si>
    <t>Piazza Santa Maria della Pietà, 5</t>
  </si>
  <si>
    <t>Tipologia presidio</t>
  </si>
  <si>
    <t>Ospedaliero</t>
  </si>
  <si>
    <t>Extra Ospedaliero</t>
  </si>
  <si>
    <t>Indirizzo presidio</t>
  </si>
  <si>
    <t>Via Giovanni Martinotti, 20</t>
  </si>
  <si>
    <t>Lungotevere in Sassia, 1</t>
  </si>
  <si>
    <t>Piazzale degli Eroi, 11</t>
  </si>
  <si>
    <t>Via Cassia, 721</t>
  </si>
  <si>
    <t>Viale Emilio Morosini, 30</t>
  </si>
  <si>
    <t>Via Garigliano, 55</t>
  </si>
  <si>
    <t>Via Canova, 19</t>
  </si>
  <si>
    <t>Via Boncompagni, 101</t>
  </si>
  <si>
    <t>Via Palestro, 39</t>
  </si>
  <si>
    <t>Via Baccina, 81 Int 2 (int 5)</t>
  </si>
  <si>
    <t>Via Baccina, 81 Int 4 (int 8)</t>
  </si>
  <si>
    <t>Via dei Riari, 48</t>
  </si>
  <si>
    <t>Piazza Castellani</t>
  </si>
  <si>
    <t>Via dei Cappellari, 100</t>
  </si>
  <si>
    <t>Via Ariosto, 3/9</t>
  </si>
  <si>
    <t>Via Galilei, 3-9-13</t>
  </si>
  <si>
    <t>Via Luzzatti, 8</t>
  </si>
  <si>
    <t>Via Piatti, 19</t>
  </si>
  <si>
    <t>Via Tagliamento, 19</t>
  </si>
  <si>
    <t>Via Tanaro, 5</t>
  </si>
  <si>
    <t>Piazzale Porta Pia, 121</t>
  </si>
  <si>
    <t>Via Tripoli, 39</t>
  </si>
  <si>
    <t>Via Sabrata, 12</t>
  </si>
  <si>
    <t>Via Turchia, 7</t>
  </si>
  <si>
    <t>Via Boemondo, 21</t>
  </si>
  <si>
    <t>Circconvallazione Nomentana, 498</t>
  </si>
  <si>
    <t>Via dei Frentani, 6</t>
  </si>
  <si>
    <t>Largo degli Osci, 22</t>
  </si>
  <si>
    <t>Via Nomentana, 2/b</t>
  </si>
  <si>
    <t>Via Lampedusa, 23</t>
  </si>
  <si>
    <t>Via di Montesacro, 8</t>
  </si>
  <si>
    <t>Via Monte Tomatico, 9</t>
  </si>
  <si>
    <t>Via Baccini 80 - Via Niccodemi 95</t>
  </si>
  <si>
    <t>Via Dina Galli, 8</t>
  </si>
  <si>
    <t>Via Fratelli Lumiere, 36</t>
  </si>
  <si>
    <t>Via Nomentana, 1119</t>
  </si>
  <si>
    <t>Via Pasquariello, 8</t>
  </si>
  <si>
    <t>Via Quarrata, 15 int 1</t>
  </si>
  <si>
    <t>Via Quarrata 7, int 2</t>
  </si>
  <si>
    <t>Via Quarrata 7, int 1</t>
  </si>
  <si>
    <t>Via Quarrata, 7 int 3</t>
  </si>
  <si>
    <t>Via Farulli, 6</t>
  </si>
  <si>
    <t>Via Lablache, 4</t>
  </si>
  <si>
    <t>Via Lablache, 36</t>
  </si>
  <si>
    <t>Via Quarrata, 15 int 2</t>
  </si>
  <si>
    <t>Via Monte Rocchetta, 14</t>
  </si>
  <si>
    <t>Via Dina Galli, 3</t>
  </si>
  <si>
    <t>Via Donato Bramante, 3</t>
  </si>
  <si>
    <t>Via degli Olimpionici, 19</t>
  </si>
  <si>
    <t>Viale Angelico, 28</t>
  </si>
  <si>
    <t>Via di Boccea, 271</t>
  </si>
  <si>
    <t>Via di Boccea, 625</t>
  </si>
  <si>
    <t>Via Federico Borromeo, 67</t>
  </si>
  <si>
    <t>Via Casal Piombino, 30</t>
  </si>
  <si>
    <t>Via Catone, 20</t>
  </si>
  <si>
    <t>Via Catone, 30</t>
  </si>
  <si>
    <t>Via Corridoni, 12</t>
  </si>
  <si>
    <t>Via San Francesco De Santis, 9</t>
  </si>
  <si>
    <t>Via Antonio Di Giorgio, 19</t>
  </si>
  <si>
    <t>Via Angelo Emo, 11-13</t>
  </si>
  <si>
    <t>Via Galline Bianche, 82</t>
  </si>
  <si>
    <t>Via Pietro Gasparri, 21</t>
  </si>
  <si>
    <t>Via Gasparri, 23</t>
  </si>
  <si>
    <t>Via Innocenzo IV, 16/B</t>
  </si>
  <si>
    <t>Via Ludovico Jacobini, 6</t>
  </si>
  <si>
    <t>Via delle Milizie, 3</t>
  </si>
  <si>
    <t>Via Oslavia, 37</t>
  </si>
  <si>
    <t>Via Plinio, 31</t>
  </si>
  <si>
    <t>Via San Iginio Papa, 282/A</t>
  </si>
  <si>
    <t>Via San Iginio Papa, 282/B</t>
  </si>
  <si>
    <t>Piazza San Zaccaria Papa, 1</t>
  </si>
  <si>
    <t>Via Domenico Silveri, 8/10</t>
  </si>
  <si>
    <t>Via Sodini, 24</t>
  </si>
  <si>
    <t>Via Sodini, 52</t>
  </si>
  <si>
    <t>Via della Stazione di Cesano, 838</t>
  </si>
  <si>
    <t>Via Stazione di Prima Porta, 10</t>
  </si>
  <si>
    <t>Via Timavo, 15</t>
  </si>
  <si>
    <t>Via Cosimo Tornabuoni, 50</t>
  </si>
  <si>
    <t>Via di Valle Aurelia, 115/A</t>
  </si>
  <si>
    <t>Lungotevere della Vittoria, 3</t>
  </si>
  <si>
    <t>Via Cassia, 472</t>
  </si>
  <si>
    <t>Via di Valle Aurelia, 257</t>
  </si>
  <si>
    <t>Via Clauzetto, 12</t>
  </si>
  <si>
    <t>Via Cristoforo Colombo, 112</t>
  </si>
  <si>
    <t>Via Paolo Emilio Castagnola, 15</t>
  </si>
  <si>
    <t>Piazza Santa Maria della Pietà, 5 - Padiglione 1</t>
  </si>
  <si>
    <t>Piazza Santa Maria della Pietà, 5 - Padiglione 2</t>
  </si>
  <si>
    <t>Piazza Santa Maria della Pietà, 5 - Padiglione 5</t>
  </si>
  <si>
    <t>Piazza Santa Maria della Pietà, 5 - Padiglione 7</t>
  </si>
  <si>
    <t>Piazza Santa Maria della Pietà, 5 - Padiglione 8</t>
  </si>
  <si>
    <t>Piazza Santa Maria della Pietà, 5 - Padiglione 9</t>
  </si>
  <si>
    <t>Piazza Santa Maria della Pietà, 5 - Padiglione 12</t>
  </si>
  <si>
    <t>Piazza Santa Maria della Pietà, 5 - Padiglione 14</t>
  </si>
  <si>
    <t>Piazza Santa Maria della Pietà, 5 - Padiglione 22</t>
  </si>
  <si>
    <t>Piazza Santa Maria della Pietà, 5 - Padiglione 6 MUSEO</t>
  </si>
  <si>
    <t>Piazza Santa Maria della Pietà, 5 - Padiglione 13</t>
  </si>
  <si>
    <t>Piazza Santa Maria della Pietà, 5 - Padiglione 16</t>
  </si>
  <si>
    <t>Piazza Santa Maria della Pietà, 5 - Padiglione 17</t>
  </si>
  <si>
    <t>Piazza Santa Maria della Pietà, 5 - Padiglione 26</t>
  </si>
  <si>
    <t>Piazza Santa Maria della Pietà, 5 - Padiglione 27</t>
  </si>
  <si>
    <t>Piazza Santa Maria della Pietà, 5 - Padiglione 32</t>
  </si>
  <si>
    <t>Piazza Santa Maria della Pietà, 5 - Padiglione 36</t>
  </si>
  <si>
    <t>Piazza Santa Maria della Pietà, 5 - Padiglione 36L</t>
  </si>
  <si>
    <t>Piazza Santa Maria della Pietà, 5 - Padiglione 41</t>
  </si>
  <si>
    <t>Piazza Santa Maria della Pietà, 5 - Padiglione 90</t>
  </si>
  <si>
    <t>Piazza Santa Maria della Pietà, 5 - Padiglione 90 Bis</t>
  </si>
  <si>
    <t>Non Diviso</t>
  </si>
  <si>
    <t>Classe energetica</t>
  </si>
  <si>
    <t>D</t>
  </si>
  <si>
    <t>B</t>
  </si>
  <si>
    <t>E</t>
  </si>
  <si>
    <t>C</t>
  </si>
  <si>
    <t>A1</t>
  </si>
  <si>
    <t>G</t>
  </si>
  <si>
    <t>D - C</t>
  </si>
  <si>
    <t>F</t>
  </si>
  <si>
    <t>n.d.</t>
  </si>
  <si>
    <t>A3</t>
  </si>
  <si>
    <t>AREA A VERDE - PARCO</t>
  </si>
  <si>
    <t>Proprietà / Locazione / Comodato</t>
  </si>
  <si>
    <t>Proprietà</t>
  </si>
  <si>
    <t>Locazione Passiva</t>
  </si>
  <si>
    <t>Comodato d'uso gratuito</t>
  </si>
  <si>
    <t>occupazione ex L. 833/78</t>
  </si>
  <si>
    <t>concessione d'uso gratuito</t>
  </si>
  <si>
    <t>demanio</t>
  </si>
  <si>
    <t>locazione passiva</t>
  </si>
  <si>
    <t>comodato d'uso gratuito</t>
  </si>
  <si>
    <t>locazione a canone ridotto</t>
  </si>
  <si>
    <t>locazione a canone ricognitorio</t>
  </si>
  <si>
    <t>concessione d'uso</t>
  </si>
  <si>
    <t xml:space="preserve">locazione attiva </t>
  </si>
  <si>
    <t>Presenza Diagnosi energetica (si/no)</t>
  </si>
  <si>
    <t>Si</t>
  </si>
  <si>
    <t>In Acquisizione</t>
  </si>
  <si>
    <t>In acquisizione</t>
  </si>
  <si>
    <t>Codice</t>
  </si>
  <si>
    <t>Descrizione</t>
  </si>
  <si>
    <t>Unità di misura</t>
  </si>
  <si>
    <t>Totale</t>
  </si>
  <si>
    <t>Servizio energia - Manutenzione impianti di climatizzazione (B2)</t>
  </si>
  <si>
    <t>B2.01 - B2.02 - B2.12</t>
  </si>
  <si>
    <t>Caldaie fino a 35kW</t>
  </si>
  <si>
    <t>n.ro caldaie</t>
  </si>
  <si>
    <t>Caldaie da 36kW a 350 kW</t>
  </si>
  <si>
    <t>Caldaie da 350 kW a 1000kW</t>
  </si>
  <si>
    <t>Caldaie superiore a 1000 kW</t>
  </si>
  <si>
    <t>B2.02.11</t>
  </si>
  <si>
    <t>Solare termico</t>
  </si>
  <si>
    <t>kW</t>
  </si>
  <si>
    <t>B2.02.02</t>
  </si>
  <si>
    <t>Serbatoi di combustibile liquido</t>
  </si>
  <si>
    <t>n.ro serbatoi</t>
  </si>
  <si>
    <t>B2.02.13</t>
  </si>
  <si>
    <t>Scambiatori di calore (piastre e fascio tubiero) fino a 200 kW</t>
  </si>
  <si>
    <t>n.ro scambiatori</t>
  </si>
  <si>
    <t>Scambiatori di calore (piastre e fascio tubiero) da 201kW a 1000 kW</t>
  </si>
  <si>
    <t>Scambiatori di calore (piastre e fascio tubiero) superiore a 1000kW</t>
  </si>
  <si>
    <t>B2.02.14 / 15 - B2.12</t>
  </si>
  <si>
    <t>Generatori indiretti di vapore e accessori</t>
  </si>
  <si>
    <t xml:space="preserve">n.ro generatori indiretti di vapore </t>
  </si>
  <si>
    <t>B2.02.16 / 15 - B2.12</t>
  </si>
  <si>
    <t xml:space="preserve">Generatori di vapore elettrici e accessori </t>
  </si>
  <si>
    <t>n.ro generatori di vapore elettrici</t>
  </si>
  <si>
    <t>B2.03.01</t>
  </si>
  <si>
    <t>Conduzione cogeneratore</t>
  </si>
  <si>
    <t xml:space="preserve">ore </t>
  </si>
  <si>
    <t>B2.03.02/03/04/05/06</t>
  </si>
  <si>
    <t>Manutenzione cogeneratore di potenza inferiore 350 kW termici</t>
  </si>
  <si>
    <t>Manutenzione cogeneratore di potenza superiore 350 kW termici</t>
  </si>
  <si>
    <t>B2.04</t>
  </si>
  <si>
    <t>Gruppi frigoriferi a vite/centrifughi fino a 100 kW</t>
  </si>
  <si>
    <t>n.ro gruppo frigorifero</t>
  </si>
  <si>
    <t>Gruppi frigoriferi a vite/centrifughi da 101 kW a 350 kW</t>
  </si>
  <si>
    <t>Gruppi frigoriferi a vite/centrifughi da 351 kW a 1000 kW</t>
  </si>
  <si>
    <t>Gruppi frigoriferi a vite/centrifughi oltre 1000 kW</t>
  </si>
  <si>
    <t>B2.04 - B2.15</t>
  </si>
  <si>
    <t>Torri evaporative</t>
  </si>
  <si>
    <t>n.ro torri evaporative</t>
  </si>
  <si>
    <t>B2.01 -B2.05 -B2.06 -B2.07 - B2.09 - B2.10 - B2.11</t>
  </si>
  <si>
    <t>Distribuzione impianti idronici e sottocentrali</t>
  </si>
  <si>
    <t>m2 superficie netta</t>
  </si>
  <si>
    <t>B2.07.05</t>
  </si>
  <si>
    <t>Ventilconvettori</t>
  </si>
  <si>
    <t>n.ro ventilcovettori</t>
  </si>
  <si>
    <t>B2.07.06</t>
  </si>
  <si>
    <t>Aerotermi - lame d'aria</t>
  </si>
  <si>
    <t>n.ro aerotermi - lame d'aria</t>
  </si>
  <si>
    <t>B2.07.07/09</t>
  </si>
  <si>
    <t>Condizionatori tipo split/VRV /carrellabili</t>
  </si>
  <si>
    <t>n.ro unità interna</t>
  </si>
  <si>
    <t>B2.08 - B2.13 - B2.15</t>
  </si>
  <si>
    <t>Unità di Trattamento Aria senza filtro assoluto</t>
  </si>
  <si>
    <t>n.ro U.T.A.</t>
  </si>
  <si>
    <t>Unità di Trattamento Aria con filtro assoluto</t>
  </si>
  <si>
    <t>B2.08</t>
  </si>
  <si>
    <t>Filtri a carbone</t>
  </si>
  <si>
    <t>n.ro cartucce</t>
  </si>
  <si>
    <t>B2.01 - B2.08.04/ 05/06 - B2.09 - B2.10 - B2.11</t>
  </si>
  <si>
    <t>Canali di distribuzione, ripresa, serrande e bocchette e relativi locali tecnici</t>
  </si>
  <si>
    <t>m2 superficie netta climatizzata (presenti ricambi d'aria)</t>
  </si>
  <si>
    <t>B2.14</t>
  </si>
  <si>
    <t>Determinazione della carica microbiologica ambientale "at rest" e "in operational"  (nota: n.6 analisi semestrali per locale)</t>
  </si>
  <si>
    <t>n. analisi</t>
  </si>
  <si>
    <t>Verifiche per attestazione classe di contaminazione particellare - ISO 5 (nota: analisi semestrali per locale - n. analisi per locale=radice quadrata della superficie del locale)</t>
  </si>
  <si>
    <t>Verifiche per attestazione classe di contaminazione particellare - ISO 7/ ISO 8 (nota: analisi annuale per locale - n. analisi per locale=radice quadrata della superficie del locale)</t>
  </si>
  <si>
    <t>Presidio fisso per conduzione centrali termiche con produzione di vapore (1 persona h24/365)</t>
  </si>
  <si>
    <t>n. presidi (h24/365)</t>
  </si>
  <si>
    <t>B2.16</t>
  </si>
  <si>
    <t>Impianto di refrigerazione cella frigo (deposito farmaci)</t>
  </si>
  <si>
    <t>n. celle frigo</t>
  </si>
  <si>
    <t>Presidio emergenze (termoidrauilico)</t>
  </si>
  <si>
    <t>n. unità (feriali 17.00-7.00, sabato e domenica h24)</t>
  </si>
  <si>
    <t>B2.04.05</t>
  </si>
  <si>
    <t>Assorbitori</t>
  </si>
  <si>
    <t>Numero assorbitori</t>
  </si>
  <si>
    <t>Manutenzione Impianti elettrici ( C)</t>
  </si>
  <si>
    <t>C2 - C6</t>
  </si>
  <si>
    <t>Distribuzione elettrica, quadri, ecc.</t>
  </si>
  <si>
    <t>C2.09</t>
  </si>
  <si>
    <t>Corpi illuminanti esterni</t>
  </si>
  <si>
    <t>n.ro corpi illuminanti esterni</t>
  </si>
  <si>
    <t>C3.02</t>
  </si>
  <si>
    <t>Impianti comunicazione paziente personale</t>
  </si>
  <si>
    <t>n.ro posti letto</t>
  </si>
  <si>
    <t>C3.03</t>
  </si>
  <si>
    <t>Impianti interfonici</t>
  </si>
  <si>
    <t>n.ro centrali</t>
  </si>
  <si>
    <t>C3.04</t>
  </si>
  <si>
    <t>Impianti antintrusione</t>
  </si>
  <si>
    <t>m2 lordi superficie servita</t>
  </si>
  <si>
    <t>C3.05</t>
  </si>
  <si>
    <t>Impianti allarmi tecnologici - gas – allagamento</t>
  </si>
  <si>
    <t>n.ro impianti</t>
  </si>
  <si>
    <t>C3.06</t>
  </si>
  <si>
    <t>Impianti SOV</t>
  </si>
  <si>
    <t xml:space="preserve">C4.01 </t>
  </si>
  <si>
    <t>Trasformatori</t>
  </si>
  <si>
    <t>n.ro trasformatori</t>
  </si>
  <si>
    <t>C4.02</t>
  </si>
  <si>
    <t>Rifasatori</t>
  </si>
  <si>
    <t>n.ro rifasatori</t>
  </si>
  <si>
    <t>C4.03</t>
  </si>
  <si>
    <t>Gruppo elettrogeno fino a 500 kVA</t>
  </si>
  <si>
    <t>n.ro gruppi elettrogeni</t>
  </si>
  <si>
    <t>Gruppo elettrogeno da 501 kVA a 800 kVA</t>
  </si>
  <si>
    <t>Gruppo elettrogeno fino da 801 kVA a 1000 kVA</t>
  </si>
  <si>
    <t>C4.05</t>
  </si>
  <si>
    <t>Gruppo elettrogeno oltre 1000 kVA</t>
  </si>
  <si>
    <t>Gruppo statico di continuità /soccorritore  fino a 10 kVA</t>
  </si>
  <si>
    <t>n.ro gruppi statici di continuità</t>
  </si>
  <si>
    <t>Gruppo statico di continuità / soccorritore da 11 kVA a 60 kVA</t>
  </si>
  <si>
    <t>Gruppo statico di continuità / soccorritore da 61 kVA a 100 kVA</t>
  </si>
  <si>
    <t>Gruppo statico di continuità / soccorritore  da 101 kVA a 160 kVA</t>
  </si>
  <si>
    <t xml:space="preserve">Gruppo statico di continuità /soccorritore oltre 160 kVA </t>
  </si>
  <si>
    <t>C4.07</t>
  </si>
  <si>
    <t>Impianti fotovoltaici</t>
  </si>
  <si>
    <t>kWp</t>
  </si>
  <si>
    <t>C5</t>
  </si>
  <si>
    <t>Verifiche locali uso medico</t>
  </si>
  <si>
    <t>n.ro locali gruppo 1 e 2</t>
  </si>
  <si>
    <t>Verifiche impianti di terra e protezione scariche atmosferiche</t>
  </si>
  <si>
    <t>C4.08</t>
  </si>
  <si>
    <t>Cabina smistamento media tensione</t>
  </si>
  <si>
    <t>n.ro cabine</t>
  </si>
  <si>
    <t>C3.07</t>
  </si>
  <si>
    <t>Controllo Accessi</t>
  </si>
  <si>
    <t>n. varchi</t>
  </si>
  <si>
    <t>C7</t>
  </si>
  <si>
    <t>Impianto elettrico e illuminazione elisuperficie</t>
  </si>
  <si>
    <t>n. elisuperficie</t>
  </si>
  <si>
    <t xml:space="preserve">Presidio per servizio telecontrollo e gestione emergenza (h24/365) </t>
  </si>
  <si>
    <t>n. unità (h24/365)</t>
  </si>
  <si>
    <t>Presidio emergenze elettrico</t>
  </si>
  <si>
    <t>C2.20</t>
  </si>
  <si>
    <t>Impianti eliminacode</t>
  </si>
  <si>
    <t>Impianti eliminacode indirizzati in rete</t>
  </si>
  <si>
    <t>C2.21</t>
  </si>
  <si>
    <t>Impianto di trasporto pneumatico</t>
  </si>
  <si>
    <t>n.ro stazioni</t>
  </si>
  <si>
    <t>C2.22</t>
  </si>
  <si>
    <t>Tornelli</t>
  </si>
  <si>
    <t>n.ro tornelli</t>
  </si>
  <si>
    <t>Manutenzione impianti idrici (D)</t>
  </si>
  <si>
    <t>D2.01- D2.02</t>
  </si>
  <si>
    <t>Centrali idriche</t>
  </si>
  <si>
    <t>n.ro vasche</t>
  </si>
  <si>
    <t>D2.02.07</t>
  </si>
  <si>
    <t>Impianto clorazione continua acqua prevenzione legionella</t>
  </si>
  <si>
    <t>n. impianti</t>
  </si>
  <si>
    <t>D2.02</t>
  </si>
  <si>
    <t>Impianti addolcimento</t>
  </si>
  <si>
    <t>n.ro addolcitori</t>
  </si>
  <si>
    <t>Impianti di osmosi inversa</t>
  </si>
  <si>
    <t>n.ro apparecchiature di osmosi</t>
  </si>
  <si>
    <t>D2.02.12</t>
  </si>
  <si>
    <t>Trattamento con colonne di resina a letto misto (1+1 colonna)</t>
  </si>
  <si>
    <t xml:space="preserve">n.ro impianti </t>
  </si>
  <si>
    <t>D2.03 - D2.04</t>
  </si>
  <si>
    <t>Distribuzione idrico sanitaria</t>
  </si>
  <si>
    <t>D3.01</t>
  </si>
  <si>
    <t>Apparecchiature controllo legionellosi</t>
  </si>
  <si>
    <t>n.ro impianti produttori biossido di cloro</t>
  </si>
  <si>
    <t>D3.01.06/07</t>
  </si>
  <si>
    <t>Prove della legionella della rete idrico-sanitaria</t>
  </si>
  <si>
    <t>n.ro analisi effettuate annue</t>
  </si>
  <si>
    <t>D3.02</t>
  </si>
  <si>
    <t>Trattamento acqua dialisi – anche MD</t>
  </si>
  <si>
    <t>n.ro impianti trattamento acqua dialisi</t>
  </si>
  <si>
    <t>D3.04</t>
  </si>
  <si>
    <t>Filtrazione assoluta ai terminali</t>
  </si>
  <si>
    <t>n.ro terminali con filtro</t>
  </si>
  <si>
    <t>D3.03</t>
  </si>
  <si>
    <t>Ultrafiltri in linea</t>
  </si>
  <si>
    <t>n.ro ultrafiltri in linea</t>
  </si>
  <si>
    <t>D3.05</t>
  </si>
  <si>
    <t>Piscina ad uso riabilitativo</t>
  </si>
  <si>
    <t>n. piscina</t>
  </si>
  <si>
    <t>Manutenzione impianti e apparecchiature antincendio (E)</t>
  </si>
  <si>
    <t>E1.03 - E1.06 - E3.04</t>
  </si>
  <si>
    <t>compartimentazioni, serrande tagliafuoco</t>
  </si>
  <si>
    <t>m2 superficie netta servita</t>
  </si>
  <si>
    <t>E2.01 - E2.04 - E2.05</t>
  </si>
  <si>
    <t>impianti rivelazione e segnalazione incendi</t>
  </si>
  <si>
    <t xml:space="preserve">E1.04 - E1.05 </t>
  </si>
  <si>
    <t>segnaletica antincendio e vie di esodo</t>
  </si>
  <si>
    <t>E2.02</t>
  </si>
  <si>
    <t>illuminazione di emergenza</t>
  </si>
  <si>
    <t>E1.01</t>
  </si>
  <si>
    <t>Porte tagliafuoco</t>
  </si>
  <si>
    <t>n.ro porte tagliafuoco</t>
  </si>
  <si>
    <t>E1.02</t>
  </si>
  <si>
    <t>Estintori</t>
  </si>
  <si>
    <t>n.ro estintori</t>
  </si>
  <si>
    <t>E1.07</t>
  </si>
  <si>
    <t>Evacuatori di fumo e calore e infissi motorizzati ai fini antincendio</t>
  </si>
  <si>
    <t>n.ro evacuatori di fumo e calore</t>
  </si>
  <si>
    <t>E3.01 - E3.08</t>
  </si>
  <si>
    <t>Centrale di pressurizzazione</t>
  </si>
  <si>
    <t>E3.02 - E3.08</t>
  </si>
  <si>
    <t>Rete idrica e terminali</t>
  </si>
  <si>
    <t>n.ro idranti o naspi</t>
  </si>
  <si>
    <t>E3.05 - E3.08</t>
  </si>
  <si>
    <t>Impianti spegnimento automatico a gas inerte</t>
  </si>
  <si>
    <t>n.ro bombole</t>
  </si>
  <si>
    <t>E3-03/09</t>
  </si>
  <si>
    <t>Impianti di spegnimento a sprinkler o watermist</t>
  </si>
  <si>
    <t>m2 di superficie netta dei locali serviti da impianti sprinkler o watermist</t>
  </si>
  <si>
    <t>E3.06</t>
  </si>
  <si>
    <t xml:space="preserve">Impianto spegnimento a schiuma </t>
  </si>
  <si>
    <t>n. impianto</t>
  </si>
  <si>
    <t>E3.07</t>
  </si>
  <si>
    <t>Estrattori e pressurizzatori d'aria ai fini antincendio</t>
  </si>
  <si>
    <t>n. estrattori/pressurizzatori</t>
  </si>
  <si>
    <t>Impianti di spegnimento aereosol di sali di potassio</t>
  </si>
  <si>
    <t>m2 di superficie netta dei locali serviti da impianti a Sali di potassio</t>
  </si>
  <si>
    <t>Manutenzione impianti elevatori (F)</t>
  </si>
  <si>
    <t>F1.01</t>
  </si>
  <si>
    <t>Elevatori 1-5 piani (fino a 6 fermate)</t>
  </si>
  <si>
    <t>n.ro elevatori</t>
  </si>
  <si>
    <t>Elevatori 6-10 piani (fino a 11 fermate)</t>
  </si>
  <si>
    <t>Elevatori oltre i 10 piani (oltre 11 fermate)</t>
  </si>
  <si>
    <t>F1.02</t>
  </si>
  <si>
    <t>Servoscala</t>
  </si>
  <si>
    <t>n.ro servoscala</t>
  </si>
  <si>
    <t>F1.04</t>
  </si>
  <si>
    <t>Piattaforma elevatrice</t>
  </si>
  <si>
    <t>n.ro piattaforme elevatrici</t>
  </si>
  <si>
    <t>Presidio emergenze (ascensorista)</t>
  </si>
  <si>
    <t>n. unità (lun-sab 8.00-17:00)</t>
  </si>
  <si>
    <t>Presidio emergenze (ascensorista) (1 persona h24/365)</t>
  </si>
  <si>
    <t>Manutenzione altri impianti (G)</t>
  </si>
  <si>
    <t>G1.01.01 - G1.02 - G1.03</t>
  </si>
  <si>
    <t>Fosse biologiche &gt; 5 mc/vasche di prima pioggia/disoleatori</t>
  </si>
  <si>
    <t xml:space="preserve">n.ro </t>
  </si>
  <si>
    <t>G1.01.02</t>
  </si>
  <si>
    <t>Fosse biologiche  fino a 5 mc</t>
  </si>
  <si>
    <t>n.ro impianto</t>
  </si>
  <si>
    <t>G2.05</t>
  </si>
  <si>
    <t>Impianti di smaltimento liquidi radioattivi</t>
  </si>
  <si>
    <t>G2.08</t>
  </si>
  <si>
    <t>Impianto smaltimento liquidi autoptici</t>
  </si>
  <si>
    <t>G1.06.04</t>
  </si>
  <si>
    <t>Pompe di sollevamento acque nere e chiare</t>
  </si>
  <si>
    <t>n.ro impianti sollevamento acque chiare e nere</t>
  </si>
  <si>
    <t>G2.01.01</t>
  </si>
  <si>
    <t>Cancelli e sbarre motorizzati</t>
  </si>
  <si>
    <t>n.ro cancelli e sbarre motorizzate</t>
  </si>
  <si>
    <t>G2.01.02</t>
  </si>
  <si>
    <t>Porte automatiche e portoni sezionali</t>
  </si>
  <si>
    <t>n.ro porte automatiche</t>
  </si>
  <si>
    <t>G2.01.03</t>
  </si>
  <si>
    <t>Porte automatiche per bunker radioprotetto</t>
  </si>
  <si>
    <t>n.ro porte automatiche per bunker radioprotetto</t>
  </si>
  <si>
    <t>G2.02</t>
  </si>
  <si>
    <t>Linee vita e sistemi di ancoraggio</t>
  </si>
  <si>
    <t>n.ro sistemi di ancoraggio (linee vita)</t>
  </si>
  <si>
    <t>G2.09</t>
  </si>
  <si>
    <t>Impianto declorazione (piazzola rifiuti)</t>
  </si>
  <si>
    <t>G2.04</t>
  </si>
  <si>
    <t>Impianto smaltimento reflui infetti laboratorio</t>
  </si>
  <si>
    <t>G2.10</t>
  </si>
  <si>
    <t>Impianto di disinfezione in continuo a biossido di cloro per reflui</t>
  </si>
  <si>
    <t>G2.12</t>
  </si>
  <si>
    <t>Impianto di abbattimento tensioattivi per reflui</t>
  </si>
  <si>
    <t>G2.13</t>
  </si>
  <si>
    <t>Impianti di sgrigliatura fine a filtrococlea</t>
  </si>
  <si>
    <t>G2.11</t>
  </si>
  <si>
    <t>Disinfenzione a ipoclorito di sodio</t>
  </si>
  <si>
    <t>G2.03</t>
  </si>
  <si>
    <t>Sistema anticaduta perimetrale elisuperficie in quota</t>
  </si>
  <si>
    <t>Canone per la gestione (A)</t>
  </si>
  <si>
    <t>Rilievi architettonici</t>
  </si>
  <si>
    <t>m2</t>
  </si>
  <si>
    <t>Rilievi impiantistici</t>
  </si>
  <si>
    <t>Costituzione anagrafica tecnica</t>
  </si>
  <si>
    <t>Sistema informativo</t>
  </si>
  <si>
    <t>Consumi di acqua</t>
  </si>
  <si>
    <t>Consumi acqua 2022</t>
  </si>
  <si>
    <t>m3</t>
  </si>
  <si>
    <t>Consumi acqua 2023</t>
  </si>
  <si>
    <t>Consumi acqua 2024</t>
  </si>
  <si>
    <t>ASL ROMA 2</t>
  </si>
  <si>
    <t>PO PERTINI</t>
  </si>
  <si>
    <t xml:space="preserve">AMBULATORIO CURE PRIMARIE 
DE DOMINICIS </t>
  </si>
  <si>
    <t>Centro diurno DSM CINECITTA'</t>
  </si>
  <si>
    <t>Poliambulatorio San Felice</t>
  </si>
  <si>
    <t>DSM Comunità Terapeutica  Urbania</t>
  </si>
  <si>
    <t>Consultorio Familiare San Benedetto</t>
  </si>
  <si>
    <t xml:space="preserve">Casa della Salute Antistio </t>
  </si>
  <si>
    <t>Assistenza protesica  Arimondi</t>
  </si>
  <si>
    <t xml:space="preserve">Dipartimento di prevenzione </t>
  </si>
  <si>
    <t>Casa Famiglia DSM Suttner</t>
  </si>
  <si>
    <t xml:space="preserve">Poliambulatorio Bresadola </t>
  </si>
  <si>
    <t>Poliambulatorio Cambellotti</t>
  </si>
  <si>
    <t>Poliambulatorio Cartagine</t>
  </si>
  <si>
    <t xml:space="preserve">SERT Caslina </t>
  </si>
  <si>
    <t>Comunità Meloograno</t>
  </si>
  <si>
    <t xml:space="preserve">Consultorio Familiare </t>
  </si>
  <si>
    <t xml:space="preserve">Serd </t>
  </si>
  <si>
    <t>Uffici amministrativi Frantoio</t>
  </si>
  <si>
    <t>Casa Famiglia Peperino</t>
  </si>
  <si>
    <t>Comunità</t>
  </si>
  <si>
    <t xml:space="preserve">Comunità Terapeutica Rustica </t>
  </si>
  <si>
    <t>Ambulatorio Socciarelli</t>
  </si>
  <si>
    <t xml:space="preserve">Comunità Residenziale Salone </t>
  </si>
  <si>
    <t>Casa della Salute Tenuta di Torrenova 138</t>
  </si>
  <si>
    <t>Centro Diurno Pispole 1</t>
  </si>
  <si>
    <t>Pronto Intervento</t>
  </si>
  <si>
    <t xml:space="preserve">Consultorio famigliare </t>
  </si>
  <si>
    <t>Centro Diurno Canapilgie</t>
  </si>
  <si>
    <t>Consultorio Famigliare Canapiglie</t>
  </si>
  <si>
    <t>Poliambulatorio Lunghezza</t>
  </si>
  <si>
    <t xml:space="preserve">Consultorio Familiare Pietralata </t>
  </si>
  <si>
    <t xml:space="preserve">Consultorio Familire Tor Cervara </t>
  </si>
  <si>
    <t>DSM Torre Spaccata  A</t>
  </si>
  <si>
    <t>Farmaceutico Torre Spaccata  B</t>
  </si>
  <si>
    <t>Casa Iride</t>
  </si>
  <si>
    <t xml:space="preserve">Materno Infantile Torrenova </t>
  </si>
  <si>
    <t xml:space="preserve">Consultorio Familiare Manfredonia </t>
  </si>
  <si>
    <t>Comunità Martellotti</t>
  </si>
  <si>
    <t>Sede ASL RM2</t>
  </si>
  <si>
    <t>Poliambulatorio Mozart</t>
  </si>
  <si>
    <t xml:space="preserve">Casa Familia Osimo </t>
  </si>
  <si>
    <t>Servizio Veterinario Togliatti</t>
  </si>
  <si>
    <t>Casa Familia Prisco</t>
  </si>
  <si>
    <t>Consultorio Familiare Rizzieri</t>
  </si>
  <si>
    <t>Poliambulatorio Rubellia</t>
  </si>
  <si>
    <t>Poliambulatori Torricella</t>
  </si>
  <si>
    <t>Ufficio ASL Carcere Rebibbia</t>
  </si>
  <si>
    <t>Sede ASL Eificio B</t>
  </si>
  <si>
    <t xml:space="preserve">Centro Diurno La Mongolfiera </t>
  </si>
  <si>
    <t xml:space="preserve">Centro Vaccinale Cerchiara </t>
  </si>
  <si>
    <t>CDC Via delle Averle</t>
  </si>
  <si>
    <t>ODC Via del Frantoio 44</t>
  </si>
  <si>
    <t>CDC Via del Frantoio 44</t>
  </si>
  <si>
    <t>CDC Bimbilandia</t>
  </si>
  <si>
    <t>CDC Villa Tiburtina</t>
  </si>
  <si>
    <t>Presidio Ospedaliero "C.T.O. Andrea Alesini"</t>
  </si>
  <si>
    <t>Presidio Ospedaliero "S. EUGENIO"</t>
  </si>
  <si>
    <t>Presidio sanitario Santa Caterina della Rosa</t>
  </si>
  <si>
    <t>Presidio sanitario Via Casilina 395</t>
  </si>
  <si>
    <t>Presidio sanitario P.le dei Condottieri</t>
  </si>
  <si>
    <t>Presidio sanitario Via Cittanova d'Istria</t>
  </si>
  <si>
    <t>Presidio sanitario Via Principe Eugenio</t>
  </si>
  <si>
    <t>Presidio sanitario Via H. Spencer</t>
  </si>
  <si>
    <t>Presidio sanitario Via Paolo Albera</t>
  </si>
  <si>
    <t>Presidio sanitario Via Apulia</t>
  </si>
  <si>
    <t>Presidio sanitario Via Denina</t>
  </si>
  <si>
    <t>Presidio sanitario Via Nocera Umbra</t>
  </si>
  <si>
    <t>Presidio sanitario Via Monza 2</t>
  </si>
  <si>
    <t>Presidio sanitario Via Caffaro</t>
  </si>
  <si>
    <t>Presidio sanitario Via Lincei</t>
  </si>
  <si>
    <t>Presidio sanitario Via Malfante</t>
  </si>
  <si>
    <t>Presidio sanitario Via Montuori</t>
  </si>
  <si>
    <t>Presidio sanitario Via S. Nemesio 28</t>
  </si>
  <si>
    <t>Presidio sanitario Via Tor Marancia</t>
  </si>
  <si>
    <t>Presidio sanitario Via Aversa</t>
  </si>
  <si>
    <t>Presidio sanitario Via Europa</t>
  </si>
  <si>
    <t>Presidio sanitario Via Frignani 83</t>
  </si>
  <si>
    <t>Presidio sanitario Via Frignani 165</t>
  </si>
  <si>
    <t>Presidio sanitario Via Gemmano</t>
  </si>
  <si>
    <t>Presidio sanitario Via Lipparini</t>
  </si>
  <si>
    <t>Presidio sanitario Via Marotta 5</t>
  </si>
  <si>
    <t>Presidio sanitario Via Marotta 11</t>
  </si>
  <si>
    <t>Presidio sanitario Via Noventa 8</t>
  </si>
  <si>
    <t>Presidio sanitario Via Sabatini</t>
  </si>
  <si>
    <t>Presidio sanitario Via Sillani</t>
  </si>
  <si>
    <t>Presidio sanitario Via Stame 135</t>
  </si>
  <si>
    <t>Presidio sanitario Via Stame 162</t>
  </si>
  <si>
    <t>Presidio sanitario Via Valleranello</t>
  </si>
  <si>
    <t>Presidio sanitario Via Orio Vergani</t>
  </si>
  <si>
    <t>Presidio sanitario Via Ardeatina</t>
  </si>
  <si>
    <t>Presidio sanitario Via Kafka</t>
  </si>
  <si>
    <t>Presidio sanitario Via Silone</t>
  </si>
  <si>
    <t>Presidio sanitario Istituto S. Michele</t>
  </si>
  <si>
    <t>Presidio sanitario Via Appia Antica</t>
  </si>
  <si>
    <t>Presidio sanitario Via Telese</t>
  </si>
  <si>
    <t>Presidio sanitario Via Iberia</t>
  </si>
  <si>
    <t>Presidio sanitario Via Cerbara</t>
  </si>
  <si>
    <t>Presidio sanitario L.go delle Sette Chiese</t>
  </si>
  <si>
    <t>Presidio sanitario Palazzo Liuzzi presso S. Michele</t>
  </si>
  <si>
    <t>Presido santario Via della Fotografia</t>
  </si>
  <si>
    <t>Presidio sanitario Via Giustiniano Imperatore</t>
  </si>
  <si>
    <t>Presidio sanitario Via Noventa 1</t>
  </si>
  <si>
    <t>Presidio sanitario Via Da Vinci</t>
  </si>
  <si>
    <t>OSPEDALE</t>
  </si>
  <si>
    <t xml:space="preserve"> POLIAMBULATORIO 
PRESIDIO TERRITORIALE</t>
  </si>
  <si>
    <t>DSM PRESIDIO TERRITORIALE</t>
  </si>
  <si>
    <t xml:space="preserve">POLIAMBULATORIO San Felice 
PRESIDI TERRITORIALE </t>
  </si>
  <si>
    <t xml:space="preserve">DSM PRESIDI TERRITORIALE </t>
  </si>
  <si>
    <t>Consultorio Familiare San Benedetto 
PRESIDIO TERRITORIALE</t>
  </si>
  <si>
    <t>Casa della Salute Antistio 
PRESIDIO TERRITORIALE</t>
  </si>
  <si>
    <t>Ufficio Arimondi PRESIDIO TERRITORIALE</t>
  </si>
  <si>
    <t xml:space="preserve">Dipartimento di prevenzione PRESIDIO TERRITORIALE </t>
  </si>
  <si>
    <t>Serd Sestili</t>
  </si>
  <si>
    <t>DSM Torre Spaccata A</t>
  </si>
  <si>
    <t xml:space="preserve">Farmaceutico Torre Spaccata B </t>
  </si>
  <si>
    <t>Casa di Cura per lungo degenti</t>
  </si>
  <si>
    <t>TSMREE Servizio Tutela Salute Mentale e Riabilitazione dell'Età Evolutiva</t>
  </si>
  <si>
    <t>Sede ASL RM2 Uffici</t>
  </si>
  <si>
    <t>Uffici Edificio B</t>
  </si>
  <si>
    <t>Casa della Comunità spoke</t>
  </si>
  <si>
    <t>Ospedale di Comunità</t>
  </si>
  <si>
    <t>Casa della Comunità</t>
  </si>
  <si>
    <t xml:space="preserve">Casa della Comunità </t>
  </si>
  <si>
    <t xml:space="preserve">Ospedale </t>
  </si>
  <si>
    <t>Presidio Sanitario</t>
  </si>
  <si>
    <t>VIA DEI MONTI TIBURTINI,385</t>
  </si>
  <si>
    <t> Largo de Dominicis 7</t>
  </si>
  <si>
    <t>Piazza Cinecittà 11</t>
  </si>
  <si>
    <t>Via degli Eucalipti, 20</t>
  </si>
  <si>
    <t>Piazza Urbania, 5</t>
  </si>
  <si>
    <t>Via di San Benedetto del Tronto, 9</t>
  </si>
  <si>
    <t>Via Antistio,  15</t>
  </si>
  <si>
    <t xml:space="preserve">Via Arimondi </t>
  </si>
  <si>
    <t>Via Battista Bardanzellu,8</t>
  </si>
  <si>
    <t>Via Berta Von Suttenr 23</t>
  </si>
  <si>
    <t>Via Berta Von Suttner 35</t>
  </si>
  <si>
    <t>Via Giacomo Bresadola, 56</t>
  </si>
  <si>
    <t>Via Duillio Cambellotti, 11</t>
  </si>
  <si>
    <t>Via Cartagine, 85</t>
  </si>
  <si>
    <t>Via Casilina, 1368</t>
  </si>
  <si>
    <t>Via degli Albatri, 26</t>
  </si>
  <si>
    <t>Via dei Levii,10</t>
  </si>
  <si>
    <t>Via dei Sestili, 7</t>
  </si>
  <si>
    <t>Via del Frantoio, 62</t>
  </si>
  <si>
    <t>Via del Peperino, 4</t>
  </si>
  <si>
    <t>Via del Peperino, 64</t>
  </si>
  <si>
    <t>Via della Rustica,218</t>
  </si>
  <si>
    <t>Via della Stazione di Ciampino, 31</t>
  </si>
  <si>
    <t>Via della Stazione di Salone, 12</t>
  </si>
  <si>
    <t>Via Tenuta di Torrenova 138</t>
  </si>
  <si>
    <t>Via delle Pispole, 1</t>
  </si>
  <si>
    <t>Via delle Pispole 2</t>
  </si>
  <si>
    <t>Via delle Resede,1</t>
  </si>
  <si>
    <t>Via delle Canapiglie, 50</t>
  </si>
  <si>
    <t>Via delle Canapiglie, 88</t>
  </si>
  <si>
    <t>Via Tommaso Agudio, 5</t>
  </si>
  <si>
    <t>Via di Pietralata, 497</t>
  </si>
  <si>
    <t>Via di Tor Cervara, 307</t>
  </si>
  <si>
    <t xml:space="preserve">Via di Torre Spaccata 157 </t>
  </si>
  <si>
    <t>Via di Torre Spaccata, 157</t>
  </si>
  <si>
    <t>Via di Torre Spaccata 157</t>
  </si>
  <si>
    <t>Via di Torrenova, 20</t>
  </si>
  <si>
    <t>Via Manfredonia, 43</t>
  </si>
  <si>
    <t>Via Martellotti, 8</t>
  </si>
  <si>
    <t>Via Filippo Meda, 35</t>
  </si>
  <si>
    <t>Via Mozart, 25</t>
  </si>
  <si>
    <t>Via Osimo Maiolati, 2</t>
  </si>
  <si>
    <t>Viale Palmiro Togliatti, 1280</t>
  </si>
  <si>
    <t>Via Prisco, 1</t>
  </si>
  <si>
    <t>Via Rizzieri,226</t>
  </si>
  <si>
    <t>Via Rubellia, 1</t>
  </si>
  <si>
    <t>Via di Torricella Sicura, 4</t>
  </si>
  <si>
    <t>Via Maietti, 70</t>
  </si>
  <si>
    <t>Via Maria Brighenti, 23</t>
  </si>
  <si>
    <t>Via di Casal Bruciato, 13</t>
  </si>
  <si>
    <t>Via Cerchiara, 98/100</t>
  </si>
  <si>
    <t>Via delle Averle 6</t>
  </si>
  <si>
    <t>Via del Frantoio 44</t>
  </si>
  <si>
    <t>Via Francesco Bonifacio snc</t>
  </si>
  <si>
    <t>via di Casal dei Pazzi 16</t>
  </si>
  <si>
    <t>Via S. Nemesio</t>
  </si>
  <si>
    <t>P.le dell'Umanesimo</t>
  </si>
  <si>
    <t>Via Niccolo Forteguerri</t>
  </si>
  <si>
    <t>Via Casilina 395</t>
  </si>
  <si>
    <t>P.le dei Condottieri</t>
  </si>
  <si>
    <t>Via Cittanova d'Istria</t>
  </si>
  <si>
    <t>Via Principe Eugenio</t>
  </si>
  <si>
    <t>Via H. Spencer</t>
  </si>
  <si>
    <t>Via Paolo Albera</t>
  </si>
  <si>
    <t>Via Apulia</t>
  </si>
  <si>
    <t>Via Denina</t>
  </si>
  <si>
    <t>Via Nocera Umbra</t>
  </si>
  <si>
    <t>Via Monza 2</t>
  </si>
  <si>
    <t>Via Caffaro</t>
  </si>
  <si>
    <t>Via Lincei</t>
  </si>
  <si>
    <t>Via Malfante</t>
  </si>
  <si>
    <t>Via Montuori</t>
  </si>
  <si>
    <t>Via S. Nemesio 28</t>
  </si>
  <si>
    <t>Via Tor Marancia</t>
  </si>
  <si>
    <t>Via Aversa</t>
  </si>
  <si>
    <t>Via Europa</t>
  </si>
  <si>
    <t>Via Frignani 83</t>
  </si>
  <si>
    <t>Via Frignani 165</t>
  </si>
  <si>
    <t>Via Gemmano</t>
  </si>
  <si>
    <t>Via Lipparini</t>
  </si>
  <si>
    <t>Via Marotta 5</t>
  </si>
  <si>
    <t>Via Marotta 11</t>
  </si>
  <si>
    <t>Via Noventa 8</t>
  </si>
  <si>
    <t>Via Sabatini</t>
  </si>
  <si>
    <t>Via Sillani</t>
  </si>
  <si>
    <t>Via Stame 135</t>
  </si>
  <si>
    <t>Via Stame 162</t>
  </si>
  <si>
    <t>Via Valleranello</t>
  </si>
  <si>
    <t>Via Orio Vergani</t>
  </si>
  <si>
    <t>Via Ardeatina</t>
  </si>
  <si>
    <t>Via Kafka</t>
  </si>
  <si>
    <t>Via Silone</t>
  </si>
  <si>
    <t>P.le Antonio Tosti</t>
  </si>
  <si>
    <t>Via Appia Antica</t>
  </si>
  <si>
    <t>Via Telese</t>
  </si>
  <si>
    <t>Via Iberia</t>
  </si>
  <si>
    <t>Via Cerbara</t>
  </si>
  <si>
    <t>L.go delle Sette Chiese</t>
  </si>
  <si>
    <t>Via del Casale del Merode</t>
  </si>
  <si>
    <t>Via della Fotografia</t>
  </si>
  <si>
    <t>Via Giustiniano Imperatore</t>
  </si>
  <si>
    <t>Via Noventa 1</t>
  </si>
  <si>
    <t>Via Leonardo da Vinci</t>
  </si>
  <si>
    <t>A2</t>
  </si>
  <si>
    <t>A4</t>
  </si>
  <si>
    <t>Locazione</t>
  </si>
  <si>
    <t>concessione/comodato</t>
  </si>
  <si>
    <t>In via di trascrizione proprietà ASL ROMA 2</t>
  </si>
  <si>
    <t>Locazione finanziaria San.Im</t>
  </si>
  <si>
    <t>locazione</t>
  </si>
  <si>
    <t>proprietà</t>
  </si>
  <si>
    <t>Da trasferire in proprietà ex lege</t>
  </si>
  <si>
    <t>Concessione</t>
  </si>
  <si>
    <t>Comodato d'uso</t>
  </si>
  <si>
    <t>Immobile rilasciato</t>
  </si>
  <si>
    <t>Immobile non in uso ASL RM2 ma ARES 118</t>
  </si>
  <si>
    <t>Comodato</t>
  </si>
  <si>
    <t>Immobile occupato</t>
  </si>
  <si>
    <t>SI</t>
  </si>
  <si>
    <t>Si - Assestment ante riqualificazione</t>
  </si>
  <si>
    <t>-</t>
  </si>
  <si>
    <t xml:space="preserve">ASL ROMA 3 </t>
  </si>
  <si>
    <t xml:space="preserve">CP01 - </t>
  </si>
  <si>
    <t xml:space="preserve">CP02 - </t>
  </si>
  <si>
    <t xml:space="preserve">CP03 - </t>
  </si>
  <si>
    <t xml:space="preserve">CP04 - </t>
  </si>
  <si>
    <t xml:space="preserve">CP05 - </t>
  </si>
  <si>
    <t xml:space="preserve">CP09 - </t>
  </si>
  <si>
    <t xml:space="preserve">CP10 - </t>
  </si>
  <si>
    <t xml:space="preserve">CP11 - </t>
  </si>
  <si>
    <t xml:space="preserve">CP12 - </t>
  </si>
  <si>
    <t xml:space="preserve">CP13 - </t>
  </si>
  <si>
    <t xml:space="preserve">CP14 - </t>
  </si>
  <si>
    <t xml:space="preserve">CP15 - </t>
  </si>
  <si>
    <t xml:space="preserve">CP16 - </t>
  </si>
  <si>
    <t xml:space="preserve">CP17 - </t>
  </si>
  <si>
    <t xml:space="preserve">CP18 - </t>
  </si>
  <si>
    <t xml:space="preserve">CP19 - </t>
  </si>
  <si>
    <t xml:space="preserve">CP20 - </t>
  </si>
  <si>
    <t xml:space="preserve">CP21 - </t>
  </si>
  <si>
    <t xml:space="preserve">CP23 - </t>
  </si>
  <si>
    <t xml:space="preserve">CP24 - </t>
  </si>
  <si>
    <t>CP25 -</t>
  </si>
  <si>
    <t xml:space="preserve">CP26 - </t>
  </si>
  <si>
    <t xml:space="preserve">CP27 - </t>
  </si>
  <si>
    <t xml:space="preserve">CP30 - </t>
  </si>
  <si>
    <t xml:space="preserve">CP32 - </t>
  </si>
  <si>
    <t xml:space="preserve">CP33 - </t>
  </si>
  <si>
    <t xml:space="preserve">CP34 - </t>
  </si>
  <si>
    <t xml:space="preserve">CP37 - </t>
  </si>
  <si>
    <t xml:space="preserve">CP38 - </t>
  </si>
  <si>
    <t xml:space="preserve">CP40 - </t>
  </si>
  <si>
    <t xml:space="preserve">CP42 - </t>
  </si>
  <si>
    <t>CP44</t>
  </si>
  <si>
    <t xml:space="preserve">CP46 - </t>
  </si>
  <si>
    <t xml:space="preserve">CP48 - </t>
  </si>
  <si>
    <t xml:space="preserve">CP52 - </t>
  </si>
  <si>
    <t xml:space="preserve">CP53 - </t>
  </si>
  <si>
    <t xml:space="preserve">CP54 - </t>
  </si>
  <si>
    <t xml:space="preserve">CP55 - </t>
  </si>
  <si>
    <t xml:space="preserve">CP57- </t>
  </si>
  <si>
    <t xml:space="preserve">CP58- </t>
  </si>
  <si>
    <t>CP60</t>
  </si>
  <si>
    <t>CP61</t>
  </si>
  <si>
    <t xml:space="preserve"> </t>
  </si>
  <si>
    <t>OSPEDALE CPO</t>
  </si>
  <si>
    <t>OSPEDALE G.B. GRASSI</t>
  </si>
  <si>
    <t>PRESIDIO CONI ZUGNA</t>
  </si>
  <si>
    <t>PRESIDIO PINETA DI FREGENE</t>
  </si>
  <si>
    <t>PRESIDIO VIA DEGLI ORTI</t>
  </si>
  <si>
    <t>EX OSP. FONTANILE MEZZALUNA</t>
  </si>
  <si>
    <t>PRESIDIO VIA PAOLINI</t>
  </si>
  <si>
    <t>AMBULATORI CASAL BERNOCCHI</t>
  </si>
  <si>
    <t>PRESIDIO VASCO DE GAMA</t>
  </si>
  <si>
    <t>PRESIDIO REPUBBLICHE MARINARE</t>
  </si>
  <si>
    <t>PRESIDIO VIA TAGASTE 4</t>
  </si>
  <si>
    <t>PRESIDIO PALIDORO</t>
  </si>
  <si>
    <t>PRESIDIO VIA TAGASTE, 6</t>
  </si>
  <si>
    <t>PRESIDIO VIA DELLE SIRENE</t>
  </si>
  <si>
    <t>PRESIDIO POGGIO DI ACILIA</t>
  </si>
  <si>
    <t>PRESIDIO VIA FORNI</t>
  </si>
  <si>
    <t>EX OSPEDALE S.AGOSTINO</t>
  </si>
  <si>
    <t xml:space="preserve">PRESIDIO PONTE GALERIA </t>
  </si>
  <si>
    <t>PRESIDIO PORTUENSE 571</t>
  </si>
  <si>
    <t>PRESIDIO LARGO QUADRELLI</t>
  </si>
  <si>
    <t>PRESIDIO VIA MAZZACURATI</t>
  </si>
  <si>
    <t>PRESIDIO VIA DEL' IMBRECCIATO</t>
  </si>
  <si>
    <t>PRESIDIO DEL TRULLO</t>
  </si>
  <si>
    <t>PRESIDIO VIA VOLPATO</t>
  </si>
  <si>
    <t xml:space="preserve">PRESIDIO VIA DEL CASALETTO </t>
  </si>
  <si>
    <t>PRESIDIO DELLA CONSOLATA</t>
  </si>
  <si>
    <t>PRESIDIO C.DEL MONTE</t>
  </si>
  <si>
    <t>PRESIDIO BELFANTI</t>
  </si>
  <si>
    <t>PRESIDIO VIA COLAUTTI</t>
  </si>
  <si>
    <t>PRESIDIO QUINQUEREMI</t>
  </si>
  <si>
    <t>PRESIDIO VIA DELLE SALINE</t>
  </si>
  <si>
    <t>PRESIDIO VIA VAIANO</t>
  </si>
  <si>
    <t>PRESIDIO L.GO SPINARELLO</t>
  </si>
  <si>
    <t>PRESIDIO VIA DEI ROMAGNOLI</t>
  </si>
  <si>
    <t>PRESIDIO VIA GIORGIO GIORGIS</t>
  </si>
  <si>
    <t>PRESIDIO L.GO QUARONI</t>
  </si>
  <si>
    <t>PRESIDIO L.GO DA MONTESARCHIO</t>
  </si>
  <si>
    <t>UFFICI CASAL BERNOCCHI</t>
  </si>
  <si>
    <t xml:space="preserve">PRESIDIO RAMAZZINI </t>
  </si>
  <si>
    <t xml:space="preserve">PRESIDIO  CATACOMBE DI GENEOSA </t>
  </si>
  <si>
    <t xml:space="preserve">PRESIDIO  VIA BRISSE </t>
  </si>
  <si>
    <t xml:space="preserve">PRESIDIO  VIA  LUPATELLI </t>
  </si>
  <si>
    <t xml:space="preserve">OSPEDALE  </t>
  </si>
  <si>
    <t xml:space="preserve">PRESIDIO  </t>
  </si>
  <si>
    <t xml:space="preserve">AMBULATORI  </t>
  </si>
  <si>
    <t xml:space="preserve">UFFICI  </t>
  </si>
  <si>
    <t>CROCE ROSSA</t>
  </si>
  <si>
    <t xml:space="preserve">PRESIDIO   </t>
  </si>
  <si>
    <t xml:space="preserve">VIA VEGA, 3 - OSTIA </t>
  </si>
  <si>
    <t xml:space="preserve">VIA PASSERONI, 21 - OSTIA </t>
  </si>
  <si>
    <t>VIA CONI ZUGNA, 173 -FIUMICINO</t>
  </si>
  <si>
    <t xml:space="preserve">VIA PINETA DI FREGENE 76 - FREGENE </t>
  </si>
  <si>
    <t>VIA DEGLI ORTI, 10 - FIUMICINO</t>
  </si>
  <si>
    <t xml:space="preserve">VIA FONTANILE DI MEZZALUNA 401 - TESTA DI LEPRE - FIUMICINO </t>
  </si>
  <si>
    <t>VIA  PAOLINI 34 - OSTIA</t>
  </si>
  <si>
    <t>VIA CASAL BERNOCCHI 73 - 
ACILIA  - ROMA</t>
  </si>
  <si>
    <t xml:space="preserve">VIA VASCO DE  GAMA 142 - OSTIA </t>
  </si>
  <si>
    <t>VIA DELLE REPUBBLICHE MARINARE</t>
  </si>
  <si>
    <t xml:space="preserve">VIA TAGASTE 4 - OSTIA </t>
  </si>
  <si>
    <t>VIA AURELIA KM 30,6 - FIUMICINO</t>
  </si>
  <si>
    <t xml:space="preserve">VIA TAGASTE 6 - OSTIA </t>
  </si>
  <si>
    <t xml:space="preserve">VIA DELLE SIRENE 2 - OSTIA </t>
  </si>
  <si>
    <t xml:space="preserve">VIA DEL POGGIO DI ACILIA 65/83 - ACILIA </t>
  </si>
  <si>
    <t xml:space="preserve">VIA DEL POGGIO DI ACILIA 62/80 - ACILIA </t>
  </si>
  <si>
    <t xml:space="preserve">VIA FORNI - OSTIA </t>
  </si>
  <si>
    <t xml:space="preserve">LUNGOMARE TOSCANELLI 230 - OSTIA </t>
  </si>
  <si>
    <t xml:space="preserve">VIA PORTUENSE 1397 - ROMA </t>
  </si>
  <si>
    <t xml:space="preserve">VIA PORTUENSE 571 -  ROMA </t>
  </si>
  <si>
    <t xml:space="preserve">LARGO QUADRELLI 5 - CORVIALE - ROMA </t>
  </si>
  <si>
    <t xml:space="preserve">VIA MAZZACURATI 23 - CORVIALE - ROMA </t>
  </si>
  <si>
    <t xml:space="preserve">VIA DEL' IMBRECCIATO 71/73 - ROMA </t>
  </si>
  <si>
    <t xml:space="preserve">VIA DEL TRULLO 421 - ROMA </t>
  </si>
  <si>
    <t xml:space="preserve">VIA VOLPATO 20 - ROMA </t>
  </si>
  <si>
    <t xml:space="preserve">VIA DEL CASALETTO 400 - ROMA </t>
  </si>
  <si>
    <t>VIA DELLA CONSOLATA 52 - ROMA</t>
  </si>
  <si>
    <t xml:space="preserve">VIA CRESCENZO DEL MONTE 11 - ROMA </t>
  </si>
  <si>
    <t xml:space="preserve">VIA BELFANTI  76 - ROMA </t>
  </si>
  <si>
    <t>VIA COLAUTTI - ROMA</t>
  </si>
  <si>
    <t xml:space="preserve">VIA DELLE QUINQUEREMI 11 - OSTIA </t>
  </si>
  <si>
    <t xml:space="preserve">VIA DELLE SALINE 2 - OSTIA </t>
  </si>
  <si>
    <t xml:space="preserve">VIA VAIANO 53 - ROMA </t>
  </si>
  <si>
    <t>VIA DELLE SPIGOLE/L.GO SPINARELLO - 
FIUMICINO</t>
  </si>
  <si>
    <t xml:space="preserve">VIA DEI ROMAGNOLI - OSTIA </t>
  </si>
  <si>
    <t xml:space="preserve">VIA GIORGIO GIORGIS 56 - FIUMICINO </t>
  </si>
  <si>
    <t xml:space="preserve">LARGO QUARONI 134 - ROMA </t>
  </si>
  <si>
    <t xml:space="preserve">LARGO DA MONTESARCHIO 17 - ACILIA </t>
  </si>
  <si>
    <t xml:space="preserve">VIA CASAL BERNOCCHI 73   - ACILIA </t>
  </si>
  <si>
    <t>VIA RAMAZZINI 15 - ROMA</t>
  </si>
  <si>
    <t xml:space="preserve">VIA CATACOMBE DI GENEROSA 20 - ROMA  </t>
  </si>
  <si>
    <t xml:space="preserve">  VIA BRISSE  20 - ROMA  </t>
  </si>
  <si>
    <t xml:space="preserve">VIA  LUPATELLI  7 - ROMA  </t>
  </si>
  <si>
    <t>USO VINCOLATO</t>
  </si>
  <si>
    <t>COMODATO</t>
  </si>
  <si>
    <t>PROPRIETA'</t>
  </si>
  <si>
    <t>LOCAZIONE</t>
  </si>
  <si>
    <t>CONCESSIONE</t>
  </si>
  <si>
    <t>ASL ROMA 4</t>
  </si>
  <si>
    <t>F1.05</t>
  </si>
  <si>
    <t>F1.06</t>
  </si>
  <si>
    <t>F1.07</t>
  </si>
  <si>
    <t>F1.08</t>
  </si>
  <si>
    <t>F1.13</t>
  </si>
  <si>
    <t>F1.14</t>
  </si>
  <si>
    <t>F1.15</t>
  </si>
  <si>
    <t>F1.17</t>
  </si>
  <si>
    <t>F1.18</t>
  </si>
  <si>
    <t>F1.19</t>
  </si>
  <si>
    <t>F1.20</t>
  </si>
  <si>
    <t>F1.21</t>
  </si>
  <si>
    <t>F1.23</t>
  </si>
  <si>
    <t>F2.01</t>
  </si>
  <si>
    <t>F2.03</t>
  </si>
  <si>
    <t>F2.05</t>
  </si>
  <si>
    <t>F2.06</t>
  </si>
  <si>
    <t>F2.08</t>
  </si>
  <si>
    <t>F2.09</t>
  </si>
  <si>
    <t>F2.11</t>
  </si>
  <si>
    <t>F2.12</t>
  </si>
  <si>
    <t>F3.01</t>
  </si>
  <si>
    <t>F3.02</t>
  </si>
  <si>
    <t>F3.03</t>
  </si>
  <si>
    <t>F3.04</t>
  </si>
  <si>
    <t>F3.07</t>
  </si>
  <si>
    <t>F3.11</t>
  </si>
  <si>
    <t>F3.17</t>
  </si>
  <si>
    <t>F3.18</t>
  </si>
  <si>
    <t>F3.19</t>
  </si>
  <si>
    <t>F4.01</t>
  </si>
  <si>
    <t>F4.02</t>
  </si>
  <si>
    <t>F4.04</t>
  </si>
  <si>
    <t>F4.05</t>
  </si>
  <si>
    <t>F4.12</t>
  </si>
  <si>
    <t>F4.15</t>
  </si>
  <si>
    <t>F4.17</t>
  </si>
  <si>
    <t>F4.19</t>
  </si>
  <si>
    <t>F4.20</t>
  </si>
  <si>
    <t>F4.22</t>
  </si>
  <si>
    <t>F4.23</t>
  </si>
  <si>
    <t>F4.24</t>
  </si>
  <si>
    <t>F4.25</t>
  </si>
  <si>
    <t>UFFICI</t>
  </si>
  <si>
    <t>CENTRO DIURNO</t>
  </si>
  <si>
    <t>COMUNITA TERAPEUTICA</t>
  </si>
  <si>
    <t>VETERINARI</t>
  </si>
  <si>
    <t>VETERINARI ASSOC.</t>
  </si>
  <si>
    <t>MEDICINA LEGALE</t>
  </si>
  <si>
    <t>SERV.IGIENE PUBBLICA</t>
  </si>
  <si>
    <t>AMBULATORIO</t>
  </si>
  <si>
    <t>POLIAMBULATORIO</t>
  </si>
  <si>
    <t>MED. LEGALE</t>
  </si>
  <si>
    <t>CSM</t>
  </si>
  <si>
    <t>HOSPICE</t>
  </si>
  <si>
    <t>SERVIZIO VACCINAZIONE</t>
  </si>
  <si>
    <t>COT</t>
  </si>
  <si>
    <t>DISTRETTO POLIAMB.</t>
  </si>
  <si>
    <t>CONSULTORIO</t>
  </si>
  <si>
    <t>VACCINAZIONI</t>
  </si>
  <si>
    <t xml:space="preserve">PIT </t>
  </si>
  <si>
    <t>TSMREE</t>
  </si>
  <si>
    <t>CSM-CENTRO DIURNO</t>
  </si>
  <si>
    <t>CONSULTORIO- CENTRO POLIVALENTE</t>
  </si>
  <si>
    <t>VETER.- DIPARTIMENTO PREVENZIONE- UFFICI</t>
  </si>
  <si>
    <t>UTR- CSM</t>
  </si>
  <si>
    <t>DISTRETTO  E MEDICINA DI BASE</t>
  </si>
  <si>
    <t>CONSULTORIO CSM</t>
  </si>
  <si>
    <t>SCUOLA INFERMIERI</t>
  </si>
  <si>
    <t>COMUNITA' TERAPEUTICA</t>
  </si>
  <si>
    <t>CSM-CONSULTORIO</t>
  </si>
  <si>
    <t>GUARDIA MEDICA</t>
  </si>
  <si>
    <t>POLIAMB.VET.SIPA</t>
  </si>
  <si>
    <t>TSRMEE</t>
  </si>
  <si>
    <t>FKT</t>
  </si>
  <si>
    <t>VACCINAZIONE</t>
  </si>
  <si>
    <t>Largo Donatori di Sangue 1</t>
  </si>
  <si>
    <t>TERME DI TRAIANO</t>
  </si>
  <si>
    <t>TOSCANA</t>
  </si>
  <si>
    <t>VIA DEGLI OSPEDALI (CALAMATTA)</t>
  </si>
  <si>
    <t>DORIA</t>
  </si>
  <si>
    <t>MOLISE</t>
  </si>
  <si>
    <t>CALISSE</t>
  </si>
  <si>
    <t>VITTORIO VENETO</t>
  </si>
  <si>
    <t>CIVITAVECCHIA</t>
  </si>
  <si>
    <t>ETRURIA</t>
  </si>
  <si>
    <t>VIA CADORNA</t>
  </si>
  <si>
    <t>VIA VALDAMBRINI</t>
  </si>
  <si>
    <t>VIA DELLE AZALEE</t>
  </si>
  <si>
    <t>VIA BRACCIANESE CLAUDIA</t>
  </si>
  <si>
    <t xml:space="preserve">PIAZZA GIUSEPPE VERDI </t>
  </si>
  <si>
    <t>VIALE LAZIO</t>
  </si>
  <si>
    <t>DELL'OSPEDALE</t>
  </si>
  <si>
    <t>MARTIRI FOIBE</t>
  </si>
  <si>
    <t>VERROCCHIO</t>
  </si>
  <si>
    <t>BIXIO</t>
  </si>
  <si>
    <t>AURELIA</t>
  </si>
  <si>
    <t>PESCARA</t>
  </si>
  <si>
    <t>BERNA - V.LE MEDITERRANEO</t>
  </si>
  <si>
    <t>SOLLAZZI</t>
  </si>
  <si>
    <t>DELLE COSTE</t>
  </si>
  <si>
    <t>PALAZZI</t>
  </si>
  <si>
    <t>DOMENICI</t>
  </si>
  <si>
    <t>TRENTO</t>
  </si>
  <si>
    <t>DEL LAGO</t>
  </si>
  <si>
    <t xml:space="preserve">VIA MARCO POLO </t>
  </si>
  <si>
    <t>VIA SANTA LUCIA</t>
  </si>
  <si>
    <t>VIA FRA GIOVANNI</t>
  </si>
  <si>
    <t>LESEN</t>
  </si>
  <si>
    <t>ADRIANO I n. 23</t>
  </si>
  <si>
    <t>TIBERINA</t>
  </si>
  <si>
    <t>DE GASPERI</t>
  </si>
  <si>
    <t>VERDI</t>
  </si>
  <si>
    <t>VIA RONCACCI</t>
  </si>
  <si>
    <t>VIA ADRIANO I n. 8/10</t>
  </si>
  <si>
    <t>PIAZZA DIAZ</t>
  </si>
  <si>
    <t xml:space="preserve">VIA PER CASTELNUOVO </t>
  </si>
  <si>
    <t>VIA TIBERINA 71 - ANGOLO VIA DEL CAPOCROCE 1/3</t>
  </si>
  <si>
    <t>VIA MONTELARCO</t>
  </si>
  <si>
    <t>VIA DEGLI ORTI</t>
  </si>
  <si>
    <t>LOCALITA' ALBERETO</t>
  </si>
  <si>
    <t>LEASING FINANZIARIO</t>
  </si>
  <si>
    <t>SUB LOCAZIONE</t>
  </si>
  <si>
    <t>NO</t>
  </si>
  <si>
    <t>1283.00</t>
  </si>
  <si>
    <t>ASL ROMA 5</t>
  </si>
  <si>
    <t>24/24b</t>
  </si>
  <si>
    <t>OSP. TIVOLI - S.GIOVANNI EVANGELISTA</t>
  </si>
  <si>
    <t>OSP. L.PARODI DELFINO</t>
  </si>
  <si>
    <t>OSP.SS.GONFALONE</t>
  </si>
  <si>
    <t>OSP. CONIUGI BERNARDINI</t>
  </si>
  <si>
    <t>OSP. A. ANGELUCCI</t>
  </si>
  <si>
    <t>OSP. SS.SALVATORE PALOMBARA</t>
  </si>
  <si>
    <t>RSA DELLA MELAGRANA</t>
  </si>
  <si>
    <t>DIREZIONE GENERALE - TIVOLI</t>
  </si>
  <si>
    <t>DISTRETTO SANITARIO</t>
  </si>
  <si>
    <t>C.S.M.</t>
  </si>
  <si>
    <t>CONSULTORIO FAMILIARE</t>
  </si>
  <si>
    <t>UFFICIO ISPETTORI</t>
  </si>
  <si>
    <t>PRESIDIO - CDC</t>
  </si>
  <si>
    <t>NUOVA CDC-ODC</t>
  </si>
  <si>
    <t>U.O.C. GESTIONE-STANDARD AREA PATRIMONI</t>
  </si>
  <si>
    <t>CASA FAMIGLIA DONNE</t>
  </si>
  <si>
    <t>CASA FAMIGLIA UOMINI</t>
  </si>
  <si>
    <t>DISPENSARIO</t>
  </si>
  <si>
    <t>DISTRETTO SANITARIO DI BASE</t>
  </si>
  <si>
    <t>DSM/SERT</t>
  </si>
  <si>
    <t>UFFICI AMM.VI/SANITARI</t>
  </si>
  <si>
    <t>POLIAMBULATORIO CAVE</t>
  </si>
  <si>
    <t>NUOVO POLIAMBULATORIO</t>
  </si>
  <si>
    <t>PRESIDIO DISTRETTUALE PERIFERI</t>
  </si>
  <si>
    <t>NUOVO DISTRETTO PAD. F</t>
  </si>
  <si>
    <t>DSM</t>
  </si>
  <si>
    <t>D.S.M.</t>
  </si>
  <si>
    <t>CDC</t>
  </si>
  <si>
    <t>CDC-ODC</t>
  </si>
  <si>
    <t>CENTRO AUTISMO</t>
  </si>
  <si>
    <t>CDC-COT-ODC</t>
  </si>
  <si>
    <t>OSPEDALE DI TIVOLI</t>
  </si>
  <si>
    <t>OSPEDALE DI COLLEFERRO</t>
  </si>
  <si>
    <t>OSPEDALE DI MONTEROTONDO</t>
  </si>
  <si>
    <t>OSPEDALE DI PALESTRINA</t>
  </si>
  <si>
    <t>OSPEDALE DI SUBIACO</t>
  </si>
  <si>
    <t>OSPEDALE DI PALOMBARA</t>
  </si>
  <si>
    <t>EXTRA ZAGAROLO</t>
  </si>
  <si>
    <t>EXTRA TIVOLI</t>
  </si>
  <si>
    <t>EXTRA COLLEFERRO</t>
  </si>
  <si>
    <t>EXTRA MONTEROTONDO</t>
  </si>
  <si>
    <t>EXTRA PALESTRINA</t>
  </si>
  <si>
    <t>EXTRA GUIDONIA</t>
  </si>
  <si>
    <t>EXTRA SUBIACO</t>
  </si>
  <si>
    <t xml:space="preserve">Località </t>
  </si>
  <si>
    <t>TIVOLI</t>
  </si>
  <si>
    <t>COLLEFERRO</t>
  </si>
  <si>
    <t>MONTEROTONDO</t>
  </si>
  <si>
    <t>PALESTRINA</t>
  </si>
  <si>
    <t>SUBIACO</t>
  </si>
  <si>
    <t>PALOMBARA SABINA</t>
  </si>
  <si>
    <t>ZAGAROLO</t>
  </si>
  <si>
    <t>CASTEL MADAMA</t>
  </si>
  <si>
    <t>VICOVARO</t>
  </si>
  <si>
    <t>ARTENA</t>
  </si>
  <si>
    <t>VALMONTONE</t>
  </si>
  <si>
    <t>CARPINETO ROMANO</t>
  </si>
  <si>
    <t>FONTE NUOVA</t>
  </si>
  <si>
    <t>CAVE</t>
  </si>
  <si>
    <t>SAN CESAREO</t>
  </si>
  <si>
    <t>SAN VITO ROMANO</t>
  </si>
  <si>
    <t>GENAZZANO</t>
  </si>
  <si>
    <t>GUIDONIA</t>
  </si>
  <si>
    <t>SETTEVILLE DI GUIDONIA</t>
  </si>
  <si>
    <t>OLEVANO ROMANO</t>
  </si>
  <si>
    <t>ARSOLI</t>
  </si>
  <si>
    <t>MENTANA</t>
  </si>
  <si>
    <t>BELLEGRA</t>
  </si>
  <si>
    <t>CICILIANO</t>
  </si>
  <si>
    <t xml:space="preserve">GORGA </t>
  </si>
  <si>
    <t>VIA PARROZZANI 3</t>
  </si>
  <si>
    <t xml:space="preserve">P.ZZA ALDO MORO 1 </t>
  </si>
  <si>
    <t>VIA FARAVELLI 27</t>
  </si>
  <si>
    <t>VIALE PIO XII 42</t>
  </si>
  <si>
    <t>VIA C. COLLE CISTERNA</t>
  </si>
  <si>
    <t>VIA POSSENTI snc</t>
  </si>
  <si>
    <t>P.ZZA MASSIMO D'AZEGLIO 2</t>
  </si>
  <si>
    <t xml:space="preserve">VIA DELL'ACQUAREGNA 1-15 </t>
  </si>
  <si>
    <t>PIAZZA MASSIMO</t>
  </si>
  <si>
    <t>VIA DOMENICO GIULIANI</t>
  </si>
  <si>
    <t xml:space="preserve">CONSULTORIO FAMILIARE </t>
  </si>
  <si>
    <t>VIA TIBURTINA (civico da verificare)</t>
  </si>
  <si>
    <t>L.GO CESARE BATTISTI 22</t>
  </si>
  <si>
    <t xml:space="preserve">VIA VALLE DELL'OSTE </t>
  </si>
  <si>
    <t>VIA PORTA NAPOLETANA</t>
  </si>
  <si>
    <t xml:space="preserve">VIA DEGLI ESPLOSIVI 9 </t>
  </si>
  <si>
    <t>LARGO OBERDAN</t>
  </si>
  <si>
    <t>VIA CALVINO</t>
  </si>
  <si>
    <t>VIA GIOVAGNOLI F 27</t>
  </si>
  <si>
    <t>VIA RIVA 40</t>
  </si>
  <si>
    <t>VIA DELL' AERONAUTICA</t>
  </si>
  <si>
    <t>VIA DUE GIUGNO</t>
  </si>
  <si>
    <t>VIA PORTA SAN MARTINO 46/38</t>
  </si>
  <si>
    <t>VIA PORTA SAN MARTINO 38</t>
  </si>
  <si>
    <t xml:space="preserve">VIA MORINO snc </t>
  </si>
  <si>
    <t xml:space="preserve">VIA BORGO SAN MARTINO 5 </t>
  </si>
  <si>
    <t>VIA G. GIORDANI 3</t>
  </si>
  <si>
    <t>VIA DEL CANALE 1</t>
  </si>
  <si>
    <t>VIA A. ANDREANI 21</t>
  </si>
  <si>
    <t>VIA COLLEFERRO</t>
  </si>
  <si>
    <t>VIA DEI CASTAGNI</t>
  </si>
  <si>
    <t>VIA G. PASCOLI</t>
  </si>
  <si>
    <t>VIA SAN. FRANCESCO ASSISI</t>
  </si>
  <si>
    <t>VIALE DELLA REPUBBLICA, 24</t>
  </si>
  <si>
    <t>LARGO MAZZINI 5</t>
  </si>
  <si>
    <t>PIAZZALE MASSIMO</t>
  </si>
  <si>
    <t>VIA REATINA</t>
  </si>
  <si>
    <t xml:space="preserve">VIALE MAZZINI 28 </t>
  </si>
  <si>
    <t>VIALE MAZZINI 28</t>
  </si>
  <si>
    <t>VIALE UNGHERIA SNC</t>
  </si>
  <si>
    <t>VIALE SANTA LIBERATA</t>
  </si>
  <si>
    <t>VIA FILIPPO TURATI</t>
  </si>
  <si>
    <t>LOCALITA' COLLE ROSA SNC</t>
  </si>
  <si>
    <t>VIA MONTECRISTALLO 15 - COLLEVERDE</t>
  </si>
  <si>
    <t>VIA BRUNO BUOZZI SNC</t>
  </si>
  <si>
    <t>no</t>
  </si>
  <si>
    <t>Leasing finanziario</t>
  </si>
  <si>
    <t>Comodato D'Uso</t>
  </si>
  <si>
    <t>leasing finanziario</t>
  </si>
  <si>
    <t>Presidio temporaneamente chiuso</t>
  </si>
  <si>
    <t>Locazione finanziaria</t>
  </si>
  <si>
    <t>in fase di attivazione</t>
  </si>
  <si>
    <t>si</t>
  </si>
  <si>
    <t>o</t>
  </si>
  <si>
    <t>ASL ROMA 6</t>
  </si>
  <si>
    <t>Presidio Ospedaliero "S. Giuseppe" ALBANO LAZIALE</t>
  </si>
  <si>
    <t>Presidio Ospedaliero OO.RR. Anzio - Nettuno compreso Edificio  "Faina"</t>
  </si>
  <si>
    <t>Presidio Ospedaliero Villa Albani ANZIO</t>
  </si>
  <si>
    <t>Presidio Ospedaliero "L. Spolverini" ARICCIA</t>
  </si>
  <si>
    <t>Presidio Ospedaliero "S. Sebastiano" FRASCATI</t>
  </si>
  <si>
    <t>Presidio Ospedaliero "De Santis" GENZANO</t>
  </si>
  <si>
    <t>Presidio Ospedaliero "S. Giuseppe" MARINO</t>
  </si>
  <si>
    <t xml:space="preserve">Presidio Ospedaliero "A. C. Cartoni" ROCCA PRIORA </t>
  </si>
  <si>
    <t>Presidio Ospedaliero "P. Colombo" VELLETRI</t>
  </si>
  <si>
    <t>Sede ASL - Direzione Generale</t>
  </si>
  <si>
    <t xml:space="preserve">Poliambulatorio </t>
  </si>
  <si>
    <t>Sede ASL  - Poliambulatorio</t>
  </si>
  <si>
    <t>Ex. Osp. Barberini - Poliambulatorio</t>
  </si>
  <si>
    <t>Presidio 
sanitario - Consultorio Familiare</t>
  </si>
  <si>
    <t>Servizio Veterinario</t>
  </si>
  <si>
    <t>Presidio 
sanitario</t>
  </si>
  <si>
    <t>Presidio 
sanitario - Consultorio Giovani</t>
  </si>
  <si>
    <t>Presidio 
sanitario UONPI</t>
  </si>
  <si>
    <t>Poliambulatorio</t>
  </si>
  <si>
    <t>Presidio 
sanitario - SERT</t>
  </si>
  <si>
    <t>Presidio 
sanitario - CSM</t>
  </si>
  <si>
    <t>Presidio 
sanitario - Consultorio Familiare - UOS SERT</t>
  </si>
  <si>
    <t>Presidio 
sanitario - Centro Diurno</t>
  </si>
  <si>
    <t>Presidio 
sanitario Elioterapia</t>
  </si>
  <si>
    <t>Presidio Ospedaliero Ospedale dei Castelli</t>
  </si>
  <si>
    <t>ospedale</t>
  </si>
  <si>
    <t>polifunzionale</t>
  </si>
  <si>
    <t>poifunzionale</t>
  </si>
  <si>
    <t>sede legale</t>
  </si>
  <si>
    <t>distretto</t>
  </si>
  <si>
    <t>consultorio</t>
  </si>
  <si>
    <t>veterinario</t>
  </si>
  <si>
    <t>ambulatorio</t>
  </si>
  <si>
    <t>poliambulatorio</t>
  </si>
  <si>
    <t>dsm</t>
  </si>
  <si>
    <t>csm</t>
  </si>
  <si>
    <t>spiaggia disabili</t>
  </si>
  <si>
    <t>Via Olivella km. 1  - 
00041 Albano Laziale (Rm)</t>
  </si>
  <si>
    <t>Via Cupa dei Marmi, snc - 00042 Anzio (RM)</t>
  </si>
  <si>
    <t>Via Aldobrandini, 32 - 00042 Anzio (RM)</t>
  </si>
  <si>
    <t>Via delle Cerquette, 2 - 00040 Ariccia (RM)</t>
  </si>
  <si>
    <t>Via Tuscolana, 2 - 00044 Frascati (RM)</t>
  </si>
  <si>
    <t>Via Achille Grandi, 6 - 00045 Genzano (RM)</t>
  </si>
  <si>
    <t>Viale XXIV Maggio snc - 00040 Marino (RM)</t>
  </si>
  <si>
    <t>Via Malpasso d'Acqua, 2 - 00040 Rocca Priora (Rm)</t>
  </si>
  <si>
    <t>Via Orti Ginnetti, 7 - 00049 Velletri (RM)</t>
  </si>
  <si>
    <t>Borgo Garibaldi Albano Laziale</t>
  </si>
  <si>
    <t>Via M.Calò Ciampino</t>
  </si>
  <si>
    <t>Via Dei Castelli Romani Pomezia</t>
  </si>
  <si>
    <t>Via Del Mare Pomezia</t>
  </si>
  <si>
    <t>Via S. Biagio Velletri</t>
  </si>
  <si>
    <t>V. Cav. Vitt. Veneto Nettuno</t>
  </si>
  <si>
    <t>Via Matteotti Frascati</t>
  </si>
  <si>
    <t>Via Sannibale Albano Laziale</t>
  </si>
  <si>
    <t>Via Bologna 44 Albano Laziale</t>
  </si>
  <si>
    <t>Via Cerquette 56 Ariccia</t>
  </si>
  <si>
    <t>Via Unione Sovietica 14 Genzano</t>
  </si>
  <si>
    <t>Piazza Aldo Moro 1 Pomezia</t>
  </si>
  <si>
    <t>Via Baracca 17/19 Ciampino</t>
  </si>
  <si>
    <t>Via del Lavoro Ciampino</t>
  </si>
  <si>
    <t>Piazzale Aldo Moro 12 Lanuvio</t>
  </si>
  <si>
    <t>Via Ariana 10/26 Velletri</t>
  </si>
  <si>
    <t>Via Orti Ginnetti/Via Gramsci Velletri</t>
  </si>
  <si>
    <t>Piazza G. Falcone Velletri</t>
  </si>
  <si>
    <t>Piazza Anfiteatro Lariano</t>
  </si>
  <si>
    <t>Via Casal Di Claudia Anzio</t>
  </si>
  <si>
    <t>Riviera Mallozzi Anzio</t>
  </si>
  <si>
    <t>Via S. Nilo 4 Grottaferrata</t>
  </si>
  <si>
    <t>Via TassiArdea tor s Lorenzo</t>
  </si>
  <si>
    <t>Via Fermi Frascati</t>
  </si>
  <si>
    <t>Via Nettunense, km.11/5 - 00040 Ariccia (RM)</t>
  </si>
  <si>
    <t>N.D.</t>
  </si>
  <si>
    <t>ND</t>
  </si>
  <si>
    <t>comodato</t>
  </si>
  <si>
    <t>ASL LATINA</t>
  </si>
  <si>
    <t>LT01AMBL02</t>
  </si>
  <si>
    <t>LT01CDP01</t>
  </si>
  <si>
    <t>LT01CRIPO</t>
  </si>
  <si>
    <t>LT01PAMB01</t>
  </si>
  <si>
    <t>LT01PAMB03</t>
  </si>
  <si>
    <t>LT01PRVR01</t>
  </si>
  <si>
    <t>LT02AMB01</t>
  </si>
  <si>
    <t>LT02AMB02</t>
  </si>
  <si>
    <t>LT02CSM01</t>
  </si>
  <si>
    <t>LT02DSM01</t>
  </si>
  <si>
    <t>LT02DSM02</t>
  </si>
  <si>
    <t>LT02LTPO</t>
  </si>
  <si>
    <t>LT02PAMB01</t>
  </si>
  <si>
    <t>LT02PAMB02</t>
  </si>
  <si>
    <t>LT02PAMB03</t>
  </si>
  <si>
    <t>LT02SEDE</t>
  </si>
  <si>
    <t>LT02UDP01</t>
  </si>
  <si>
    <t>LT03AMB01</t>
  </si>
  <si>
    <t>LT03AMB02</t>
  </si>
  <si>
    <t>LT03AMB03</t>
  </si>
  <si>
    <t>LT03SEDE</t>
  </si>
  <si>
    <t>LT03SZZPO</t>
  </si>
  <si>
    <t>LT04AMB04</t>
  </si>
  <si>
    <t>LT04FNDPO</t>
  </si>
  <si>
    <t>LT04TRCPO</t>
  </si>
  <si>
    <t>LT04UFAM</t>
  </si>
  <si>
    <t>LT05AMB01</t>
  </si>
  <si>
    <t>LT05CNSL01</t>
  </si>
  <si>
    <t>LT05FRMPO</t>
  </si>
  <si>
    <t>LT05GTAPO</t>
  </si>
  <si>
    <t>LT05MNTPO</t>
  </si>
  <si>
    <t>LT05PAMB01</t>
  </si>
  <si>
    <t>LT05PAMB02</t>
  </si>
  <si>
    <t>LT05PAMB03</t>
  </si>
  <si>
    <t>LT05PRSD02</t>
  </si>
  <si>
    <t>LT05SAUB</t>
  </si>
  <si>
    <t>LT05UFF01</t>
  </si>
  <si>
    <t>P</t>
  </si>
  <si>
    <t>O</t>
  </si>
  <si>
    <t>Via Monti Lepini Cisterna di Latina</t>
  </si>
  <si>
    <t>Via degli Oleandri Aprilia</t>
  </si>
  <si>
    <t>Via Marconi Cori</t>
  </si>
  <si>
    <t>Via Giustiniano Aprilia</t>
  </si>
  <si>
    <t>Via Falcone Cisterna di Latina</t>
  </si>
  <si>
    <t>Via Nettunense Aprilia</t>
  </si>
  <si>
    <t>Piazzale Carturan Latina</t>
  </si>
  <si>
    <t>Via Conteverde Sabaudia</t>
  </si>
  <si>
    <t>Via Alfieri Latina</t>
  </si>
  <si>
    <t>Strada Tor Tre Ponti Latina</t>
  </si>
  <si>
    <t>Latina P. Nervi DPS torrino 1</t>
  </si>
  <si>
    <t>Via Guido Reni Latina</t>
  </si>
  <si>
    <t>Largo Celli Latina</t>
  </si>
  <si>
    <t>Viale della Stazione Latina</t>
  </si>
  <si>
    <t>Via F.Bandiera Pontinia</t>
  </si>
  <si>
    <t>Viale P.Luigi Nervi Latina</t>
  </si>
  <si>
    <t>Viale Corbusier Latina</t>
  </si>
  <si>
    <t>Borgo S.Antonio Priverno</t>
  </si>
  <si>
    <t>Via S.Bartolomeo Sezze</t>
  </si>
  <si>
    <t>Loc.S.Martino Priverno</t>
  </si>
  <si>
    <t>Via Madonna delle Grazie Priverno</t>
  </si>
  <si>
    <t>Via F.Bandiera Terracina</t>
  </si>
  <si>
    <t>Via S. Magno Fondi</t>
  </si>
  <si>
    <t>Via Firenze Terracina</t>
  </si>
  <si>
    <t>Via Don Orione Terracina</t>
  </si>
  <si>
    <t>Via S.Maria LaNoce Formia</t>
  </si>
  <si>
    <t>Via Don Morosini Itri</t>
  </si>
  <si>
    <t>Via Appia Lato Napoli Formia</t>
  </si>
  <si>
    <t>Salita Cappuccini Gaeta</t>
  </si>
  <si>
    <t>Via Degli Eroi Minturno</t>
  </si>
  <si>
    <t>Loc.TreVenti Ponza</t>
  </si>
  <si>
    <t>Via Luigi Iacono Ventotene</t>
  </si>
  <si>
    <t>Via Risorgimento SS Cosma e Damiano</t>
  </si>
  <si>
    <t>Via Fontana di Voza Minturno</t>
  </si>
  <si>
    <t>Via G.Matteotti Formia</t>
  </si>
  <si>
    <t>ASL RIETI</t>
  </si>
  <si>
    <t>P.O. S. Camillo De Lellis RIETI</t>
  </si>
  <si>
    <t>Sede Distretto 1</t>
  </si>
  <si>
    <t>EX OPP - blocco 1</t>
  </si>
  <si>
    <t>EX OPP - blocco 2</t>
  </si>
  <si>
    <t>EX OPP - blocco 3</t>
  </si>
  <si>
    <t>EX OPP - blocco 4</t>
  </si>
  <si>
    <t>EX OPP - blocco 5</t>
  </si>
  <si>
    <t>EX OPP - blocco 7</t>
  </si>
  <si>
    <t>EX OPP - blocco 8</t>
  </si>
  <si>
    <t>EX OPP - blocco 10</t>
  </si>
  <si>
    <t>EX OPP - EX Chiesa</t>
  </si>
  <si>
    <t>EX OPP - CTR La Villa</t>
  </si>
  <si>
    <t>Casa Suore</t>
  </si>
  <si>
    <t>CSM - SERD</t>
  </si>
  <si>
    <t xml:space="preserve">Veterinari </t>
  </si>
  <si>
    <t>Cittaducale</t>
  </si>
  <si>
    <t>Corvaro</t>
  </si>
  <si>
    <t>Borgorose</t>
  </si>
  <si>
    <t>S. Agapito</t>
  </si>
  <si>
    <t>Peschieta</t>
  </si>
  <si>
    <t>S. Elpidio</t>
  </si>
  <si>
    <t>Antrodoco</t>
  </si>
  <si>
    <t>P.A.S.S. Amatrice</t>
  </si>
  <si>
    <t>P.A.S.S. Accumoli</t>
  </si>
  <si>
    <t xml:space="preserve">Leonessa </t>
  </si>
  <si>
    <t>Ascrea</t>
  </si>
  <si>
    <t>Colle di Tora</t>
  </si>
  <si>
    <t>CDS Magliano Sabina</t>
  </si>
  <si>
    <t>Sede Distretto 2</t>
  </si>
  <si>
    <t xml:space="preserve">Passo Corese </t>
  </si>
  <si>
    <t>Il Melograno</t>
  </si>
  <si>
    <t>Osteria Nuova</t>
  </si>
  <si>
    <t>Montopoli</t>
  </si>
  <si>
    <t>OdC Passo Corese</t>
  </si>
  <si>
    <t>CdC Castel di Tora</t>
  </si>
  <si>
    <t>P.O. Amatrice</t>
  </si>
  <si>
    <t>Presidio Ospedaliero</t>
  </si>
  <si>
    <t>Poliambulatorio 
(e futura Casa di Comunità)</t>
  </si>
  <si>
    <t>uffici</t>
  </si>
  <si>
    <t>poliabulatorio-uffici</t>
  </si>
  <si>
    <t>IN RISTRUTTURAZIONE</t>
  </si>
  <si>
    <t>Hospice</t>
  </si>
  <si>
    <t>R.E.M.S.</t>
  </si>
  <si>
    <t>Centro Diurno CSM</t>
  </si>
  <si>
    <t>Comunità terapeutica</t>
  </si>
  <si>
    <t>Alloggio</t>
  </si>
  <si>
    <t>Ambulatorio veterinario</t>
  </si>
  <si>
    <t>Guardia Medica</t>
  </si>
  <si>
    <t>Guardia medica</t>
  </si>
  <si>
    <t>Ambulatorio</t>
  </si>
  <si>
    <t>Poliambulatorio
(futura Casa di Comunità)</t>
  </si>
  <si>
    <t>Casa della Salute 
(e futura Casa di Comunità)</t>
  </si>
  <si>
    <t>Poliambulatorio - Struttura Riabilitativa
(e futuro Ospedale di Comunità)</t>
  </si>
  <si>
    <t>Punto di raccolta sangue AVIS</t>
  </si>
  <si>
    <t>futuro Ospedale di Comunità</t>
  </si>
  <si>
    <t>futura Casa di Comunità</t>
  </si>
  <si>
    <t>Presidio Ospedaliero
(in costruzione)</t>
  </si>
  <si>
    <t>V.le Kennedy - Rieti</t>
  </si>
  <si>
    <t>V.le Matteucci 9 - Rieti</t>
  </si>
  <si>
    <t>V. Terminillo 42 - Rieti</t>
  </si>
  <si>
    <t>Via Tavola D'argento - Rieti</t>
  </si>
  <si>
    <t>Via Tavola D'argento 13 - Rieti</t>
  </si>
  <si>
    <t>Via Veterani dello Sport 3 - Rieti</t>
  </si>
  <si>
    <t>Via Salaria Centro 4 - Rieti</t>
  </si>
  <si>
    <t>Via F.lli Sebastiani - Rieti</t>
  </si>
  <si>
    <t>Corso G. Mazzini - Cittaducale</t>
  </si>
  <si>
    <t>via S. Francesco - Borgorose</t>
  </si>
  <si>
    <t>Via Monte Burno SNC - Borgorose</t>
  </si>
  <si>
    <t>Via Sabotino 45 - Fiamignao</t>
  </si>
  <si>
    <t xml:space="preserve">Via San Paolo 18 - Fiamignano </t>
  </si>
  <si>
    <t>Via Petrignano - Pescorocchiano</t>
  </si>
  <si>
    <t>P.zza Aldo Moro 1 - Antrodoco</t>
  </si>
  <si>
    <t>frazione Villa San Cipriano - Amatrice</t>
  </si>
  <si>
    <t>Via Salaria Km 141,600 - Accumoli</t>
  </si>
  <si>
    <t>Corso S. Giuseppe 70 - Leonessa</t>
  </si>
  <si>
    <t>Via Regina Margherita 14 - Ascrea</t>
  </si>
  <si>
    <t>Via Colle della Madonna - Colle di Tora</t>
  </si>
  <si>
    <t>Voc. Filoni snc - Magliano Sabina</t>
  </si>
  <si>
    <t>Via Finocchieto - Poggio Mirteto</t>
  </si>
  <si>
    <t>Via Garibaldi 17 - Fara Sabina</t>
  </si>
  <si>
    <t>Via Formello - Poggio Mirteto scalo</t>
  </si>
  <si>
    <t>Viale Europa 13 - Poggio Moiano</t>
  </si>
  <si>
    <t>Viale Europa 5 - Poggio Moiano</t>
  </si>
  <si>
    <t>via Ternana 67 - Montopoli</t>
  </si>
  <si>
    <t>Via Turanense km 27,950 - Castel di Tora</t>
  </si>
  <si>
    <t>Viale F. Grifoni - Amatrice</t>
  </si>
  <si>
    <t>ASL FROSINONE</t>
  </si>
  <si>
    <t>01_FR_SEDE</t>
  </si>
  <si>
    <t>03_CSS_PO</t>
  </si>
  <si>
    <t>04_SOR_PO</t>
  </si>
  <si>
    <t>05_CCC_PO</t>
  </si>
  <si>
    <t>06_ANG_PO</t>
  </si>
  <si>
    <t>07_ALT_PO</t>
  </si>
  <si>
    <t>08_PNT_PO</t>
  </si>
  <si>
    <t>10_ATN_PS</t>
  </si>
  <si>
    <t>11_CPR_PS</t>
  </si>
  <si>
    <t>12_FRN_PS</t>
  </si>
  <si>
    <t>13_SOR_DS</t>
  </si>
  <si>
    <t>14_FR_PO</t>
  </si>
  <si>
    <t>FR_002_W</t>
  </si>
  <si>
    <t>FR_007_W</t>
  </si>
  <si>
    <t>FR_010_W</t>
  </si>
  <si>
    <t>FR_023_W</t>
  </si>
  <si>
    <t>FR_028_W</t>
  </si>
  <si>
    <t>FR_030_W</t>
  </si>
  <si>
    <t>FR_033_W</t>
  </si>
  <si>
    <t>FR_034_W</t>
  </si>
  <si>
    <t>FR_036_W</t>
  </si>
  <si>
    <t>FR_037_W</t>
  </si>
  <si>
    <t>FR_039_W</t>
  </si>
  <si>
    <t>FR_040_W</t>
  </si>
  <si>
    <t>FR_043_W</t>
  </si>
  <si>
    <t>FR_047_W</t>
  </si>
  <si>
    <t>FR_048_W</t>
  </si>
  <si>
    <t>FR_058_W</t>
  </si>
  <si>
    <t>FR_060_W</t>
  </si>
  <si>
    <t>FR_SERV_DISTR</t>
  </si>
  <si>
    <t>PO</t>
  </si>
  <si>
    <t>PS</t>
  </si>
  <si>
    <t>Distretto Sanitario</t>
  </si>
  <si>
    <t>Guardia medica/Ambulatori</t>
  </si>
  <si>
    <t>SERVIZI DISTRETTUALI</t>
  </si>
  <si>
    <t>VIA FABI A. SNC - 
FROSINONE (FR)</t>
  </si>
  <si>
    <t xml:space="preserve">VIA SAN PASQUALE, SNC -
 CASSINO (FR) </t>
  </si>
  <si>
    <t>LOC. SAN MARCIANO - 
SORA (FR)</t>
  </si>
  <si>
    <t xml:space="preserve">VIA BORGO SANTA LUCIA, SNC-
 CECCANO (FR) </t>
  </si>
  <si>
    <t>VIA ONORATO CAPO, 2 - 
ANAGNI (FR)</t>
  </si>
  <si>
    <t>VIA MADONNA DELLA SANITA' , SNC -
 LOC. CHIAPPITTO - ALATRI (FR)</t>
  </si>
  <si>
    <t>VIA S. GIOVANNI BATTISTA, SNC - 
PONTECORVO (FR)</t>
  </si>
  <si>
    <t>VIA COLLE MELFA, SNC- 
ATINA (FR)</t>
  </si>
  <si>
    <t xml:space="preserve">VIA RIVIERA LIRI, SNC 
- CEPRANO (FR) </t>
  </si>
  <si>
    <t>PIAZZA DELL'OSPIZIO, SNC - 
FERENTINO (FR)</t>
  </si>
  <si>
    <t>VIA PIEMONTE - SORA (FR)</t>
  </si>
  <si>
    <t>VIA ANTICOLANA, km 1,5 - 
ANAGNI (FR)</t>
  </si>
  <si>
    <t>SS. 155 VIA TIBURTINA, SNC - 
ALATRI (FR)</t>
  </si>
  <si>
    <t>PIAZZA MARTIRI DI NASSIRYA, 1 - 
FIUGGI (FR)</t>
  </si>
  <si>
    <t>VIA CASILINA NORD, 19 - 
FERENTINO (FR)</t>
  </si>
  <si>
    <t>VIA LUCIO ALFIO, 5 - 
VEROLI (FR)</t>
  </si>
  <si>
    <t>VIALE MAZZINI, SN - 
FROSINONE (FR)</t>
  </si>
  <si>
    <t>VIA OSPEDALE, SNC - 
ISOLA DEL LIRI (FR)</t>
  </si>
  <si>
    <t>VIA SELVA, SNC - 
ISOLA DEL LIRI (FR)</t>
  </si>
  <si>
    <t>VIA CASILINA, 36 - ARCE (FR)</t>
  </si>
  <si>
    <t>VIA POZZO SAN PAOLO, 27 - 
MONTE S. GIOVANNI CAMPANO (FR)</t>
  </si>
  <si>
    <t>VIALE MANZONI A., SNC - 
AQUINO (FR)</t>
  </si>
  <si>
    <t>VIA DE BOSIS, SNC - 
CASSINO (FR)</t>
  </si>
  <si>
    <t>VIA DEGLI EROI, 37 - 
CASSINO (FR)</t>
  </si>
  <si>
    <t>VIA ROMA, SNC - 
SAN GIORGIO A LIRI (FR)</t>
  </si>
  <si>
    <t>PIAZZA DUOMO, SNC - 
VALLEROTONDA (FR)</t>
  </si>
  <si>
    <t>VIA GAETANO DI BLASIO - 
CASSINO (FR)</t>
  </si>
  <si>
    <t>VIA FRATELLI BEGUINOT, SNC - 
PALIANO (FR)</t>
  </si>
  <si>
    <t>VIA E. DE NICOLA 263/265 - 
CASSINO (FR)</t>
  </si>
  <si>
    <t>E SUB 6 -8, F SUB 12</t>
  </si>
  <si>
    <t>n.p.</t>
  </si>
  <si>
    <t>n/p</t>
  </si>
  <si>
    <t>COMUNE/PRIVATO</t>
  </si>
  <si>
    <t>A.O. SAN GIOVANNI ADDOLORATA</t>
  </si>
  <si>
    <t>P.O. San Giovanni</t>
  </si>
  <si>
    <t>P.O. Addolorata</t>
  </si>
  <si>
    <t>P.O. Britannico</t>
  </si>
  <si>
    <t>P.A. Santa Maria</t>
  </si>
  <si>
    <t>Sede Legale</t>
  </si>
  <si>
    <t>prevalente ad uso ospedaliero</t>
  </si>
  <si>
    <t>prevalente ad uso ambulatoriale</t>
  </si>
  <si>
    <t>prevalente area economale (uffici)</t>
  </si>
  <si>
    <t>via dell' Amba Aradam 8</t>
  </si>
  <si>
    <t>via Santo Stefano Rotondo 5</t>
  </si>
  <si>
    <t>via Santo Stefano Rotondo 6</t>
  </si>
  <si>
    <t xml:space="preserve">via Merulana </t>
  </si>
  <si>
    <t>via dell' Amba Aradam 9</t>
  </si>
  <si>
    <t>edifici vari: prevalente D altri edifici C/E/F</t>
  </si>
  <si>
    <t xml:space="preserve">si </t>
  </si>
  <si>
    <t>A.O.U. SANT'ANDREA</t>
  </si>
  <si>
    <t>CP01</t>
  </si>
  <si>
    <t>CP04</t>
  </si>
  <si>
    <t>CP05</t>
  </si>
  <si>
    <t>P.O. Sant'Andrea</t>
  </si>
  <si>
    <t>H1 SUD</t>
  </si>
  <si>
    <t>H4 OVEST</t>
  </si>
  <si>
    <t>Via di Grottarossa, 1035/1039</t>
  </si>
  <si>
    <t>nd</t>
  </si>
  <si>
    <t>_</t>
  </si>
  <si>
    <t>POLICLINICO TOR VERGATA</t>
  </si>
  <si>
    <t>Policlinico Tor Vergata</t>
  </si>
  <si>
    <t>Ospedale</t>
  </si>
  <si>
    <t>Viale Oxford 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</si>
</sst>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#,##0.00000000"/>
    <numFmt numFmtId="165" formatCode="#,##0.000000000"/>
    <numFmt numFmtId="166" formatCode="_-* #,##0.00\ _€_-;\-* #,##0.00\ _€_-;_-* &quot;-&quot;??\ _€_-;_-@_-"/>
    <numFmt numFmtId="167" formatCode="#,##0.000"/>
    <numFmt numFmtId="168" formatCode="#,##0.00000"/>
    <numFmt numFmtId="169" formatCode="#,##0.0000000000"/>
    <numFmt numFmtId="170" formatCode="_-* #,##0.00\ [$€-410]_-;\-* #,##0.00\ [$€-410]_-;_-* &quot;-&quot;??\ [$€-410]_-;_-@_-"/>
    <numFmt numFmtId="171" formatCode="_-* #,##0.00000\ [$€-410]_-;\-* #,##0.00000\ [$€-410]_-;_-* &quot;-&quot;??\ [$€-410]_-;_-@_-"/>
    <numFmt numFmtId="172" formatCode="#,##0.00_ ;\-#,##0.00\ "/>
  </numFmts>
  <fonts count="9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name val="Gill Sans MT"/>
      <family val="2"/>
    </font>
    <font>
      <b/>
      <sz val="10"/>
      <name val="Gill Sans MT"/>
      <family val="2"/>
    </font>
    <font>
      <sz val="11"/>
      <color theme="1"/>
      <name val="Gill Sans MT"/>
      <family val="2"/>
    </font>
    <font>
      <sz val="10"/>
      <name val="Gill Sans MT"/>
      <family val="2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rgb="FF000000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6" fillId="0" borderId="0"/>
    <xf numFmtId="166" fontId="6" fillId="0" borderId="0" applyFont="0" applyFill="0" applyBorder="0" applyAlignment="0" applyProtection="0"/>
  </cellStyleXfs>
  <cellXfs count="106">
    <xf numFmtId="0" fontId="0" fillId="0" borderId="0" xfId="0"/>
    <xf numFmtId="0" fontId="3" fillId="3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2" borderId="0" xfId="0" applyFont="1" applyFill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3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 wrapText="1"/>
    </xf>
    <xf numFmtId="4" fontId="3" fillId="4" borderId="1" xfId="0" applyNumberFormat="1" applyFont="1" applyFill="1" applyBorder="1" applyAlignment="1">
      <alignment horizontal="center" vertical="center"/>
    </xf>
    <xf numFmtId="3" fontId="3" fillId="4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 wrapText="1"/>
    </xf>
    <xf numFmtId="4" fontId="3" fillId="5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5" fillId="0" borderId="1" xfId="0" applyFont="1" applyBorder="1" applyAlignment="1">
      <alignment vertical="center" wrapText="1"/>
    </xf>
    <xf numFmtId="4" fontId="3" fillId="6" borderId="1" xfId="0" applyNumberFormat="1" applyFont="1" applyFill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3" fillId="5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vertical="center" wrapText="1"/>
    </xf>
    <xf numFmtId="4" fontId="5" fillId="5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2" borderId="0" xfId="0" applyFont="1" applyFill="1" applyAlignment="1">
      <alignment vertical="center" wrapText="1"/>
    </xf>
    <xf numFmtId="4" fontId="5" fillId="2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7" fillId="2" borderId="0" xfId="0" applyFont="1" applyFill="1" applyAlignment="1">
      <alignment horizontal="left" vertical="center"/>
    </xf>
    <xf numFmtId="0" fontId="7" fillId="2" borderId="0" xfId="0" applyFont="1" applyFill="1" applyAlignment="1">
      <alignment vertical="center" wrapText="1"/>
    </xf>
    <xf numFmtId="0" fontId="7" fillId="0" borderId="0" xfId="0" applyFont="1" applyAlignment="1">
      <alignment vertical="center"/>
    </xf>
    <xf numFmtId="164" fontId="5" fillId="2" borderId="0" xfId="0" applyNumberFormat="1" applyFont="1" applyFill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165" fontId="5" fillId="2" borderId="0" xfId="0" applyNumberFormat="1" applyFont="1" applyFill="1" applyAlignment="1">
      <alignment horizontal="center" vertical="center"/>
    </xf>
    <xf numFmtId="4" fontId="3" fillId="3" borderId="1" xfId="0" applyNumberFormat="1" applyFont="1" applyFill="1" applyBorder="1" applyAlignment="1">
      <alignment vertical="center" wrapText="1"/>
    </xf>
    <xf numFmtId="0" fontId="4" fillId="0" borderId="0" xfId="0" applyFont="1"/>
    <xf numFmtId="0" fontId="5" fillId="0" borderId="0" xfId="0" applyFont="1" applyAlignment="1">
      <alignment horizontal="left" vertical="center"/>
    </xf>
    <xf numFmtId="0" fontId="5" fillId="0" borderId="2" xfId="0" quotePrefix="1" applyFont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4" fontId="7" fillId="2" borderId="0" xfId="0" applyNumberFormat="1" applyFont="1" applyFill="1" applyAlignment="1">
      <alignment vertical="center" wrapText="1"/>
    </xf>
    <xf numFmtId="164" fontId="7" fillId="2" borderId="0" xfId="0" applyNumberFormat="1" applyFont="1" applyFill="1" applyAlignment="1">
      <alignment vertical="center" wrapText="1"/>
    </xf>
    <xf numFmtId="168" fontId="5" fillId="2" borderId="0" xfId="0" applyNumberFormat="1" applyFont="1" applyFill="1" applyAlignment="1">
      <alignment horizontal="center" vertical="center"/>
    </xf>
    <xf numFmtId="169" fontId="5" fillId="2" borderId="0" xfId="0" applyNumberFormat="1" applyFont="1" applyFill="1" applyAlignment="1">
      <alignment horizontal="center" vertical="center"/>
    </xf>
    <xf numFmtId="165" fontId="3" fillId="5" borderId="1" xfId="0" applyNumberFormat="1" applyFont="1" applyFill="1" applyBorder="1" applyAlignment="1">
      <alignment horizontal="center" vertical="center"/>
    </xf>
    <xf numFmtId="0" fontId="8" fillId="7" borderId="0" xfId="0" applyFont="1" applyFill="1" applyAlignment="1">
      <alignment vertical="center"/>
    </xf>
    <xf numFmtId="0" fontId="8" fillId="7" borderId="0" xfId="0" applyFont="1" applyFill="1" applyAlignment="1">
      <alignment horizontal="left" vertical="center"/>
    </xf>
    <xf numFmtId="0" fontId="8" fillId="0" borderId="0" xfId="0" applyFont="1" applyAlignment="1">
      <alignment vertical="center"/>
    </xf>
    <xf numFmtId="0" fontId="8" fillId="7" borderId="0" xfId="0" applyFont="1" applyFill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167" fontId="5" fillId="0" borderId="1" xfId="0" applyNumberFormat="1" applyFont="1" applyBorder="1" applyAlignment="1">
      <alignment horizontal="center" vertical="center"/>
    </xf>
    <xf numFmtId="4" fontId="3" fillId="5" borderId="1" xfId="0" applyNumberFormat="1" applyFont="1" applyFill="1" applyBorder="1" applyAlignment="1">
      <alignment vertical="center" wrapText="1"/>
    </xf>
    <xf numFmtId="167" fontId="5" fillId="5" borderId="1" xfId="0" applyNumberFormat="1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5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3" fontId="3" fillId="4" borderId="1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4" fontId="3" fillId="5" borderId="1" xfId="0" applyNumberFormat="1" applyFont="1" applyFill="1" applyBorder="1" applyAlignment="1">
      <alignment horizontal="center" vertical="center" wrapText="1"/>
    </xf>
    <xf numFmtId="4" fontId="5" fillId="5" borderId="1" xfId="0" applyNumberFormat="1" applyFont="1" applyFill="1" applyBorder="1" applyAlignment="1">
      <alignment horizontal="center" vertical="center" wrapText="1"/>
    </xf>
    <xf numFmtId="4" fontId="5" fillId="2" borderId="0" xfId="0" applyNumberFormat="1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170" fontId="8" fillId="7" borderId="0" xfId="0" applyNumberFormat="1" applyFont="1" applyFill="1" applyAlignment="1">
      <alignment vertical="center"/>
    </xf>
    <xf numFmtId="170" fontId="8" fillId="0" borderId="0" xfId="0" applyNumberFormat="1" applyFont="1" applyAlignment="1">
      <alignment vertical="center"/>
    </xf>
    <xf numFmtId="170" fontId="8" fillId="7" borderId="0" xfId="0" applyNumberFormat="1" applyFont="1" applyFill="1" applyAlignment="1">
      <alignment horizontal="left" vertical="center"/>
    </xf>
    <xf numFmtId="171" fontId="8" fillId="7" borderId="0" xfId="0" applyNumberFormat="1" applyFont="1" applyFill="1" applyAlignment="1">
      <alignment vertical="center"/>
    </xf>
    <xf numFmtId="0" fontId="4" fillId="0" borderId="0" xfId="0" applyFont="1" applyAlignment="1">
      <alignment wrapText="1"/>
    </xf>
    <xf numFmtId="2" fontId="8" fillId="7" borderId="0" xfId="0" applyNumberFormat="1" applyFont="1" applyFill="1" applyAlignment="1">
      <alignment vertical="center"/>
    </xf>
    <xf numFmtId="2" fontId="8" fillId="0" borderId="0" xfId="0" applyNumberFormat="1" applyFont="1" applyAlignment="1">
      <alignment vertical="center"/>
    </xf>
    <xf numFmtId="172" fontId="8" fillId="7" borderId="0" xfId="0" applyNumberFormat="1" applyFont="1" applyFill="1" applyAlignment="1">
      <alignment vertical="center"/>
    </xf>
    <xf numFmtId="172" fontId="8" fillId="0" borderId="0" xfId="0" applyNumberFormat="1" applyFont="1" applyAlignment="1">
      <alignment vertical="center"/>
    </xf>
    <xf numFmtId="170" fontId="0" fillId="0" borderId="0" xfId="0" applyNumberFormat="1"/>
    <xf numFmtId="4" fontId="8" fillId="7" borderId="0" xfId="0" applyNumberFormat="1" applyFont="1" applyFill="1" applyAlignment="1">
      <alignment vertical="center"/>
    </xf>
    <xf numFmtId="4" fontId="8" fillId="7" borderId="0" xfId="0" applyNumberFormat="1" applyFont="1" applyFill="1" applyAlignment="1">
      <alignment horizontal="left" vertical="center"/>
    </xf>
    <xf numFmtId="4" fontId="8" fillId="0" borderId="0" xfId="0" applyNumberFormat="1" applyFont="1" applyAlignment="1">
      <alignment vertical="center"/>
    </xf>
    <xf numFmtId="170" fontId="7" fillId="2" borderId="0" xfId="0" applyNumberFormat="1" applyFont="1" applyFill="1" applyAlignment="1">
      <alignment horizontal="left" vertical="center"/>
    </xf>
    <xf numFmtId="170" fontId="7" fillId="2" borderId="0" xfId="0" applyNumberFormat="1" applyFont="1" applyFill="1" applyAlignment="1">
      <alignment vertical="center"/>
    </xf>
    <xf numFmtId="4" fontId="5" fillId="0" borderId="1" xfId="0" quotePrefix="1" applyNumberFormat="1" applyFont="1" applyBorder="1" applyAlignment="1">
      <alignment horizontal="center" vertical="center"/>
    </xf>
    <xf numFmtId="0" fontId="5" fillId="0" borderId="15" xfId="0" applyFont="1" applyBorder="1" applyAlignment="1">
      <alignment vertical="center" wrapText="1"/>
    </xf>
    <xf numFmtId="0" fontId="5" fillId="0" borderId="15" xfId="0" applyFont="1" applyBorder="1" applyAlignment="1">
      <alignment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3" fontId="5" fillId="0" borderId="11" xfId="0" applyNumberFormat="1" applyFont="1" applyBorder="1" applyAlignment="1">
      <alignment horizontal="center" vertical="center"/>
    </xf>
    <xf numFmtId="3" fontId="5" fillId="0" borderId="12" xfId="0" applyNumberFormat="1" applyFont="1" applyBorder="1" applyAlignment="1">
      <alignment horizontal="center" vertical="center"/>
    </xf>
    <xf numFmtId="3" fontId="5" fillId="0" borderId="13" xfId="0" applyNumberFormat="1" applyFont="1" applyBorder="1" applyAlignment="1">
      <alignment horizontal="center" vertical="center"/>
    </xf>
    <xf numFmtId="4" fontId="5" fillId="0" borderId="11" xfId="0" applyNumberFormat="1" applyFont="1" applyBorder="1" applyAlignment="1">
      <alignment horizontal="center" vertical="center" wrapText="1"/>
    </xf>
    <xf numFmtId="4" fontId="5" fillId="0" borderId="13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3" fontId="7" fillId="0" borderId="11" xfId="0" applyNumberFormat="1" applyFont="1" applyBorder="1" applyAlignment="1">
      <alignment horizontal="center" vertical="center"/>
    </xf>
    <xf numFmtId="3" fontId="7" fillId="0" borderId="12" xfId="0" applyNumberFormat="1" applyFont="1" applyBorder="1" applyAlignment="1">
      <alignment horizontal="center" vertical="center"/>
    </xf>
    <xf numFmtId="3" fontId="7" fillId="0" borderId="14" xfId="0" applyNumberFormat="1" applyFont="1" applyBorder="1" applyAlignment="1">
      <alignment horizontal="center" vertical="center"/>
    </xf>
    <xf numFmtId="4" fontId="5" fillId="0" borderId="11" xfId="0" applyNumberFormat="1" applyFont="1" applyBorder="1" applyAlignment="1">
      <alignment horizontal="center" vertical="center"/>
    </xf>
    <xf numFmtId="4" fontId="5" fillId="0" borderId="12" xfId="0" applyNumberFormat="1" applyFont="1" applyBorder="1" applyAlignment="1">
      <alignment horizontal="center" vertical="center"/>
    </xf>
    <xf numFmtId="4" fontId="5" fillId="0" borderId="13" xfId="0" applyNumberFormat="1" applyFont="1" applyBorder="1" applyAlignment="1">
      <alignment horizontal="center" vertical="center"/>
    </xf>
  </cellXfs>
  <cellStyles count="3">
    <cellStyle name="Comma 2" xfId="2" xr:uid="{FE58BF44-E2A9-4B13-AE5A-0944B1AE321D}"/>
    <cellStyle name="Normal" xfId="0" builtinId="0"/>
    <cellStyle name="Normale 2" xfId="1" xr:uid="{1677280B-2383-4E85-938E-D134B0483DD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pietroleone/Downloads/SICC%20-%20Analisi%20fabbisogni%20Vigilanza%20-%20Questionario%20per%20gli%20enti%201.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truzioni"/>
      <sheetName val="Contratti di vigilanza"/>
      <sheetName val="Fabbisogno"/>
      <sheetName val="Sheet1"/>
      <sheetName val="Liste"/>
      <sheetName val="Foglio1"/>
    </sheetNames>
    <sheetDataSet>
      <sheetData sheetId="0"/>
      <sheetData sheetId="1"/>
      <sheetData sheetId="2"/>
      <sheetData sheetId="3" refreshError="1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3C5AF-74AE-4E30-A0E8-1CB10C070C37}">
  <sheetPr codeName="Sheet1">
    <pageSetUpPr fitToPage="1"/>
  </sheetPr>
  <dimension ref="A1:DM139"/>
  <sheetViews>
    <sheetView showGridLines="0" topLeftCell="A5" zoomScale="90" zoomScaleNormal="90" workbookViewId="0">
      <selection activeCell="B43" sqref="B43"/>
    </sheetView>
  </sheetViews>
  <sheetFormatPr defaultColWidth="9.28515625" defaultRowHeight="15.95"/>
  <cols>
    <col min="1" max="1" width="27.7109375" style="4" customWidth="1"/>
    <col min="2" max="2" width="57.42578125" style="30" customWidth="1"/>
    <col min="3" max="3" width="29.5703125" style="30" bestFit="1" customWidth="1"/>
    <col min="4" max="4" width="28.5703125" style="31" customWidth="1"/>
    <col min="5" max="5" width="23.85546875" style="32" bestFit="1" customWidth="1"/>
    <col min="6" max="6" width="21.140625" style="32" bestFit="1" customWidth="1"/>
    <col min="7" max="7" width="18.42578125" style="32" bestFit="1" customWidth="1"/>
    <col min="8" max="8" width="20.5703125" style="32" bestFit="1" customWidth="1"/>
    <col min="9" max="9" width="32.28515625" style="32" bestFit="1" customWidth="1"/>
    <col min="10" max="10" width="16.42578125" style="32" bestFit="1" customWidth="1"/>
    <col min="11" max="11" width="14.5703125" style="32" bestFit="1" customWidth="1"/>
    <col min="12" max="12" width="17.5703125" style="32" bestFit="1" customWidth="1"/>
    <col min="13" max="13" width="14.5703125" style="32" bestFit="1" customWidth="1"/>
    <col min="14" max="15" width="21.140625" style="32" bestFit="1" customWidth="1"/>
    <col min="16" max="17" width="14.5703125" style="32" bestFit="1" customWidth="1"/>
    <col min="18" max="18" width="19.85546875" style="32" bestFit="1" customWidth="1"/>
    <col min="19" max="20" width="20.140625" style="32" bestFit="1" customWidth="1"/>
    <col min="21" max="22" width="14.5703125" style="32" bestFit="1" customWidth="1"/>
    <col min="23" max="23" width="15.7109375" style="32" bestFit="1" customWidth="1"/>
    <col min="24" max="24" width="14.5703125" style="32" bestFit="1" customWidth="1"/>
    <col min="25" max="25" width="17.7109375" style="32" bestFit="1" customWidth="1"/>
    <col min="26" max="27" width="14.5703125" style="32" bestFit="1" customWidth="1"/>
    <col min="28" max="28" width="21.140625" style="32" bestFit="1" customWidth="1"/>
    <col min="29" max="29" width="20.140625" style="32" bestFit="1" customWidth="1"/>
    <col min="30" max="30" width="27.42578125" style="32" bestFit="1" customWidth="1"/>
    <col min="31" max="31" width="14.5703125" style="32" bestFit="1" customWidth="1"/>
    <col min="32" max="33" width="15.85546875" style="32" bestFit="1" customWidth="1"/>
    <col min="34" max="34" width="14.85546875" style="32" bestFit="1" customWidth="1"/>
    <col min="35" max="35" width="20.140625" style="32" bestFit="1" customWidth="1"/>
    <col min="36" max="36" width="18.28515625" style="32" bestFit="1" customWidth="1"/>
    <col min="37" max="37" width="26.42578125" style="32" bestFit="1" customWidth="1"/>
    <col min="38" max="39" width="19.42578125" style="32" bestFit="1" customWidth="1"/>
    <col min="40" max="40" width="17.28515625" style="32" bestFit="1" customWidth="1"/>
    <col min="41" max="47" width="19.42578125" style="32" bestFit="1" customWidth="1"/>
    <col min="48" max="48" width="14.5703125" style="32" bestFit="1" customWidth="1"/>
    <col min="49" max="49" width="19.42578125" style="32" bestFit="1" customWidth="1"/>
    <col min="50" max="50" width="20.140625" style="32" bestFit="1" customWidth="1"/>
    <col min="51" max="51" width="21.140625" style="32" bestFit="1" customWidth="1"/>
    <col min="52" max="53" width="19.140625" style="32" bestFit="1" customWidth="1"/>
    <col min="54" max="56" width="14.5703125" style="32" bestFit="1" customWidth="1"/>
    <col min="57" max="57" width="21.5703125" style="32" bestFit="1" customWidth="1"/>
    <col min="58" max="58" width="18.140625" style="32" bestFit="1" customWidth="1"/>
    <col min="59" max="61" width="14.5703125" style="32" bestFit="1" customWidth="1"/>
    <col min="62" max="62" width="24" style="32" bestFit="1" customWidth="1"/>
    <col min="63" max="63" width="21.140625" style="32" bestFit="1" customWidth="1"/>
    <col min="64" max="65" width="18.140625" style="32" bestFit="1" customWidth="1"/>
    <col min="66" max="69" width="20.140625" style="32" bestFit="1" customWidth="1"/>
    <col min="70" max="72" width="14.5703125" style="32" bestFit="1" customWidth="1"/>
    <col min="73" max="73" width="20.28515625" style="32" bestFit="1" customWidth="1"/>
    <col min="74" max="74" width="20.140625" style="32" bestFit="1" customWidth="1"/>
    <col min="75" max="75" width="21.42578125" style="32" bestFit="1" customWidth="1"/>
    <col min="76" max="76" width="20.85546875" style="32" bestFit="1" customWidth="1"/>
    <col min="77" max="77" width="20.140625" style="32" bestFit="1" customWidth="1"/>
    <col min="78" max="78" width="24.7109375" style="32" bestFit="1" customWidth="1"/>
    <col min="79" max="79" width="25.85546875" style="32" bestFit="1" customWidth="1"/>
    <col min="80" max="80" width="24.140625" style="32" bestFit="1" customWidth="1"/>
    <col min="81" max="81" width="19.42578125" style="32" bestFit="1" customWidth="1"/>
    <col min="82" max="82" width="21.85546875" style="32" bestFit="1" customWidth="1"/>
    <col min="83" max="83" width="20.5703125" style="32" bestFit="1" customWidth="1"/>
    <col min="84" max="84" width="22.5703125" style="32" bestFit="1" customWidth="1"/>
    <col min="85" max="86" width="19.42578125" style="32" bestFit="1" customWidth="1"/>
    <col min="87" max="87" width="14.5703125" style="32" bestFit="1" customWidth="1"/>
    <col min="88" max="88" width="23.140625" style="32" bestFit="1" customWidth="1"/>
    <col min="89" max="89" width="24.5703125" style="32" bestFit="1" customWidth="1"/>
    <col min="90" max="98" width="25.42578125" style="32" customWidth="1"/>
    <col min="99" max="109" width="25.42578125" style="66" customWidth="1"/>
    <col min="110" max="110" width="25.28515625" style="66" bestFit="1" customWidth="1"/>
    <col min="111" max="111" width="22.28515625" style="66" bestFit="1" customWidth="1"/>
    <col min="112" max="112" width="11.5703125" style="50" bestFit="1" customWidth="1"/>
    <col min="113" max="113" width="15.85546875" style="67" bestFit="1" customWidth="1"/>
    <col min="114" max="114" width="13.140625" style="50" bestFit="1" customWidth="1"/>
    <col min="115" max="115" width="9.28515625" style="50"/>
    <col min="116" max="116" width="13.140625" style="50" bestFit="1" customWidth="1"/>
    <col min="117" max="344" width="9.28515625" style="50"/>
    <col min="345" max="345" width="24.42578125" style="50" customWidth="1"/>
    <col min="346" max="346" width="59.42578125" style="50" customWidth="1"/>
    <col min="347" max="347" width="23.28515625" style="50" customWidth="1"/>
    <col min="348" max="348" width="14.7109375" style="50" bestFit="1" customWidth="1"/>
    <col min="349" max="350" width="20.42578125" style="50" customWidth="1"/>
    <col min="351" max="351" width="17.42578125" style="50" customWidth="1"/>
    <col min="352" max="352" width="11.42578125" style="50" bestFit="1" customWidth="1"/>
    <col min="353" max="353" width="16.28515625" style="50" customWidth="1"/>
    <col min="354" max="354" width="9.28515625" style="50"/>
    <col min="355" max="355" width="14.28515625" style="50" bestFit="1" customWidth="1"/>
    <col min="356" max="600" width="9.28515625" style="50"/>
    <col min="601" max="601" width="24.42578125" style="50" customWidth="1"/>
    <col min="602" max="602" width="59.42578125" style="50" customWidth="1"/>
    <col min="603" max="603" width="23.28515625" style="50" customWidth="1"/>
    <col min="604" max="604" width="14.7109375" style="50" bestFit="1" customWidth="1"/>
    <col min="605" max="606" width="20.42578125" style="50" customWidth="1"/>
    <col min="607" max="607" width="17.42578125" style="50" customWidth="1"/>
    <col min="608" max="608" width="11.42578125" style="50" bestFit="1" customWidth="1"/>
    <col min="609" max="609" width="16.28515625" style="50" customWidth="1"/>
    <col min="610" max="610" width="9.28515625" style="50"/>
    <col min="611" max="611" width="14.28515625" style="50" bestFit="1" customWidth="1"/>
    <col min="612" max="856" width="9.28515625" style="50"/>
    <col min="857" max="857" width="24.42578125" style="50" customWidth="1"/>
    <col min="858" max="858" width="59.42578125" style="50" customWidth="1"/>
    <col min="859" max="859" width="23.28515625" style="50" customWidth="1"/>
    <col min="860" max="860" width="14.7109375" style="50" bestFit="1" customWidth="1"/>
    <col min="861" max="862" width="20.42578125" style="50" customWidth="1"/>
    <col min="863" max="863" width="17.42578125" style="50" customWidth="1"/>
    <col min="864" max="864" width="11.42578125" style="50" bestFit="1" customWidth="1"/>
    <col min="865" max="865" width="16.28515625" style="50" customWidth="1"/>
    <col min="866" max="866" width="9.28515625" style="50"/>
    <col min="867" max="867" width="14.28515625" style="50" bestFit="1" customWidth="1"/>
    <col min="868" max="1112" width="9.28515625" style="50"/>
    <col min="1113" max="1113" width="24.42578125" style="50" customWidth="1"/>
    <col min="1114" max="1114" width="59.42578125" style="50" customWidth="1"/>
    <col min="1115" max="1115" width="23.28515625" style="50" customWidth="1"/>
    <col min="1116" max="1116" width="14.7109375" style="50" bestFit="1" customWidth="1"/>
    <col min="1117" max="1118" width="20.42578125" style="50" customWidth="1"/>
    <col min="1119" max="1119" width="17.42578125" style="50" customWidth="1"/>
    <col min="1120" max="1120" width="11.42578125" style="50" bestFit="1" customWidth="1"/>
    <col min="1121" max="1121" width="16.28515625" style="50" customWidth="1"/>
    <col min="1122" max="1122" width="9.28515625" style="50"/>
    <col min="1123" max="1123" width="14.28515625" style="50" bestFit="1" customWidth="1"/>
    <col min="1124" max="1368" width="9.28515625" style="50"/>
    <col min="1369" max="1369" width="24.42578125" style="50" customWidth="1"/>
    <col min="1370" max="1370" width="59.42578125" style="50" customWidth="1"/>
    <col min="1371" max="1371" width="23.28515625" style="50" customWidth="1"/>
    <col min="1372" max="1372" width="14.7109375" style="50" bestFit="1" customWidth="1"/>
    <col min="1373" max="1374" width="20.42578125" style="50" customWidth="1"/>
    <col min="1375" max="1375" width="17.42578125" style="50" customWidth="1"/>
    <col min="1376" max="1376" width="11.42578125" style="50" bestFit="1" customWidth="1"/>
    <col min="1377" max="1377" width="16.28515625" style="50" customWidth="1"/>
    <col min="1378" max="1378" width="9.28515625" style="50"/>
    <col min="1379" max="1379" width="14.28515625" style="50" bestFit="1" customWidth="1"/>
    <col min="1380" max="1624" width="9.28515625" style="50"/>
    <col min="1625" max="1625" width="24.42578125" style="50" customWidth="1"/>
    <col min="1626" max="1626" width="59.42578125" style="50" customWidth="1"/>
    <col min="1627" max="1627" width="23.28515625" style="50" customWidth="1"/>
    <col min="1628" max="1628" width="14.7109375" style="50" bestFit="1" customWidth="1"/>
    <col min="1629" max="1630" width="20.42578125" style="50" customWidth="1"/>
    <col min="1631" max="1631" width="17.42578125" style="50" customWidth="1"/>
    <col min="1632" max="1632" width="11.42578125" style="50" bestFit="1" customWidth="1"/>
    <col min="1633" max="1633" width="16.28515625" style="50" customWidth="1"/>
    <col min="1634" max="1634" width="9.28515625" style="50"/>
    <col min="1635" max="1635" width="14.28515625" style="50" bestFit="1" customWidth="1"/>
    <col min="1636" max="1880" width="9.28515625" style="50"/>
    <col min="1881" max="1881" width="24.42578125" style="50" customWidth="1"/>
    <col min="1882" max="1882" width="59.42578125" style="50" customWidth="1"/>
    <col min="1883" max="1883" width="23.28515625" style="50" customWidth="1"/>
    <col min="1884" max="1884" width="14.7109375" style="50" bestFit="1" customWidth="1"/>
    <col min="1885" max="1886" width="20.42578125" style="50" customWidth="1"/>
    <col min="1887" max="1887" width="17.42578125" style="50" customWidth="1"/>
    <col min="1888" max="1888" width="11.42578125" style="50" bestFit="1" customWidth="1"/>
    <col min="1889" max="1889" width="16.28515625" style="50" customWidth="1"/>
    <col min="1890" max="1890" width="9.28515625" style="50"/>
    <col min="1891" max="1891" width="14.28515625" style="50" bestFit="1" customWidth="1"/>
    <col min="1892" max="2136" width="9.28515625" style="50"/>
    <col min="2137" max="2137" width="24.42578125" style="50" customWidth="1"/>
    <col min="2138" max="2138" width="59.42578125" style="50" customWidth="1"/>
    <col min="2139" max="2139" width="23.28515625" style="50" customWidth="1"/>
    <col min="2140" max="2140" width="14.7109375" style="50" bestFit="1" customWidth="1"/>
    <col min="2141" max="2142" width="20.42578125" style="50" customWidth="1"/>
    <col min="2143" max="2143" width="17.42578125" style="50" customWidth="1"/>
    <col min="2144" max="2144" width="11.42578125" style="50" bestFit="1" customWidth="1"/>
    <col min="2145" max="2145" width="16.28515625" style="50" customWidth="1"/>
    <col min="2146" max="2146" width="9.28515625" style="50"/>
    <col min="2147" max="2147" width="14.28515625" style="50" bestFit="1" customWidth="1"/>
    <col min="2148" max="2392" width="9.28515625" style="50"/>
    <col min="2393" max="2393" width="24.42578125" style="50" customWidth="1"/>
    <col min="2394" max="2394" width="59.42578125" style="50" customWidth="1"/>
    <col min="2395" max="2395" width="23.28515625" style="50" customWidth="1"/>
    <col min="2396" max="2396" width="14.7109375" style="50" bestFit="1" customWidth="1"/>
    <col min="2397" max="2398" width="20.42578125" style="50" customWidth="1"/>
    <col min="2399" max="2399" width="17.42578125" style="50" customWidth="1"/>
    <col min="2400" max="2400" width="11.42578125" style="50" bestFit="1" customWidth="1"/>
    <col min="2401" max="2401" width="16.28515625" style="50" customWidth="1"/>
    <col min="2402" max="2402" width="9.28515625" style="50"/>
    <col min="2403" max="2403" width="14.28515625" style="50" bestFit="1" customWidth="1"/>
    <col min="2404" max="2648" width="9.28515625" style="50"/>
    <col min="2649" max="2649" width="24.42578125" style="50" customWidth="1"/>
    <col min="2650" max="2650" width="59.42578125" style="50" customWidth="1"/>
    <col min="2651" max="2651" width="23.28515625" style="50" customWidth="1"/>
    <col min="2652" max="2652" width="14.7109375" style="50" bestFit="1" customWidth="1"/>
    <col min="2653" max="2654" width="20.42578125" style="50" customWidth="1"/>
    <col min="2655" max="2655" width="17.42578125" style="50" customWidth="1"/>
    <col min="2656" max="2656" width="11.42578125" style="50" bestFit="1" customWidth="1"/>
    <col min="2657" max="2657" width="16.28515625" style="50" customWidth="1"/>
    <col min="2658" max="2658" width="9.28515625" style="50"/>
    <col min="2659" max="2659" width="14.28515625" style="50" bestFit="1" customWidth="1"/>
    <col min="2660" max="2904" width="9.28515625" style="50"/>
    <col min="2905" max="2905" width="24.42578125" style="50" customWidth="1"/>
    <col min="2906" max="2906" width="59.42578125" style="50" customWidth="1"/>
    <col min="2907" max="2907" width="23.28515625" style="50" customWidth="1"/>
    <col min="2908" max="2908" width="14.7109375" style="50" bestFit="1" customWidth="1"/>
    <col min="2909" max="2910" width="20.42578125" style="50" customWidth="1"/>
    <col min="2911" max="2911" width="17.42578125" style="50" customWidth="1"/>
    <col min="2912" max="2912" width="11.42578125" style="50" bestFit="1" customWidth="1"/>
    <col min="2913" max="2913" width="16.28515625" style="50" customWidth="1"/>
    <col min="2914" max="2914" width="9.28515625" style="50"/>
    <col min="2915" max="2915" width="14.28515625" style="50" bestFit="1" customWidth="1"/>
    <col min="2916" max="3160" width="9.28515625" style="50"/>
    <col min="3161" max="3161" width="24.42578125" style="50" customWidth="1"/>
    <col min="3162" max="3162" width="59.42578125" style="50" customWidth="1"/>
    <col min="3163" max="3163" width="23.28515625" style="50" customWidth="1"/>
    <col min="3164" max="3164" width="14.7109375" style="50" bestFit="1" customWidth="1"/>
    <col min="3165" max="3166" width="20.42578125" style="50" customWidth="1"/>
    <col min="3167" max="3167" width="17.42578125" style="50" customWidth="1"/>
    <col min="3168" max="3168" width="11.42578125" style="50" bestFit="1" customWidth="1"/>
    <col min="3169" max="3169" width="16.28515625" style="50" customWidth="1"/>
    <col min="3170" max="3170" width="9.28515625" style="50"/>
    <col min="3171" max="3171" width="14.28515625" style="50" bestFit="1" customWidth="1"/>
    <col min="3172" max="3416" width="9.28515625" style="50"/>
    <col min="3417" max="3417" width="24.42578125" style="50" customWidth="1"/>
    <col min="3418" max="3418" width="59.42578125" style="50" customWidth="1"/>
    <col min="3419" max="3419" width="23.28515625" style="50" customWidth="1"/>
    <col min="3420" max="3420" width="14.7109375" style="50" bestFit="1" customWidth="1"/>
    <col min="3421" max="3422" width="20.42578125" style="50" customWidth="1"/>
    <col min="3423" max="3423" width="17.42578125" style="50" customWidth="1"/>
    <col min="3424" max="3424" width="11.42578125" style="50" bestFit="1" customWidth="1"/>
    <col min="3425" max="3425" width="16.28515625" style="50" customWidth="1"/>
    <col min="3426" max="3426" width="9.28515625" style="50"/>
    <col min="3427" max="3427" width="14.28515625" style="50" bestFit="1" customWidth="1"/>
    <col min="3428" max="3672" width="9.28515625" style="50"/>
    <col min="3673" max="3673" width="24.42578125" style="50" customWidth="1"/>
    <col min="3674" max="3674" width="59.42578125" style="50" customWidth="1"/>
    <col min="3675" max="3675" width="23.28515625" style="50" customWidth="1"/>
    <col min="3676" max="3676" width="14.7109375" style="50" bestFit="1" customWidth="1"/>
    <col min="3677" max="3678" width="20.42578125" style="50" customWidth="1"/>
    <col min="3679" max="3679" width="17.42578125" style="50" customWidth="1"/>
    <col min="3680" max="3680" width="11.42578125" style="50" bestFit="1" customWidth="1"/>
    <col min="3681" max="3681" width="16.28515625" style="50" customWidth="1"/>
    <col min="3682" max="3682" width="9.28515625" style="50"/>
    <col min="3683" max="3683" width="14.28515625" style="50" bestFit="1" customWidth="1"/>
    <col min="3684" max="3928" width="9.28515625" style="50"/>
    <col min="3929" max="3929" width="24.42578125" style="50" customWidth="1"/>
    <col min="3930" max="3930" width="59.42578125" style="50" customWidth="1"/>
    <col min="3931" max="3931" width="23.28515625" style="50" customWidth="1"/>
    <col min="3932" max="3932" width="14.7109375" style="50" bestFit="1" customWidth="1"/>
    <col min="3933" max="3934" width="20.42578125" style="50" customWidth="1"/>
    <col min="3935" max="3935" width="17.42578125" style="50" customWidth="1"/>
    <col min="3936" max="3936" width="11.42578125" style="50" bestFit="1" customWidth="1"/>
    <col min="3937" max="3937" width="16.28515625" style="50" customWidth="1"/>
    <col min="3938" max="3938" width="9.28515625" style="50"/>
    <col min="3939" max="3939" width="14.28515625" style="50" bestFit="1" customWidth="1"/>
    <col min="3940" max="4184" width="9.28515625" style="50"/>
    <col min="4185" max="4185" width="24.42578125" style="50" customWidth="1"/>
    <col min="4186" max="4186" width="59.42578125" style="50" customWidth="1"/>
    <col min="4187" max="4187" width="23.28515625" style="50" customWidth="1"/>
    <col min="4188" max="4188" width="14.7109375" style="50" bestFit="1" customWidth="1"/>
    <col min="4189" max="4190" width="20.42578125" style="50" customWidth="1"/>
    <col min="4191" max="4191" width="17.42578125" style="50" customWidth="1"/>
    <col min="4192" max="4192" width="11.42578125" style="50" bestFit="1" customWidth="1"/>
    <col min="4193" max="4193" width="16.28515625" style="50" customWidth="1"/>
    <col min="4194" max="4194" width="9.28515625" style="50"/>
    <col min="4195" max="4195" width="14.28515625" style="50" bestFit="1" customWidth="1"/>
    <col min="4196" max="4440" width="9.28515625" style="50"/>
    <col min="4441" max="4441" width="24.42578125" style="50" customWidth="1"/>
    <col min="4442" max="4442" width="59.42578125" style="50" customWidth="1"/>
    <col min="4443" max="4443" width="23.28515625" style="50" customWidth="1"/>
    <col min="4444" max="4444" width="14.7109375" style="50" bestFit="1" customWidth="1"/>
    <col min="4445" max="4446" width="20.42578125" style="50" customWidth="1"/>
    <col min="4447" max="4447" width="17.42578125" style="50" customWidth="1"/>
    <col min="4448" max="4448" width="11.42578125" style="50" bestFit="1" customWidth="1"/>
    <col min="4449" max="4449" width="16.28515625" style="50" customWidth="1"/>
    <col min="4450" max="4450" width="9.28515625" style="50"/>
    <col min="4451" max="4451" width="14.28515625" style="50" bestFit="1" customWidth="1"/>
    <col min="4452" max="4696" width="9.28515625" style="50"/>
    <col min="4697" max="4697" width="24.42578125" style="50" customWidth="1"/>
    <col min="4698" max="4698" width="59.42578125" style="50" customWidth="1"/>
    <col min="4699" max="4699" width="23.28515625" style="50" customWidth="1"/>
    <col min="4700" max="4700" width="14.7109375" style="50" bestFit="1" customWidth="1"/>
    <col min="4701" max="4702" width="20.42578125" style="50" customWidth="1"/>
    <col min="4703" max="4703" width="17.42578125" style="50" customWidth="1"/>
    <col min="4704" max="4704" width="11.42578125" style="50" bestFit="1" customWidth="1"/>
    <col min="4705" max="4705" width="16.28515625" style="50" customWidth="1"/>
    <col min="4706" max="4706" width="9.28515625" style="50"/>
    <col min="4707" max="4707" width="14.28515625" style="50" bestFit="1" customWidth="1"/>
    <col min="4708" max="4952" width="9.28515625" style="50"/>
    <col min="4953" max="4953" width="24.42578125" style="50" customWidth="1"/>
    <col min="4954" max="4954" width="59.42578125" style="50" customWidth="1"/>
    <col min="4955" max="4955" width="23.28515625" style="50" customWidth="1"/>
    <col min="4956" max="4956" width="14.7109375" style="50" bestFit="1" customWidth="1"/>
    <col min="4957" max="4958" width="20.42578125" style="50" customWidth="1"/>
    <col min="4959" max="4959" width="17.42578125" style="50" customWidth="1"/>
    <col min="4960" max="4960" width="11.42578125" style="50" bestFit="1" customWidth="1"/>
    <col min="4961" max="4961" width="16.28515625" style="50" customWidth="1"/>
    <col min="4962" max="4962" width="9.28515625" style="50"/>
    <col min="4963" max="4963" width="14.28515625" style="50" bestFit="1" customWidth="1"/>
    <col min="4964" max="5208" width="9.28515625" style="50"/>
    <col min="5209" max="5209" width="24.42578125" style="50" customWidth="1"/>
    <col min="5210" max="5210" width="59.42578125" style="50" customWidth="1"/>
    <col min="5211" max="5211" width="23.28515625" style="50" customWidth="1"/>
    <col min="5212" max="5212" width="14.7109375" style="50" bestFit="1" customWidth="1"/>
    <col min="5213" max="5214" width="20.42578125" style="50" customWidth="1"/>
    <col min="5215" max="5215" width="17.42578125" style="50" customWidth="1"/>
    <col min="5216" max="5216" width="11.42578125" style="50" bestFit="1" customWidth="1"/>
    <col min="5217" max="5217" width="16.28515625" style="50" customWidth="1"/>
    <col min="5218" max="5218" width="9.28515625" style="50"/>
    <col min="5219" max="5219" width="14.28515625" style="50" bestFit="1" customWidth="1"/>
    <col min="5220" max="5464" width="9.28515625" style="50"/>
    <col min="5465" max="5465" width="24.42578125" style="50" customWidth="1"/>
    <col min="5466" max="5466" width="59.42578125" style="50" customWidth="1"/>
    <col min="5467" max="5467" width="23.28515625" style="50" customWidth="1"/>
    <col min="5468" max="5468" width="14.7109375" style="50" bestFit="1" customWidth="1"/>
    <col min="5469" max="5470" width="20.42578125" style="50" customWidth="1"/>
    <col min="5471" max="5471" width="17.42578125" style="50" customWidth="1"/>
    <col min="5472" max="5472" width="11.42578125" style="50" bestFit="1" customWidth="1"/>
    <col min="5473" max="5473" width="16.28515625" style="50" customWidth="1"/>
    <col min="5474" max="5474" width="9.28515625" style="50"/>
    <col min="5475" max="5475" width="14.28515625" style="50" bestFit="1" customWidth="1"/>
    <col min="5476" max="5720" width="9.28515625" style="50"/>
    <col min="5721" max="5721" width="24.42578125" style="50" customWidth="1"/>
    <col min="5722" max="5722" width="59.42578125" style="50" customWidth="1"/>
    <col min="5723" max="5723" width="23.28515625" style="50" customWidth="1"/>
    <col min="5724" max="5724" width="14.7109375" style="50" bestFit="1" customWidth="1"/>
    <col min="5725" max="5726" width="20.42578125" style="50" customWidth="1"/>
    <col min="5727" max="5727" width="17.42578125" style="50" customWidth="1"/>
    <col min="5728" max="5728" width="11.42578125" style="50" bestFit="1" customWidth="1"/>
    <col min="5729" max="5729" width="16.28515625" style="50" customWidth="1"/>
    <col min="5730" max="5730" width="9.28515625" style="50"/>
    <col min="5731" max="5731" width="14.28515625" style="50" bestFit="1" customWidth="1"/>
    <col min="5732" max="5976" width="9.28515625" style="50"/>
    <col min="5977" max="5977" width="24.42578125" style="50" customWidth="1"/>
    <col min="5978" max="5978" width="59.42578125" style="50" customWidth="1"/>
    <col min="5979" max="5979" width="23.28515625" style="50" customWidth="1"/>
    <col min="5980" max="5980" width="14.7109375" style="50" bestFit="1" customWidth="1"/>
    <col min="5981" max="5982" width="20.42578125" style="50" customWidth="1"/>
    <col min="5983" max="5983" width="17.42578125" style="50" customWidth="1"/>
    <col min="5984" max="5984" width="11.42578125" style="50" bestFit="1" customWidth="1"/>
    <col min="5985" max="5985" width="16.28515625" style="50" customWidth="1"/>
    <col min="5986" max="5986" width="9.28515625" style="50"/>
    <col min="5987" max="5987" width="14.28515625" style="50" bestFit="1" customWidth="1"/>
    <col min="5988" max="6232" width="9.28515625" style="50"/>
    <col min="6233" max="6233" width="24.42578125" style="50" customWidth="1"/>
    <col min="6234" max="6234" width="59.42578125" style="50" customWidth="1"/>
    <col min="6235" max="6235" width="23.28515625" style="50" customWidth="1"/>
    <col min="6236" max="6236" width="14.7109375" style="50" bestFit="1" customWidth="1"/>
    <col min="6237" max="6238" width="20.42578125" style="50" customWidth="1"/>
    <col min="6239" max="6239" width="17.42578125" style="50" customWidth="1"/>
    <col min="6240" max="6240" width="11.42578125" style="50" bestFit="1" customWidth="1"/>
    <col min="6241" max="6241" width="16.28515625" style="50" customWidth="1"/>
    <col min="6242" max="6242" width="9.28515625" style="50"/>
    <col min="6243" max="6243" width="14.28515625" style="50" bestFit="1" customWidth="1"/>
    <col min="6244" max="6488" width="9.28515625" style="50"/>
    <col min="6489" max="6489" width="24.42578125" style="50" customWidth="1"/>
    <col min="6490" max="6490" width="59.42578125" style="50" customWidth="1"/>
    <col min="6491" max="6491" width="23.28515625" style="50" customWidth="1"/>
    <col min="6492" max="6492" width="14.7109375" style="50" bestFit="1" customWidth="1"/>
    <col min="6493" max="6494" width="20.42578125" style="50" customWidth="1"/>
    <col min="6495" max="6495" width="17.42578125" style="50" customWidth="1"/>
    <col min="6496" max="6496" width="11.42578125" style="50" bestFit="1" customWidth="1"/>
    <col min="6497" max="6497" width="16.28515625" style="50" customWidth="1"/>
    <col min="6498" max="6498" width="9.28515625" style="50"/>
    <col min="6499" max="6499" width="14.28515625" style="50" bestFit="1" customWidth="1"/>
    <col min="6500" max="6744" width="9.28515625" style="50"/>
    <col min="6745" max="6745" width="24.42578125" style="50" customWidth="1"/>
    <col min="6746" max="6746" width="59.42578125" style="50" customWidth="1"/>
    <col min="6747" max="6747" width="23.28515625" style="50" customWidth="1"/>
    <col min="6748" max="6748" width="14.7109375" style="50" bestFit="1" customWidth="1"/>
    <col min="6749" max="6750" width="20.42578125" style="50" customWidth="1"/>
    <col min="6751" max="6751" width="17.42578125" style="50" customWidth="1"/>
    <col min="6752" max="6752" width="11.42578125" style="50" bestFit="1" customWidth="1"/>
    <col min="6753" max="6753" width="16.28515625" style="50" customWidth="1"/>
    <col min="6754" max="6754" width="9.28515625" style="50"/>
    <col min="6755" max="6755" width="14.28515625" style="50" bestFit="1" customWidth="1"/>
    <col min="6756" max="7000" width="9.28515625" style="50"/>
    <col min="7001" max="7001" width="24.42578125" style="50" customWidth="1"/>
    <col min="7002" max="7002" width="59.42578125" style="50" customWidth="1"/>
    <col min="7003" max="7003" width="23.28515625" style="50" customWidth="1"/>
    <col min="7004" max="7004" width="14.7109375" style="50" bestFit="1" customWidth="1"/>
    <col min="7005" max="7006" width="20.42578125" style="50" customWidth="1"/>
    <col min="7007" max="7007" width="17.42578125" style="50" customWidth="1"/>
    <col min="7008" max="7008" width="11.42578125" style="50" bestFit="1" customWidth="1"/>
    <col min="7009" max="7009" width="16.28515625" style="50" customWidth="1"/>
    <col min="7010" max="7010" width="9.28515625" style="50"/>
    <col min="7011" max="7011" width="14.28515625" style="50" bestFit="1" customWidth="1"/>
    <col min="7012" max="7256" width="9.28515625" style="50"/>
    <col min="7257" max="7257" width="24.42578125" style="50" customWidth="1"/>
    <col min="7258" max="7258" width="59.42578125" style="50" customWidth="1"/>
    <col min="7259" max="7259" width="23.28515625" style="50" customWidth="1"/>
    <col min="7260" max="7260" width="14.7109375" style="50" bestFit="1" customWidth="1"/>
    <col min="7261" max="7262" width="20.42578125" style="50" customWidth="1"/>
    <col min="7263" max="7263" width="17.42578125" style="50" customWidth="1"/>
    <col min="7264" max="7264" width="11.42578125" style="50" bestFit="1" customWidth="1"/>
    <col min="7265" max="7265" width="16.28515625" style="50" customWidth="1"/>
    <col min="7266" max="7266" width="9.28515625" style="50"/>
    <col min="7267" max="7267" width="14.28515625" style="50" bestFit="1" customWidth="1"/>
    <col min="7268" max="7512" width="9.28515625" style="50"/>
    <col min="7513" max="7513" width="24.42578125" style="50" customWidth="1"/>
    <col min="7514" max="7514" width="59.42578125" style="50" customWidth="1"/>
    <col min="7515" max="7515" width="23.28515625" style="50" customWidth="1"/>
    <col min="7516" max="7516" width="14.7109375" style="50" bestFit="1" customWidth="1"/>
    <col min="7517" max="7518" width="20.42578125" style="50" customWidth="1"/>
    <col min="7519" max="7519" width="17.42578125" style="50" customWidth="1"/>
    <col min="7520" max="7520" width="11.42578125" style="50" bestFit="1" customWidth="1"/>
    <col min="7521" max="7521" width="16.28515625" style="50" customWidth="1"/>
    <col min="7522" max="7522" width="9.28515625" style="50"/>
    <col min="7523" max="7523" width="14.28515625" style="50" bestFit="1" customWidth="1"/>
    <col min="7524" max="7768" width="9.28515625" style="50"/>
    <col min="7769" max="7769" width="24.42578125" style="50" customWidth="1"/>
    <col min="7770" max="7770" width="59.42578125" style="50" customWidth="1"/>
    <col min="7771" max="7771" width="23.28515625" style="50" customWidth="1"/>
    <col min="7772" max="7772" width="14.7109375" style="50" bestFit="1" customWidth="1"/>
    <col min="7773" max="7774" width="20.42578125" style="50" customWidth="1"/>
    <col min="7775" max="7775" width="17.42578125" style="50" customWidth="1"/>
    <col min="7776" max="7776" width="11.42578125" style="50" bestFit="1" customWidth="1"/>
    <col min="7777" max="7777" width="16.28515625" style="50" customWidth="1"/>
    <col min="7778" max="7778" width="9.28515625" style="50"/>
    <col min="7779" max="7779" width="14.28515625" style="50" bestFit="1" customWidth="1"/>
    <col min="7780" max="8024" width="9.28515625" style="50"/>
    <col min="8025" max="8025" width="24.42578125" style="50" customWidth="1"/>
    <col min="8026" max="8026" width="59.42578125" style="50" customWidth="1"/>
    <col min="8027" max="8027" width="23.28515625" style="50" customWidth="1"/>
    <col min="8028" max="8028" width="14.7109375" style="50" bestFit="1" customWidth="1"/>
    <col min="8029" max="8030" width="20.42578125" style="50" customWidth="1"/>
    <col min="8031" max="8031" width="17.42578125" style="50" customWidth="1"/>
    <col min="8032" max="8032" width="11.42578125" style="50" bestFit="1" customWidth="1"/>
    <col min="8033" max="8033" width="16.28515625" style="50" customWidth="1"/>
    <col min="8034" max="8034" width="9.28515625" style="50"/>
    <col min="8035" max="8035" width="14.28515625" style="50" bestFit="1" customWidth="1"/>
    <col min="8036" max="8280" width="9.28515625" style="50"/>
    <col min="8281" max="8281" width="24.42578125" style="50" customWidth="1"/>
    <col min="8282" max="8282" width="59.42578125" style="50" customWidth="1"/>
    <col min="8283" max="8283" width="23.28515625" style="50" customWidth="1"/>
    <col min="8284" max="8284" width="14.7109375" style="50" bestFit="1" customWidth="1"/>
    <col min="8285" max="8286" width="20.42578125" style="50" customWidth="1"/>
    <col min="8287" max="8287" width="17.42578125" style="50" customWidth="1"/>
    <col min="8288" max="8288" width="11.42578125" style="50" bestFit="1" customWidth="1"/>
    <col min="8289" max="8289" width="16.28515625" style="50" customWidth="1"/>
    <col min="8290" max="8290" width="9.28515625" style="50"/>
    <col min="8291" max="8291" width="14.28515625" style="50" bestFit="1" customWidth="1"/>
    <col min="8292" max="8536" width="9.28515625" style="50"/>
    <col min="8537" max="8537" width="24.42578125" style="50" customWidth="1"/>
    <col min="8538" max="8538" width="59.42578125" style="50" customWidth="1"/>
    <col min="8539" max="8539" width="23.28515625" style="50" customWidth="1"/>
    <col min="8540" max="8540" width="14.7109375" style="50" bestFit="1" customWidth="1"/>
    <col min="8541" max="8542" width="20.42578125" style="50" customWidth="1"/>
    <col min="8543" max="8543" width="17.42578125" style="50" customWidth="1"/>
    <col min="8544" max="8544" width="11.42578125" style="50" bestFit="1" customWidth="1"/>
    <col min="8545" max="8545" width="16.28515625" style="50" customWidth="1"/>
    <col min="8546" max="8546" width="9.28515625" style="50"/>
    <col min="8547" max="8547" width="14.28515625" style="50" bestFit="1" customWidth="1"/>
    <col min="8548" max="8792" width="9.28515625" style="50"/>
    <col min="8793" max="8793" width="24.42578125" style="50" customWidth="1"/>
    <col min="8794" max="8794" width="59.42578125" style="50" customWidth="1"/>
    <col min="8795" max="8795" width="23.28515625" style="50" customWidth="1"/>
    <col min="8796" max="8796" width="14.7109375" style="50" bestFit="1" customWidth="1"/>
    <col min="8797" max="8798" width="20.42578125" style="50" customWidth="1"/>
    <col min="8799" max="8799" width="17.42578125" style="50" customWidth="1"/>
    <col min="8800" max="8800" width="11.42578125" style="50" bestFit="1" customWidth="1"/>
    <col min="8801" max="8801" width="16.28515625" style="50" customWidth="1"/>
    <col min="8802" max="8802" width="9.28515625" style="50"/>
    <col min="8803" max="8803" width="14.28515625" style="50" bestFit="1" customWidth="1"/>
    <col min="8804" max="9048" width="9.28515625" style="50"/>
    <col min="9049" max="9049" width="24.42578125" style="50" customWidth="1"/>
    <col min="9050" max="9050" width="59.42578125" style="50" customWidth="1"/>
    <col min="9051" max="9051" width="23.28515625" style="50" customWidth="1"/>
    <col min="9052" max="9052" width="14.7109375" style="50" bestFit="1" customWidth="1"/>
    <col min="9053" max="9054" width="20.42578125" style="50" customWidth="1"/>
    <col min="9055" max="9055" width="17.42578125" style="50" customWidth="1"/>
    <col min="9056" max="9056" width="11.42578125" style="50" bestFit="1" customWidth="1"/>
    <col min="9057" max="9057" width="16.28515625" style="50" customWidth="1"/>
    <col min="9058" max="9058" width="9.28515625" style="50"/>
    <col min="9059" max="9059" width="14.28515625" style="50" bestFit="1" customWidth="1"/>
    <col min="9060" max="9304" width="9.28515625" style="50"/>
    <col min="9305" max="9305" width="24.42578125" style="50" customWidth="1"/>
    <col min="9306" max="9306" width="59.42578125" style="50" customWidth="1"/>
    <col min="9307" max="9307" width="23.28515625" style="50" customWidth="1"/>
    <col min="9308" max="9308" width="14.7109375" style="50" bestFit="1" customWidth="1"/>
    <col min="9309" max="9310" width="20.42578125" style="50" customWidth="1"/>
    <col min="9311" max="9311" width="17.42578125" style="50" customWidth="1"/>
    <col min="9312" max="9312" width="11.42578125" style="50" bestFit="1" customWidth="1"/>
    <col min="9313" max="9313" width="16.28515625" style="50" customWidth="1"/>
    <col min="9314" max="9314" width="9.28515625" style="50"/>
    <col min="9315" max="9315" width="14.28515625" style="50" bestFit="1" customWidth="1"/>
    <col min="9316" max="9560" width="9.28515625" style="50"/>
    <col min="9561" max="9561" width="24.42578125" style="50" customWidth="1"/>
    <col min="9562" max="9562" width="59.42578125" style="50" customWidth="1"/>
    <col min="9563" max="9563" width="23.28515625" style="50" customWidth="1"/>
    <col min="9564" max="9564" width="14.7109375" style="50" bestFit="1" customWidth="1"/>
    <col min="9565" max="9566" width="20.42578125" style="50" customWidth="1"/>
    <col min="9567" max="9567" width="17.42578125" style="50" customWidth="1"/>
    <col min="9568" max="9568" width="11.42578125" style="50" bestFit="1" customWidth="1"/>
    <col min="9569" max="9569" width="16.28515625" style="50" customWidth="1"/>
    <col min="9570" max="9570" width="9.28515625" style="50"/>
    <col min="9571" max="9571" width="14.28515625" style="50" bestFit="1" customWidth="1"/>
    <col min="9572" max="9816" width="9.28515625" style="50"/>
    <col min="9817" max="9817" width="24.42578125" style="50" customWidth="1"/>
    <col min="9818" max="9818" width="59.42578125" style="50" customWidth="1"/>
    <col min="9819" max="9819" width="23.28515625" style="50" customWidth="1"/>
    <col min="9820" max="9820" width="14.7109375" style="50" bestFit="1" customWidth="1"/>
    <col min="9821" max="9822" width="20.42578125" style="50" customWidth="1"/>
    <col min="9823" max="9823" width="17.42578125" style="50" customWidth="1"/>
    <col min="9824" max="9824" width="11.42578125" style="50" bestFit="1" customWidth="1"/>
    <col min="9825" max="9825" width="16.28515625" style="50" customWidth="1"/>
    <col min="9826" max="9826" width="9.28515625" style="50"/>
    <col min="9827" max="9827" width="14.28515625" style="50" bestFit="1" customWidth="1"/>
    <col min="9828" max="10072" width="9.28515625" style="50"/>
    <col min="10073" max="10073" width="24.42578125" style="50" customWidth="1"/>
    <col min="10074" max="10074" width="59.42578125" style="50" customWidth="1"/>
    <col min="10075" max="10075" width="23.28515625" style="50" customWidth="1"/>
    <col min="10076" max="10076" width="14.7109375" style="50" bestFit="1" customWidth="1"/>
    <col min="10077" max="10078" width="20.42578125" style="50" customWidth="1"/>
    <col min="10079" max="10079" width="17.42578125" style="50" customWidth="1"/>
    <col min="10080" max="10080" width="11.42578125" style="50" bestFit="1" customWidth="1"/>
    <col min="10081" max="10081" width="16.28515625" style="50" customWidth="1"/>
    <col min="10082" max="10082" width="9.28515625" style="50"/>
    <col min="10083" max="10083" width="14.28515625" style="50" bestFit="1" customWidth="1"/>
    <col min="10084" max="10328" width="9.28515625" style="50"/>
    <col min="10329" max="10329" width="24.42578125" style="50" customWidth="1"/>
    <col min="10330" max="10330" width="59.42578125" style="50" customWidth="1"/>
    <col min="10331" max="10331" width="23.28515625" style="50" customWidth="1"/>
    <col min="10332" max="10332" width="14.7109375" style="50" bestFit="1" customWidth="1"/>
    <col min="10333" max="10334" width="20.42578125" style="50" customWidth="1"/>
    <col min="10335" max="10335" width="17.42578125" style="50" customWidth="1"/>
    <col min="10336" max="10336" width="11.42578125" style="50" bestFit="1" customWidth="1"/>
    <col min="10337" max="10337" width="16.28515625" style="50" customWidth="1"/>
    <col min="10338" max="10338" width="9.28515625" style="50"/>
    <col min="10339" max="10339" width="14.28515625" style="50" bestFit="1" customWidth="1"/>
    <col min="10340" max="10584" width="9.28515625" style="50"/>
    <col min="10585" max="10585" width="24.42578125" style="50" customWidth="1"/>
    <col min="10586" max="10586" width="59.42578125" style="50" customWidth="1"/>
    <col min="10587" max="10587" width="23.28515625" style="50" customWidth="1"/>
    <col min="10588" max="10588" width="14.7109375" style="50" bestFit="1" customWidth="1"/>
    <col min="10589" max="10590" width="20.42578125" style="50" customWidth="1"/>
    <col min="10591" max="10591" width="17.42578125" style="50" customWidth="1"/>
    <col min="10592" max="10592" width="11.42578125" style="50" bestFit="1" customWidth="1"/>
    <col min="10593" max="10593" width="16.28515625" style="50" customWidth="1"/>
    <col min="10594" max="10594" width="9.28515625" style="50"/>
    <col min="10595" max="10595" width="14.28515625" style="50" bestFit="1" customWidth="1"/>
    <col min="10596" max="10840" width="9.28515625" style="50"/>
    <col min="10841" max="10841" width="24.42578125" style="50" customWidth="1"/>
    <col min="10842" max="10842" width="59.42578125" style="50" customWidth="1"/>
    <col min="10843" max="10843" width="23.28515625" style="50" customWidth="1"/>
    <col min="10844" max="10844" width="14.7109375" style="50" bestFit="1" customWidth="1"/>
    <col min="10845" max="10846" width="20.42578125" style="50" customWidth="1"/>
    <col min="10847" max="10847" width="17.42578125" style="50" customWidth="1"/>
    <col min="10848" max="10848" width="11.42578125" style="50" bestFit="1" customWidth="1"/>
    <col min="10849" max="10849" width="16.28515625" style="50" customWidth="1"/>
    <col min="10850" max="10850" width="9.28515625" style="50"/>
    <col min="10851" max="10851" width="14.28515625" style="50" bestFit="1" customWidth="1"/>
    <col min="10852" max="11096" width="9.28515625" style="50"/>
    <col min="11097" max="11097" width="24.42578125" style="50" customWidth="1"/>
    <col min="11098" max="11098" width="59.42578125" style="50" customWidth="1"/>
    <col min="11099" max="11099" width="23.28515625" style="50" customWidth="1"/>
    <col min="11100" max="11100" width="14.7109375" style="50" bestFit="1" customWidth="1"/>
    <col min="11101" max="11102" width="20.42578125" style="50" customWidth="1"/>
    <col min="11103" max="11103" width="17.42578125" style="50" customWidth="1"/>
    <col min="11104" max="11104" width="11.42578125" style="50" bestFit="1" customWidth="1"/>
    <col min="11105" max="11105" width="16.28515625" style="50" customWidth="1"/>
    <col min="11106" max="11106" width="9.28515625" style="50"/>
    <col min="11107" max="11107" width="14.28515625" style="50" bestFit="1" customWidth="1"/>
    <col min="11108" max="11352" width="9.28515625" style="50"/>
    <col min="11353" max="11353" width="24.42578125" style="50" customWidth="1"/>
    <col min="11354" max="11354" width="59.42578125" style="50" customWidth="1"/>
    <col min="11355" max="11355" width="23.28515625" style="50" customWidth="1"/>
    <col min="11356" max="11356" width="14.7109375" style="50" bestFit="1" customWidth="1"/>
    <col min="11357" max="11358" width="20.42578125" style="50" customWidth="1"/>
    <col min="11359" max="11359" width="17.42578125" style="50" customWidth="1"/>
    <col min="11360" max="11360" width="11.42578125" style="50" bestFit="1" customWidth="1"/>
    <col min="11361" max="11361" width="16.28515625" style="50" customWidth="1"/>
    <col min="11362" max="11362" width="9.28515625" style="50"/>
    <col min="11363" max="11363" width="14.28515625" style="50" bestFit="1" customWidth="1"/>
    <col min="11364" max="11608" width="9.28515625" style="50"/>
    <col min="11609" max="11609" width="24.42578125" style="50" customWidth="1"/>
    <col min="11610" max="11610" width="59.42578125" style="50" customWidth="1"/>
    <col min="11611" max="11611" width="23.28515625" style="50" customWidth="1"/>
    <col min="11612" max="11612" width="14.7109375" style="50" bestFit="1" customWidth="1"/>
    <col min="11613" max="11614" width="20.42578125" style="50" customWidth="1"/>
    <col min="11615" max="11615" width="17.42578125" style="50" customWidth="1"/>
    <col min="11616" max="11616" width="11.42578125" style="50" bestFit="1" customWidth="1"/>
    <col min="11617" max="11617" width="16.28515625" style="50" customWidth="1"/>
    <col min="11618" max="11618" width="9.28515625" style="50"/>
    <col min="11619" max="11619" width="14.28515625" style="50" bestFit="1" customWidth="1"/>
    <col min="11620" max="11864" width="9.28515625" style="50"/>
    <col min="11865" max="11865" width="24.42578125" style="50" customWidth="1"/>
    <col min="11866" max="11866" width="59.42578125" style="50" customWidth="1"/>
    <col min="11867" max="11867" width="23.28515625" style="50" customWidth="1"/>
    <col min="11868" max="11868" width="14.7109375" style="50" bestFit="1" customWidth="1"/>
    <col min="11869" max="11870" width="20.42578125" style="50" customWidth="1"/>
    <col min="11871" max="11871" width="17.42578125" style="50" customWidth="1"/>
    <col min="11872" max="11872" width="11.42578125" style="50" bestFit="1" customWidth="1"/>
    <col min="11873" max="11873" width="16.28515625" style="50" customWidth="1"/>
    <col min="11874" max="11874" width="9.28515625" style="50"/>
    <col min="11875" max="11875" width="14.28515625" style="50" bestFit="1" customWidth="1"/>
    <col min="11876" max="12120" width="9.28515625" style="50"/>
    <col min="12121" max="12121" width="24.42578125" style="50" customWidth="1"/>
    <col min="12122" max="12122" width="59.42578125" style="50" customWidth="1"/>
    <col min="12123" max="12123" width="23.28515625" style="50" customWidth="1"/>
    <col min="12124" max="12124" width="14.7109375" style="50" bestFit="1" customWidth="1"/>
    <col min="12125" max="12126" width="20.42578125" style="50" customWidth="1"/>
    <col min="12127" max="12127" width="17.42578125" style="50" customWidth="1"/>
    <col min="12128" max="12128" width="11.42578125" style="50" bestFit="1" customWidth="1"/>
    <col min="12129" max="12129" width="16.28515625" style="50" customWidth="1"/>
    <col min="12130" max="12130" width="9.28515625" style="50"/>
    <col min="12131" max="12131" width="14.28515625" style="50" bestFit="1" customWidth="1"/>
    <col min="12132" max="12376" width="9.28515625" style="50"/>
    <col min="12377" max="12377" width="24.42578125" style="50" customWidth="1"/>
    <col min="12378" max="12378" width="59.42578125" style="50" customWidth="1"/>
    <col min="12379" max="12379" width="23.28515625" style="50" customWidth="1"/>
    <col min="12380" max="12380" width="14.7109375" style="50" bestFit="1" customWidth="1"/>
    <col min="12381" max="12382" width="20.42578125" style="50" customWidth="1"/>
    <col min="12383" max="12383" width="17.42578125" style="50" customWidth="1"/>
    <col min="12384" max="12384" width="11.42578125" style="50" bestFit="1" customWidth="1"/>
    <col min="12385" max="12385" width="16.28515625" style="50" customWidth="1"/>
    <col min="12386" max="12386" width="9.28515625" style="50"/>
    <col min="12387" max="12387" width="14.28515625" style="50" bestFit="1" customWidth="1"/>
    <col min="12388" max="12632" width="9.28515625" style="50"/>
    <col min="12633" max="12633" width="24.42578125" style="50" customWidth="1"/>
    <col min="12634" max="12634" width="59.42578125" style="50" customWidth="1"/>
    <col min="12635" max="12635" width="23.28515625" style="50" customWidth="1"/>
    <col min="12636" max="12636" width="14.7109375" style="50" bestFit="1" customWidth="1"/>
    <col min="12637" max="12638" width="20.42578125" style="50" customWidth="1"/>
    <col min="12639" max="12639" width="17.42578125" style="50" customWidth="1"/>
    <col min="12640" max="12640" width="11.42578125" style="50" bestFit="1" customWidth="1"/>
    <col min="12641" max="12641" width="16.28515625" style="50" customWidth="1"/>
    <col min="12642" max="12642" width="9.28515625" style="50"/>
    <col min="12643" max="12643" width="14.28515625" style="50" bestFit="1" customWidth="1"/>
    <col min="12644" max="12888" width="9.28515625" style="50"/>
    <col min="12889" max="12889" width="24.42578125" style="50" customWidth="1"/>
    <col min="12890" max="12890" width="59.42578125" style="50" customWidth="1"/>
    <col min="12891" max="12891" width="23.28515625" style="50" customWidth="1"/>
    <col min="12892" max="12892" width="14.7109375" style="50" bestFit="1" customWidth="1"/>
    <col min="12893" max="12894" width="20.42578125" style="50" customWidth="1"/>
    <col min="12895" max="12895" width="17.42578125" style="50" customWidth="1"/>
    <col min="12896" max="12896" width="11.42578125" style="50" bestFit="1" customWidth="1"/>
    <col min="12897" max="12897" width="16.28515625" style="50" customWidth="1"/>
    <col min="12898" max="12898" width="9.28515625" style="50"/>
    <col min="12899" max="12899" width="14.28515625" style="50" bestFit="1" customWidth="1"/>
    <col min="12900" max="13144" width="9.28515625" style="50"/>
    <col min="13145" max="13145" width="24.42578125" style="50" customWidth="1"/>
    <col min="13146" max="13146" width="59.42578125" style="50" customWidth="1"/>
    <col min="13147" max="13147" width="23.28515625" style="50" customWidth="1"/>
    <col min="13148" max="13148" width="14.7109375" style="50" bestFit="1" customWidth="1"/>
    <col min="13149" max="13150" width="20.42578125" style="50" customWidth="1"/>
    <col min="13151" max="13151" width="17.42578125" style="50" customWidth="1"/>
    <col min="13152" max="13152" width="11.42578125" style="50" bestFit="1" customWidth="1"/>
    <col min="13153" max="13153" width="16.28515625" style="50" customWidth="1"/>
    <col min="13154" max="13154" width="9.28515625" style="50"/>
    <col min="13155" max="13155" width="14.28515625" style="50" bestFit="1" customWidth="1"/>
    <col min="13156" max="13400" width="9.28515625" style="50"/>
    <col min="13401" max="13401" width="24.42578125" style="50" customWidth="1"/>
    <col min="13402" max="13402" width="59.42578125" style="50" customWidth="1"/>
    <col min="13403" max="13403" width="23.28515625" style="50" customWidth="1"/>
    <col min="13404" max="13404" width="14.7109375" style="50" bestFit="1" customWidth="1"/>
    <col min="13405" max="13406" width="20.42578125" style="50" customWidth="1"/>
    <col min="13407" max="13407" width="17.42578125" style="50" customWidth="1"/>
    <col min="13408" max="13408" width="11.42578125" style="50" bestFit="1" customWidth="1"/>
    <col min="13409" max="13409" width="16.28515625" style="50" customWidth="1"/>
    <col min="13410" max="13410" width="9.28515625" style="50"/>
    <col min="13411" max="13411" width="14.28515625" style="50" bestFit="1" customWidth="1"/>
    <col min="13412" max="13656" width="9.28515625" style="50"/>
    <col min="13657" max="13657" width="24.42578125" style="50" customWidth="1"/>
    <col min="13658" max="13658" width="59.42578125" style="50" customWidth="1"/>
    <col min="13659" max="13659" width="23.28515625" style="50" customWidth="1"/>
    <col min="13660" max="13660" width="14.7109375" style="50" bestFit="1" customWidth="1"/>
    <col min="13661" max="13662" width="20.42578125" style="50" customWidth="1"/>
    <col min="13663" max="13663" width="17.42578125" style="50" customWidth="1"/>
    <col min="13664" max="13664" width="11.42578125" style="50" bestFit="1" customWidth="1"/>
    <col min="13665" max="13665" width="16.28515625" style="50" customWidth="1"/>
    <col min="13666" max="13666" width="9.28515625" style="50"/>
    <col min="13667" max="13667" width="14.28515625" style="50" bestFit="1" customWidth="1"/>
    <col min="13668" max="13912" width="9.28515625" style="50"/>
    <col min="13913" max="13913" width="24.42578125" style="50" customWidth="1"/>
    <col min="13914" max="13914" width="59.42578125" style="50" customWidth="1"/>
    <col min="13915" max="13915" width="23.28515625" style="50" customWidth="1"/>
    <col min="13916" max="13916" width="14.7109375" style="50" bestFit="1" customWidth="1"/>
    <col min="13917" max="13918" width="20.42578125" style="50" customWidth="1"/>
    <col min="13919" max="13919" width="17.42578125" style="50" customWidth="1"/>
    <col min="13920" max="13920" width="11.42578125" style="50" bestFit="1" customWidth="1"/>
    <col min="13921" max="13921" width="16.28515625" style="50" customWidth="1"/>
    <col min="13922" max="13922" width="9.28515625" style="50"/>
    <col min="13923" max="13923" width="14.28515625" style="50" bestFit="1" customWidth="1"/>
    <col min="13924" max="14168" width="9.28515625" style="50"/>
    <col min="14169" max="14169" width="24.42578125" style="50" customWidth="1"/>
    <col min="14170" max="14170" width="59.42578125" style="50" customWidth="1"/>
    <col min="14171" max="14171" width="23.28515625" style="50" customWidth="1"/>
    <col min="14172" max="14172" width="14.7109375" style="50" bestFit="1" customWidth="1"/>
    <col min="14173" max="14174" width="20.42578125" style="50" customWidth="1"/>
    <col min="14175" max="14175" width="17.42578125" style="50" customWidth="1"/>
    <col min="14176" max="14176" width="11.42578125" style="50" bestFit="1" customWidth="1"/>
    <col min="14177" max="14177" width="16.28515625" style="50" customWidth="1"/>
    <col min="14178" max="14178" width="9.28515625" style="50"/>
    <col min="14179" max="14179" width="14.28515625" style="50" bestFit="1" customWidth="1"/>
    <col min="14180" max="14424" width="9.28515625" style="50"/>
    <col min="14425" max="14425" width="24.42578125" style="50" customWidth="1"/>
    <col min="14426" max="14426" width="59.42578125" style="50" customWidth="1"/>
    <col min="14427" max="14427" width="23.28515625" style="50" customWidth="1"/>
    <col min="14428" max="14428" width="14.7109375" style="50" bestFit="1" customWidth="1"/>
    <col min="14429" max="14430" width="20.42578125" style="50" customWidth="1"/>
    <col min="14431" max="14431" width="17.42578125" style="50" customWidth="1"/>
    <col min="14432" max="14432" width="11.42578125" style="50" bestFit="1" customWidth="1"/>
    <col min="14433" max="14433" width="16.28515625" style="50" customWidth="1"/>
    <col min="14434" max="14434" width="9.28515625" style="50"/>
    <col min="14435" max="14435" width="14.28515625" style="50" bestFit="1" customWidth="1"/>
    <col min="14436" max="14680" width="9.28515625" style="50"/>
    <col min="14681" max="14681" width="24.42578125" style="50" customWidth="1"/>
    <col min="14682" max="14682" width="59.42578125" style="50" customWidth="1"/>
    <col min="14683" max="14683" width="23.28515625" style="50" customWidth="1"/>
    <col min="14684" max="14684" width="14.7109375" style="50" bestFit="1" customWidth="1"/>
    <col min="14685" max="14686" width="20.42578125" style="50" customWidth="1"/>
    <col min="14687" max="14687" width="17.42578125" style="50" customWidth="1"/>
    <col min="14688" max="14688" width="11.42578125" style="50" bestFit="1" customWidth="1"/>
    <col min="14689" max="14689" width="16.28515625" style="50" customWidth="1"/>
    <col min="14690" max="14690" width="9.28515625" style="50"/>
    <col min="14691" max="14691" width="14.28515625" style="50" bestFit="1" customWidth="1"/>
    <col min="14692" max="14936" width="9.28515625" style="50"/>
    <col min="14937" max="14937" width="24.42578125" style="50" customWidth="1"/>
    <col min="14938" max="14938" width="59.42578125" style="50" customWidth="1"/>
    <col min="14939" max="14939" width="23.28515625" style="50" customWidth="1"/>
    <col min="14940" max="14940" width="14.7109375" style="50" bestFit="1" customWidth="1"/>
    <col min="14941" max="14942" width="20.42578125" style="50" customWidth="1"/>
    <col min="14943" max="14943" width="17.42578125" style="50" customWidth="1"/>
    <col min="14944" max="14944" width="11.42578125" style="50" bestFit="1" customWidth="1"/>
    <col min="14945" max="14945" width="16.28515625" style="50" customWidth="1"/>
    <col min="14946" max="14946" width="9.28515625" style="50"/>
    <col min="14947" max="14947" width="14.28515625" style="50" bestFit="1" customWidth="1"/>
    <col min="14948" max="15192" width="9.28515625" style="50"/>
    <col min="15193" max="15193" width="24.42578125" style="50" customWidth="1"/>
    <col min="15194" max="15194" width="59.42578125" style="50" customWidth="1"/>
    <col min="15195" max="15195" width="23.28515625" style="50" customWidth="1"/>
    <col min="15196" max="15196" width="14.7109375" style="50" bestFit="1" customWidth="1"/>
    <col min="15197" max="15198" width="20.42578125" style="50" customWidth="1"/>
    <col min="15199" max="15199" width="17.42578125" style="50" customWidth="1"/>
    <col min="15200" max="15200" width="11.42578125" style="50" bestFit="1" customWidth="1"/>
    <col min="15201" max="15201" width="16.28515625" style="50" customWidth="1"/>
    <col min="15202" max="15202" width="9.28515625" style="50"/>
    <col min="15203" max="15203" width="14.28515625" style="50" bestFit="1" customWidth="1"/>
    <col min="15204" max="15448" width="9.28515625" style="50"/>
    <col min="15449" max="15449" width="24.42578125" style="50" customWidth="1"/>
    <col min="15450" max="15450" width="59.42578125" style="50" customWidth="1"/>
    <col min="15451" max="15451" width="23.28515625" style="50" customWidth="1"/>
    <col min="15452" max="15452" width="14.7109375" style="50" bestFit="1" customWidth="1"/>
    <col min="15453" max="15454" width="20.42578125" style="50" customWidth="1"/>
    <col min="15455" max="15455" width="17.42578125" style="50" customWidth="1"/>
    <col min="15456" max="15456" width="11.42578125" style="50" bestFit="1" customWidth="1"/>
    <col min="15457" max="15457" width="16.28515625" style="50" customWidth="1"/>
    <col min="15458" max="15458" width="9.28515625" style="50"/>
    <col min="15459" max="15459" width="14.28515625" style="50" bestFit="1" customWidth="1"/>
    <col min="15460" max="15704" width="9.28515625" style="50"/>
    <col min="15705" max="15705" width="24.42578125" style="50" customWidth="1"/>
    <col min="15706" max="15706" width="59.42578125" style="50" customWidth="1"/>
    <col min="15707" max="15707" width="23.28515625" style="50" customWidth="1"/>
    <col min="15708" max="15708" width="14.7109375" style="50" bestFit="1" customWidth="1"/>
    <col min="15709" max="15710" width="20.42578125" style="50" customWidth="1"/>
    <col min="15711" max="15711" width="17.42578125" style="50" customWidth="1"/>
    <col min="15712" max="15712" width="11.42578125" style="50" bestFit="1" customWidth="1"/>
    <col min="15713" max="15713" width="16.28515625" style="50" customWidth="1"/>
    <col min="15714" max="15714" width="9.28515625" style="50"/>
    <col min="15715" max="15715" width="14.28515625" style="50" bestFit="1" customWidth="1"/>
    <col min="15716" max="15960" width="9.28515625" style="50"/>
    <col min="15961" max="15961" width="24.42578125" style="50" customWidth="1"/>
    <col min="15962" max="15962" width="59.42578125" style="50" customWidth="1"/>
    <col min="15963" max="15963" width="23.28515625" style="50" customWidth="1"/>
    <col min="15964" max="15964" width="14.7109375" style="50" bestFit="1" customWidth="1"/>
    <col min="15965" max="15966" width="20.42578125" style="50" customWidth="1"/>
    <col min="15967" max="15967" width="17.42578125" style="50" customWidth="1"/>
    <col min="15968" max="15968" width="11.42578125" style="50" bestFit="1" customWidth="1"/>
    <col min="15969" max="15969" width="16.28515625" style="50" customWidth="1"/>
    <col min="15970" max="15970" width="9.28515625" style="50"/>
    <col min="15971" max="15971" width="14.28515625" style="50" bestFit="1" customWidth="1"/>
    <col min="15972" max="16384" width="9.28515625" style="50"/>
  </cols>
  <sheetData>
    <row r="1" spans="1:116" ht="12.95" customHeight="1">
      <c r="A1" s="85" t="s">
        <v>0</v>
      </c>
      <c r="B1" s="86"/>
      <c r="C1" s="87"/>
      <c r="D1" s="40" t="s">
        <v>1</v>
      </c>
      <c r="E1" s="2">
        <v>1</v>
      </c>
      <c r="F1" s="2">
        <v>2</v>
      </c>
      <c r="G1" s="2">
        <v>3</v>
      </c>
      <c r="H1" s="2">
        <v>4</v>
      </c>
      <c r="I1" s="2">
        <v>5</v>
      </c>
      <c r="J1" s="2">
        <v>6</v>
      </c>
      <c r="K1" s="2">
        <v>7</v>
      </c>
      <c r="L1" s="2">
        <v>8</v>
      </c>
      <c r="M1" s="2">
        <v>9</v>
      </c>
      <c r="N1" s="2">
        <v>10</v>
      </c>
      <c r="O1" s="2">
        <v>11</v>
      </c>
      <c r="P1" s="2">
        <v>12</v>
      </c>
      <c r="Q1" s="2">
        <v>13</v>
      </c>
      <c r="R1" s="2">
        <v>14</v>
      </c>
      <c r="S1" s="2">
        <v>15</v>
      </c>
      <c r="T1" s="2">
        <v>16</v>
      </c>
      <c r="U1" s="2">
        <v>17</v>
      </c>
      <c r="V1" s="2">
        <v>18</v>
      </c>
      <c r="W1" s="2">
        <v>19</v>
      </c>
      <c r="X1" s="2">
        <v>20</v>
      </c>
      <c r="Y1" s="2">
        <v>21</v>
      </c>
      <c r="Z1" s="2">
        <v>22</v>
      </c>
      <c r="AA1" s="2">
        <v>23</v>
      </c>
      <c r="AB1" s="2">
        <v>24</v>
      </c>
      <c r="AC1" s="2">
        <v>25</v>
      </c>
      <c r="AD1" s="2">
        <v>26</v>
      </c>
      <c r="AE1" s="2">
        <v>27</v>
      </c>
      <c r="AF1" s="2">
        <v>28</v>
      </c>
      <c r="AG1" s="2">
        <v>29</v>
      </c>
      <c r="AH1" s="2">
        <v>30</v>
      </c>
      <c r="AI1" s="2">
        <v>31</v>
      </c>
      <c r="AJ1" s="2">
        <v>32</v>
      </c>
      <c r="AK1" s="2">
        <v>33</v>
      </c>
      <c r="AL1" s="2">
        <v>34</v>
      </c>
      <c r="AM1" s="2">
        <v>35</v>
      </c>
      <c r="AN1" s="2">
        <v>36</v>
      </c>
      <c r="AO1" s="2">
        <v>37</v>
      </c>
      <c r="AP1" s="2">
        <v>38</v>
      </c>
      <c r="AQ1" s="2">
        <v>39</v>
      </c>
      <c r="AR1" s="2">
        <v>40</v>
      </c>
      <c r="AS1" s="2">
        <v>41</v>
      </c>
      <c r="AT1" s="2">
        <v>42</v>
      </c>
      <c r="AU1" s="2">
        <v>43</v>
      </c>
      <c r="AV1" s="2">
        <v>44</v>
      </c>
      <c r="AW1" s="2">
        <v>45</v>
      </c>
      <c r="AX1" s="2">
        <v>46</v>
      </c>
      <c r="AY1" s="2">
        <v>47</v>
      </c>
      <c r="AZ1" s="2">
        <v>48</v>
      </c>
      <c r="BA1" s="2">
        <v>49</v>
      </c>
      <c r="BB1" s="2">
        <v>50</v>
      </c>
      <c r="BC1" s="2">
        <v>51</v>
      </c>
      <c r="BD1" s="2">
        <v>52</v>
      </c>
      <c r="BE1" s="2">
        <v>53</v>
      </c>
      <c r="BF1" s="2">
        <v>54</v>
      </c>
      <c r="BG1" s="2">
        <v>55</v>
      </c>
      <c r="BH1" s="2">
        <v>56</v>
      </c>
      <c r="BI1" s="2">
        <v>57</v>
      </c>
      <c r="BJ1" s="2">
        <v>58</v>
      </c>
      <c r="BK1" s="2">
        <v>59</v>
      </c>
      <c r="BL1" s="2">
        <v>60</v>
      </c>
      <c r="BM1" s="2">
        <v>61</v>
      </c>
      <c r="BN1" s="2">
        <v>62</v>
      </c>
      <c r="BO1" s="2">
        <v>63</v>
      </c>
      <c r="BP1" s="2">
        <v>64</v>
      </c>
      <c r="BQ1" s="2">
        <v>65</v>
      </c>
      <c r="BR1" s="2">
        <v>66</v>
      </c>
      <c r="BS1" s="2">
        <v>67</v>
      </c>
      <c r="BT1" s="2">
        <v>68</v>
      </c>
      <c r="BU1" s="2">
        <v>69</v>
      </c>
      <c r="BV1" s="2">
        <v>70</v>
      </c>
      <c r="BW1" s="2">
        <v>71</v>
      </c>
      <c r="BX1" s="2">
        <v>72</v>
      </c>
      <c r="BY1" s="2">
        <v>73</v>
      </c>
      <c r="BZ1" s="2">
        <v>74</v>
      </c>
      <c r="CA1" s="2">
        <v>75</v>
      </c>
      <c r="CB1" s="2">
        <v>76</v>
      </c>
      <c r="CC1" s="2">
        <v>77</v>
      </c>
      <c r="CD1" s="2">
        <v>78</v>
      </c>
      <c r="CE1" s="2">
        <v>79</v>
      </c>
      <c r="CF1" s="2">
        <v>80</v>
      </c>
      <c r="CG1" s="2">
        <v>81</v>
      </c>
      <c r="CH1" s="2">
        <v>82</v>
      </c>
      <c r="CI1" s="2">
        <v>83</v>
      </c>
      <c r="CJ1" s="2">
        <v>84</v>
      </c>
      <c r="CK1" s="2">
        <v>86</v>
      </c>
      <c r="CL1" s="60">
        <v>87</v>
      </c>
      <c r="CM1" s="60">
        <v>88</v>
      </c>
      <c r="CN1" s="60">
        <v>89</v>
      </c>
      <c r="CO1" s="60">
        <v>90</v>
      </c>
      <c r="CP1" s="60">
        <v>91</v>
      </c>
      <c r="CQ1" s="60">
        <v>92</v>
      </c>
      <c r="CR1" s="60">
        <v>93</v>
      </c>
      <c r="CS1" s="60">
        <v>94</v>
      </c>
      <c r="CT1" s="60">
        <v>95</v>
      </c>
      <c r="CU1" s="60">
        <v>96</v>
      </c>
      <c r="CV1" s="60">
        <v>97</v>
      </c>
      <c r="CW1" s="60">
        <v>98</v>
      </c>
      <c r="CX1" s="60">
        <v>99</v>
      </c>
      <c r="CY1" s="60">
        <v>100</v>
      </c>
      <c r="CZ1" s="60">
        <v>101</v>
      </c>
      <c r="DA1" s="60">
        <v>102</v>
      </c>
      <c r="DB1" s="60">
        <v>103</v>
      </c>
      <c r="DC1" s="60">
        <v>104</v>
      </c>
      <c r="DD1" s="60">
        <v>105</v>
      </c>
      <c r="DE1" s="60">
        <v>106</v>
      </c>
      <c r="DF1" s="60">
        <v>107</v>
      </c>
      <c r="DG1" s="60">
        <v>108</v>
      </c>
    </row>
    <row r="2" spans="1:116" ht="32.1">
      <c r="A2" s="88"/>
      <c r="B2" s="89"/>
      <c r="C2" s="90"/>
      <c r="D2" s="40" t="s">
        <v>2</v>
      </c>
      <c r="E2" s="5" t="s">
        <v>3</v>
      </c>
      <c r="F2" s="5" t="s">
        <v>4</v>
      </c>
      <c r="G2" s="5" t="s">
        <v>5</v>
      </c>
      <c r="H2" s="5" t="s">
        <v>6</v>
      </c>
      <c r="I2" s="5" t="s">
        <v>7</v>
      </c>
      <c r="J2" s="5" t="s">
        <v>8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  <c r="AF2" s="5">
        <v>0</v>
      </c>
      <c r="AG2" s="5">
        <v>0</v>
      </c>
      <c r="AH2" s="5">
        <v>0</v>
      </c>
      <c r="AI2" s="5">
        <v>0</v>
      </c>
      <c r="AJ2" s="5">
        <v>0</v>
      </c>
      <c r="AK2" s="5">
        <v>0</v>
      </c>
      <c r="AL2" s="5">
        <v>0</v>
      </c>
      <c r="AM2" s="5">
        <v>0</v>
      </c>
      <c r="AN2" s="5">
        <v>0</v>
      </c>
      <c r="AO2" s="5">
        <v>0</v>
      </c>
      <c r="AP2" s="5">
        <v>0</v>
      </c>
      <c r="AQ2" s="5">
        <v>0</v>
      </c>
      <c r="AR2" s="5">
        <v>0</v>
      </c>
      <c r="AS2" s="5">
        <v>0</v>
      </c>
      <c r="AT2" s="5">
        <v>0</v>
      </c>
      <c r="AU2" s="5">
        <v>0</v>
      </c>
      <c r="AV2" s="5">
        <v>0</v>
      </c>
      <c r="AW2" s="5">
        <v>0</v>
      </c>
      <c r="AX2" s="5">
        <v>0</v>
      </c>
      <c r="AY2" s="5">
        <v>0</v>
      </c>
      <c r="AZ2" s="5">
        <v>0</v>
      </c>
      <c r="BA2" s="5">
        <v>0</v>
      </c>
      <c r="BB2" s="5">
        <v>0</v>
      </c>
      <c r="BC2" s="5">
        <v>0</v>
      </c>
      <c r="BD2" s="5">
        <v>0</v>
      </c>
      <c r="BE2" s="5">
        <v>0</v>
      </c>
      <c r="BF2" s="5">
        <v>0</v>
      </c>
      <c r="BG2" s="5">
        <v>0</v>
      </c>
      <c r="BH2" s="5">
        <v>0</v>
      </c>
      <c r="BI2" s="5">
        <v>0</v>
      </c>
      <c r="BJ2" s="5">
        <v>0</v>
      </c>
      <c r="BK2" s="5">
        <v>0</v>
      </c>
      <c r="BL2" s="5">
        <v>0</v>
      </c>
      <c r="BM2" s="5">
        <v>0</v>
      </c>
      <c r="BN2" s="5">
        <v>0</v>
      </c>
      <c r="BO2" s="5">
        <v>0</v>
      </c>
      <c r="BP2" s="5">
        <v>0</v>
      </c>
      <c r="BQ2" s="5">
        <v>0</v>
      </c>
      <c r="BR2" s="5">
        <v>0</v>
      </c>
      <c r="BS2" s="5">
        <v>0</v>
      </c>
      <c r="BT2" s="5">
        <v>0</v>
      </c>
      <c r="BU2" s="5">
        <v>0</v>
      </c>
      <c r="BV2" s="5">
        <v>0</v>
      </c>
      <c r="BW2" s="5">
        <v>0</v>
      </c>
      <c r="BX2" s="5">
        <v>0</v>
      </c>
      <c r="BY2" s="5">
        <v>0</v>
      </c>
      <c r="BZ2" s="5">
        <v>0</v>
      </c>
      <c r="CA2" s="5">
        <v>0</v>
      </c>
      <c r="CB2" s="5">
        <v>0</v>
      </c>
      <c r="CC2" s="5">
        <v>0</v>
      </c>
      <c r="CD2" s="5">
        <v>0</v>
      </c>
      <c r="CE2" s="5">
        <v>0</v>
      </c>
      <c r="CF2" s="5">
        <v>0</v>
      </c>
      <c r="CG2" s="5">
        <v>0</v>
      </c>
      <c r="CH2" s="5">
        <v>0</v>
      </c>
      <c r="CI2" s="5">
        <v>0</v>
      </c>
      <c r="CJ2" s="5">
        <v>0</v>
      </c>
      <c r="CK2" s="5" t="s">
        <v>9</v>
      </c>
      <c r="CL2" s="54" t="s">
        <v>10</v>
      </c>
      <c r="CM2" s="54" t="s">
        <v>10</v>
      </c>
      <c r="CN2" s="54" t="s">
        <v>10</v>
      </c>
      <c r="CO2" s="54" t="s">
        <v>10</v>
      </c>
      <c r="CP2" s="54" t="s">
        <v>10</v>
      </c>
      <c r="CQ2" s="54" t="s">
        <v>10</v>
      </c>
      <c r="CR2" s="54" t="s">
        <v>10</v>
      </c>
      <c r="CS2" s="54" t="s">
        <v>10</v>
      </c>
      <c r="CT2" s="54" t="s">
        <v>10</v>
      </c>
      <c r="CU2" s="54" t="s">
        <v>10</v>
      </c>
      <c r="CV2" s="54" t="s">
        <v>10</v>
      </c>
      <c r="CW2" s="54" t="s">
        <v>10</v>
      </c>
      <c r="CX2" s="54" t="s">
        <v>10</v>
      </c>
      <c r="CY2" s="54" t="s">
        <v>10</v>
      </c>
      <c r="CZ2" s="54" t="s">
        <v>10</v>
      </c>
      <c r="DA2" s="54" t="s">
        <v>10</v>
      </c>
      <c r="DB2" s="54" t="s">
        <v>10</v>
      </c>
      <c r="DC2" s="54" t="s">
        <v>10</v>
      </c>
      <c r="DD2" s="54" t="s">
        <v>10</v>
      </c>
      <c r="DE2" s="54" t="s">
        <v>10</v>
      </c>
      <c r="DF2" s="54" t="s">
        <v>10</v>
      </c>
      <c r="DG2" s="54" t="s">
        <v>10</v>
      </c>
    </row>
    <row r="3" spans="1:116">
      <c r="A3" s="88"/>
      <c r="B3" s="89"/>
      <c r="C3" s="90"/>
      <c r="D3" s="40" t="s">
        <v>11</v>
      </c>
      <c r="E3" s="6" t="s">
        <v>12</v>
      </c>
      <c r="F3" s="6" t="s">
        <v>12</v>
      </c>
      <c r="G3" s="6" t="s">
        <v>12</v>
      </c>
      <c r="H3" s="6" t="s">
        <v>12</v>
      </c>
      <c r="I3" s="6" t="s">
        <v>12</v>
      </c>
      <c r="J3" s="6" t="s">
        <v>12</v>
      </c>
      <c r="K3" s="6" t="s">
        <v>13</v>
      </c>
      <c r="L3" s="6" t="s">
        <v>13</v>
      </c>
      <c r="M3" s="6" t="s">
        <v>13</v>
      </c>
      <c r="N3" s="6" t="s">
        <v>13</v>
      </c>
      <c r="O3" s="6" t="s">
        <v>13</v>
      </c>
      <c r="P3" s="6" t="s">
        <v>13</v>
      </c>
      <c r="Q3" s="6" t="s">
        <v>13</v>
      </c>
      <c r="R3" s="6" t="s">
        <v>13</v>
      </c>
      <c r="S3" s="6" t="s">
        <v>13</v>
      </c>
      <c r="T3" s="6" t="s">
        <v>13</v>
      </c>
      <c r="U3" s="6" t="s">
        <v>13</v>
      </c>
      <c r="V3" s="6" t="s">
        <v>13</v>
      </c>
      <c r="W3" s="6" t="s">
        <v>13</v>
      </c>
      <c r="X3" s="6" t="s">
        <v>13</v>
      </c>
      <c r="Y3" s="6" t="s">
        <v>13</v>
      </c>
      <c r="Z3" s="6" t="s">
        <v>13</v>
      </c>
      <c r="AA3" s="6" t="s">
        <v>13</v>
      </c>
      <c r="AB3" s="6" t="s">
        <v>13</v>
      </c>
      <c r="AC3" s="6" t="s">
        <v>13</v>
      </c>
      <c r="AD3" s="6" t="s">
        <v>13</v>
      </c>
      <c r="AE3" s="6" t="s">
        <v>13</v>
      </c>
      <c r="AF3" s="6" t="s">
        <v>13</v>
      </c>
      <c r="AG3" s="6" t="s">
        <v>13</v>
      </c>
      <c r="AH3" s="6" t="s">
        <v>13</v>
      </c>
      <c r="AI3" s="6" t="s">
        <v>13</v>
      </c>
      <c r="AJ3" s="6" t="s">
        <v>13</v>
      </c>
      <c r="AK3" s="6" t="s">
        <v>13</v>
      </c>
      <c r="AL3" s="6" t="s">
        <v>13</v>
      </c>
      <c r="AM3" s="6" t="s">
        <v>13</v>
      </c>
      <c r="AN3" s="6" t="s">
        <v>13</v>
      </c>
      <c r="AO3" s="6" t="s">
        <v>13</v>
      </c>
      <c r="AP3" s="6" t="s">
        <v>13</v>
      </c>
      <c r="AQ3" s="6" t="s">
        <v>13</v>
      </c>
      <c r="AR3" s="6" t="s">
        <v>13</v>
      </c>
      <c r="AS3" s="6" t="s">
        <v>13</v>
      </c>
      <c r="AT3" s="6" t="s">
        <v>13</v>
      </c>
      <c r="AU3" s="6" t="s">
        <v>13</v>
      </c>
      <c r="AV3" s="6" t="s">
        <v>13</v>
      </c>
      <c r="AW3" s="6" t="s">
        <v>13</v>
      </c>
      <c r="AX3" s="6" t="s">
        <v>13</v>
      </c>
      <c r="AY3" s="6" t="s">
        <v>13</v>
      </c>
      <c r="AZ3" s="6" t="s">
        <v>13</v>
      </c>
      <c r="BA3" s="6" t="s">
        <v>13</v>
      </c>
      <c r="BB3" s="6" t="s">
        <v>13</v>
      </c>
      <c r="BC3" s="6" t="s">
        <v>13</v>
      </c>
      <c r="BD3" s="6" t="s">
        <v>13</v>
      </c>
      <c r="BE3" s="6" t="s">
        <v>13</v>
      </c>
      <c r="BF3" s="6" t="s">
        <v>13</v>
      </c>
      <c r="BG3" s="6" t="s">
        <v>13</v>
      </c>
      <c r="BH3" s="6" t="s">
        <v>13</v>
      </c>
      <c r="BI3" s="6" t="s">
        <v>13</v>
      </c>
      <c r="BJ3" s="6" t="s">
        <v>13</v>
      </c>
      <c r="BK3" s="6" t="s">
        <v>13</v>
      </c>
      <c r="BL3" s="6" t="s">
        <v>13</v>
      </c>
      <c r="BM3" s="6" t="s">
        <v>13</v>
      </c>
      <c r="BN3" s="6" t="s">
        <v>13</v>
      </c>
      <c r="BO3" s="6" t="s">
        <v>13</v>
      </c>
      <c r="BP3" s="6" t="s">
        <v>13</v>
      </c>
      <c r="BQ3" s="6" t="s">
        <v>13</v>
      </c>
      <c r="BR3" s="6" t="s">
        <v>13</v>
      </c>
      <c r="BS3" s="6" t="s">
        <v>13</v>
      </c>
      <c r="BT3" s="6" t="s">
        <v>13</v>
      </c>
      <c r="BU3" s="6" t="s">
        <v>13</v>
      </c>
      <c r="BV3" s="6" t="s">
        <v>13</v>
      </c>
      <c r="BW3" s="6" t="s">
        <v>13</v>
      </c>
      <c r="BX3" s="6" t="s">
        <v>13</v>
      </c>
      <c r="BY3" s="6" t="s">
        <v>13</v>
      </c>
      <c r="BZ3" s="6" t="s">
        <v>13</v>
      </c>
      <c r="CA3" s="6" t="s">
        <v>13</v>
      </c>
      <c r="CB3" s="6" t="s">
        <v>13</v>
      </c>
      <c r="CC3" s="6" t="s">
        <v>13</v>
      </c>
      <c r="CD3" s="6" t="s">
        <v>13</v>
      </c>
      <c r="CE3" s="6" t="s">
        <v>13</v>
      </c>
      <c r="CF3" s="6" t="s">
        <v>13</v>
      </c>
      <c r="CG3" s="6" t="s">
        <v>13</v>
      </c>
      <c r="CH3" s="6" t="s">
        <v>13</v>
      </c>
      <c r="CI3" s="6" t="s">
        <v>13</v>
      </c>
      <c r="CJ3" s="6" t="s">
        <v>13</v>
      </c>
      <c r="CK3" s="6" t="s">
        <v>13</v>
      </c>
      <c r="CL3" s="38" t="s">
        <v>12</v>
      </c>
      <c r="CM3" s="38" t="s">
        <v>12</v>
      </c>
      <c r="CN3" s="38" t="s">
        <v>12</v>
      </c>
      <c r="CO3" s="38" t="s">
        <v>12</v>
      </c>
      <c r="CP3" s="38" t="s">
        <v>12</v>
      </c>
      <c r="CQ3" s="38" t="s">
        <v>12</v>
      </c>
      <c r="CR3" s="38" t="s">
        <v>12</v>
      </c>
      <c r="CS3" s="38" t="s">
        <v>12</v>
      </c>
      <c r="CT3" s="38" t="s">
        <v>12</v>
      </c>
      <c r="CU3" s="38" t="s">
        <v>13</v>
      </c>
      <c r="CV3" s="38" t="s">
        <v>13</v>
      </c>
      <c r="CW3" s="38" t="s">
        <v>13</v>
      </c>
      <c r="CX3" s="38" t="s">
        <v>13</v>
      </c>
      <c r="CY3" s="38" t="s">
        <v>13</v>
      </c>
      <c r="CZ3" s="38" t="s">
        <v>13</v>
      </c>
      <c r="DA3" s="38" t="s">
        <v>13</v>
      </c>
      <c r="DB3" s="38" t="s">
        <v>13</v>
      </c>
      <c r="DC3" s="38" t="s">
        <v>13</v>
      </c>
      <c r="DD3" s="38" t="s">
        <v>13</v>
      </c>
      <c r="DE3" s="38" t="s">
        <v>13</v>
      </c>
      <c r="DF3" s="38" t="s">
        <v>13</v>
      </c>
      <c r="DG3" s="38">
        <v>0</v>
      </c>
    </row>
    <row r="4" spans="1:116" ht="32.1">
      <c r="A4" s="88"/>
      <c r="B4" s="89"/>
      <c r="C4" s="90"/>
      <c r="D4" s="40" t="s">
        <v>14</v>
      </c>
      <c r="E4" s="6" t="s">
        <v>15</v>
      </c>
      <c r="F4" s="6" t="s">
        <v>16</v>
      </c>
      <c r="G4" s="6" t="s">
        <v>17</v>
      </c>
      <c r="H4" s="6" t="s">
        <v>18</v>
      </c>
      <c r="I4" s="6" t="s">
        <v>19</v>
      </c>
      <c r="J4" s="6" t="s">
        <v>20</v>
      </c>
      <c r="K4" s="6" t="s">
        <v>21</v>
      </c>
      <c r="L4" s="6" t="s">
        <v>22</v>
      </c>
      <c r="M4" s="6" t="s">
        <v>23</v>
      </c>
      <c r="N4" s="6" t="s">
        <v>24</v>
      </c>
      <c r="O4" s="6" t="s">
        <v>25</v>
      </c>
      <c r="P4" s="6" t="s">
        <v>26</v>
      </c>
      <c r="Q4" s="6" t="s">
        <v>27</v>
      </c>
      <c r="R4" s="6" t="s">
        <v>28</v>
      </c>
      <c r="S4" s="6" t="s">
        <v>29</v>
      </c>
      <c r="T4" s="6" t="s">
        <v>30</v>
      </c>
      <c r="U4" s="6" t="s">
        <v>31</v>
      </c>
      <c r="V4" s="6" t="s">
        <v>32</v>
      </c>
      <c r="W4" s="6" t="s">
        <v>33</v>
      </c>
      <c r="X4" s="6" t="s">
        <v>34</v>
      </c>
      <c r="Y4" s="6" t="s">
        <v>35</v>
      </c>
      <c r="Z4" s="6" t="s">
        <v>36</v>
      </c>
      <c r="AA4" s="6" t="s">
        <v>37</v>
      </c>
      <c r="AB4" s="6" t="s">
        <v>38</v>
      </c>
      <c r="AC4" s="6" t="s">
        <v>39</v>
      </c>
      <c r="AD4" s="6" t="s">
        <v>40</v>
      </c>
      <c r="AE4" s="6" t="s">
        <v>41</v>
      </c>
      <c r="AF4" s="6" t="s">
        <v>42</v>
      </c>
      <c r="AG4" s="6" t="s">
        <v>43</v>
      </c>
      <c r="AH4" s="6" t="s">
        <v>44</v>
      </c>
      <c r="AI4" s="6" t="s">
        <v>45</v>
      </c>
      <c r="AJ4" s="6" t="s">
        <v>46</v>
      </c>
      <c r="AK4" s="6" t="s">
        <v>47</v>
      </c>
      <c r="AL4" s="6" t="s">
        <v>48</v>
      </c>
      <c r="AM4" s="6" t="s">
        <v>49</v>
      </c>
      <c r="AN4" s="6" t="s">
        <v>50</v>
      </c>
      <c r="AO4" s="6" t="s">
        <v>51</v>
      </c>
      <c r="AP4" s="6" t="s">
        <v>52</v>
      </c>
      <c r="AQ4" s="6" t="s">
        <v>53</v>
      </c>
      <c r="AR4" s="6" t="s">
        <v>54</v>
      </c>
      <c r="AS4" s="6" t="s">
        <v>55</v>
      </c>
      <c r="AT4" s="6" t="s">
        <v>56</v>
      </c>
      <c r="AU4" s="6" t="s">
        <v>57</v>
      </c>
      <c r="AV4" s="6" t="s">
        <v>58</v>
      </c>
      <c r="AW4" s="6" t="s">
        <v>59</v>
      </c>
      <c r="AX4" s="6" t="s">
        <v>60</v>
      </c>
      <c r="AY4" s="6" t="s">
        <v>61</v>
      </c>
      <c r="AZ4" s="6" t="s">
        <v>62</v>
      </c>
      <c r="BA4" s="6" t="s">
        <v>63</v>
      </c>
      <c r="BB4" s="6" t="s">
        <v>64</v>
      </c>
      <c r="BC4" s="6" t="s">
        <v>65</v>
      </c>
      <c r="BD4" s="6" t="s">
        <v>66</v>
      </c>
      <c r="BE4" s="6" t="s">
        <v>67</v>
      </c>
      <c r="BF4" s="6" t="s">
        <v>68</v>
      </c>
      <c r="BG4" s="6" t="s">
        <v>69</v>
      </c>
      <c r="BH4" s="6" t="s">
        <v>70</v>
      </c>
      <c r="BI4" s="6" t="s">
        <v>71</v>
      </c>
      <c r="BJ4" s="6" t="s">
        <v>72</v>
      </c>
      <c r="BK4" s="6" t="s">
        <v>73</v>
      </c>
      <c r="BL4" s="6" t="s">
        <v>74</v>
      </c>
      <c r="BM4" s="6" t="s">
        <v>75</v>
      </c>
      <c r="BN4" s="6" t="s">
        <v>76</v>
      </c>
      <c r="BO4" s="6" t="s">
        <v>77</v>
      </c>
      <c r="BP4" s="6" t="s">
        <v>78</v>
      </c>
      <c r="BQ4" s="6" t="s">
        <v>79</v>
      </c>
      <c r="BR4" s="6" t="s">
        <v>80</v>
      </c>
      <c r="BS4" s="6" t="s">
        <v>81</v>
      </c>
      <c r="BT4" s="6" t="s">
        <v>82</v>
      </c>
      <c r="BU4" s="6" t="s">
        <v>83</v>
      </c>
      <c r="BV4" s="6" t="s">
        <v>84</v>
      </c>
      <c r="BW4" s="6" t="s">
        <v>85</v>
      </c>
      <c r="BX4" s="6" t="s">
        <v>86</v>
      </c>
      <c r="BY4" s="6" t="s">
        <v>87</v>
      </c>
      <c r="BZ4" s="6" t="s">
        <v>88</v>
      </c>
      <c r="CA4" s="6" t="s">
        <v>89</v>
      </c>
      <c r="CB4" s="6" t="s">
        <v>90</v>
      </c>
      <c r="CC4" s="6" t="s">
        <v>91</v>
      </c>
      <c r="CD4" s="6" t="s">
        <v>92</v>
      </c>
      <c r="CE4" s="6" t="s">
        <v>93</v>
      </c>
      <c r="CF4" s="6" t="s">
        <v>94</v>
      </c>
      <c r="CG4" s="6" t="s">
        <v>95</v>
      </c>
      <c r="CH4" s="6" t="s">
        <v>96</v>
      </c>
      <c r="CI4" s="6" t="s">
        <v>97</v>
      </c>
      <c r="CJ4" s="6" t="s">
        <v>98</v>
      </c>
      <c r="CK4" s="6" t="s">
        <v>99</v>
      </c>
      <c r="CL4" s="38" t="s">
        <v>100</v>
      </c>
      <c r="CM4" s="38" t="s">
        <v>101</v>
      </c>
      <c r="CN4" s="38" t="s">
        <v>102</v>
      </c>
      <c r="CO4" s="38" t="s">
        <v>103</v>
      </c>
      <c r="CP4" s="38" t="s">
        <v>104</v>
      </c>
      <c r="CQ4" s="38" t="s">
        <v>105</v>
      </c>
      <c r="CR4" s="38" t="s">
        <v>106</v>
      </c>
      <c r="CS4" s="38" t="s">
        <v>107</v>
      </c>
      <c r="CT4" s="38" t="s">
        <v>108</v>
      </c>
      <c r="CU4" s="38" t="s">
        <v>109</v>
      </c>
      <c r="CV4" s="38" t="s">
        <v>110</v>
      </c>
      <c r="CW4" s="38" t="s">
        <v>111</v>
      </c>
      <c r="CX4" s="38" t="s">
        <v>112</v>
      </c>
      <c r="CY4" s="38" t="s">
        <v>113</v>
      </c>
      <c r="CZ4" s="38" t="s">
        <v>114</v>
      </c>
      <c r="DA4" s="38" t="s">
        <v>115</v>
      </c>
      <c r="DB4" s="38" t="s">
        <v>116</v>
      </c>
      <c r="DC4" s="38" t="s">
        <v>117</v>
      </c>
      <c r="DD4" s="38" t="s">
        <v>118</v>
      </c>
      <c r="DE4" s="38" t="s">
        <v>119</v>
      </c>
      <c r="DF4" s="38" t="s">
        <v>120</v>
      </c>
      <c r="DG4" s="38" t="s">
        <v>121</v>
      </c>
    </row>
    <row r="5" spans="1:116">
      <c r="A5" s="88"/>
      <c r="B5" s="89"/>
      <c r="C5" s="90"/>
      <c r="D5" s="40" t="s">
        <v>122</v>
      </c>
      <c r="E5" s="7" t="s">
        <v>123</v>
      </c>
      <c r="F5" s="7" t="s">
        <v>124</v>
      </c>
      <c r="G5" s="7" t="s">
        <v>125</v>
      </c>
      <c r="H5" s="7" t="s">
        <v>125</v>
      </c>
      <c r="I5" s="7" t="s">
        <v>123</v>
      </c>
      <c r="J5" s="7" t="s">
        <v>125</v>
      </c>
      <c r="K5" s="7" t="s">
        <v>125</v>
      </c>
      <c r="L5" s="7" t="s">
        <v>126</v>
      </c>
      <c r="M5" s="7" t="s">
        <v>123</v>
      </c>
      <c r="N5" s="7" t="s">
        <v>123</v>
      </c>
      <c r="O5" s="7" t="s">
        <v>125</v>
      </c>
      <c r="P5" s="7" t="s">
        <v>124</v>
      </c>
      <c r="Q5" s="7" t="s">
        <v>126</v>
      </c>
      <c r="R5" s="7" t="s">
        <v>126</v>
      </c>
      <c r="S5" s="7" t="s">
        <v>125</v>
      </c>
      <c r="T5" s="7" t="s">
        <v>127</v>
      </c>
      <c r="U5" s="7" t="s">
        <v>123</v>
      </c>
      <c r="V5" s="7" t="s">
        <v>123</v>
      </c>
      <c r="W5" s="7" t="s">
        <v>126</v>
      </c>
      <c r="X5" s="7" t="s">
        <v>123</v>
      </c>
      <c r="Y5" s="7" t="s">
        <v>126</v>
      </c>
      <c r="Z5" s="7" t="s">
        <v>126</v>
      </c>
      <c r="AA5" s="7" t="s">
        <v>123</v>
      </c>
      <c r="AB5" s="7" t="s">
        <v>125</v>
      </c>
      <c r="AC5" s="7" t="s">
        <v>126</v>
      </c>
      <c r="AD5" s="7" t="s">
        <v>127</v>
      </c>
      <c r="AE5" s="7" t="s">
        <v>123</v>
      </c>
      <c r="AF5" s="7" t="s">
        <v>128</v>
      </c>
      <c r="AG5" s="7" t="s">
        <v>123</v>
      </c>
      <c r="AH5" s="7" t="s">
        <v>126</v>
      </c>
      <c r="AI5" s="7" t="s">
        <v>125</v>
      </c>
      <c r="AJ5" s="7" t="s">
        <v>125</v>
      </c>
      <c r="AK5" s="7" t="s">
        <v>129</v>
      </c>
      <c r="AL5" s="7" t="s">
        <v>123</v>
      </c>
      <c r="AM5" s="7" t="s">
        <v>123</v>
      </c>
      <c r="AN5" s="7" t="s">
        <v>123</v>
      </c>
      <c r="AO5" s="7" t="s">
        <v>125</v>
      </c>
      <c r="AP5" s="7" t="s">
        <v>123</v>
      </c>
      <c r="AQ5" s="7" t="s">
        <v>123</v>
      </c>
      <c r="AR5" s="7" t="s">
        <v>123</v>
      </c>
      <c r="AS5" s="7" t="s">
        <v>123</v>
      </c>
      <c r="AT5" s="7" t="s">
        <v>128</v>
      </c>
      <c r="AU5" s="7" t="s">
        <v>130</v>
      </c>
      <c r="AV5" s="7" t="s">
        <v>125</v>
      </c>
      <c r="AW5" s="7" t="s">
        <v>130</v>
      </c>
      <c r="AX5" s="7" t="s">
        <v>124</v>
      </c>
      <c r="AY5" s="7" t="s">
        <v>127</v>
      </c>
      <c r="AZ5" s="7" t="s">
        <v>126</v>
      </c>
      <c r="BA5" s="7" t="s">
        <v>126</v>
      </c>
      <c r="BB5" s="7" t="s">
        <v>126</v>
      </c>
      <c r="BC5" s="7" t="s">
        <v>126</v>
      </c>
      <c r="BD5" s="7" t="s">
        <v>125</v>
      </c>
      <c r="BE5" s="7" t="s">
        <v>123</v>
      </c>
      <c r="BF5" s="7" t="s">
        <v>123</v>
      </c>
      <c r="BG5" s="7" t="s">
        <v>128</v>
      </c>
      <c r="BH5" s="7" t="s">
        <v>125</v>
      </c>
      <c r="BI5" s="7" t="s">
        <v>125</v>
      </c>
      <c r="BJ5" s="7" t="s">
        <v>125</v>
      </c>
      <c r="BK5" s="7" t="s">
        <v>123</v>
      </c>
      <c r="BL5" s="7" t="s">
        <v>131</v>
      </c>
      <c r="BM5" s="7" t="s">
        <v>123</v>
      </c>
      <c r="BN5" s="7" t="s">
        <v>123</v>
      </c>
      <c r="BO5" s="7" t="s">
        <v>130</v>
      </c>
      <c r="BP5" s="7" t="s">
        <v>125</v>
      </c>
      <c r="BQ5" s="7" t="s">
        <v>127</v>
      </c>
      <c r="BR5" s="7" t="s">
        <v>128</v>
      </c>
      <c r="BS5" s="7" t="s">
        <v>130</v>
      </c>
      <c r="BT5" s="7" t="s">
        <v>123</v>
      </c>
      <c r="BU5" s="7" t="s">
        <v>125</v>
      </c>
      <c r="BV5" s="7" t="s">
        <v>125</v>
      </c>
      <c r="BW5" s="7" t="s">
        <v>132</v>
      </c>
      <c r="BX5" s="7" t="s">
        <v>123</v>
      </c>
      <c r="BY5" s="7" t="s">
        <v>123</v>
      </c>
      <c r="BZ5" s="7" t="s">
        <v>132</v>
      </c>
      <c r="CA5" s="7" t="s">
        <v>123</v>
      </c>
      <c r="CB5" s="7" t="s">
        <v>125</v>
      </c>
      <c r="CC5" s="7" t="s">
        <v>130</v>
      </c>
      <c r="CD5" s="7" t="s">
        <v>126</v>
      </c>
      <c r="CE5" s="7" t="s">
        <v>123</v>
      </c>
      <c r="CF5" s="7" t="s">
        <v>124</v>
      </c>
      <c r="CG5" s="7" t="s">
        <v>124</v>
      </c>
      <c r="CH5" s="7" t="s">
        <v>123</v>
      </c>
      <c r="CI5" s="7" t="s">
        <v>126</v>
      </c>
      <c r="CJ5" s="7" t="s">
        <v>123</v>
      </c>
      <c r="CK5" s="7" t="s">
        <v>131</v>
      </c>
      <c r="CL5" s="7" t="s">
        <v>125</v>
      </c>
      <c r="CM5" s="7" t="s">
        <v>123</v>
      </c>
      <c r="CN5" s="7" t="s">
        <v>125</v>
      </c>
      <c r="CO5" s="7" t="s">
        <v>130</v>
      </c>
      <c r="CP5" s="7" t="s">
        <v>123</v>
      </c>
      <c r="CQ5" s="7" t="s">
        <v>125</v>
      </c>
      <c r="CR5" s="7" t="s">
        <v>125</v>
      </c>
      <c r="CS5" s="7" t="s">
        <v>127</v>
      </c>
      <c r="CT5" s="7" t="s">
        <v>123</v>
      </c>
      <c r="CU5" s="7" t="s">
        <v>130</v>
      </c>
      <c r="CV5" s="7" t="s">
        <v>124</v>
      </c>
      <c r="CW5" s="7" t="s">
        <v>125</v>
      </c>
      <c r="CX5" s="7" t="s">
        <v>125</v>
      </c>
      <c r="CY5" s="7" t="s">
        <v>126</v>
      </c>
      <c r="CZ5" s="7" t="s">
        <v>130</v>
      </c>
      <c r="DA5" s="7" t="s">
        <v>130</v>
      </c>
      <c r="DB5" s="7" t="s">
        <v>124</v>
      </c>
      <c r="DC5" s="7" t="s">
        <v>128</v>
      </c>
      <c r="DD5" s="7" t="s">
        <v>123</v>
      </c>
      <c r="DE5" s="7" t="s">
        <v>130</v>
      </c>
      <c r="DF5" s="7" t="s">
        <v>125</v>
      </c>
      <c r="DG5" s="7" t="s">
        <v>133</v>
      </c>
    </row>
    <row r="6" spans="1:116" ht="32.1">
      <c r="A6" s="88"/>
      <c r="B6" s="89"/>
      <c r="C6" s="90"/>
      <c r="D6" s="40" t="s">
        <v>134</v>
      </c>
      <c r="E6" s="9" t="s">
        <v>135</v>
      </c>
      <c r="F6" s="9" t="s">
        <v>135</v>
      </c>
      <c r="G6" s="9" t="s">
        <v>135</v>
      </c>
      <c r="H6" s="9" t="s">
        <v>135</v>
      </c>
      <c r="I6" s="9" t="s">
        <v>135</v>
      </c>
      <c r="J6" s="9" t="s">
        <v>135</v>
      </c>
      <c r="K6" s="9" t="s">
        <v>135</v>
      </c>
      <c r="L6" s="9" t="s">
        <v>135</v>
      </c>
      <c r="M6" s="9" t="s">
        <v>135</v>
      </c>
      <c r="N6" s="9" t="s">
        <v>136</v>
      </c>
      <c r="O6" s="9" t="s">
        <v>136</v>
      </c>
      <c r="P6" s="9" t="s">
        <v>135</v>
      </c>
      <c r="Q6" s="9" t="s">
        <v>135</v>
      </c>
      <c r="R6" s="9" t="s">
        <v>137</v>
      </c>
      <c r="S6" s="9" t="s">
        <v>138</v>
      </c>
      <c r="T6" s="9" t="s">
        <v>138</v>
      </c>
      <c r="U6" s="9" t="s">
        <v>135</v>
      </c>
      <c r="V6" s="9" t="s">
        <v>135</v>
      </c>
      <c r="W6" s="9" t="s">
        <v>135</v>
      </c>
      <c r="X6" s="9" t="s">
        <v>135</v>
      </c>
      <c r="Y6" s="9" t="s">
        <v>135</v>
      </c>
      <c r="Z6" s="9" t="s">
        <v>135</v>
      </c>
      <c r="AA6" s="9" t="s">
        <v>135</v>
      </c>
      <c r="AB6" s="9" t="s">
        <v>139</v>
      </c>
      <c r="AC6" s="9" t="s">
        <v>138</v>
      </c>
      <c r="AD6" s="9" t="s">
        <v>135</v>
      </c>
      <c r="AE6" s="9" t="s">
        <v>135</v>
      </c>
      <c r="AF6" s="9" t="s">
        <v>135</v>
      </c>
      <c r="AG6" s="9" t="s">
        <v>140</v>
      </c>
      <c r="AH6" s="9" t="s">
        <v>135</v>
      </c>
      <c r="AI6" s="9" t="s">
        <v>138</v>
      </c>
      <c r="AJ6" s="9" t="s">
        <v>141</v>
      </c>
      <c r="AK6" s="9" t="s">
        <v>138</v>
      </c>
      <c r="AL6" s="9" t="s">
        <v>142</v>
      </c>
      <c r="AM6" s="9" t="s">
        <v>142</v>
      </c>
      <c r="AN6" s="9" t="s">
        <v>135</v>
      </c>
      <c r="AO6" s="9" t="s">
        <v>142</v>
      </c>
      <c r="AP6" s="9" t="s">
        <v>142</v>
      </c>
      <c r="AQ6" s="9" t="s">
        <v>142</v>
      </c>
      <c r="AR6" s="9" t="s">
        <v>142</v>
      </c>
      <c r="AS6" s="9" t="s">
        <v>142</v>
      </c>
      <c r="AT6" s="9" t="s">
        <v>142</v>
      </c>
      <c r="AU6" s="9" t="s">
        <v>142</v>
      </c>
      <c r="AV6" s="9" t="s">
        <v>141</v>
      </c>
      <c r="AW6" s="9" t="s">
        <v>142</v>
      </c>
      <c r="AX6" s="9" t="s">
        <v>138</v>
      </c>
      <c r="AY6" s="9" t="s">
        <v>143</v>
      </c>
      <c r="AZ6" s="9" t="s">
        <v>141</v>
      </c>
      <c r="BA6" s="9" t="s">
        <v>141</v>
      </c>
      <c r="BB6" s="9" t="s">
        <v>135</v>
      </c>
      <c r="BC6" s="9" t="s">
        <v>135</v>
      </c>
      <c r="BD6" s="9" t="s">
        <v>135</v>
      </c>
      <c r="BE6" s="9" t="s">
        <v>138</v>
      </c>
      <c r="BF6" s="9" t="s">
        <v>141</v>
      </c>
      <c r="BG6" s="9" t="s">
        <v>135</v>
      </c>
      <c r="BH6" s="9" t="s">
        <v>135</v>
      </c>
      <c r="BI6" s="9" t="s">
        <v>141</v>
      </c>
      <c r="BJ6" s="9" t="s">
        <v>141</v>
      </c>
      <c r="BK6" s="9" t="s">
        <v>138</v>
      </c>
      <c r="BL6" s="9"/>
      <c r="BM6" s="9" t="s">
        <v>141</v>
      </c>
      <c r="BN6" s="9" t="s">
        <v>138</v>
      </c>
      <c r="BO6" s="9" t="s">
        <v>138</v>
      </c>
      <c r="BP6" s="9" t="s">
        <v>138</v>
      </c>
      <c r="BQ6" s="9" t="s">
        <v>138</v>
      </c>
      <c r="BR6" s="9" t="s">
        <v>141</v>
      </c>
      <c r="BS6" s="9"/>
      <c r="BT6" s="9" t="s">
        <v>135</v>
      </c>
      <c r="BU6" s="9" t="s">
        <v>138</v>
      </c>
      <c r="BV6" s="9" t="s">
        <v>138</v>
      </c>
      <c r="BW6" s="9" t="s">
        <v>135</v>
      </c>
      <c r="BX6" s="9" t="s">
        <v>138</v>
      </c>
      <c r="BY6" s="9" t="s">
        <v>138</v>
      </c>
      <c r="BZ6" s="9" t="s">
        <v>144</v>
      </c>
      <c r="CA6" s="9" t="s">
        <v>142</v>
      </c>
      <c r="CB6" s="9" t="s">
        <v>138</v>
      </c>
      <c r="CC6" s="9" t="s">
        <v>142</v>
      </c>
      <c r="CD6" s="9" t="s">
        <v>135</v>
      </c>
      <c r="CE6" s="9" t="s">
        <v>142</v>
      </c>
      <c r="CF6" s="9" t="s">
        <v>135</v>
      </c>
      <c r="CG6" s="9" t="s">
        <v>142</v>
      </c>
      <c r="CH6" s="9" t="s">
        <v>142</v>
      </c>
      <c r="CI6" s="9" t="s">
        <v>141</v>
      </c>
      <c r="CJ6" s="9" t="s">
        <v>141</v>
      </c>
      <c r="CK6" s="9" t="s">
        <v>135</v>
      </c>
      <c r="CL6" s="59" t="s">
        <v>135</v>
      </c>
      <c r="CM6" s="59" t="s">
        <v>135</v>
      </c>
      <c r="CN6" s="59" t="s">
        <v>135</v>
      </c>
      <c r="CO6" s="59" t="s">
        <v>135</v>
      </c>
      <c r="CP6" s="59" t="s">
        <v>135</v>
      </c>
      <c r="CQ6" s="59" t="s">
        <v>135</v>
      </c>
      <c r="CR6" s="59" t="s">
        <v>135</v>
      </c>
      <c r="CS6" s="59" t="s">
        <v>135</v>
      </c>
      <c r="CT6" s="59" t="s">
        <v>135</v>
      </c>
      <c r="CU6" s="59" t="s">
        <v>135</v>
      </c>
      <c r="CV6" s="59" t="s">
        <v>145</v>
      </c>
      <c r="CW6" s="59" t="s">
        <v>135</v>
      </c>
      <c r="CX6" s="59" t="s">
        <v>145</v>
      </c>
      <c r="CY6" s="59" t="s">
        <v>135</v>
      </c>
      <c r="CZ6" s="59" t="s">
        <v>135</v>
      </c>
      <c r="DA6" s="59" t="s">
        <v>146</v>
      </c>
      <c r="DB6" s="59" t="s">
        <v>135</v>
      </c>
      <c r="DC6" s="59" t="s">
        <v>135</v>
      </c>
      <c r="DD6" s="59" t="s">
        <v>135</v>
      </c>
      <c r="DE6" s="59" t="s">
        <v>135</v>
      </c>
      <c r="DF6" s="59" t="s">
        <v>135</v>
      </c>
      <c r="DG6" s="59" t="s">
        <v>135</v>
      </c>
    </row>
    <row r="7" spans="1:116" ht="32.1">
      <c r="A7" s="91"/>
      <c r="B7" s="92"/>
      <c r="C7" s="93"/>
      <c r="D7" s="40" t="s">
        <v>147</v>
      </c>
      <c r="E7" s="9" t="s">
        <v>148</v>
      </c>
      <c r="F7" s="9" t="s">
        <v>148</v>
      </c>
      <c r="G7" s="9" t="s">
        <v>148</v>
      </c>
      <c r="H7" s="9" t="s">
        <v>148</v>
      </c>
      <c r="I7" s="9" t="s">
        <v>148</v>
      </c>
      <c r="J7" s="9" t="s">
        <v>148</v>
      </c>
      <c r="K7" s="9" t="s">
        <v>148</v>
      </c>
      <c r="L7" s="9" t="s">
        <v>148</v>
      </c>
      <c r="M7" s="9" t="s">
        <v>148</v>
      </c>
      <c r="N7" s="9" t="s">
        <v>148</v>
      </c>
      <c r="O7" s="9" t="s">
        <v>148</v>
      </c>
      <c r="P7" s="9" t="s">
        <v>148</v>
      </c>
      <c r="Q7" s="9" t="s">
        <v>148</v>
      </c>
      <c r="R7" s="9" t="s">
        <v>148</v>
      </c>
      <c r="S7" s="9" t="s">
        <v>148</v>
      </c>
      <c r="T7" s="9" t="s">
        <v>148</v>
      </c>
      <c r="U7" s="9" t="s">
        <v>148</v>
      </c>
      <c r="V7" s="9" t="s">
        <v>148</v>
      </c>
      <c r="W7" s="9" t="s">
        <v>148</v>
      </c>
      <c r="X7" s="9" t="s">
        <v>148</v>
      </c>
      <c r="Y7" s="9" t="s">
        <v>148</v>
      </c>
      <c r="Z7" s="9" t="s">
        <v>148</v>
      </c>
      <c r="AA7" s="9" t="s">
        <v>148</v>
      </c>
      <c r="AB7" s="9" t="s">
        <v>148</v>
      </c>
      <c r="AC7" s="9" t="s">
        <v>148</v>
      </c>
      <c r="AD7" s="9" t="s">
        <v>148</v>
      </c>
      <c r="AE7" s="9" t="s">
        <v>148</v>
      </c>
      <c r="AF7" s="9" t="s">
        <v>148</v>
      </c>
      <c r="AG7" s="9" t="s">
        <v>148</v>
      </c>
      <c r="AH7" s="9" t="s">
        <v>148</v>
      </c>
      <c r="AI7" s="9" t="s">
        <v>148</v>
      </c>
      <c r="AJ7" s="9" t="s">
        <v>148</v>
      </c>
      <c r="AK7" s="9" t="s">
        <v>148</v>
      </c>
      <c r="AL7" s="9" t="s">
        <v>148</v>
      </c>
      <c r="AM7" s="9" t="s">
        <v>148</v>
      </c>
      <c r="AN7" s="9" t="s">
        <v>148</v>
      </c>
      <c r="AO7" s="9" t="s">
        <v>148</v>
      </c>
      <c r="AP7" s="9" t="s">
        <v>148</v>
      </c>
      <c r="AQ7" s="9" t="s">
        <v>148</v>
      </c>
      <c r="AR7" s="9" t="s">
        <v>148</v>
      </c>
      <c r="AS7" s="9" t="s">
        <v>148</v>
      </c>
      <c r="AT7" s="9" t="s">
        <v>148</v>
      </c>
      <c r="AU7" s="9" t="s">
        <v>148</v>
      </c>
      <c r="AV7" s="9" t="s">
        <v>148</v>
      </c>
      <c r="AW7" s="9" t="s">
        <v>148</v>
      </c>
      <c r="AX7" s="9" t="s">
        <v>148</v>
      </c>
      <c r="AY7" s="9" t="s">
        <v>148</v>
      </c>
      <c r="AZ7" s="9" t="s">
        <v>148</v>
      </c>
      <c r="BA7" s="9" t="s">
        <v>148</v>
      </c>
      <c r="BB7" s="9" t="s">
        <v>148</v>
      </c>
      <c r="BC7" s="9" t="s">
        <v>148</v>
      </c>
      <c r="BD7" s="9" t="s">
        <v>148</v>
      </c>
      <c r="BE7" s="9" t="s">
        <v>148</v>
      </c>
      <c r="BF7" s="9" t="s">
        <v>148</v>
      </c>
      <c r="BG7" s="9" t="s">
        <v>148</v>
      </c>
      <c r="BH7" s="9" t="s">
        <v>148</v>
      </c>
      <c r="BI7" s="9" t="s">
        <v>148</v>
      </c>
      <c r="BJ7" s="9" t="s">
        <v>148</v>
      </c>
      <c r="BK7" s="9" t="s">
        <v>148</v>
      </c>
      <c r="BL7" s="9" t="s">
        <v>149</v>
      </c>
      <c r="BM7" s="9" t="s">
        <v>148</v>
      </c>
      <c r="BN7" s="9" t="s">
        <v>148</v>
      </c>
      <c r="BO7" s="9" t="s">
        <v>148</v>
      </c>
      <c r="BP7" s="9" t="s">
        <v>148</v>
      </c>
      <c r="BQ7" s="9" t="s">
        <v>148</v>
      </c>
      <c r="BR7" s="9" t="s">
        <v>148</v>
      </c>
      <c r="BS7" s="9" t="s">
        <v>148</v>
      </c>
      <c r="BT7" s="9" t="s">
        <v>148</v>
      </c>
      <c r="BU7" s="9" t="s">
        <v>148</v>
      </c>
      <c r="BV7" s="9" t="s">
        <v>148</v>
      </c>
      <c r="BW7" s="9" t="s">
        <v>148</v>
      </c>
      <c r="BX7" s="9" t="s">
        <v>148</v>
      </c>
      <c r="BY7" s="9" t="s">
        <v>148</v>
      </c>
      <c r="BZ7" s="9" t="s">
        <v>148</v>
      </c>
      <c r="CA7" s="9" t="s">
        <v>148</v>
      </c>
      <c r="CB7" s="9" t="s">
        <v>148</v>
      </c>
      <c r="CC7" s="9" t="s">
        <v>148</v>
      </c>
      <c r="CD7" s="9" t="s">
        <v>148</v>
      </c>
      <c r="CE7" s="9" t="s">
        <v>148</v>
      </c>
      <c r="CF7" s="9" t="s">
        <v>148</v>
      </c>
      <c r="CG7" s="9" t="s">
        <v>148</v>
      </c>
      <c r="CH7" s="9" t="s">
        <v>148</v>
      </c>
      <c r="CI7" s="9" t="s">
        <v>148</v>
      </c>
      <c r="CJ7" s="9" t="s">
        <v>148</v>
      </c>
      <c r="CK7" s="9" t="s">
        <v>150</v>
      </c>
      <c r="CL7" s="59" t="s">
        <v>148</v>
      </c>
      <c r="CM7" s="59" t="s">
        <v>148</v>
      </c>
      <c r="CN7" s="59" t="s">
        <v>148</v>
      </c>
      <c r="CO7" s="59" t="s">
        <v>148</v>
      </c>
      <c r="CP7" s="59" t="s">
        <v>148</v>
      </c>
      <c r="CQ7" s="59" t="s">
        <v>148</v>
      </c>
      <c r="CR7" s="59" t="s">
        <v>148</v>
      </c>
      <c r="CS7" s="59" t="s">
        <v>148</v>
      </c>
      <c r="CT7" s="59" t="s">
        <v>148</v>
      </c>
      <c r="CU7" s="59" t="s">
        <v>148</v>
      </c>
      <c r="CV7" s="59" t="s">
        <v>148</v>
      </c>
      <c r="CW7" s="59" t="s">
        <v>148</v>
      </c>
      <c r="CX7" s="59" t="s">
        <v>148</v>
      </c>
      <c r="CY7" s="59" t="s">
        <v>148</v>
      </c>
      <c r="CZ7" s="59" t="s">
        <v>148</v>
      </c>
      <c r="DA7" s="59" t="s">
        <v>148</v>
      </c>
      <c r="DB7" s="59" t="s">
        <v>148</v>
      </c>
      <c r="DC7" s="59" t="s">
        <v>148</v>
      </c>
      <c r="DD7" s="59" t="s">
        <v>148</v>
      </c>
      <c r="DE7" s="59" t="s">
        <v>148</v>
      </c>
      <c r="DF7" s="59" t="s">
        <v>148</v>
      </c>
      <c r="DG7" s="59">
        <v>0</v>
      </c>
    </row>
    <row r="8" spans="1:116">
      <c r="A8" s="10" t="s">
        <v>151</v>
      </c>
      <c r="B8" s="11" t="s">
        <v>152</v>
      </c>
      <c r="C8" s="11" t="s">
        <v>153</v>
      </c>
      <c r="D8" s="12" t="s">
        <v>154</v>
      </c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61"/>
      <c r="CV8" s="61"/>
      <c r="CW8" s="61"/>
      <c r="CX8" s="61"/>
      <c r="CY8" s="61"/>
      <c r="CZ8" s="61"/>
      <c r="DA8" s="61"/>
      <c r="DB8" s="61"/>
      <c r="DC8" s="61"/>
      <c r="DD8" s="61"/>
      <c r="DE8" s="61"/>
      <c r="DF8" s="61"/>
      <c r="DG8" s="61"/>
    </row>
    <row r="9" spans="1:116" s="51" customFormat="1">
      <c r="A9" s="14" t="s">
        <v>155</v>
      </c>
      <c r="B9" s="15"/>
      <c r="C9" s="15"/>
      <c r="D9" s="16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62"/>
      <c r="CV9" s="62"/>
      <c r="CW9" s="62"/>
      <c r="CX9" s="62"/>
      <c r="CY9" s="62"/>
      <c r="CZ9" s="62"/>
      <c r="DA9" s="62"/>
      <c r="DB9" s="62"/>
      <c r="DC9" s="62"/>
      <c r="DD9" s="62"/>
      <c r="DE9" s="62"/>
      <c r="DF9" s="62"/>
      <c r="DG9" s="62"/>
      <c r="DI9" s="69"/>
    </row>
    <row r="10" spans="1:116">
      <c r="A10" s="19" t="s">
        <v>156</v>
      </c>
      <c r="B10" s="19" t="s">
        <v>157</v>
      </c>
      <c r="C10" s="19" t="s">
        <v>158</v>
      </c>
      <c r="D10" s="20">
        <f>SUM(E10:DG10)</f>
        <v>43</v>
      </c>
      <c r="E10" s="21">
        <v>0</v>
      </c>
      <c r="F10" s="21">
        <v>0</v>
      </c>
      <c r="G10" s="21">
        <v>0</v>
      </c>
      <c r="H10" s="21">
        <v>0</v>
      </c>
      <c r="I10" s="21">
        <v>1</v>
      </c>
      <c r="J10" s="21">
        <v>0</v>
      </c>
      <c r="K10" s="21">
        <v>0</v>
      </c>
      <c r="L10" s="21">
        <v>0</v>
      </c>
      <c r="M10" s="21">
        <v>0</v>
      </c>
      <c r="N10" s="21">
        <v>1</v>
      </c>
      <c r="O10" s="21">
        <v>1</v>
      </c>
      <c r="P10" s="21">
        <v>0</v>
      </c>
      <c r="Q10" s="21">
        <v>0</v>
      </c>
      <c r="R10" s="21">
        <v>1</v>
      </c>
      <c r="S10" s="21">
        <v>0</v>
      </c>
      <c r="T10" s="21">
        <v>0</v>
      </c>
      <c r="U10" s="21">
        <v>0</v>
      </c>
      <c r="V10" s="21">
        <v>1</v>
      </c>
      <c r="W10" s="21">
        <v>0</v>
      </c>
      <c r="X10" s="21">
        <v>0</v>
      </c>
      <c r="Y10" s="21">
        <v>0</v>
      </c>
      <c r="Z10" s="21">
        <v>0</v>
      </c>
      <c r="AA10" s="21">
        <v>1</v>
      </c>
      <c r="AB10" s="21">
        <v>1</v>
      </c>
      <c r="AC10" s="21">
        <v>0</v>
      </c>
      <c r="AD10" s="21">
        <v>0</v>
      </c>
      <c r="AE10" s="21">
        <v>0</v>
      </c>
      <c r="AF10" s="21">
        <v>0</v>
      </c>
      <c r="AG10" s="21">
        <v>0</v>
      </c>
      <c r="AH10" s="21">
        <v>0</v>
      </c>
      <c r="AI10" s="21">
        <v>1</v>
      </c>
      <c r="AJ10" s="21">
        <v>4</v>
      </c>
      <c r="AK10" s="21">
        <v>0</v>
      </c>
      <c r="AL10" s="21">
        <v>0</v>
      </c>
      <c r="AM10" s="21">
        <v>2</v>
      </c>
      <c r="AN10" s="21">
        <v>0</v>
      </c>
      <c r="AO10" s="21">
        <v>1</v>
      </c>
      <c r="AP10" s="21">
        <v>1</v>
      </c>
      <c r="AQ10" s="21">
        <v>1</v>
      </c>
      <c r="AR10" s="21">
        <v>1</v>
      </c>
      <c r="AS10" s="21">
        <v>1</v>
      </c>
      <c r="AT10" s="21">
        <v>1</v>
      </c>
      <c r="AU10" s="21">
        <v>1</v>
      </c>
      <c r="AV10" s="21">
        <v>1</v>
      </c>
      <c r="AW10" s="21">
        <v>1</v>
      </c>
      <c r="AX10" s="21">
        <v>0</v>
      </c>
      <c r="AY10" s="21">
        <v>0</v>
      </c>
      <c r="AZ10" s="21">
        <v>1</v>
      </c>
      <c r="BA10" s="21">
        <v>0</v>
      </c>
      <c r="BB10" s="21">
        <v>0</v>
      </c>
      <c r="BC10" s="21">
        <v>0</v>
      </c>
      <c r="BD10" s="21">
        <v>0</v>
      </c>
      <c r="BE10" s="21">
        <v>5</v>
      </c>
      <c r="BF10" s="21">
        <v>2</v>
      </c>
      <c r="BG10" s="21">
        <v>0</v>
      </c>
      <c r="BH10" s="21">
        <v>1</v>
      </c>
      <c r="BI10" s="21">
        <v>1</v>
      </c>
      <c r="BJ10" s="21">
        <v>0</v>
      </c>
      <c r="BK10" s="21">
        <v>0</v>
      </c>
      <c r="BL10" s="21">
        <v>0</v>
      </c>
      <c r="BM10" s="21">
        <v>1</v>
      </c>
      <c r="BN10" s="21">
        <v>0</v>
      </c>
      <c r="BO10" s="21">
        <v>0</v>
      </c>
      <c r="BP10" s="21">
        <v>1</v>
      </c>
      <c r="BQ10" s="21">
        <v>0</v>
      </c>
      <c r="BR10" s="21">
        <v>0</v>
      </c>
      <c r="BS10" s="21">
        <v>0</v>
      </c>
      <c r="BT10" s="21">
        <v>0</v>
      </c>
      <c r="BU10" s="21">
        <v>2</v>
      </c>
      <c r="BV10" s="21">
        <v>2</v>
      </c>
      <c r="BW10" s="21">
        <v>0</v>
      </c>
      <c r="BX10" s="21">
        <v>0</v>
      </c>
      <c r="BY10" s="21">
        <v>0</v>
      </c>
      <c r="BZ10" s="21">
        <v>0</v>
      </c>
      <c r="CA10" s="21">
        <v>1</v>
      </c>
      <c r="CB10" s="21">
        <v>0</v>
      </c>
      <c r="CC10" s="21">
        <v>0</v>
      </c>
      <c r="CD10" s="21">
        <v>0</v>
      </c>
      <c r="CE10" s="21">
        <v>0</v>
      </c>
      <c r="CF10" s="21">
        <v>0</v>
      </c>
      <c r="CG10" s="21">
        <v>0</v>
      </c>
      <c r="CH10" s="21">
        <v>0</v>
      </c>
      <c r="CI10" s="21">
        <v>0</v>
      </c>
      <c r="CJ10" s="21">
        <v>0</v>
      </c>
      <c r="CK10" s="21">
        <v>3</v>
      </c>
      <c r="CL10" s="21">
        <v>0</v>
      </c>
      <c r="CM10" s="21">
        <v>0</v>
      </c>
      <c r="CN10" s="21">
        <v>0</v>
      </c>
      <c r="CO10" s="21">
        <v>0</v>
      </c>
      <c r="CP10" s="21">
        <v>0</v>
      </c>
      <c r="CQ10" s="21">
        <v>0</v>
      </c>
      <c r="CR10" s="21">
        <v>0</v>
      </c>
      <c r="CS10" s="21">
        <v>0</v>
      </c>
      <c r="CT10" s="21">
        <v>0</v>
      </c>
      <c r="CU10" s="21">
        <v>0</v>
      </c>
      <c r="CV10" s="21">
        <v>0</v>
      </c>
      <c r="CW10" s="21">
        <v>0</v>
      </c>
      <c r="CX10" s="21">
        <v>0</v>
      </c>
      <c r="CY10" s="21">
        <v>0</v>
      </c>
      <c r="CZ10" s="21">
        <v>0</v>
      </c>
      <c r="DA10" s="21">
        <v>0</v>
      </c>
      <c r="DB10" s="21">
        <v>0</v>
      </c>
      <c r="DC10" s="21">
        <v>0</v>
      </c>
      <c r="DD10" s="21">
        <v>0</v>
      </c>
      <c r="DE10" s="21">
        <v>0</v>
      </c>
      <c r="DF10" s="21">
        <v>0</v>
      </c>
      <c r="DG10" s="21">
        <v>0</v>
      </c>
      <c r="DH10" s="74"/>
      <c r="DJ10" s="67"/>
      <c r="DL10" s="67"/>
    </row>
    <row r="11" spans="1:116">
      <c r="A11" s="19" t="s">
        <v>156</v>
      </c>
      <c r="B11" s="19" t="s">
        <v>159</v>
      </c>
      <c r="C11" s="19" t="s">
        <v>158</v>
      </c>
      <c r="D11" s="20">
        <f t="shared" ref="D11:D43" si="0">SUM(E11:DG11)</f>
        <v>28</v>
      </c>
      <c r="E11" s="21">
        <v>0</v>
      </c>
      <c r="F11" s="21">
        <v>0</v>
      </c>
      <c r="G11" s="21">
        <v>0</v>
      </c>
      <c r="H11" s="21">
        <v>3</v>
      </c>
      <c r="I11" s="21">
        <v>0</v>
      </c>
      <c r="J11" s="21">
        <v>1</v>
      </c>
      <c r="K11" s="21">
        <v>0</v>
      </c>
      <c r="L11" s="21">
        <v>0</v>
      </c>
      <c r="M11" s="21">
        <v>1</v>
      </c>
      <c r="N11" s="21">
        <v>0</v>
      </c>
      <c r="O11" s="21">
        <v>0</v>
      </c>
      <c r="P11" s="21">
        <v>0</v>
      </c>
      <c r="Q11" s="21">
        <v>0</v>
      </c>
      <c r="R11" s="21">
        <v>0</v>
      </c>
      <c r="S11" s="21">
        <v>5</v>
      </c>
      <c r="T11" s="21">
        <v>1</v>
      </c>
      <c r="U11" s="21">
        <v>1</v>
      </c>
      <c r="V11" s="21">
        <v>0</v>
      </c>
      <c r="W11" s="21">
        <v>2</v>
      </c>
      <c r="X11" s="21">
        <v>0</v>
      </c>
      <c r="Y11" s="21">
        <v>0</v>
      </c>
      <c r="Z11" s="21">
        <v>0</v>
      </c>
      <c r="AA11" s="21">
        <v>0</v>
      </c>
      <c r="AB11" s="21">
        <v>0</v>
      </c>
      <c r="AC11" s="21">
        <v>2</v>
      </c>
      <c r="AD11" s="21">
        <v>0</v>
      </c>
      <c r="AE11" s="21">
        <v>1</v>
      </c>
      <c r="AF11" s="21">
        <v>0</v>
      </c>
      <c r="AG11" s="21">
        <v>0</v>
      </c>
      <c r="AH11" s="21">
        <v>0</v>
      </c>
      <c r="AI11" s="21">
        <v>0</v>
      </c>
      <c r="AJ11" s="21">
        <v>0</v>
      </c>
      <c r="AK11" s="21">
        <v>0</v>
      </c>
      <c r="AL11" s="21">
        <v>1</v>
      </c>
      <c r="AM11" s="21">
        <v>0</v>
      </c>
      <c r="AN11" s="21">
        <v>0</v>
      </c>
      <c r="AO11" s="21">
        <v>0</v>
      </c>
      <c r="AP11" s="21">
        <v>0</v>
      </c>
      <c r="AQ11" s="21">
        <v>0</v>
      </c>
      <c r="AR11" s="21">
        <v>0</v>
      </c>
      <c r="AS11" s="21">
        <v>0</v>
      </c>
      <c r="AT11" s="21">
        <v>0</v>
      </c>
      <c r="AU11" s="21">
        <v>0</v>
      </c>
      <c r="AV11" s="21">
        <v>0</v>
      </c>
      <c r="AW11" s="21">
        <v>0</v>
      </c>
      <c r="AX11" s="21">
        <v>0</v>
      </c>
      <c r="AY11" s="21">
        <v>1</v>
      </c>
      <c r="AZ11" s="21">
        <v>0</v>
      </c>
      <c r="BA11" s="21">
        <v>0</v>
      </c>
      <c r="BB11" s="21">
        <v>2</v>
      </c>
      <c r="BC11" s="21">
        <v>0</v>
      </c>
      <c r="BD11" s="21">
        <v>0</v>
      </c>
      <c r="BE11" s="21">
        <v>0</v>
      </c>
      <c r="BF11" s="21">
        <v>1</v>
      </c>
      <c r="BG11" s="21">
        <v>0</v>
      </c>
      <c r="BH11" s="21">
        <v>0</v>
      </c>
      <c r="BI11" s="21">
        <v>0</v>
      </c>
      <c r="BJ11" s="21">
        <v>0</v>
      </c>
      <c r="BK11" s="21">
        <v>2</v>
      </c>
      <c r="BL11" s="21">
        <v>0</v>
      </c>
      <c r="BM11" s="21">
        <v>0</v>
      </c>
      <c r="BN11" s="21">
        <v>0</v>
      </c>
      <c r="BO11" s="21">
        <v>1</v>
      </c>
      <c r="BP11" s="21">
        <v>0</v>
      </c>
      <c r="BQ11" s="21">
        <v>0</v>
      </c>
      <c r="BR11" s="21">
        <v>0</v>
      </c>
      <c r="BS11" s="21">
        <v>0</v>
      </c>
      <c r="BT11" s="21">
        <v>0</v>
      </c>
      <c r="BU11" s="21">
        <v>0</v>
      </c>
      <c r="BV11" s="21">
        <v>0</v>
      </c>
      <c r="BW11" s="21">
        <v>0</v>
      </c>
      <c r="BX11" s="21">
        <v>0</v>
      </c>
      <c r="BY11" s="21">
        <v>1</v>
      </c>
      <c r="BZ11" s="21">
        <v>0</v>
      </c>
      <c r="CA11" s="21">
        <v>0</v>
      </c>
      <c r="CB11" s="21">
        <v>0</v>
      </c>
      <c r="CC11" s="21">
        <v>0</v>
      </c>
      <c r="CD11" s="21">
        <v>1</v>
      </c>
      <c r="CE11" s="21">
        <v>1</v>
      </c>
      <c r="CF11" s="21">
        <v>0</v>
      </c>
      <c r="CG11" s="21">
        <v>0</v>
      </c>
      <c r="CH11" s="21">
        <v>0</v>
      </c>
      <c r="CI11" s="21">
        <v>0</v>
      </c>
      <c r="CJ11" s="21">
        <v>0</v>
      </c>
      <c r="CK11" s="21">
        <v>0</v>
      </c>
      <c r="CL11" s="21">
        <v>0</v>
      </c>
      <c r="CM11" s="21">
        <v>0</v>
      </c>
      <c r="CN11" s="21">
        <v>0</v>
      </c>
      <c r="CO11" s="21">
        <v>0</v>
      </c>
      <c r="CP11" s="21">
        <v>0</v>
      </c>
      <c r="CQ11" s="21">
        <v>0</v>
      </c>
      <c r="CR11" s="21">
        <v>0</v>
      </c>
      <c r="CS11" s="21">
        <v>0</v>
      </c>
      <c r="CT11" s="21">
        <v>0</v>
      </c>
      <c r="CU11" s="21">
        <v>0</v>
      </c>
      <c r="CV11" s="21">
        <v>0</v>
      </c>
      <c r="CW11" s="21">
        <v>0</v>
      </c>
      <c r="CX11" s="21">
        <v>0</v>
      </c>
      <c r="CY11" s="21">
        <v>0</v>
      </c>
      <c r="CZ11" s="21">
        <v>0</v>
      </c>
      <c r="DA11" s="21">
        <v>0</v>
      </c>
      <c r="DB11" s="21">
        <v>0</v>
      </c>
      <c r="DC11" s="21">
        <v>0</v>
      </c>
      <c r="DD11" s="21">
        <v>0</v>
      </c>
      <c r="DE11" s="21">
        <v>0</v>
      </c>
      <c r="DF11" s="21">
        <v>0</v>
      </c>
      <c r="DG11" s="21">
        <v>0</v>
      </c>
      <c r="DH11" s="74"/>
      <c r="DJ11" s="67"/>
      <c r="DL11" s="67"/>
    </row>
    <row r="12" spans="1:116">
      <c r="A12" s="19" t="s">
        <v>156</v>
      </c>
      <c r="B12" s="19" t="s">
        <v>160</v>
      </c>
      <c r="C12" s="19" t="s">
        <v>158</v>
      </c>
      <c r="D12" s="20">
        <f t="shared" si="0"/>
        <v>8</v>
      </c>
      <c r="E12" s="21">
        <v>0</v>
      </c>
      <c r="F12" s="21">
        <v>0</v>
      </c>
      <c r="G12" s="21">
        <v>3</v>
      </c>
      <c r="H12" s="21">
        <v>0</v>
      </c>
      <c r="I12" s="21">
        <v>5</v>
      </c>
      <c r="J12" s="21">
        <v>0</v>
      </c>
      <c r="K12" s="21">
        <v>0</v>
      </c>
      <c r="L12" s="21">
        <v>0</v>
      </c>
      <c r="M12" s="21">
        <v>0</v>
      </c>
      <c r="N12" s="21">
        <v>0</v>
      </c>
      <c r="O12" s="21">
        <v>0</v>
      </c>
      <c r="P12" s="21">
        <v>0</v>
      </c>
      <c r="Q12" s="21">
        <v>0</v>
      </c>
      <c r="R12" s="21">
        <v>0</v>
      </c>
      <c r="S12" s="21">
        <v>0</v>
      </c>
      <c r="T12" s="21">
        <v>0</v>
      </c>
      <c r="U12" s="21">
        <v>0</v>
      </c>
      <c r="V12" s="21">
        <v>0</v>
      </c>
      <c r="W12" s="21">
        <v>0</v>
      </c>
      <c r="X12" s="21">
        <v>0</v>
      </c>
      <c r="Y12" s="21">
        <v>0</v>
      </c>
      <c r="Z12" s="21">
        <v>0</v>
      </c>
      <c r="AA12" s="21">
        <v>0</v>
      </c>
      <c r="AB12" s="21">
        <v>0</v>
      </c>
      <c r="AC12" s="21">
        <v>0</v>
      </c>
      <c r="AD12" s="21">
        <v>0</v>
      </c>
      <c r="AE12" s="21">
        <v>0</v>
      </c>
      <c r="AF12" s="21">
        <v>0</v>
      </c>
      <c r="AG12" s="21">
        <v>0</v>
      </c>
      <c r="AH12" s="21">
        <v>0</v>
      </c>
      <c r="AI12" s="21">
        <v>0</v>
      </c>
      <c r="AJ12" s="21">
        <v>0</v>
      </c>
      <c r="AK12" s="21">
        <v>0</v>
      </c>
      <c r="AL12" s="21">
        <v>0</v>
      </c>
      <c r="AM12" s="21">
        <v>0</v>
      </c>
      <c r="AN12" s="21">
        <v>0</v>
      </c>
      <c r="AO12" s="21">
        <v>0</v>
      </c>
      <c r="AP12" s="21">
        <v>0</v>
      </c>
      <c r="AQ12" s="21">
        <v>0</v>
      </c>
      <c r="AR12" s="21">
        <v>0</v>
      </c>
      <c r="AS12" s="21">
        <v>0</v>
      </c>
      <c r="AT12" s="21">
        <v>0</v>
      </c>
      <c r="AU12" s="21">
        <v>0</v>
      </c>
      <c r="AV12" s="21">
        <v>0</v>
      </c>
      <c r="AW12" s="21">
        <v>0</v>
      </c>
      <c r="AX12" s="21">
        <v>0</v>
      </c>
      <c r="AY12" s="21">
        <v>0</v>
      </c>
      <c r="AZ12" s="21">
        <v>0</v>
      </c>
      <c r="BA12" s="21">
        <v>0</v>
      </c>
      <c r="BB12" s="21">
        <v>0</v>
      </c>
      <c r="BC12" s="21">
        <v>0</v>
      </c>
      <c r="BD12" s="21">
        <v>0</v>
      </c>
      <c r="BE12" s="21">
        <v>0</v>
      </c>
      <c r="BF12" s="21">
        <v>0</v>
      </c>
      <c r="BG12" s="21">
        <v>0</v>
      </c>
      <c r="BH12" s="21">
        <v>0</v>
      </c>
      <c r="BI12" s="21">
        <v>0</v>
      </c>
      <c r="BJ12" s="21">
        <v>0</v>
      </c>
      <c r="BK12" s="21">
        <v>0</v>
      </c>
      <c r="BL12" s="21">
        <v>0</v>
      </c>
      <c r="BM12" s="21">
        <v>0</v>
      </c>
      <c r="BN12" s="21">
        <v>0</v>
      </c>
      <c r="BO12" s="21">
        <v>0</v>
      </c>
      <c r="BP12" s="21">
        <v>0</v>
      </c>
      <c r="BQ12" s="21">
        <v>0</v>
      </c>
      <c r="BR12" s="21">
        <v>0</v>
      </c>
      <c r="BS12" s="21">
        <v>0</v>
      </c>
      <c r="BT12" s="21">
        <v>0</v>
      </c>
      <c r="BU12" s="21">
        <v>0</v>
      </c>
      <c r="BV12" s="21">
        <v>0</v>
      </c>
      <c r="BW12" s="21">
        <v>0</v>
      </c>
      <c r="BX12" s="21">
        <v>0</v>
      </c>
      <c r="BY12" s="21">
        <v>0</v>
      </c>
      <c r="BZ12" s="21">
        <v>0</v>
      </c>
      <c r="CA12" s="21">
        <v>0</v>
      </c>
      <c r="CB12" s="21">
        <v>0</v>
      </c>
      <c r="CC12" s="21">
        <v>0</v>
      </c>
      <c r="CD12" s="21">
        <v>0</v>
      </c>
      <c r="CE12" s="21">
        <v>0</v>
      </c>
      <c r="CF12" s="21">
        <v>0</v>
      </c>
      <c r="CG12" s="21">
        <v>0</v>
      </c>
      <c r="CH12" s="21">
        <v>0</v>
      </c>
      <c r="CI12" s="21">
        <v>0</v>
      </c>
      <c r="CJ12" s="21">
        <v>0</v>
      </c>
      <c r="CK12" s="21">
        <v>0</v>
      </c>
      <c r="CL12" s="21">
        <v>0</v>
      </c>
      <c r="CM12" s="21">
        <v>0</v>
      </c>
      <c r="CN12" s="21">
        <v>0</v>
      </c>
      <c r="CO12" s="21">
        <v>0</v>
      </c>
      <c r="CP12" s="21">
        <v>0</v>
      </c>
      <c r="CQ12" s="21">
        <v>0</v>
      </c>
      <c r="CR12" s="21">
        <v>0</v>
      </c>
      <c r="CS12" s="21">
        <v>0</v>
      </c>
      <c r="CT12" s="21">
        <v>0</v>
      </c>
      <c r="CU12" s="21">
        <v>0</v>
      </c>
      <c r="CV12" s="21">
        <v>0</v>
      </c>
      <c r="CW12" s="21">
        <v>0</v>
      </c>
      <c r="CX12" s="21">
        <v>0</v>
      </c>
      <c r="CY12" s="21">
        <v>0</v>
      </c>
      <c r="CZ12" s="21">
        <v>0</v>
      </c>
      <c r="DA12" s="21">
        <v>0</v>
      </c>
      <c r="DB12" s="21">
        <v>0</v>
      </c>
      <c r="DC12" s="21">
        <v>0</v>
      </c>
      <c r="DD12" s="21">
        <v>0</v>
      </c>
      <c r="DE12" s="21">
        <v>0</v>
      </c>
      <c r="DF12" s="21">
        <v>0</v>
      </c>
      <c r="DG12" s="21">
        <v>0</v>
      </c>
      <c r="DH12" s="74"/>
      <c r="DJ12" s="67"/>
      <c r="DL12" s="67"/>
    </row>
    <row r="13" spans="1:116">
      <c r="A13" s="19" t="s">
        <v>156</v>
      </c>
      <c r="B13" s="19" t="s">
        <v>161</v>
      </c>
      <c r="C13" s="19" t="s">
        <v>158</v>
      </c>
      <c r="D13" s="20">
        <f t="shared" si="0"/>
        <v>5</v>
      </c>
      <c r="E13" s="21">
        <v>0</v>
      </c>
      <c r="F13" s="21">
        <v>3</v>
      </c>
      <c r="G13" s="21">
        <v>0</v>
      </c>
      <c r="H13" s="21">
        <v>0</v>
      </c>
      <c r="I13" s="21">
        <v>0</v>
      </c>
      <c r="J13" s="21">
        <v>0</v>
      </c>
      <c r="K13" s="21">
        <v>0</v>
      </c>
      <c r="L13" s="21">
        <v>0</v>
      </c>
      <c r="M13" s="21">
        <v>0</v>
      </c>
      <c r="N13" s="21">
        <v>0</v>
      </c>
      <c r="O13" s="21">
        <v>0</v>
      </c>
      <c r="P13" s="21">
        <v>0</v>
      </c>
      <c r="Q13" s="21">
        <v>0</v>
      </c>
      <c r="R13" s="21">
        <v>0</v>
      </c>
      <c r="S13" s="21">
        <v>0</v>
      </c>
      <c r="T13" s="21">
        <v>0</v>
      </c>
      <c r="U13" s="21">
        <v>0</v>
      </c>
      <c r="V13" s="21">
        <v>0</v>
      </c>
      <c r="W13" s="21">
        <v>0</v>
      </c>
      <c r="X13" s="21">
        <v>0</v>
      </c>
      <c r="Y13" s="21">
        <v>0</v>
      </c>
      <c r="Z13" s="21">
        <v>0</v>
      </c>
      <c r="AA13" s="21">
        <v>0</v>
      </c>
      <c r="AB13" s="21">
        <v>0</v>
      </c>
      <c r="AC13" s="21">
        <v>0</v>
      </c>
      <c r="AD13" s="21">
        <v>0</v>
      </c>
      <c r="AE13" s="21">
        <v>0</v>
      </c>
      <c r="AF13" s="21">
        <v>0</v>
      </c>
      <c r="AG13" s="21">
        <v>0</v>
      </c>
      <c r="AH13" s="21">
        <v>0</v>
      </c>
      <c r="AI13" s="21">
        <v>0</v>
      </c>
      <c r="AJ13" s="21">
        <v>0</v>
      </c>
      <c r="AK13" s="21">
        <v>0</v>
      </c>
      <c r="AL13" s="21">
        <v>0</v>
      </c>
      <c r="AM13" s="21">
        <v>0</v>
      </c>
      <c r="AN13" s="21">
        <v>0</v>
      </c>
      <c r="AO13" s="21">
        <v>0</v>
      </c>
      <c r="AP13" s="21">
        <v>0</v>
      </c>
      <c r="AQ13" s="21">
        <v>0</v>
      </c>
      <c r="AR13" s="21">
        <v>0</v>
      </c>
      <c r="AS13" s="21">
        <v>0</v>
      </c>
      <c r="AT13" s="21">
        <v>0</v>
      </c>
      <c r="AU13" s="21">
        <v>0</v>
      </c>
      <c r="AV13" s="21">
        <v>0</v>
      </c>
      <c r="AW13" s="21">
        <v>0</v>
      </c>
      <c r="AX13" s="21">
        <v>0</v>
      </c>
      <c r="AY13" s="21">
        <v>0</v>
      </c>
      <c r="AZ13" s="21">
        <v>0</v>
      </c>
      <c r="BA13" s="21">
        <v>0</v>
      </c>
      <c r="BB13" s="21">
        <v>0</v>
      </c>
      <c r="BC13" s="21">
        <v>0</v>
      </c>
      <c r="BD13" s="21">
        <v>0</v>
      </c>
      <c r="BE13" s="21">
        <v>0</v>
      </c>
      <c r="BF13" s="21">
        <v>0</v>
      </c>
      <c r="BG13" s="21">
        <v>0</v>
      </c>
      <c r="BH13" s="21">
        <v>0</v>
      </c>
      <c r="BI13" s="21">
        <v>0</v>
      </c>
      <c r="BJ13" s="21">
        <v>0</v>
      </c>
      <c r="BK13" s="21">
        <v>0</v>
      </c>
      <c r="BL13" s="21">
        <v>0</v>
      </c>
      <c r="BM13" s="21">
        <v>0</v>
      </c>
      <c r="BN13" s="21">
        <v>0</v>
      </c>
      <c r="BO13" s="21">
        <v>0</v>
      </c>
      <c r="BP13" s="21">
        <v>0</v>
      </c>
      <c r="BQ13" s="21">
        <v>0</v>
      </c>
      <c r="BR13" s="21">
        <v>0</v>
      </c>
      <c r="BS13" s="21">
        <v>0</v>
      </c>
      <c r="BT13" s="21">
        <v>0</v>
      </c>
      <c r="BU13" s="21">
        <v>0</v>
      </c>
      <c r="BV13" s="21">
        <v>0</v>
      </c>
      <c r="BW13" s="21">
        <v>0</v>
      </c>
      <c r="BX13" s="21">
        <v>0</v>
      </c>
      <c r="BY13" s="21">
        <v>0</v>
      </c>
      <c r="BZ13" s="21">
        <v>0</v>
      </c>
      <c r="CA13" s="21">
        <v>0</v>
      </c>
      <c r="CB13" s="21">
        <v>0</v>
      </c>
      <c r="CC13" s="21">
        <v>0</v>
      </c>
      <c r="CD13" s="21">
        <v>0</v>
      </c>
      <c r="CE13" s="21">
        <v>0</v>
      </c>
      <c r="CF13" s="21">
        <v>0</v>
      </c>
      <c r="CG13" s="21">
        <v>0</v>
      </c>
      <c r="CH13" s="21">
        <v>0</v>
      </c>
      <c r="CI13" s="21">
        <v>0</v>
      </c>
      <c r="CJ13" s="21">
        <v>0</v>
      </c>
      <c r="CK13" s="21">
        <v>0</v>
      </c>
      <c r="CL13" s="21">
        <v>0</v>
      </c>
      <c r="CM13" s="21">
        <v>0</v>
      </c>
      <c r="CN13" s="21">
        <v>0</v>
      </c>
      <c r="CO13" s="21">
        <v>0</v>
      </c>
      <c r="CP13" s="21">
        <v>0</v>
      </c>
      <c r="CQ13" s="21">
        <v>0</v>
      </c>
      <c r="CR13" s="21">
        <v>0</v>
      </c>
      <c r="CS13" s="21">
        <v>0</v>
      </c>
      <c r="CT13" s="21">
        <v>0</v>
      </c>
      <c r="CU13" s="21">
        <v>0</v>
      </c>
      <c r="CV13" s="21">
        <v>0</v>
      </c>
      <c r="CW13" s="21">
        <v>0</v>
      </c>
      <c r="CX13" s="21">
        <v>0</v>
      </c>
      <c r="CY13" s="21">
        <v>0</v>
      </c>
      <c r="CZ13" s="21">
        <v>0</v>
      </c>
      <c r="DA13" s="21">
        <v>0</v>
      </c>
      <c r="DB13" s="21">
        <v>0</v>
      </c>
      <c r="DC13" s="21">
        <v>0</v>
      </c>
      <c r="DD13" s="21">
        <v>0</v>
      </c>
      <c r="DE13" s="21">
        <v>0</v>
      </c>
      <c r="DF13" s="21">
        <v>0</v>
      </c>
      <c r="DG13" s="21">
        <v>2</v>
      </c>
      <c r="DH13" s="74"/>
      <c r="DJ13" s="67"/>
      <c r="DL13" s="67"/>
    </row>
    <row r="14" spans="1:116">
      <c r="A14" s="19" t="s">
        <v>162</v>
      </c>
      <c r="B14" s="19" t="s">
        <v>163</v>
      </c>
      <c r="C14" s="19" t="s">
        <v>164</v>
      </c>
      <c r="D14" s="20">
        <f t="shared" si="0"/>
        <v>0</v>
      </c>
      <c r="E14" s="21">
        <v>0</v>
      </c>
      <c r="F14" s="21">
        <v>0</v>
      </c>
      <c r="G14" s="21">
        <v>0</v>
      </c>
      <c r="H14" s="21">
        <v>0</v>
      </c>
      <c r="I14" s="21">
        <v>0</v>
      </c>
      <c r="J14" s="21">
        <v>0</v>
      </c>
      <c r="K14" s="21">
        <v>0</v>
      </c>
      <c r="L14" s="21">
        <v>0</v>
      </c>
      <c r="M14" s="21">
        <v>0</v>
      </c>
      <c r="N14" s="21">
        <v>0</v>
      </c>
      <c r="O14" s="21">
        <v>0</v>
      </c>
      <c r="P14" s="21">
        <v>0</v>
      </c>
      <c r="Q14" s="21">
        <v>0</v>
      </c>
      <c r="R14" s="21">
        <v>0</v>
      </c>
      <c r="S14" s="21">
        <v>0</v>
      </c>
      <c r="T14" s="21">
        <v>0</v>
      </c>
      <c r="U14" s="21">
        <v>0</v>
      </c>
      <c r="V14" s="21">
        <v>0</v>
      </c>
      <c r="W14" s="21">
        <v>0</v>
      </c>
      <c r="X14" s="21">
        <v>0</v>
      </c>
      <c r="Y14" s="21">
        <v>0</v>
      </c>
      <c r="Z14" s="21">
        <v>0</v>
      </c>
      <c r="AA14" s="21">
        <v>0</v>
      </c>
      <c r="AB14" s="21">
        <v>0</v>
      </c>
      <c r="AC14" s="21">
        <v>0</v>
      </c>
      <c r="AD14" s="21">
        <v>0</v>
      </c>
      <c r="AE14" s="21">
        <v>0</v>
      </c>
      <c r="AF14" s="21">
        <v>0</v>
      </c>
      <c r="AG14" s="21">
        <v>0</v>
      </c>
      <c r="AH14" s="21">
        <v>0</v>
      </c>
      <c r="AI14" s="21">
        <v>0</v>
      </c>
      <c r="AJ14" s="21">
        <v>0</v>
      </c>
      <c r="AK14" s="21">
        <v>0</v>
      </c>
      <c r="AL14" s="21">
        <v>0</v>
      </c>
      <c r="AM14" s="21">
        <v>0</v>
      </c>
      <c r="AN14" s="21">
        <v>0</v>
      </c>
      <c r="AO14" s="21">
        <v>0</v>
      </c>
      <c r="AP14" s="21">
        <v>0</v>
      </c>
      <c r="AQ14" s="21">
        <v>0</v>
      </c>
      <c r="AR14" s="21">
        <v>0</v>
      </c>
      <c r="AS14" s="21">
        <v>0</v>
      </c>
      <c r="AT14" s="21">
        <v>0</v>
      </c>
      <c r="AU14" s="21">
        <v>0</v>
      </c>
      <c r="AV14" s="21">
        <v>0</v>
      </c>
      <c r="AW14" s="21">
        <v>0</v>
      </c>
      <c r="AX14" s="21">
        <v>0</v>
      </c>
      <c r="AY14" s="21">
        <v>0</v>
      </c>
      <c r="AZ14" s="21">
        <v>0</v>
      </c>
      <c r="BA14" s="21">
        <v>0</v>
      </c>
      <c r="BB14" s="21">
        <v>0</v>
      </c>
      <c r="BC14" s="21">
        <v>0</v>
      </c>
      <c r="BD14" s="21">
        <v>0</v>
      </c>
      <c r="BE14" s="21">
        <v>0</v>
      </c>
      <c r="BF14" s="21">
        <v>0</v>
      </c>
      <c r="BG14" s="21">
        <v>0</v>
      </c>
      <c r="BH14" s="21">
        <v>0</v>
      </c>
      <c r="BI14" s="21">
        <v>0</v>
      </c>
      <c r="BJ14" s="21">
        <v>0</v>
      </c>
      <c r="BK14" s="21">
        <v>0</v>
      </c>
      <c r="BL14" s="21">
        <v>0</v>
      </c>
      <c r="BM14" s="21">
        <v>0</v>
      </c>
      <c r="BN14" s="21">
        <v>0</v>
      </c>
      <c r="BO14" s="21">
        <v>0</v>
      </c>
      <c r="BP14" s="21">
        <v>0</v>
      </c>
      <c r="BQ14" s="21">
        <v>0</v>
      </c>
      <c r="BR14" s="21">
        <v>0</v>
      </c>
      <c r="BS14" s="21">
        <v>0</v>
      </c>
      <c r="BT14" s="21">
        <v>0</v>
      </c>
      <c r="BU14" s="21">
        <v>0</v>
      </c>
      <c r="BV14" s="21">
        <v>0</v>
      </c>
      <c r="BW14" s="21">
        <v>0</v>
      </c>
      <c r="BX14" s="21">
        <v>0</v>
      </c>
      <c r="BY14" s="21">
        <v>0</v>
      </c>
      <c r="BZ14" s="21">
        <v>0</v>
      </c>
      <c r="CA14" s="21">
        <v>0</v>
      </c>
      <c r="CB14" s="21">
        <v>0</v>
      </c>
      <c r="CC14" s="21">
        <v>0</v>
      </c>
      <c r="CD14" s="21">
        <v>0</v>
      </c>
      <c r="CE14" s="21">
        <v>0</v>
      </c>
      <c r="CF14" s="21">
        <v>0</v>
      </c>
      <c r="CG14" s="21">
        <v>0</v>
      </c>
      <c r="CH14" s="21">
        <v>0</v>
      </c>
      <c r="CI14" s="21">
        <v>0</v>
      </c>
      <c r="CJ14" s="21">
        <v>0</v>
      </c>
      <c r="CK14" s="21">
        <v>0</v>
      </c>
      <c r="CL14" s="21">
        <v>0</v>
      </c>
      <c r="CM14" s="21">
        <v>0</v>
      </c>
      <c r="CN14" s="21">
        <v>0</v>
      </c>
      <c r="CO14" s="21">
        <v>0</v>
      </c>
      <c r="CP14" s="21">
        <v>0</v>
      </c>
      <c r="CQ14" s="21">
        <v>0</v>
      </c>
      <c r="CR14" s="21">
        <v>0</v>
      </c>
      <c r="CS14" s="21">
        <v>0</v>
      </c>
      <c r="CT14" s="21">
        <v>0</v>
      </c>
      <c r="CU14" s="21">
        <v>0</v>
      </c>
      <c r="CV14" s="21">
        <v>0</v>
      </c>
      <c r="CW14" s="21">
        <v>0</v>
      </c>
      <c r="CX14" s="21">
        <v>0</v>
      </c>
      <c r="CY14" s="21">
        <v>0</v>
      </c>
      <c r="CZ14" s="21">
        <v>0</v>
      </c>
      <c r="DA14" s="21">
        <v>0</v>
      </c>
      <c r="DB14" s="21">
        <v>0</v>
      </c>
      <c r="DC14" s="21">
        <v>0</v>
      </c>
      <c r="DD14" s="21">
        <v>0</v>
      </c>
      <c r="DE14" s="21">
        <v>0</v>
      </c>
      <c r="DF14" s="21">
        <v>0</v>
      </c>
      <c r="DG14" s="21">
        <v>0</v>
      </c>
      <c r="DH14" s="74"/>
      <c r="DJ14" s="67"/>
      <c r="DL14" s="67"/>
    </row>
    <row r="15" spans="1:116">
      <c r="A15" s="19" t="s">
        <v>165</v>
      </c>
      <c r="B15" s="19" t="s">
        <v>166</v>
      </c>
      <c r="C15" s="19" t="s">
        <v>167</v>
      </c>
      <c r="D15" s="20">
        <f t="shared" si="0"/>
        <v>8</v>
      </c>
      <c r="E15" s="21">
        <v>1</v>
      </c>
      <c r="F15" s="21">
        <v>3</v>
      </c>
      <c r="G15" s="21">
        <v>1</v>
      </c>
      <c r="H15" s="21">
        <v>0</v>
      </c>
      <c r="I15" s="21">
        <v>1</v>
      </c>
      <c r="J15" s="21">
        <v>0</v>
      </c>
      <c r="K15" s="21">
        <v>0</v>
      </c>
      <c r="L15" s="21">
        <v>0</v>
      </c>
      <c r="M15" s="21">
        <v>0</v>
      </c>
      <c r="N15" s="21">
        <v>0</v>
      </c>
      <c r="O15" s="21">
        <v>0</v>
      </c>
      <c r="P15" s="21">
        <v>0</v>
      </c>
      <c r="Q15" s="21">
        <v>0</v>
      </c>
      <c r="R15" s="21">
        <v>0</v>
      </c>
      <c r="S15" s="21">
        <v>0</v>
      </c>
      <c r="T15" s="21">
        <v>0</v>
      </c>
      <c r="U15" s="21">
        <v>0</v>
      </c>
      <c r="V15" s="21">
        <v>0</v>
      </c>
      <c r="W15" s="21">
        <v>0</v>
      </c>
      <c r="X15" s="21">
        <v>0</v>
      </c>
      <c r="Y15" s="21">
        <v>0</v>
      </c>
      <c r="Z15" s="21">
        <v>0</v>
      </c>
      <c r="AA15" s="21">
        <v>0</v>
      </c>
      <c r="AB15" s="21">
        <v>0</v>
      </c>
      <c r="AC15" s="21">
        <v>0</v>
      </c>
      <c r="AD15" s="21">
        <v>0</v>
      </c>
      <c r="AE15" s="21">
        <v>0</v>
      </c>
      <c r="AF15" s="21">
        <v>0</v>
      </c>
      <c r="AG15" s="21">
        <v>0</v>
      </c>
      <c r="AH15" s="21">
        <v>0</v>
      </c>
      <c r="AI15" s="21">
        <v>0</v>
      </c>
      <c r="AJ15" s="21">
        <v>0</v>
      </c>
      <c r="AK15" s="21">
        <v>0</v>
      </c>
      <c r="AL15" s="21">
        <v>0</v>
      </c>
      <c r="AM15" s="21">
        <v>0</v>
      </c>
      <c r="AN15" s="21">
        <v>0</v>
      </c>
      <c r="AO15" s="21">
        <v>0</v>
      </c>
      <c r="AP15" s="21">
        <v>0</v>
      </c>
      <c r="AQ15" s="21">
        <v>0</v>
      </c>
      <c r="AR15" s="21">
        <v>0</v>
      </c>
      <c r="AS15" s="21">
        <v>0</v>
      </c>
      <c r="AT15" s="21">
        <v>0</v>
      </c>
      <c r="AU15" s="21">
        <v>0</v>
      </c>
      <c r="AV15" s="21">
        <v>0</v>
      </c>
      <c r="AW15" s="21">
        <v>0</v>
      </c>
      <c r="AX15" s="21">
        <v>0</v>
      </c>
      <c r="AY15" s="21">
        <v>0</v>
      </c>
      <c r="AZ15" s="21">
        <v>0</v>
      </c>
      <c r="BA15" s="21">
        <v>0</v>
      </c>
      <c r="BB15" s="21">
        <v>0</v>
      </c>
      <c r="BC15" s="21">
        <v>0</v>
      </c>
      <c r="BD15" s="21">
        <v>0</v>
      </c>
      <c r="BE15" s="21">
        <v>0</v>
      </c>
      <c r="BF15" s="21">
        <v>0</v>
      </c>
      <c r="BG15" s="21">
        <v>0</v>
      </c>
      <c r="BH15" s="21">
        <v>0</v>
      </c>
      <c r="BI15" s="21">
        <v>0</v>
      </c>
      <c r="BJ15" s="21">
        <v>0</v>
      </c>
      <c r="BK15" s="21">
        <v>0</v>
      </c>
      <c r="BL15" s="21">
        <v>0</v>
      </c>
      <c r="BM15" s="21">
        <v>0</v>
      </c>
      <c r="BN15" s="21">
        <v>0</v>
      </c>
      <c r="BO15" s="21">
        <v>0</v>
      </c>
      <c r="BP15" s="21">
        <v>0</v>
      </c>
      <c r="BQ15" s="21">
        <v>0</v>
      </c>
      <c r="BR15" s="21">
        <v>0</v>
      </c>
      <c r="BS15" s="21">
        <v>0</v>
      </c>
      <c r="BT15" s="21">
        <v>0</v>
      </c>
      <c r="BU15" s="21">
        <v>0</v>
      </c>
      <c r="BV15" s="21">
        <v>0</v>
      </c>
      <c r="BW15" s="21">
        <v>0</v>
      </c>
      <c r="BX15" s="21">
        <v>0</v>
      </c>
      <c r="BY15" s="21">
        <v>0</v>
      </c>
      <c r="BZ15" s="21">
        <v>0</v>
      </c>
      <c r="CA15" s="21">
        <v>0</v>
      </c>
      <c r="CB15" s="21">
        <v>0</v>
      </c>
      <c r="CC15" s="21">
        <v>0</v>
      </c>
      <c r="CD15" s="21">
        <v>0</v>
      </c>
      <c r="CE15" s="21">
        <v>0</v>
      </c>
      <c r="CF15" s="21">
        <v>0</v>
      </c>
      <c r="CG15" s="21">
        <v>0</v>
      </c>
      <c r="CH15" s="21">
        <v>0</v>
      </c>
      <c r="CI15" s="21">
        <v>0</v>
      </c>
      <c r="CJ15" s="21">
        <v>0</v>
      </c>
      <c r="CK15" s="21">
        <v>1</v>
      </c>
      <c r="CL15" s="21">
        <v>0</v>
      </c>
      <c r="CM15" s="21">
        <v>0</v>
      </c>
      <c r="CN15" s="21">
        <v>0</v>
      </c>
      <c r="CO15" s="21">
        <v>0</v>
      </c>
      <c r="CP15" s="21">
        <v>0</v>
      </c>
      <c r="CQ15" s="21">
        <v>0</v>
      </c>
      <c r="CR15" s="21">
        <v>0</v>
      </c>
      <c r="CS15" s="21">
        <v>0</v>
      </c>
      <c r="CT15" s="21">
        <v>0</v>
      </c>
      <c r="CU15" s="21">
        <v>0</v>
      </c>
      <c r="CV15" s="21">
        <v>0</v>
      </c>
      <c r="CW15" s="21">
        <v>0</v>
      </c>
      <c r="CX15" s="21">
        <v>0</v>
      </c>
      <c r="CY15" s="21">
        <v>0</v>
      </c>
      <c r="CZ15" s="21">
        <v>0</v>
      </c>
      <c r="DA15" s="21">
        <v>0</v>
      </c>
      <c r="DB15" s="21">
        <v>0</v>
      </c>
      <c r="DC15" s="21">
        <v>0</v>
      </c>
      <c r="DD15" s="21">
        <v>1</v>
      </c>
      <c r="DE15" s="21">
        <v>0</v>
      </c>
      <c r="DF15" s="21">
        <v>0</v>
      </c>
      <c r="DG15" s="21">
        <v>0</v>
      </c>
      <c r="DH15" s="74"/>
      <c r="DJ15" s="67"/>
      <c r="DL15" s="67"/>
    </row>
    <row r="16" spans="1:116">
      <c r="A16" s="19" t="s">
        <v>168</v>
      </c>
      <c r="B16" s="19" t="s">
        <v>169</v>
      </c>
      <c r="C16" s="19" t="s">
        <v>170</v>
      </c>
      <c r="D16" s="20">
        <f t="shared" si="0"/>
        <v>21</v>
      </c>
      <c r="E16" s="21">
        <v>15</v>
      </c>
      <c r="F16" s="21">
        <v>1</v>
      </c>
      <c r="G16" s="21">
        <v>0</v>
      </c>
      <c r="H16" s="21">
        <v>0</v>
      </c>
      <c r="I16" s="21">
        <v>0</v>
      </c>
      <c r="J16" s="21">
        <v>0</v>
      </c>
      <c r="K16" s="21">
        <v>0</v>
      </c>
      <c r="L16" s="21">
        <v>0</v>
      </c>
      <c r="M16" s="21">
        <v>0</v>
      </c>
      <c r="N16" s="21">
        <v>0</v>
      </c>
      <c r="O16" s="21">
        <v>0</v>
      </c>
      <c r="P16" s="21">
        <v>0</v>
      </c>
      <c r="Q16" s="21">
        <v>0</v>
      </c>
      <c r="R16" s="21">
        <v>0</v>
      </c>
      <c r="S16" s="21">
        <v>0</v>
      </c>
      <c r="T16" s="21">
        <v>0</v>
      </c>
      <c r="U16" s="21">
        <v>0</v>
      </c>
      <c r="V16" s="21">
        <v>0</v>
      </c>
      <c r="W16" s="21">
        <v>1</v>
      </c>
      <c r="X16" s="21">
        <v>0</v>
      </c>
      <c r="Y16" s="21">
        <v>0</v>
      </c>
      <c r="Z16" s="21">
        <v>0</v>
      </c>
      <c r="AA16" s="21">
        <v>1</v>
      </c>
      <c r="AB16" s="21">
        <v>0</v>
      </c>
      <c r="AC16" s="21">
        <v>0</v>
      </c>
      <c r="AD16" s="21">
        <v>0</v>
      </c>
      <c r="AE16" s="21">
        <v>0</v>
      </c>
      <c r="AF16" s="21">
        <v>0</v>
      </c>
      <c r="AG16" s="21">
        <v>0</v>
      </c>
      <c r="AH16" s="21">
        <v>0</v>
      </c>
      <c r="AI16" s="21">
        <v>0</v>
      </c>
      <c r="AJ16" s="21">
        <v>0</v>
      </c>
      <c r="AK16" s="21">
        <v>0</v>
      </c>
      <c r="AL16" s="21">
        <v>0</v>
      </c>
      <c r="AM16" s="21">
        <v>1</v>
      </c>
      <c r="AN16" s="21">
        <v>0</v>
      </c>
      <c r="AO16" s="21">
        <v>0</v>
      </c>
      <c r="AP16" s="21">
        <v>0</v>
      </c>
      <c r="AQ16" s="21">
        <v>0</v>
      </c>
      <c r="AR16" s="21">
        <v>0</v>
      </c>
      <c r="AS16" s="21">
        <v>0</v>
      </c>
      <c r="AT16" s="21">
        <v>0</v>
      </c>
      <c r="AU16" s="21">
        <v>0</v>
      </c>
      <c r="AV16" s="21">
        <v>0</v>
      </c>
      <c r="AW16" s="21">
        <v>0</v>
      </c>
      <c r="AX16" s="21">
        <v>0</v>
      </c>
      <c r="AY16" s="21">
        <v>0</v>
      </c>
      <c r="AZ16" s="21">
        <v>0</v>
      </c>
      <c r="BA16" s="21">
        <v>0</v>
      </c>
      <c r="BB16" s="21">
        <v>0</v>
      </c>
      <c r="BC16" s="21">
        <v>0</v>
      </c>
      <c r="BD16" s="21">
        <v>0</v>
      </c>
      <c r="BE16" s="21">
        <v>0</v>
      </c>
      <c r="BF16" s="21">
        <v>1</v>
      </c>
      <c r="BG16" s="21">
        <v>0</v>
      </c>
      <c r="BH16" s="21">
        <v>0</v>
      </c>
      <c r="BI16" s="21">
        <v>0</v>
      </c>
      <c r="BJ16" s="21">
        <v>0</v>
      </c>
      <c r="BK16" s="21">
        <v>1</v>
      </c>
      <c r="BL16" s="21">
        <v>0</v>
      </c>
      <c r="BM16" s="21">
        <v>0</v>
      </c>
      <c r="BN16" s="21">
        <v>0</v>
      </c>
      <c r="BO16" s="21">
        <v>0</v>
      </c>
      <c r="BP16" s="21">
        <v>0</v>
      </c>
      <c r="BQ16" s="21">
        <v>0</v>
      </c>
      <c r="BR16" s="21">
        <v>0</v>
      </c>
      <c r="BS16" s="21">
        <v>0</v>
      </c>
      <c r="BT16" s="21">
        <v>0</v>
      </c>
      <c r="BU16" s="21">
        <v>0</v>
      </c>
      <c r="BV16" s="21">
        <v>0</v>
      </c>
      <c r="BW16" s="21">
        <v>0</v>
      </c>
      <c r="BX16" s="21">
        <v>0</v>
      </c>
      <c r="BY16" s="21">
        <v>0</v>
      </c>
      <c r="BZ16" s="21">
        <v>0</v>
      </c>
      <c r="CA16" s="21">
        <v>0</v>
      </c>
      <c r="CB16" s="21">
        <v>0</v>
      </c>
      <c r="CC16" s="21">
        <v>0</v>
      </c>
      <c r="CD16" s="21">
        <v>0</v>
      </c>
      <c r="CE16" s="21">
        <v>0</v>
      </c>
      <c r="CF16" s="21">
        <v>0</v>
      </c>
      <c r="CG16" s="21">
        <v>0</v>
      </c>
      <c r="CH16" s="21">
        <v>0</v>
      </c>
      <c r="CI16" s="21">
        <v>0</v>
      </c>
      <c r="CJ16" s="21">
        <v>0</v>
      </c>
      <c r="CK16" s="21">
        <v>0</v>
      </c>
      <c r="CL16" s="21">
        <v>0</v>
      </c>
      <c r="CM16" s="21">
        <v>0</v>
      </c>
      <c r="CN16" s="21">
        <v>0</v>
      </c>
      <c r="CO16" s="21">
        <v>0</v>
      </c>
      <c r="CP16" s="21">
        <v>0</v>
      </c>
      <c r="CQ16" s="21">
        <v>0</v>
      </c>
      <c r="CR16" s="21">
        <v>0</v>
      </c>
      <c r="CS16" s="21">
        <v>0</v>
      </c>
      <c r="CT16" s="21">
        <v>0</v>
      </c>
      <c r="CU16" s="21">
        <v>0</v>
      </c>
      <c r="CV16" s="21">
        <v>0</v>
      </c>
      <c r="CW16" s="21">
        <v>0</v>
      </c>
      <c r="CX16" s="21">
        <v>0</v>
      </c>
      <c r="CY16" s="21">
        <v>0</v>
      </c>
      <c r="CZ16" s="21">
        <v>0</v>
      </c>
      <c r="DA16" s="21">
        <v>0</v>
      </c>
      <c r="DB16" s="21">
        <v>0</v>
      </c>
      <c r="DC16" s="21">
        <v>0</v>
      </c>
      <c r="DD16" s="21">
        <v>0</v>
      </c>
      <c r="DE16" s="21">
        <v>0</v>
      </c>
      <c r="DF16" s="21">
        <v>0</v>
      </c>
      <c r="DG16" s="21">
        <v>0</v>
      </c>
      <c r="DH16" s="74"/>
      <c r="DJ16" s="67"/>
      <c r="DL16" s="67"/>
    </row>
    <row r="17" spans="1:117">
      <c r="A17" s="19" t="s">
        <v>168</v>
      </c>
      <c r="B17" s="19" t="s">
        <v>171</v>
      </c>
      <c r="C17" s="19" t="s">
        <v>170</v>
      </c>
      <c r="D17" s="20">
        <f t="shared" si="0"/>
        <v>9</v>
      </c>
      <c r="E17" s="21">
        <v>0</v>
      </c>
      <c r="F17" s="21">
        <v>2</v>
      </c>
      <c r="G17" s="21">
        <v>1</v>
      </c>
      <c r="H17" s="21">
        <v>1</v>
      </c>
      <c r="I17" s="21">
        <v>1</v>
      </c>
      <c r="J17" s="21">
        <v>1</v>
      </c>
      <c r="K17" s="21">
        <v>0</v>
      </c>
      <c r="L17" s="21">
        <v>0</v>
      </c>
      <c r="M17" s="21">
        <v>0</v>
      </c>
      <c r="N17" s="21">
        <v>0</v>
      </c>
      <c r="O17" s="21">
        <v>0</v>
      </c>
      <c r="P17" s="21">
        <v>0</v>
      </c>
      <c r="Q17" s="21">
        <v>0</v>
      </c>
      <c r="R17" s="21">
        <v>0</v>
      </c>
      <c r="S17" s="21">
        <v>0</v>
      </c>
      <c r="T17" s="21">
        <v>0</v>
      </c>
      <c r="U17" s="21">
        <v>0</v>
      </c>
      <c r="V17" s="21">
        <v>0</v>
      </c>
      <c r="W17" s="21">
        <v>0</v>
      </c>
      <c r="X17" s="21">
        <v>0</v>
      </c>
      <c r="Y17" s="21">
        <v>0</v>
      </c>
      <c r="Z17" s="21">
        <v>0</v>
      </c>
      <c r="AA17" s="21">
        <v>0</v>
      </c>
      <c r="AB17" s="21">
        <v>0</v>
      </c>
      <c r="AC17" s="21">
        <v>0</v>
      </c>
      <c r="AD17" s="21">
        <v>0</v>
      </c>
      <c r="AE17" s="21">
        <v>0</v>
      </c>
      <c r="AF17" s="21">
        <v>0</v>
      </c>
      <c r="AG17" s="21">
        <v>0</v>
      </c>
      <c r="AH17" s="21">
        <v>1</v>
      </c>
      <c r="AI17" s="21">
        <v>0</v>
      </c>
      <c r="AJ17" s="21">
        <v>0</v>
      </c>
      <c r="AK17" s="21">
        <v>0</v>
      </c>
      <c r="AL17" s="21">
        <v>1</v>
      </c>
      <c r="AM17" s="21">
        <v>0</v>
      </c>
      <c r="AN17" s="21">
        <v>0</v>
      </c>
      <c r="AO17" s="21">
        <v>0</v>
      </c>
      <c r="AP17" s="21">
        <v>0</v>
      </c>
      <c r="AQ17" s="21">
        <v>0</v>
      </c>
      <c r="AR17" s="21">
        <v>0</v>
      </c>
      <c r="AS17" s="21">
        <v>0</v>
      </c>
      <c r="AT17" s="21">
        <v>0</v>
      </c>
      <c r="AU17" s="21">
        <v>0</v>
      </c>
      <c r="AV17" s="21">
        <v>0</v>
      </c>
      <c r="AW17" s="21">
        <v>0</v>
      </c>
      <c r="AX17" s="21">
        <v>0</v>
      </c>
      <c r="AY17" s="21">
        <v>0</v>
      </c>
      <c r="AZ17" s="21">
        <v>0</v>
      </c>
      <c r="BA17" s="21">
        <v>0</v>
      </c>
      <c r="BB17" s="21">
        <v>1</v>
      </c>
      <c r="BC17" s="21">
        <v>0</v>
      </c>
      <c r="BD17" s="21">
        <v>0</v>
      </c>
      <c r="BE17" s="21">
        <v>0</v>
      </c>
      <c r="BF17" s="21">
        <v>0</v>
      </c>
      <c r="BG17" s="21">
        <v>0</v>
      </c>
      <c r="BH17" s="21">
        <v>0</v>
      </c>
      <c r="BI17" s="21">
        <v>0</v>
      </c>
      <c r="BJ17" s="21">
        <v>0</v>
      </c>
      <c r="BK17" s="21">
        <v>0</v>
      </c>
      <c r="BL17" s="21">
        <v>0</v>
      </c>
      <c r="BM17" s="21">
        <v>0</v>
      </c>
      <c r="BN17" s="21">
        <v>0</v>
      </c>
      <c r="BO17" s="21">
        <v>0</v>
      </c>
      <c r="BP17" s="21">
        <v>0</v>
      </c>
      <c r="BQ17" s="21">
        <v>0</v>
      </c>
      <c r="BR17" s="21">
        <v>0</v>
      </c>
      <c r="BS17" s="21">
        <v>0</v>
      </c>
      <c r="BT17" s="21">
        <v>0</v>
      </c>
      <c r="BU17" s="21">
        <v>0</v>
      </c>
      <c r="BV17" s="21">
        <v>0</v>
      </c>
      <c r="BW17" s="21">
        <v>0</v>
      </c>
      <c r="BX17" s="21">
        <v>0</v>
      </c>
      <c r="BY17" s="21">
        <v>0</v>
      </c>
      <c r="BZ17" s="21">
        <v>0</v>
      </c>
      <c r="CA17" s="21">
        <v>0</v>
      </c>
      <c r="CB17" s="21">
        <v>0</v>
      </c>
      <c r="CC17" s="21">
        <v>0</v>
      </c>
      <c r="CD17" s="21">
        <v>0</v>
      </c>
      <c r="CE17" s="21">
        <v>0</v>
      </c>
      <c r="CF17" s="21">
        <v>0</v>
      </c>
      <c r="CG17" s="21">
        <v>0</v>
      </c>
      <c r="CH17" s="21">
        <v>0</v>
      </c>
      <c r="CI17" s="21">
        <v>0</v>
      </c>
      <c r="CJ17" s="21">
        <v>0</v>
      </c>
      <c r="CK17" s="21">
        <v>0</v>
      </c>
      <c r="CL17" s="21">
        <v>0</v>
      </c>
      <c r="CM17" s="21">
        <v>0</v>
      </c>
      <c r="CN17" s="21">
        <v>0</v>
      </c>
      <c r="CO17" s="21">
        <v>0</v>
      </c>
      <c r="CP17" s="21">
        <v>0</v>
      </c>
      <c r="CQ17" s="21">
        <v>0</v>
      </c>
      <c r="CR17" s="21">
        <v>0</v>
      </c>
      <c r="CS17" s="21">
        <v>0</v>
      </c>
      <c r="CT17" s="21">
        <v>0</v>
      </c>
      <c r="CU17" s="21">
        <v>0</v>
      </c>
      <c r="CV17" s="21">
        <v>0</v>
      </c>
      <c r="CW17" s="21">
        <v>0</v>
      </c>
      <c r="CX17" s="21">
        <v>0</v>
      </c>
      <c r="CY17" s="21">
        <v>0</v>
      </c>
      <c r="CZ17" s="21">
        <v>0</v>
      </c>
      <c r="DA17" s="21">
        <v>0</v>
      </c>
      <c r="DB17" s="21">
        <v>0</v>
      </c>
      <c r="DC17" s="21">
        <v>0</v>
      </c>
      <c r="DD17" s="21">
        <v>0</v>
      </c>
      <c r="DE17" s="21">
        <v>0</v>
      </c>
      <c r="DF17" s="21">
        <v>0</v>
      </c>
      <c r="DG17" s="21">
        <v>0</v>
      </c>
      <c r="DH17" s="74"/>
      <c r="DJ17" s="67"/>
      <c r="DL17" s="67"/>
    </row>
    <row r="18" spans="1:117">
      <c r="A18" s="19" t="s">
        <v>168</v>
      </c>
      <c r="B18" s="19" t="s">
        <v>172</v>
      </c>
      <c r="C18" s="19" t="s">
        <v>170</v>
      </c>
      <c r="D18" s="20">
        <f t="shared" si="0"/>
        <v>4</v>
      </c>
      <c r="E18" s="21">
        <v>0</v>
      </c>
      <c r="F18" s="21">
        <v>0</v>
      </c>
      <c r="G18" s="21">
        <v>0</v>
      </c>
      <c r="H18" s="21">
        <v>0</v>
      </c>
      <c r="I18" s="21">
        <v>1</v>
      </c>
      <c r="J18" s="21">
        <v>0</v>
      </c>
      <c r="K18" s="21">
        <v>0</v>
      </c>
      <c r="L18" s="21">
        <v>0</v>
      </c>
      <c r="M18" s="21">
        <v>0</v>
      </c>
      <c r="N18" s="21">
        <v>0</v>
      </c>
      <c r="O18" s="21">
        <v>0</v>
      </c>
      <c r="P18" s="21">
        <v>0</v>
      </c>
      <c r="Q18" s="21">
        <v>0</v>
      </c>
      <c r="R18" s="21">
        <v>0</v>
      </c>
      <c r="S18" s="21">
        <v>1</v>
      </c>
      <c r="T18" s="21">
        <v>0</v>
      </c>
      <c r="U18" s="21">
        <v>0</v>
      </c>
      <c r="V18" s="21">
        <v>0</v>
      </c>
      <c r="W18" s="21">
        <v>0</v>
      </c>
      <c r="X18" s="21">
        <v>0</v>
      </c>
      <c r="Y18" s="21">
        <v>0</v>
      </c>
      <c r="Z18" s="21">
        <v>0</v>
      </c>
      <c r="AA18" s="21">
        <v>0</v>
      </c>
      <c r="AB18" s="21">
        <v>0</v>
      </c>
      <c r="AC18" s="21">
        <v>0</v>
      </c>
      <c r="AD18" s="21">
        <v>0</v>
      </c>
      <c r="AE18" s="21">
        <v>0</v>
      </c>
      <c r="AF18" s="21">
        <v>0</v>
      </c>
      <c r="AG18" s="21">
        <v>0</v>
      </c>
      <c r="AH18" s="21">
        <v>0</v>
      </c>
      <c r="AI18" s="21">
        <v>0</v>
      </c>
      <c r="AJ18" s="21">
        <v>0</v>
      </c>
      <c r="AK18" s="21">
        <v>0</v>
      </c>
      <c r="AL18" s="21">
        <v>0</v>
      </c>
      <c r="AM18" s="21">
        <v>0</v>
      </c>
      <c r="AN18" s="21">
        <v>0</v>
      </c>
      <c r="AO18" s="21">
        <v>0</v>
      </c>
      <c r="AP18" s="21">
        <v>0</v>
      </c>
      <c r="AQ18" s="21">
        <v>0</v>
      </c>
      <c r="AR18" s="21">
        <v>0</v>
      </c>
      <c r="AS18" s="21">
        <v>0</v>
      </c>
      <c r="AT18" s="21">
        <v>0</v>
      </c>
      <c r="AU18" s="21">
        <v>0</v>
      </c>
      <c r="AV18" s="21">
        <v>0</v>
      </c>
      <c r="AW18" s="21">
        <v>0</v>
      </c>
      <c r="AX18" s="21">
        <v>0</v>
      </c>
      <c r="AY18" s="21">
        <v>0</v>
      </c>
      <c r="AZ18" s="21">
        <v>0</v>
      </c>
      <c r="BA18" s="21">
        <v>0</v>
      </c>
      <c r="BB18" s="21">
        <v>0</v>
      </c>
      <c r="BC18" s="21">
        <v>0</v>
      </c>
      <c r="BD18" s="21">
        <v>0</v>
      </c>
      <c r="BE18" s="21">
        <v>0</v>
      </c>
      <c r="BF18" s="21">
        <v>0</v>
      </c>
      <c r="BG18" s="21">
        <v>0</v>
      </c>
      <c r="BH18" s="21">
        <v>0</v>
      </c>
      <c r="BI18" s="21">
        <v>0</v>
      </c>
      <c r="BJ18" s="21">
        <v>0</v>
      </c>
      <c r="BK18" s="21">
        <v>0</v>
      </c>
      <c r="BL18" s="21">
        <v>0</v>
      </c>
      <c r="BM18" s="21">
        <v>0</v>
      </c>
      <c r="BN18" s="21">
        <v>0</v>
      </c>
      <c r="BO18" s="21">
        <v>0</v>
      </c>
      <c r="BP18" s="21">
        <v>0</v>
      </c>
      <c r="BQ18" s="21">
        <v>0</v>
      </c>
      <c r="BR18" s="21">
        <v>0</v>
      </c>
      <c r="BS18" s="21">
        <v>0</v>
      </c>
      <c r="BT18" s="21">
        <v>0</v>
      </c>
      <c r="BU18" s="21">
        <v>0</v>
      </c>
      <c r="BV18" s="21">
        <v>0</v>
      </c>
      <c r="BW18" s="21">
        <v>0</v>
      </c>
      <c r="BX18" s="21">
        <v>0</v>
      </c>
      <c r="BY18" s="21">
        <v>0</v>
      </c>
      <c r="BZ18" s="21">
        <v>0</v>
      </c>
      <c r="CA18" s="21">
        <v>0</v>
      </c>
      <c r="CB18" s="21">
        <v>0</v>
      </c>
      <c r="CC18" s="21">
        <v>0</v>
      </c>
      <c r="CD18" s="21">
        <v>0</v>
      </c>
      <c r="CE18" s="21">
        <v>0</v>
      </c>
      <c r="CF18" s="21">
        <v>0</v>
      </c>
      <c r="CG18" s="21">
        <v>0</v>
      </c>
      <c r="CH18" s="21">
        <v>0</v>
      </c>
      <c r="CI18" s="21">
        <v>0</v>
      </c>
      <c r="CJ18" s="21">
        <v>0</v>
      </c>
      <c r="CK18" s="21">
        <v>0</v>
      </c>
      <c r="CL18" s="21">
        <v>0</v>
      </c>
      <c r="CM18" s="21">
        <v>0</v>
      </c>
      <c r="CN18" s="21">
        <v>0</v>
      </c>
      <c r="CO18" s="21">
        <v>0</v>
      </c>
      <c r="CP18" s="21">
        <v>0</v>
      </c>
      <c r="CQ18" s="21">
        <v>0</v>
      </c>
      <c r="CR18" s="21">
        <v>0</v>
      </c>
      <c r="CS18" s="21">
        <v>0</v>
      </c>
      <c r="CT18" s="21">
        <v>0</v>
      </c>
      <c r="CU18" s="21">
        <v>0</v>
      </c>
      <c r="CV18" s="21">
        <v>0</v>
      </c>
      <c r="CW18" s="21">
        <v>0</v>
      </c>
      <c r="CX18" s="21">
        <v>0</v>
      </c>
      <c r="CY18" s="21">
        <v>0</v>
      </c>
      <c r="CZ18" s="21">
        <v>0</v>
      </c>
      <c r="DA18" s="21">
        <v>0</v>
      </c>
      <c r="DB18" s="21">
        <v>0</v>
      </c>
      <c r="DC18" s="21">
        <v>0</v>
      </c>
      <c r="DD18" s="21">
        <v>0</v>
      </c>
      <c r="DE18" s="21">
        <v>0</v>
      </c>
      <c r="DF18" s="21">
        <v>0</v>
      </c>
      <c r="DG18" s="21">
        <v>2</v>
      </c>
      <c r="DH18" s="74"/>
      <c r="DJ18" s="67"/>
      <c r="DL18" s="67"/>
    </row>
    <row r="19" spans="1:117">
      <c r="A19" s="19" t="s">
        <v>173</v>
      </c>
      <c r="B19" s="19" t="s">
        <v>174</v>
      </c>
      <c r="C19" s="19" t="s">
        <v>175</v>
      </c>
      <c r="D19" s="20">
        <f t="shared" si="0"/>
        <v>3</v>
      </c>
      <c r="E19" s="21">
        <v>3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1">
        <v>0</v>
      </c>
      <c r="BG19" s="21">
        <v>0</v>
      </c>
      <c r="BH19" s="21">
        <v>0</v>
      </c>
      <c r="BI19" s="21">
        <v>0</v>
      </c>
      <c r="BJ19" s="21">
        <v>0</v>
      </c>
      <c r="BK19" s="21">
        <v>0</v>
      </c>
      <c r="BL19" s="21">
        <v>0</v>
      </c>
      <c r="BM19" s="21">
        <v>0</v>
      </c>
      <c r="BN19" s="21">
        <v>0</v>
      </c>
      <c r="BO19" s="21">
        <v>0</v>
      </c>
      <c r="BP19" s="21">
        <v>0</v>
      </c>
      <c r="BQ19" s="21">
        <v>0</v>
      </c>
      <c r="BR19" s="21">
        <v>0</v>
      </c>
      <c r="BS19" s="21">
        <v>0</v>
      </c>
      <c r="BT19" s="21">
        <v>0</v>
      </c>
      <c r="BU19" s="21">
        <v>0</v>
      </c>
      <c r="BV19" s="21">
        <v>0</v>
      </c>
      <c r="BW19" s="21">
        <v>0</v>
      </c>
      <c r="BX19" s="21">
        <v>0</v>
      </c>
      <c r="BY19" s="21">
        <v>0</v>
      </c>
      <c r="BZ19" s="21">
        <v>0</v>
      </c>
      <c r="CA19" s="21">
        <v>0</v>
      </c>
      <c r="CB19" s="21">
        <v>0</v>
      </c>
      <c r="CC19" s="21">
        <v>0</v>
      </c>
      <c r="CD19" s="21">
        <v>0</v>
      </c>
      <c r="CE19" s="21">
        <v>0</v>
      </c>
      <c r="CF19" s="21">
        <v>0</v>
      </c>
      <c r="CG19" s="21">
        <v>0</v>
      </c>
      <c r="CH19" s="21">
        <v>0</v>
      </c>
      <c r="CI19" s="21">
        <v>0</v>
      </c>
      <c r="CJ19" s="21">
        <v>0</v>
      </c>
      <c r="CK19" s="21">
        <v>0</v>
      </c>
      <c r="CL19" s="21">
        <v>0</v>
      </c>
      <c r="CM19" s="21">
        <v>0</v>
      </c>
      <c r="CN19" s="21">
        <v>0</v>
      </c>
      <c r="CO19" s="21">
        <v>0</v>
      </c>
      <c r="CP19" s="21">
        <v>0</v>
      </c>
      <c r="CQ19" s="21">
        <v>0</v>
      </c>
      <c r="CR19" s="21">
        <v>0</v>
      </c>
      <c r="CS19" s="21">
        <v>0</v>
      </c>
      <c r="CT19" s="21">
        <v>0</v>
      </c>
      <c r="CU19" s="21">
        <v>0</v>
      </c>
      <c r="CV19" s="21">
        <v>0</v>
      </c>
      <c r="CW19" s="21">
        <v>0</v>
      </c>
      <c r="CX19" s="21">
        <v>0</v>
      </c>
      <c r="CY19" s="21">
        <v>0</v>
      </c>
      <c r="CZ19" s="21">
        <v>0</v>
      </c>
      <c r="DA19" s="21">
        <v>0</v>
      </c>
      <c r="DB19" s="21">
        <v>0</v>
      </c>
      <c r="DC19" s="21">
        <v>0</v>
      </c>
      <c r="DD19" s="21">
        <v>0</v>
      </c>
      <c r="DE19" s="21">
        <v>0</v>
      </c>
      <c r="DF19" s="21">
        <v>0</v>
      </c>
      <c r="DG19" s="21">
        <v>0</v>
      </c>
      <c r="DH19" s="74"/>
      <c r="DJ19" s="67"/>
      <c r="DL19" s="67"/>
    </row>
    <row r="20" spans="1:117">
      <c r="A20" s="19" t="s">
        <v>176</v>
      </c>
      <c r="B20" s="19" t="s">
        <v>177</v>
      </c>
      <c r="C20" s="19" t="s">
        <v>178</v>
      </c>
      <c r="D20" s="20">
        <f t="shared" si="0"/>
        <v>3</v>
      </c>
      <c r="E20" s="21">
        <v>3</v>
      </c>
      <c r="F20" s="21">
        <v>0</v>
      </c>
      <c r="G20" s="21">
        <v>0</v>
      </c>
      <c r="H20" s="21">
        <v>0</v>
      </c>
      <c r="I20" s="21">
        <v>0</v>
      </c>
      <c r="J20" s="21">
        <v>0</v>
      </c>
      <c r="K20" s="21">
        <v>0</v>
      </c>
      <c r="L20" s="21">
        <v>0</v>
      </c>
      <c r="M20" s="21">
        <v>0</v>
      </c>
      <c r="N20" s="21">
        <v>0</v>
      </c>
      <c r="O20" s="21">
        <v>0</v>
      </c>
      <c r="P20" s="21">
        <v>0</v>
      </c>
      <c r="Q20" s="21">
        <v>0</v>
      </c>
      <c r="R20" s="21">
        <v>0</v>
      </c>
      <c r="S20" s="21">
        <v>0</v>
      </c>
      <c r="T20" s="21">
        <v>0</v>
      </c>
      <c r="U20" s="21">
        <v>0</v>
      </c>
      <c r="V20" s="21">
        <v>0</v>
      </c>
      <c r="W20" s="21">
        <v>0</v>
      </c>
      <c r="X20" s="21">
        <v>0</v>
      </c>
      <c r="Y20" s="21">
        <v>0</v>
      </c>
      <c r="Z20" s="21">
        <v>0</v>
      </c>
      <c r="AA20" s="21">
        <v>0</v>
      </c>
      <c r="AB20" s="21">
        <v>0</v>
      </c>
      <c r="AC20" s="21">
        <v>0</v>
      </c>
      <c r="AD20" s="21">
        <v>0</v>
      </c>
      <c r="AE20" s="21">
        <v>0</v>
      </c>
      <c r="AF20" s="21">
        <v>0</v>
      </c>
      <c r="AG20" s="21">
        <v>0</v>
      </c>
      <c r="AH20" s="21">
        <v>0</v>
      </c>
      <c r="AI20" s="21">
        <v>0</v>
      </c>
      <c r="AJ20" s="21">
        <v>0</v>
      </c>
      <c r="AK20" s="21">
        <v>0</v>
      </c>
      <c r="AL20" s="21">
        <v>0</v>
      </c>
      <c r="AM20" s="21">
        <v>0</v>
      </c>
      <c r="AN20" s="21">
        <v>0</v>
      </c>
      <c r="AO20" s="21">
        <v>0</v>
      </c>
      <c r="AP20" s="21">
        <v>0</v>
      </c>
      <c r="AQ20" s="21">
        <v>0</v>
      </c>
      <c r="AR20" s="21">
        <v>0</v>
      </c>
      <c r="AS20" s="21">
        <v>0</v>
      </c>
      <c r="AT20" s="21">
        <v>0</v>
      </c>
      <c r="AU20" s="21">
        <v>0</v>
      </c>
      <c r="AV20" s="21">
        <v>0</v>
      </c>
      <c r="AW20" s="21">
        <v>0</v>
      </c>
      <c r="AX20" s="21">
        <v>0</v>
      </c>
      <c r="AY20" s="21">
        <v>0</v>
      </c>
      <c r="AZ20" s="21">
        <v>0</v>
      </c>
      <c r="BA20" s="21">
        <v>0</v>
      </c>
      <c r="BB20" s="21">
        <v>0</v>
      </c>
      <c r="BC20" s="21">
        <v>0</v>
      </c>
      <c r="BD20" s="21">
        <v>0</v>
      </c>
      <c r="BE20" s="21">
        <v>0</v>
      </c>
      <c r="BF20" s="21">
        <v>0</v>
      </c>
      <c r="BG20" s="21">
        <v>0</v>
      </c>
      <c r="BH20" s="21">
        <v>0</v>
      </c>
      <c r="BI20" s="21">
        <v>0</v>
      </c>
      <c r="BJ20" s="21">
        <v>0</v>
      </c>
      <c r="BK20" s="21">
        <v>0</v>
      </c>
      <c r="BL20" s="21">
        <v>0</v>
      </c>
      <c r="BM20" s="21">
        <v>0</v>
      </c>
      <c r="BN20" s="21">
        <v>0</v>
      </c>
      <c r="BO20" s="21">
        <v>0</v>
      </c>
      <c r="BP20" s="21">
        <v>0</v>
      </c>
      <c r="BQ20" s="21">
        <v>0</v>
      </c>
      <c r="BR20" s="21">
        <v>0</v>
      </c>
      <c r="BS20" s="21">
        <v>0</v>
      </c>
      <c r="BT20" s="21">
        <v>0</v>
      </c>
      <c r="BU20" s="21">
        <v>0</v>
      </c>
      <c r="BV20" s="21">
        <v>0</v>
      </c>
      <c r="BW20" s="21">
        <v>0</v>
      </c>
      <c r="BX20" s="21">
        <v>0</v>
      </c>
      <c r="BY20" s="21">
        <v>0</v>
      </c>
      <c r="BZ20" s="21">
        <v>0</v>
      </c>
      <c r="CA20" s="21">
        <v>0</v>
      </c>
      <c r="CB20" s="21">
        <v>0</v>
      </c>
      <c r="CC20" s="21">
        <v>0</v>
      </c>
      <c r="CD20" s="21">
        <v>0</v>
      </c>
      <c r="CE20" s="21">
        <v>0</v>
      </c>
      <c r="CF20" s="21">
        <v>0</v>
      </c>
      <c r="CG20" s="21">
        <v>0</v>
      </c>
      <c r="CH20" s="21">
        <v>0</v>
      </c>
      <c r="CI20" s="21">
        <v>0</v>
      </c>
      <c r="CJ20" s="21">
        <v>0</v>
      </c>
      <c r="CK20" s="21">
        <v>0</v>
      </c>
      <c r="CL20" s="21">
        <v>0</v>
      </c>
      <c r="CM20" s="21">
        <v>0</v>
      </c>
      <c r="CN20" s="21">
        <v>0</v>
      </c>
      <c r="CO20" s="21">
        <v>0</v>
      </c>
      <c r="CP20" s="21">
        <v>0</v>
      </c>
      <c r="CQ20" s="21">
        <v>0</v>
      </c>
      <c r="CR20" s="21">
        <v>0</v>
      </c>
      <c r="CS20" s="21">
        <v>0</v>
      </c>
      <c r="CT20" s="21">
        <v>0</v>
      </c>
      <c r="CU20" s="21">
        <v>0</v>
      </c>
      <c r="CV20" s="21">
        <v>0</v>
      </c>
      <c r="CW20" s="21">
        <v>0</v>
      </c>
      <c r="CX20" s="21">
        <v>0</v>
      </c>
      <c r="CY20" s="21">
        <v>0</v>
      </c>
      <c r="CZ20" s="21">
        <v>0</v>
      </c>
      <c r="DA20" s="21">
        <v>0</v>
      </c>
      <c r="DB20" s="21">
        <v>0</v>
      </c>
      <c r="DC20" s="21">
        <v>0</v>
      </c>
      <c r="DD20" s="21">
        <v>0</v>
      </c>
      <c r="DE20" s="21">
        <v>0</v>
      </c>
      <c r="DF20" s="21">
        <v>0</v>
      </c>
      <c r="DG20" s="21">
        <v>0</v>
      </c>
      <c r="DH20" s="74"/>
      <c r="DJ20" s="67"/>
      <c r="DL20" s="67"/>
    </row>
    <row r="21" spans="1:117">
      <c r="A21" s="19" t="s">
        <v>179</v>
      </c>
      <c r="B21" s="19" t="s">
        <v>180</v>
      </c>
      <c r="C21" s="19" t="s">
        <v>181</v>
      </c>
      <c r="D21" s="20">
        <f t="shared" si="0"/>
        <v>26280</v>
      </c>
      <c r="E21" s="21">
        <v>8760</v>
      </c>
      <c r="F21" s="21">
        <v>8760</v>
      </c>
      <c r="G21" s="21">
        <v>8760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1">
        <v>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  <c r="W21" s="21">
        <v>0</v>
      </c>
      <c r="X21" s="21">
        <v>0</v>
      </c>
      <c r="Y21" s="21">
        <v>0</v>
      </c>
      <c r="Z21" s="21">
        <v>0</v>
      </c>
      <c r="AA21" s="21">
        <v>0</v>
      </c>
      <c r="AB21" s="21">
        <v>0</v>
      </c>
      <c r="AC21" s="21">
        <v>0</v>
      </c>
      <c r="AD21" s="21">
        <v>0</v>
      </c>
      <c r="AE21" s="21">
        <v>0</v>
      </c>
      <c r="AF21" s="21">
        <v>0</v>
      </c>
      <c r="AG21" s="21">
        <v>0</v>
      </c>
      <c r="AH21" s="21">
        <v>0</v>
      </c>
      <c r="AI21" s="21">
        <v>0</v>
      </c>
      <c r="AJ21" s="21">
        <v>0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1">
        <v>0</v>
      </c>
      <c r="AS21" s="21">
        <v>0</v>
      </c>
      <c r="AT21" s="21">
        <v>0</v>
      </c>
      <c r="AU21" s="21">
        <v>0</v>
      </c>
      <c r="AV21" s="21">
        <v>0</v>
      </c>
      <c r="AW21" s="21">
        <v>0</v>
      </c>
      <c r="AX21" s="21">
        <v>0</v>
      </c>
      <c r="AY21" s="21">
        <v>0</v>
      </c>
      <c r="AZ21" s="21">
        <v>0</v>
      </c>
      <c r="BA21" s="21">
        <v>0</v>
      </c>
      <c r="BB21" s="21">
        <v>0</v>
      </c>
      <c r="BC21" s="21">
        <v>0</v>
      </c>
      <c r="BD21" s="21">
        <v>0</v>
      </c>
      <c r="BE21" s="21">
        <v>0</v>
      </c>
      <c r="BF21" s="21">
        <v>0</v>
      </c>
      <c r="BG21" s="21">
        <v>0</v>
      </c>
      <c r="BH21" s="21">
        <v>0</v>
      </c>
      <c r="BI21" s="21">
        <v>0</v>
      </c>
      <c r="BJ21" s="21">
        <v>0</v>
      </c>
      <c r="BK21" s="21">
        <v>0</v>
      </c>
      <c r="BL21" s="21">
        <v>0</v>
      </c>
      <c r="BM21" s="21">
        <v>0</v>
      </c>
      <c r="BN21" s="21">
        <v>0</v>
      </c>
      <c r="BO21" s="21">
        <v>0</v>
      </c>
      <c r="BP21" s="21">
        <v>0</v>
      </c>
      <c r="BQ21" s="21">
        <v>0</v>
      </c>
      <c r="BR21" s="21">
        <v>0</v>
      </c>
      <c r="BS21" s="21">
        <v>0</v>
      </c>
      <c r="BT21" s="21">
        <v>0</v>
      </c>
      <c r="BU21" s="21">
        <v>0</v>
      </c>
      <c r="BV21" s="21">
        <v>0</v>
      </c>
      <c r="BW21" s="21">
        <v>0</v>
      </c>
      <c r="BX21" s="21">
        <v>0</v>
      </c>
      <c r="BY21" s="21">
        <v>0</v>
      </c>
      <c r="BZ21" s="21">
        <v>0</v>
      </c>
      <c r="CA21" s="21">
        <v>0</v>
      </c>
      <c r="CB21" s="21">
        <v>0</v>
      </c>
      <c r="CC21" s="21">
        <v>0</v>
      </c>
      <c r="CD21" s="21">
        <v>0</v>
      </c>
      <c r="CE21" s="21">
        <v>0</v>
      </c>
      <c r="CF21" s="21">
        <v>0</v>
      </c>
      <c r="CG21" s="21">
        <v>0</v>
      </c>
      <c r="CH21" s="21">
        <v>0</v>
      </c>
      <c r="CI21" s="21">
        <v>0</v>
      </c>
      <c r="CJ21" s="21">
        <v>0</v>
      </c>
      <c r="CK21" s="21">
        <v>0</v>
      </c>
      <c r="CL21" s="21">
        <v>0</v>
      </c>
      <c r="CM21" s="21">
        <v>0</v>
      </c>
      <c r="CN21" s="21">
        <v>0</v>
      </c>
      <c r="CO21" s="21">
        <v>0</v>
      </c>
      <c r="CP21" s="21">
        <v>0</v>
      </c>
      <c r="CQ21" s="21">
        <v>0</v>
      </c>
      <c r="CR21" s="21">
        <v>0</v>
      </c>
      <c r="CS21" s="21">
        <v>0</v>
      </c>
      <c r="CT21" s="21">
        <v>0</v>
      </c>
      <c r="CU21" s="21">
        <v>0</v>
      </c>
      <c r="CV21" s="21">
        <v>0</v>
      </c>
      <c r="CW21" s="21">
        <v>0</v>
      </c>
      <c r="CX21" s="21">
        <v>0</v>
      </c>
      <c r="CY21" s="21">
        <v>0</v>
      </c>
      <c r="CZ21" s="21">
        <v>0</v>
      </c>
      <c r="DA21" s="21">
        <v>0</v>
      </c>
      <c r="DB21" s="21">
        <v>0</v>
      </c>
      <c r="DC21" s="21">
        <v>0</v>
      </c>
      <c r="DD21" s="21">
        <v>0</v>
      </c>
      <c r="DE21" s="21">
        <v>0</v>
      </c>
      <c r="DF21" s="21">
        <v>0</v>
      </c>
      <c r="DG21" s="21">
        <v>0</v>
      </c>
      <c r="DH21" s="74"/>
      <c r="DJ21" s="67"/>
      <c r="DL21" s="67"/>
    </row>
    <row r="22" spans="1:117" s="52" customFormat="1">
      <c r="A22" s="19" t="s">
        <v>182</v>
      </c>
      <c r="B22" s="19" t="s">
        <v>183</v>
      </c>
      <c r="C22" s="19" t="s">
        <v>181</v>
      </c>
      <c r="D22" s="20">
        <f t="shared" si="0"/>
        <v>8760</v>
      </c>
      <c r="E22" s="21">
        <v>0</v>
      </c>
      <c r="F22" s="21">
        <v>0</v>
      </c>
      <c r="G22" s="21">
        <v>8760</v>
      </c>
      <c r="H22" s="21">
        <v>0</v>
      </c>
      <c r="I22" s="21">
        <v>0</v>
      </c>
      <c r="J22" s="21">
        <v>0</v>
      </c>
      <c r="K22" s="21">
        <v>0</v>
      </c>
      <c r="L22" s="21">
        <v>0</v>
      </c>
      <c r="M22" s="21">
        <v>0</v>
      </c>
      <c r="N22" s="21">
        <v>0</v>
      </c>
      <c r="O22" s="21">
        <v>0</v>
      </c>
      <c r="P22" s="21">
        <v>0</v>
      </c>
      <c r="Q22" s="21">
        <v>0</v>
      </c>
      <c r="R22" s="21">
        <v>0</v>
      </c>
      <c r="S22" s="21">
        <v>0</v>
      </c>
      <c r="T22" s="21">
        <v>0</v>
      </c>
      <c r="U22" s="21">
        <v>0</v>
      </c>
      <c r="V22" s="21">
        <v>0</v>
      </c>
      <c r="W22" s="21">
        <v>0</v>
      </c>
      <c r="X22" s="21">
        <v>0</v>
      </c>
      <c r="Y22" s="21">
        <v>0</v>
      </c>
      <c r="Z22" s="21">
        <v>0</v>
      </c>
      <c r="AA22" s="21">
        <v>0</v>
      </c>
      <c r="AB22" s="21">
        <v>0</v>
      </c>
      <c r="AC22" s="21">
        <v>0</v>
      </c>
      <c r="AD22" s="21">
        <v>0</v>
      </c>
      <c r="AE22" s="21">
        <v>0</v>
      </c>
      <c r="AF22" s="21">
        <v>0</v>
      </c>
      <c r="AG22" s="21">
        <v>0</v>
      </c>
      <c r="AH22" s="21">
        <v>0</v>
      </c>
      <c r="AI22" s="21">
        <v>0</v>
      </c>
      <c r="AJ22" s="21">
        <v>0</v>
      </c>
      <c r="AK22" s="21">
        <v>0</v>
      </c>
      <c r="AL22" s="21">
        <v>0</v>
      </c>
      <c r="AM22" s="21">
        <v>0</v>
      </c>
      <c r="AN22" s="21">
        <v>0</v>
      </c>
      <c r="AO22" s="21">
        <v>0</v>
      </c>
      <c r="AP22" s="21">
        <v>0</v>
      </c>
      <c r="AQ22" s="21">
        <v>0</v>
      </c>
      <c r="AR22" s="21">
        <v>0</v>
      </c>
      <c r="AS22" s="21">
        <v>0</v>
      </c>
      <c r="AT22" s="21">
        <v>0</v>
      </c>
      <c r="AU22" s="21">
        <v>0</v>
      </c>
      <c r="AV22" s="21">
        <v>0</v>
      </c>
      <c r="AW22" s="21">
        <v>0</v>
      </c>
      <c r="AX22" s="21">
        <v>0</v>
      </c>
      <c r="AY22" s="21">
        <v>0</v>
      </c>
      <c r="AZ22" s="21">
        <v>0</v>
      </c>
      <c r="BA22" s="21">
        <v>0</v>
      </c>
      <c r="BB22" s="21">
        <v>0</v>
      </c>
      <c r="BC22" s="21">
        <v>0</v>
      </c>
      <c r="BD22" s="21">
        <v>0</v>
      </c>
      <c r="BE22" s="21">
        <v>0</v>
      </c>
      <c r="BF22" s="21">
        <v>0</v>
      </c>
      <c r="BG22" s="21">
        <v>0</v>
      </c>
      <c r="BH22" s="21">
        <v>0</v>
      </c>
      <c r="BI22" s="21">
        <v>0</v>
      </c>
      <c r="BJ22" s="21">
        <v>0</v>
      </c>
      <c r="BK22" s="21">
        <v>0</v>
      </c>
      <c r="BL22" s="21">
        <v>0</v>
      </c>
      <c r="BM22" s="21">
        <v>0</v>
      </c>
      <c r="BN22" s="21">
        <v>0</v>
      </c>
      <c r="BO22" s="21">
        <v>0</v>
      </c>
      <c r="BP22" s="21">
        <v>0</v>
      </c>
      <c r="BQ22" s="21">
        <v>0</v>
      </c>
      <c r="BR22" s="21">
        <v>0</v>
      </c>
      <c r="BS22" s="21">
        <v>0</v>
      </c>
      <c r="BT22" s="21">
        <v>0</v>
      </c>
      <c r="BU22" s="21">
        <v>0</v>
      </c>
      <c r="BV22" s="21">
        <v>0</v>
      </c>
      <c r="BW22" s="21">
        <v>0</v>
      </c>
      <c r="BX22" s="21">
        <v>0</v>
      </c>
      <c r="BY22" s="21">
        <v>0</v>
      </c>
      <c r="BZ22" s="21">
        <v>0</v>
      </c>
      <c r="CA22" s="21">
        <v>0</v>
      </c>
      <c r="CB22" s="21">
        <v>0</v>
      </c>
      <c r="CC22" s="21">
        <v>0</v>
      </c>
      <c r="CD22" s="21">
        <v>0</v>
      </c>
      <c r="CE22" s="21">
        <v>0</v>
      </c>
      <c r="CF22" s="21">
        <v>0</v>
      </c>
      <c r="CG22" s="21">
        <v>0</v>
      </c>
      <c r="CH22" s="21">
        <v>0</v>
      </c>
      <c r="CI22" s="21">
        <v>0</v>
      </c>
      <c r="CJ22" s="21">
        <v>0</v>
      </c>
      <c r="CK22" s="21">
        <v>0</v>
      </c>
      <c r="CL22" s="21">
        <v>0</v>
      </c>
      <c r="CM22" s="21">
        <v>0</v>
      </c>
      <c r="CN22" s="21">
        <v>0</v>
      </c>
      <c r="CO22" s="21">
        <v>0</v>
      </c>
      <c r="CP22" s="21">
        <v>0</v>
      </c>
      <c r="CQ22" s="21">
        <v>0</v>
      </c>
      <c r="CR22" s="21">
        <v>0</v>
      </c>
      <c r="CS22" s="21">
        <v>0</v>
      </c>
      <c r="CT22" s="21">
        <v>0</v>
      </c>
      <c r="CU22" s="21">
        <v>0</v>
      </c>
      <c r="CV22" s="21">
        <v>0</v>
      </c>
      <c r="CW22" s="21">
        <v>0</v>
      </c>
      <c r="CX22" s="21">
        <v>0</v>
      </c>
      <c r="CY22" s="21">
        <v>0</v>
      </c>
      <c r="CZ22" s="21">
        <v>0</v>
      </c>
      <c r="DA22" s="21">
        <v>0</v>
      </c>
      <c r="DB22" s="21">
        <v>0</v>
      </c>
      <c r="DC22" s="21">
        <v>0</v>
      </c>
      <c r="DD22" s="21">
        <v>0</v>
      </c>
      <c r="DE22" s="21">
        <v>0</v>
      </c>
      <c r="DF22" s="21">
        <v>0</v>
      </c>
      <c r="DG22" s="21">
        <v>0</v>
      </c>
      <c r="DH22" s="75"/>
      <c r="DI22" s="67"/>
      <c r="DJ22" s="67"/>
      <c r="DK22" s="50"/>
      <c r="DL22" s="67"/>
      <c r="DM22" s="50"/>
    </row>
    <row r="23" spans="1:117">
      <c r="A23" s="19" t="s">
        <v>182</v>
      </c>
      <c r="B23" s="19" t="s">
        <v>184</v>
      </c>
      <c r="C23" s="19" t="s">
        <v>181</v>
      </c>
      <c r="D23" s="20">
        <f t="shared" si="0"/>
        <v>17520</v>
      </c>
      <c r="E23" s="21">
        <v>8760</v>
      </c>
      <c r="F23" s="21">
        <v>8760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  <c r="M23" s="21">
        <v>0</v>
      </c>
      <c r="N23" s="21">
        <v>0</v>
      </c>
      <c r="O23" s="21">
        <v>0</v>
      </c>
      <c r="P23" s="21">
        <v>0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21">
        <v>0</v>
      </c>
      <c r="Y23" s="21">
        <v>0</v>
      </c>
      <c r="Z23" s="21">
        <v>0</v>
      </c>
      <c r="AA23" s="21">
        <v>0</v>
      </c>
      <c r="AB23" s="21">
        <v>0</v>
      </c>
      <c r="AC23" s="21">
        <v>0</v>
      </c>
      <c r="AD23" s="21">
        <v>0</v>
      </c>
      <c r="AE23" s="21">
        <v>0</v>
      </c>
      <c r="AF23" s="21">
        <v>0</v>
      </c>
      <c r="AG23" s="21">
        <v>0</v>
      </c>
      <c r="AH23" s="21">
        <v>0</v>
      </c>
      <c r="AI23" s="21">
        <v>0</v>
      </c>
      <c r="AJ23" s="21">
        <v>0</v>
      </c>
      <c r="AK23" s="21">
        <v>0</v>
      </c>
      <c r="AL23" s="21">
        <v>0</v>
      </c>
      <c r="AM23" s="21">
        <v>0</v>
      </c>
      <c r="AN23" s="21">
        <v>0</v>
      </c>
      <c r="AO23" s="21">
        <v>0</v>
      </c>
      <c r="AP23" s="21">
        <v>0</v>
      </c>
      <c r="AQ23" s="21">
        <v>0</v>
      </c>
      <c r="AR23" s="21">
        <v>0</v>
      </c>
      <c r="AS23" s="21">
        <v>0</v>
      </c>
      <c r="AT23" s="21">
        <v>0</v>
      </c>
      <c r="AU23" s="21">
        <v>0</v>
      </c>
      <c r="AV23" s="21">
        <v>0</v>
      </c>
      <c r="AW23" s="21">
        <v>0</v>
      </c>
      <c r="AX23" s="21">
        <v>0</v>
      </c>
      <c r="AY23" s="21">
        <v>0</v>
      </c>
      <c r="AZ23" s="21">
        <v>0</v>
      </c>
      <c r="BA23" s="21">
        <v>0</v>
      </c>
      <c r="BB23" s="21">
        <v>0</v>
      </c>
      <c r="BC23" s="21">
        <v>0</v>
      </c>
      <c r="BD23" s="21">
        <v>0</v>
      </c>
      <c r="BE23" s="21">
        <v>0</v>
      </c>
      <c r="BF23" s="21">
        <v>0</v>
      </c>
      <c r="BG23" s="21">
        <v>0</v>
      </c>
      <c r="BH23" s="21">
        <v>0</v>
      </c>
      <c r="BI23" s="21">
        <v>0</v>
      </c>
      <c r="BJ23" s="21">
        <v>0</v>
      </c>
      <c r="BK23" s="21">
        <v>0</v>
      </c>
      <c r="BL23" s="21">
        <v>0</v>
      </c>
      <c r="BM23" s="21">
        <v>0</v>
      </c>
      <c r="BN23" s="21">
        <v>0</v>
      </c>
      <c r="BO23" s="21">
        <v>0</v>
      </c>
      <c r="BP23" s="21">
        <v>0</v>
      </c>
      <c r="BQ23" s="21">
        <v>0</v>
      </c>
      <c r="BR23" s="21">
        <v>0</v>
      </c>
      <c r="BS23" s="21">
        <v>0</v>
      </c>
      <c r="BT23" s="21">
        <v>0</v>
      </c>
      <c r="BU23" s="21">
        <v>0</v>
      </c>
      <c r="BV23" s="21">
        <v>0</v>
      </c>
      <c r="BW23" s="21">
        <v>0</v>
      </c>
      <c r="BX23" s="21">
        <v>0</v>
      </c>
      <c r="BY23" s="21">
        <v>0</v>
      </c>
      <c r="BZ23" s="21">
        <v>0</v>
      </c>
      <c r="CA23" s="21">
        <v>0</v>
      </c>
      <c r="CB23" s="21">
        <v>0</v>
      </c>
      <c r="CC23" s="21">
        <v>0</v>
      </c>
      <c r="CD23" s="21">
        <v>0</v>
      </c>
      <c r="CE23" s="21">
        <v>0</v>
      </c>
      <c r="CF23" s="21">
        <v>0</v>
      </c>
      <c r="CG23" s="21">
        <v>0</v>
      </c>
      <c r="CH23" s="21">
        <v>0</v>
      </c>
      <c r="CI23" s="21">
        <v>0</v>
      </c>
      <c r="CJ23" s="21">
        <v>0</v>
      </c>
      <c r="CK23" s="21">
        <v>0</v>
      </c>
      <c r="CL23" s="21">
        <v>0</v>
      </c>
      <c r="CM23" s="21">
        <v>0</v>
      </c>
      <c r="CN23" s="21">
        <v>0</v>
      </c>
      <c r="CO23" s="21">
        <v>0</v>
      </c>
      <c r="CP23" s="21">
        <v>0</v>
      </c>
      <c r="CQ23" s="21">
        <v>0</v>
      </c>
      <c r="CR23" s="21">
        <v>0</v>
      </c>
      <c r="CS23" s="21">
        <v>0</v>
      </c>
      <c r="CT23" s="21">
        <v>0</v>
      </c>
      <c r="CU23" s="21">
        <v>0</v>
      </c>
      <c r="CV23" s="21">
        <v>0</v>
      </c>
      <c r="CW23" s="21">
        <v>0</v>
      </c>
      <c r="CX23" s="21">
        <v>0</v>
      </c>
      <c r="CY23" s="21">
        <v>0</v>
      </c>
      <c r="CZ23" s="21">
        <v>0</v>
      </c>
      <c r="DA23" s="21">
        <v>0</v>
      </c>
      <c r="DB23" s="21">
        <v>0</v>
      </c>
      <c r="DC23" s="21">
        <v>0</v>
      </c>
      <c r="DD23" s="21">
        <v>0</v>
      </c>
      <c r="DE23" s="21">
        <v>0</v>
      </c>
      <c r="DF23" s="21">
        <v>0</v>
      </c>
      <c r="DG23" s="21">
        <v>0</v>
      </c>
      <c r="DH23" s="74"/>
      <c r="DJ23" s="67"/>
      <c r="DL23" s="67"/>
    </row>
    <row r="24" spans="1:117">
      <c r="A24" s="19" t="s">
        <v>185</v>
      </c>
      <c r="B24" s="19" t="s">
        <v>186</v>
      </c>
      <c r="C24" s="19" t="s">
        <v>187</v>
      </c>
      <c r="D24" s="20">
        <f t="shared" si="0"/>
        <v>100</v>
      </c>
      <c r="E24" s="21">
        <v>5</v>
      </c>
      <c r="F24" s="21">
        <v>6</v>
      </c>
      <c r="G24" s="21">
        <v>0</v>
      </c>
      <c r="H24" s="21">
        <v>0</v>
      </c>
      <c r="I24" s="21">
        <v>11</v>
      </c>
      <c r="J24" s="21">
        <v>3</v>
      </c>
      <c r="K24" s="21">
        <v>3</v>
      </c>
      <c r="L24" s="21">
        <v>2</v>
      </c>
      <c r="M24" s="21">
        <v>1</v>
      </c>
      <c r="N24" s="21">
        <v>0</v>
      </c>
      <c r="O24" s="21">
        <v>0</v>
      </c>
      <c r="P24" s="21">
        <v>1</v>
      </c>
      <c r="Q24" s="21">
        <v>3</v>
      </c>
      <c r="R24" s="21">
        <v>0</v>
      </c>
      <c r="S24" s="21">
        <v>1</v>
      </c>
      <c r="T24" s="21">
        <v>3</v>
      </c>
      <c r="U24" s="21">
        <v>7</v>
      </c>
      <c r="V24" s="21">
        <v>1</v>
      </c>
      <c r="W24" s="21">
        <v>0</v>
      </c>
      <c r="X24" s="21">
        <v>0</v>
      </c>
      <c r="Y24" s="21">
        <v>0</v>
      </c>
      <c r="Z24" s="21">
        <v>1</v>
      </c>
      <c r="AA24" s="21">
        <v>5</v>
      </c>
      <c r="AB24" s="21">
        <v>0</v>
      </c>
      <c r="AC24" s="21">
        <v>0</v>
      </c>
      <c r="AD24" s="21">
        <v>5</v>
      </c>
      <c r="AE24" s="21">
        <v>0</v>
      </c>
      <c r="AF24" s="21">
        <v>0</v>
      </c>
      <c r="AG24" s="21">
        <v>0</v>
      </c>
      <c r="AH24" s="21">
        <v>0</v>
      </c>
      <c r="AI24" s="21">
        <v>0</v>
      </c>
      <c r="AJ24" s="21">
        <v>0</v>
      </c>
      <c r="AK24" s="21">
        <v>0</v>
      </c>
      <c r="AL24" s="21">
        <v>2</v>
      </c>
      <c r="AM24" s="21">
        <v>0</v>
      </c>
      <c r="AN24" s="21">
        <v>2</v>
      </c>
      <c r="AO24" s="21">
        <v>0</v>
      </c>
      <c r="AP24" s="21">
        <v>0</v>
      </c>
      <c r="AQ24" s="21">
        <v>0</v>
      </c>
      <c r="AR24" s="21">
        <v>0</v>
      </c>
      <c r="AS24" s="21">
        <v>0</v>
      </c>
      <c r="AT24" s="21">
        <v>0</v>
      </c>
      <c r="AU24" s="21">
        <v>0</v>
      </c>
      <c r="AV24" s="21">
        <v>0</v>
      </c>
      <c r="AW24" s="21">
        <v>0</v>
      </c>
      <c r="AX24" s="21">
        <v>6</v>
      </c>
      <c r="AY24" s="21">
        <v>0</v>
      </c>
      <c r="AZ24" s="21">
        <v>0</v>
      </c>
      <c r="BA24" s="21">
        <v>0</v>
      </c>
      <c r="BB24" s="21">
        <v>0</v>
      </c>
      <c r="BC24" s="21">
        <v>0</v>
      </c>
      <c r="BD24" s="21">
        <v>1</v>
      </c>
      <c r="BE24" s="21">
        <v>0</v>
      </c>
      <c r="BF24" s="21">
        <v>0</v>
      </c>
      <c r="BG24" s="21">
        <v>0</v>
      </c>
      <c r="BH24" s="21">
        <v>0</v>
      </c>
      <c r="BI24" s="21">
        <v>0</v>
      </c>
      <c r="BJ24" s="21">
        <v>0</v>
      </c>
      <c r="BK24" s="21">
        <v>3</v>
      </c>
      <c r="BL24" s="21">
        <v>0</v>
      </c>
      <c r="BM24" s="21">
        <v>0</v>
      </c>
      <c r="BN24" s="21">
        <v>0</v>
      </c>
      <c r="BO24" s="21">
        <v>1</v>
      </c>
      <c r="BP24" s="21">
        <v>1</v>
      </c>
      <c r="BQ24" s="21">
        <v>3</v>
      </c>
      <c r="BR24" s="21">
        <v>0</v>
      </c>
      <c r="BS24" s="21">
        <v>0</v>
      </c>
      <c r="BT24" s="21">
        <v>2</v>
      </c>
      <c r="BU24" s="21">
        <v>0</v>
      </c>
      <c r="BV24" s="21">
        <v>0</v>
      </c>
      <c r="BW24" s="21">
        <v>4</v>
      </c>
      <c r="BX24" s="21">
        <v>0</v>
      </c>
      <c r="BY24" s="21">
        <v>0</v>
      </c>
      <c r="BZ24" s="21">
        <v>0</v>
      </c>
      <c r="CA24" s="21">
        <v>0</v>
      </c>
      <c r="CB24" s="21">
        <v>0</v>
      </c>
      <c r="CC24" s="21">
        <v>0</v>
      </c>
      <c r="CD24" s="21">
        <v>1</v>
      </c>
      <c r="CE24" s="21">
        <v>0</v>
      </c>
      <c r="CF24" s="21">
        <v>0</v>
      </c>
      <c r="CG24" s="21">
        <v>0</v>
      </c>
      <c r="CH24" s="21">
        <v>2</v>
      </c>
      <c r="CI24" s="21">
        <v>0</v>
      </c>
      <c r="CJ24" s="21">
        <v>0</v>
      </c>
      <c r="CK24" s="21">
        <v>1</v>
      </c>
      <c r="CL24" s="21">
        <v>0</v>
      </c>
      <c r="CM24" s="21">
        <v>0</v>
      </c>
      <c r="CN24" s="21">
        <v>0</v>
      </c>
      <c r="CO24" s="21">
        <v>0</v>
      </c>
      <c r="CP24" s="21">
        <v>0</v>
      </c>
      <c r="CQ24" s="21">
        <v>0</v>
      </c>
      <c r="CR24" s="21">
        <v>0</v>
      </c>
      <c r="CS24" s="21">
        <v>0</v>
      </c>
      <c r="CT24" s="21">
        <v>0</v>
      </c>
      <c r="CU24" s="21">
        <v>0</v>
      </c>
      <c r="CV24" s="21">
        <v>0</v>
      </c>
      <c r="CW24" s="21">
        <v>0</v>
      </c>
      <c r="CX24" s="21">
        <v>0</v>
      </c>
      <c r="CY24" s="21">
        <v>0</v>
      </c>
      <c r="CZ24" s="21">
        <v>0</v>
      </c>
      <c r="DA24" s="21">
        <v>0</v>
      </c>
      <c r="DB24" s="21">
        <v>0</v>
      </c>
      <c r="DC24" s="21">
        <v>0</v>
      </c>
      <c r="DD24" s="21">
        <v>0</v>
      </c>
      <c r="DE24" s="21">
        <v>0</v>
      </c>
      <c r="DF24" s="21">
        <v>0</v>
      </c>
      <c r="DG24" s="21">
        <v>13</v>
      </c>
      <c r="DH24" s="74"/>
      <c r="DJ24" s="67"/>
      <c r="DL24" s="67"/>
    </row>
    <row r="25" spans="1:117">
      <c r="A25" s="19" t="s">
        <v>185</v>
      </c>
      <c r="B25" s="19" t="s">
        <v>188</v>
      </c>
      <c r="C25" s="19" t="s">
        <v>187</v>
      </c>
      <c r="D25" s="20">
        <f t="shared" si="0"/>
        <v>26</v>
      </c>
      <c r="E25" s="21">
        <v>1</v>
      </c>
      <c r="F25" s="21">
        <v>0</v>
      </c>
      <c r="G25" s="21">
        <v>1</v>
      </c>
      <c r="H25" s="21">
        <v>1</v>
      </c>
      <c r="I25" s="21">
        <v>6</v>
      </c>
      <c r="J25" s="21">
        <v>2</v>
      </c>
      <c r="K25" s="21">
        <v>0</v>
      </c>
      <c r="L25" s="21">
        <v>0</v>
      </c>
      <c r="M25" s="21">
        <v>0</v>
      </c>
      <c r="N25" s="21">
        <v>0</v>
      </c>
      <c r="O25" s="21">
        <v>0</v>
      </c>
      <c r="P25" s="21">
        <v>0</v>
      </c>
      <c r="Q25" s="21">
        <v>0</v>
      </c>
      <c r="R25" s="21">
        <v>0</v>
      </c>
      <c r="S25" s="21">
        <v>2</v>
      </c>
      <c r="T25" s="21">
        <v>0</v>
      </c>
      <c r="U25" s="21">
        <v>0</v>
      </c>
      <c r="V25" s="21">
        <v>0</v>
      </c>
      <c r="W25" s="21">
        <v>1</v>
      </c>
      <c r="X25" s="21">
        <v>0</v>
      </c>
      <c r="Y25" s="21">
        <v>0</v>
      </c>
      <c r="Z25" s="21">
        <v>0</v>
      </c>
      <c r="AA25" s="21">
        <v>0</v>
      </c>
      <c r="AB25" s="21">
        <v>0</v>
      </c>
      <c r="AC25" s="21">
        <v>1</v>
      </c>
      <c r="AD25" s="21">
        <v>0</v>
      </c>
      <c r="AE25" s="21">
        <v>0</v>
      </c>
      <c r="AF25" s="21">
        <v>0</v>
      </c>
      <c r="AG25" s="21">
        <v>0</v>
      </c>
      <c r="AH25" s="21">
        <v>3</v>
      </c>
      <c r="AI25" s="21">
        <v>0</v>
      </c>
      <c r="AJ25" s="21">
        <v>0</v>
      </c>
      <c r="AK25" s="21">
        <v>0</v>
      </c>
      <c r="AL25" s="21">
        <v>0</v>
      </c>
      <c r="AM25" s="21">
        <v>0</v>
      </c>
      <c r="AN25" s="21">
        <v>0</v>
      </c>
      <c r="AO25" s="21">
        <v>0</v>
      </c>
      <c r="AP25" s="21">
        <v>0</v>
      </c>
      <c r="AQ25" s="21">
        <v>0</v>
      </c>
      <c r="AR25" s="21">
        <v>0</v>
      </c>
      <c r="AS25" s="21">
        <v>0</v>
      </c>
      <c r="AT25" s="21">
        <v>0</v>
      </c>
      <c r="AU25" s="21">
        <v>0</v>
      </c>
      <c r="AV25" s="21">
        <v>0</v>
      </c>
      <c r="AW25" s="21">
        <v>0</v>
      </c>
      <c r="AX25" s="21">
        <v>0</v>
      </c>
      <c r="AY25" s="21">
        <v>1</v>
      </c>
      <c r="AZ25" s="21">
        <v>0</v>
      </c>
      <c r="BA25" s="21">
        <v>0</v>
      </c>
      <c r="BB25" s="21">
        <v>1</v>
      </c>
      <c r="BC25" s="21">
        <v>1</v>
      </c>
      <c r="BD25" s="21">
        <v>0</v>
      </c>
      <c r="BE25" s="21">
        <v>0</v>
      </c>
      <c r="BF25" s="21">
        <v>0</v>
      </c>
      <c r="BG25" s="21">
        <v>0</v>
      </c>
      <c r="BH25" s="21">
        <v>0</v>
      </c>
      <c r="BI25" s="21">
        <v>0</v>
      </c>
      <c r="BJ25" s="21">
        <v>0</v>
      </c>
      <c r="BK25" s="21">
        <v>0</v>
      </c>
      <c r="BL25" s="21">
        <v>0</v>
      </c>
      <c r="BM25" s="21">
        <v>0</v>
      </c>
      <c r="BN25" s="21">
        <v>0</v>
      </c>
      <c r="BO25" s="21">
        <v>0</v>
      </c>
      <c r="BP25" s="21">
        <v>0</v>
      </c>
      <c r="BQ25" s="21">
        <v>0</v>
      </c>
      <c r="BR25" s="21">
        <v>0</v>
      </c>
      <c r="BS25" s="21">
        <v>0</v>
      </c>
      <c r="BT25" s="21">
        <v>0</v>
      </c>
      <c r="BU25" s="21">
        <v>0</v>
      </c>
      <c r="BV25" s="21">
        <v>0</v>
      </c>
      <c r="BW25" s="21">
        <v>0</v>
      </c>
      <c r="BX25" s="21">
        <v>0</v>
      </c>
      <c r="BY25" s="21">
        <v>0</v>
      </c>
      <c r="BZ25" s="21">
        <v>0</v>
      </c>
      <c r="CA25" s="21">
        <v>0</v>
      </c>
      <c r="CB25" s="21">
        <v>0</v>
      </c>
      <c r="CC25" s="21">
        <v>0</v>
      </c>
      <c r="CD25" s="21">
        <v>0</v>
      </c>
      <c r="CE25" s="21">
        <v>0</v>
      </c>
      <c r="CF25" s="21">
        <v>2</v>
      </c>
      <c r="CG25" s="21">
        <v>1</v>
      </c>
      <c r="CH25" s="21">
        <v>0</v>
      </c>
      <c r="CI25" s="21">
        <v>0</v>
      </c>
      <c r="CJ25" s="21">
        <v>0</v>
      </c>
      <c r="CK25" s="21">
        <v>0</v>
      </c>
      <c r="CL25" s="21">
        <v>0</v>
      </c>
      <c r="CM25" s="21">
        <v>0</v>
      </c>
      <c r="CN25" s="21">
        <v>0</v>
      </c>
      <c r="CO25" s="21">
        <v>0</v>
      </c>
      <c r="CP25" s="21">
        <v>0</v>
      </c>
      <c r="CQ25" s="21">
        <v>0</v>
      </c>
      <c r="CR25" s="21">
        <v>0</v>
      </c>
      <c r="CS25" s="21">
        <v>0</v>
      </c>
      <c r="CT25" s="21">
        <v>0</v>
      </c>
      <c r="CU25" s="21">
        <v>0</v>
      </c>
      <c r="CV25" s="21">
        <v>0</v>
      </c>
      <c r="CW25" s="21">
        <v>0</v>
      </c>
      <c r="CX25" s="21">
        <v>0</v>
      </c>
      <c r="CY25" s="21">
        <v>0</v>
      </c>
      <c r="CZ25" s="21">
        <v>0</v>
      </c>
      <c r="DA25" s="21">
        <v>0</v>
      </c>
      <c r="DB25" s="21">
        <v>0</v>
      </c>
      <c r="DC25" s="21">
        <v>0</v>
      </c>
      <c r="DD25" s="21">
        <v>0</v>
      </c>
      <c r="DE25" s="21">
        <v>0</v>
      </c>
      <c r="DF25" s="21">
        <v>0</v>
      </c>
      <c r="DG25" s="21">
        <v>2</v>
      </c>
      <c r="DH25" s="74"/>
      <c r="DJ25" s="67"/>
      <c r="DL25" s="67"/>
    </row>
    <row r="26" spans="1:117">
      <c r="A26" s="19" t="s">
        <v>185</v>
      </c>
      <c r="B26" s="19" t="s">
        <v>189</v>
      </c>
      <c r="C26" s="19" t="s">
        <v>187</v>
      </c>
      <c r="D26" s="20">
        <f t="shared" si="0"/>
        <v>5</v>
      </c>
      <c r="E26" s="21">
        <v>3</v>
      </c>
      <c r="F26" s="21">
        <v>2</v>
      </c>
      <c r="G26" s="21">
        <v>0</v>
      </c>
      <c r="H26" s="21">
        <v>0</v>
      </c>
      <c r="I26" s="21">
        <v>0</v>
      </c>
      <c r="J26" s="21">
        <v>0</v>
      </c>
      <c r="K26" s="21">
        <v>0</v>
      </c>
      <c r="L26" s="21">
        <v>0</v>
      </c>
      <c r="M26" s="21">
        <v>0</v>
      </c>
      <c r="N26" s="21">
        <v>0</v>
      </c>
      <c r="O26" s="21">
        <v>0</v>
      </c>
      <c r="P26" s="21">
        <v>0</v>
      </c>
      <c r="Q26" s="21">
        <v>0</v>
      </c>
      <c r="R26" s="21">
        <v>0</v>
      </c>
      <c r="S26" s="21">
        <v>0</v>
      </c>
      <c r="T26" s="21">
        <v>0</v>
      </c>
      <c r="U26" s="21">
        <v>0</v>
      </c>
      <c r="V26" s="21">
        <v>0</v>
      </c>
      <c r="W26" s="21">
        <v>0</v>
      </c>
      <c r="X26" s="21">
        <v>0</v>
      </c>
      <c r="Y26" s="21">
        <v>0</v>
      </c>
      <c r="Z26" s="21">
        <v>0</v>
      </c>
      <c r="AA26" s="21">
        <v>0</v>
      </c>
      <c r="AB26" s="21">
        <v>0</v>
      </c>
      <c r="AC26" s="21">
        <v>0</v>
      </c>
      <c r="AD26" s="21">
        <v>0</v>
      </c>
      <c r="AE26" s="21">
        <v>0</v>
      </c>
      <c r="AF26" s="21">
        <v>0</v>
      </c>
      <c r="AG26" s="21">
        <v>0</v>
      </c>
      <c r="AH26" s="21">
        <v>0</v>
      </c>
      <c r="AI26" s="21">
        <v>0</v>
      </c>
      <c r="AJ26" s="21">
        <v>0</v>
      </c>
      <c r="AK26" s="21">
        <v>0</v>
      </c>
      <c r="AL26" s="21">
        <v>0</v>
      </c>
      <c r="AM26" s="21">
        <v>0</v>
      </c>
      <c r="AN26" s="21">
        <v>0</v>
      </c>
      <c r="AO26" s="21">
        <v>0</v>
      </c>
      <c r="AP26" s="21">
        <v>0</v>
      </c>
      <c r="AQ26" s="21">
        <v>0</v>
      </c>
      <c r="AR26" s="21">
        <v>0</v>
      </c>
      <c r="AS26" s="21">
        <v>0</v>
      </c>
      <c r="AT26" s="21">
        <v>0</v>
      </c>
      <c r="AU26" s="21">
        <v>0</v>
      </c>
      <c r="AV26" s="21">
        <v>0</v>
      </c>
      <c r="AW26" s="21">
        <v>0</v>
      </c>
      <c r="AX26" s="21">
        <v>0</v>
      </c>
      <c r="AY26" s="21">
        <v>0</v>
      </c>
      <c r="AZ26" s="21">
        <v>0</v>
      </c>
      <c r="BA26" s="21">
        <v>0</v>
      </c>
      <c r="BB26" s="21">
        <v>0</v>
      </c>
      <c r="BC26" s="21">
        <v>0</v>
      </c>
      <c r="BD26" s="21">
        <v>0</v>
      </c>
      <c r="BE26" s="21">
        <v>0</v>
      </c>
      <c r="BF26" s="21">
        <v>0</v>
      </c>
      <c r="BG26" s="21">
        <v>0</v>
      </c>
      <c r="BH26" s="21">
        <v>0</v>
      </c>
      <c r="BI26" s="21">
        <v>0</v>
      </c>
      <c r="BJ26" s="21">
        <v>0</v>
      </c>
      <c r="BK26" s="21">
        <v>0</v>
      </c>
      <c r="BL26" s="21">
        <v>0</v>
      </c>
      <c r="BM26" s="21">
        <v>0</v>
      </c>
      <c r="BN26" s="21">
        <v>0</v>
      </c>
      <c r="BO26" s="21">
        <v>0</v>
      </c>
      <c r="BP26" s="21">
        <v>0</v>
      </c>
      <c r="BQ26" s="21">
        <v>0</v>
      </c>
      <c r="BR26" s="21">
        <v>0</v>
      </c>
      <c r="BS26" s="21">
        <v>0</v>
      </c>
      <c r="BT26" s="21">
        <v>0</v>
      </c>
      <c r="BU26" s="21">
        <v>0</v>
      </c>
      <c r="BV26" s="21">
        <v>0</v>
      </c>
      <c r="BW26" s="21">
        <v>0</v>
      </c>
      <c r="BX26" s="21">
        <v>0</v>
      </c>
      <c r="BY26" s="21">
        <v>0</v>
      </c>
      <c r="BZ26" s="21">
        <v>0</v>
      </c>
      <c r="CA26" s="21">
        <v>0</v>
      </c>
      <c r="CB26" s="21">
        <v>0</v>
      </c>
      <c r="CC26" s="21">
        <v>0</v>
      </c>
      <c r="CD26" s="21">
        <v>0</v>
      </c>
      <c r="CE26" s="21">
        <v>0</v>
      </c>
      <c r="CF26" s="21">
        <v>0</v>
      </c>
      <c r="CG26" s="21">
        <v>0</v>
      </c>
      <c r="CH26" s="21">
        <v>0</v>
      </c>
      <c r="CI26" s="21">
        <v>0</v>
      </c>
      <c r="CJ26" s="21">
        <v>0</v>
      </c>
      <c r="CK26" s="21">
        <v>0</v>
      </c>
      <c r="CL26" s="21">
        <v>0</v>
      </c>
      <c r="CM26" s="21">
        <v>0</v>
      </c>
      <c r="CN26" s="21">
        <v>0</v>
      </c>
      <c r="CO26" s="21">
        <v>0</v>
      </c>
      <c r="CP26" s="21">
        <v>0</v>
      </c>
      <c r="CQ26" s="21">
        <v>0</v>
      </c>
      <c r="CR26" s="21">
        <v>0</v>
      </c>
      <c r="CS26" s="21">
        <v>0</v>
      </c>
      <c r="CT26" s="21">
        <v>0</v>
      </c>
      <c r="CU26" s="21">
        <v>0</v>
      </c>
      <c r="CV26" s="21">
        <v>0</v>
      </c>
      <c r="CW26" s="21">
        <v>0</v>
      </c>
      <c r="CX26" s="21">
        <v>0</v>
      </c>
      <c r="CY26" s="21">
        <v>0</v>
      </c>
      <c r="CZ26" s="21">
        <v>0</v>
      </c>
      <c r="DA26" s="21">
        <v>0</v>
      </c>
      <c r="DB26" s="21">
        <v>0</v>
      </c>
      <c r="DC26" s="21">
        <v>0</v>
      </c>
      <c r="DD26" s="21">
        <v>0</v>
      </c>
      <c r="DE26" s="21">
        <v>0</v>
      </c>
      <c r="DF26" s="21">
        <v>0</v>
      </c>
      <c r="DG26" s="21">
        <v>0</v>
      </c>
      <c r="DH26" s="74"/>
      <c r="DJ26" s="67"/>
      <c r="DL26" s="67"/>
    </row>
    <row r="27" spans="1:117">
      <c r="A27" s="19" t="s">
        <v>185</v>
      </c>
      <c r="B27" s="19" t="s">
        <v>190</v>
      </c>
      <c r="C27" s="19" t="s">
        <v>187</v>
      </c>
      <c r="D27" s="20">
        <f t="shared" si="0"/>
        <v>2</v>
      </c>
      <c r="E27" s="21">
        <v>1</v>
      </c>
      <c r="F27" s="21">
        <v>0</v>
      </c>
      <c r="G27" s="21">
        <v>1</v>
      </c>
      <c r="H27" s="21">
        <v>0</v>
      </c>
      <c r="I27" s="21">
        <v>0</v>
      </c>
      <c r="J27" s="21">
        <v>0</v>
      </c>
      <c r="K27" s="21">
        <v>0</v>
      </c>
      <c r="L27" s="21">
        <v>0</v>
      </c>
      <c r="M27" s="21">
        <v>0</v>
      </c>
      <c r="N27" s="21">
        <v>0</v>
      </c>
      <c r="O27" s="21">
        <v>0</v>
      </c>
      <c r="P27" s="21">
        <v>0</v>
      </c>
      <c r="Q27" s="21">
        <v>0</v>
      </c>
      <c r="R27" s="21">
        <v>0</v>
      </c>
      <c r="S27" s="21">
        <v>0</v>
      </c>
      <c r="T27" s="21">
        <v>0</v>
      </c>
      <c r="U27" s="21">
        <v>0</v>
      </c>
      <c r="V27" s="21">
        <v>0</v>
      </c>
      <c r="W27" s="21">
        <v>0</v>
      </c>
      <c r="X27" s="21">
        <v>0</v>
      </c>
      <c r="Y27" s="21">
        <v>0</v>
      </c>
      <c r="Z27" s="21">
        <v>0</v>
      </c>
      <c r="AA27" s="21">
        <v>0</v>
      </c>
      <c r="AB27" s="21">
        <v>0</v>
      </c>
      <c r="AC27" s="21">
        <v>0</v>
      </c>
      <c r="AD27" s="21">
        <v>0</v>
      </c>
      <c r="AE27" s="21">
        <v>0</v>
      </c>
      <c r="AF27" s="21">
        <v>0</v>
      </c>
      <c r="AG27" s="21">
        <v>0</v>
      </c>
      <c r="AH27" s="21">
        <v>0</v>
      </c>
      <c r="AI27" s="21">
        <v>0</v>
      </c>
      <c r="AJ27" s="21">
        <v>0</v>
      </c>
      <c r="AK27" s="21">
        <v>0</v>
      </c>
      <c r="AL27" s="21">
        <v>0</v>
      </c>
      <c r="AM27" s="21">
        <v>0</v>
      </c>
      <c r="AN27" s="21">
        <v>0</v>
      </c>
      <c r="AO27" s="21">
        <v>0</v>
      </c>
      <c r="AP27" s="21">
        <v>0</v>
      </c>
      <c r="AQ27" s="21">
        <v>0</v>
      </c>
      <c r="AR27" s="21">
        <v>0</v>
      </c>
      <c r="AS27" s="21">
        <v>0</v>
      </c>
      <c r="AT27" s="21">
        <v>0</v>
      </c>
      <c r="AU27" s="21">
        <v>0</v>
      </c>
      <c r="AV27" s="21">
        <v>0</v>
      </c>
      <c r="AW27" s="21">
        <v>0</v>
      </c>
      <c r="AX27" s="21">
        <v>0</v>
      </c>
      <c r="AY27" s="21">
        <v>0</v>
      </c>
      <c r="AZ27" s="21">
        <v>0</v>
      </c>
      <c r="BA27" s="21">
        <v>0</v>
      </c>
      <c r="BB27" s="21">
        <v>0</v>
      </c>
      <c r="BC27" s="21">
        <v>0</v>
      </c>
      <c r="BD27" s="21">
        <v>0</v>
      </c>
      <c r="BE27" s="21">
        <v>0</v>
      </c>
      <c r="BF27" s="21">
        <v>0</v>
      </c>
      <c r="BG27" s="21">
        <v>0</v>
      </c>
      <c r="BH27" s="21">
        <v>0</v>
      </c>
      <c r="BI27" s="21">
        <v>0</v>
      </c>
      <c r="BJ27" s="21">
        <v>0</v>
      </c>
      <c r="BK27" s="21">
        <v>0</v>
      </c>
      <c r="BL27" s="21">
        <v>0</v>
      </c>
      <c r="BM27" s="21">
        <v>0</v>
      </c>
      <c r="BN27" s="21">
        <v>0</v>
      </c>
      <c r="BO27" s="21">
        <v>0</v>
      </c>
      <c r="BP27" s="21">
        <v>0</v>
      </c>
      <c r="BQ27" s="21">
        <v>0</v>
      </c>
      <c r="BR27" s="21">
        <v>0</v>
      </c>
      <c r="BS27" s="21">
        <v>0</v>
      </c>
      <c r="BT27" s="21">
        <v>0</v>
      </c>
      <c r="BU27" s="21">
        <v>0</v>
      </c>
      <c r="BV27" s="21">
        <v>0</v>
      </c>
      <c r="BW27" s="21">
        <v>0</v>
      </c>
      <c r="BX27" s="21">
        <v>0</v>
      </c>
      <c r="BY27" s="21">
        <v>0</v>
      </c>
      <c r="BZ27" s="21">
        <v>0</v>
      </c>
      <c r="CA27" s="21">
        <v>0</v>
      </c>
      <c r="CB27" s="21">
        <v>0</v>
      </c>
      <c r="CC27" s="21">
        <v>0</v>
      </c>
      <c r="CD27" s="21">
        <v>0</v>
      </c>
      <c r="CE27" s="21">
        <v>0</v>
      </c>
      <c r="CF27" s="21">
        <v>0</v>
      </c>
      <c r="CG27" s="21">
        <v>0</v>
      </c>
      <c r="CH27" s="21">
        <v>0</v>
      </c>
      <c r="CI27" s="21">
        <v>0</v>
      </c>
      <c r="CJ27" s="21">
        <v>0</v>
      </c>
      <c r="CK27" s="21">
        <v>0</v>
      </c>
      <c r="CL27" s="21">
        <v>0</v>
      </c>
      <c r="CM27" s="21">
        <v>0</v>
      </c>
      <c r="CN27" s="21">
        <v>0</v>
      </c>
      <c r="CO27" s="21">
        <v>0</v>
      </c>
      <c r="CP27" s="21">
        <v>0</v>
      </c>
      <c r="CQ27" s="21">
        <v>0</v>
      </c>
      <c r="CR27" s="21">
        <v>0</v>
      </c>
      <c r="CS27" s="21">
        <v>0</v>
      </c>
      <c r="CT27" s="21">
        <v>0</v>
      </c>
      <c r="CU27" s="21">
        <v>0</v>
      </c>
      <c r="CV27" s="21">
        <v>0</v>
      </c>
      <c r="CW27" s="21">
        <v>0</v>
      </c>
      <c r="CX27" s="21">
        <v>0</v>
      </c>
      <c r="CY27" s="21">
        <v>0</v>
      </c>
      <c r="CZ27" s="21">
        <v>0</v>
      </c>
      <c r="DA27" s="21">
        <v>0</v>
      </c>
      <c r="DB27" s="21">
        <v>0</v>
      </c>
      <c r="DC27" s="21">
        <v>0</v>
      </c>
      <c r="DD27" s="21">
        <v>0</v>
      </c>
      <c r="DE27" s="21">
        <v>0</v>
      </c>
      <c r="DF27" s="21">
        <v>0</v>
      </c>
      <c r="DG27" s="21">
        <v>0</v>
      </c>
      <c r="DH27" s="74"/>
      <c r="DJ27" s="67"/>
      <c r="DL27" s="67"/>
    </row>
    <row r="28" spans="1:117">
      <c r="A28" s="19" t="s">
        <v>191</v>
      </c>
      <c r="B28" s="19" t="s">
        <v>192</v>
      </c>
      <c r="C28" s="19" t="s">
        <v>193</v>
      </c>
      <c r="D28" s="20">
        <f t="shared" si="0"/>
        <v>3</v>
      </c>
      <c r="E28" s="21">
        <v>1</v>
      </c>
      <c r="F28" s="21">
        <v>0</v>
      </c>
      <c r="G28" s="21">
        <v>2</v>
      </c>
      <c r="H28" s="21">
        <v>0</v>
      </c>
      <c r="I28" s="21">
        <v>0</v>
      </c>
      <c r="J28" s="21">
        <v>0</v>
      </c>
      <c r="K28" s="21">
        <v>0</v>
      </c>
      <c r="L28" s="21">
        <v>0</v>
      </c>
      <c r="M28" s="21">
        <v>0</v>
      </c>
      <c r="N28" s="21">
        <v>0</v>
      </c>
      <c r="O28" s="21">
        <v>0</v>
      </c>
      <c r="P28" s="21">
        <v>0</v>
      </c>
      <c r="Q28" s="21">
        <v>0</v>
      </c>
      <c r="R28" s="21">
        <v>0</v>
      </c>
      <c r="S28" s="21">
        <v>0</v>
      </c>
      <c r="T28" s="21">
        <v>0</v>
      </c>
      <c r="U28" s="21">
        <v>0</v>
      </c>
      <c r="V28" s="21">
        <v>0</v>
      </c>
      <c r="W28" s="21">
        <v>0</v>
      </c>
      <c r="X28" s="21">
        <v>0</v>
      </c>
      <c r="Y28" s="21">
        <v>0</v>
      </c>
      <c r="Z28" s="21">
        <v>0</v>
      </c>
      <c r="AA28" s="21">
        <v>0</v>
      </c>
      <c r="AB28" s="21">
        <v>0</v>
      </c>
      <c r="AC28" s="21">
        <v>0</v>
      </c>
      <c r="AD28" s="21">
        <v>0</v>
      </c>
      <c r="AE28" s="21">
        <v>0</v>
      </c>
      <c r="AF28" s="21">
        <v>0</v>
      </c>
      <c r="AG28" s="21">
        <v>0</v>
      </c>
      <c r="AH28" s="21">
        <v>0</v>
      </c>
      <c r="AI28" s="21">
        <v>0</v>
      </c>
      <c r="AJ28" s="21">
        <v>0</v>
      </c>
      <c r="AK28" s="21">
        <v>0</v>
      </c>
      <c r="AL28" s="21">
        <v>0</v>
      </c>
      <c r="AM28" s="21">
        <v>0</v>
      </c>
      <c r="AN28" s="21">
        <v>0</v>
      </c>
      <c r="AO28" s="21">
        <v>0</v>
      </c>
      <c r="AP28" s="21">
        <v>0</v>
      </c>
      <c r="AQ28" s="21">
        <v>0</v>
      </c>
      <c r="AR28" s="21">
        <v>0</v>
      </c>
      <c r="AS28" s="21">
        <v>0</v>
      </c>
      <c r="AT28" s="21">
        <v>0</v>
      </c>
      <c r="AU28" s="21">
        <v>0</v>
      </c>
      <c r="AV28" s="21">
        <v>0</v>
      </c>
      <c r="AW28" s="21">
        <v>0</v>
      </c>
      <c r="AX28" s="21">
        <v>0</v>
      </c>
      <c r="AY28" s="21">
        <v>0</v>
      </c>
      <c r="AZ28" s="21">
        <v>0</v>
      </c>
      <c r="BA28" s="21">
        <v>0</v>
      </c>
      <c r="BB28" s="21">
        <v>0</v>
      </c>
      <c r="BC28" s="21">
        <v>0</v>
      </c>
      <c r="BD28" s="21">
        <v>0</v>
      </c>
      <c r="BE28" s="21">
        <v>0</v>
      </c>
      <c r="BF28" s="21">
        <v>0</v>
      </c>
      <c r="BG28" s="21">
        <v>0</v>
      </c>
      <c r="BH28" s="21">
        <v>0</v>
      </c>
      <c r="BI28" s="21">
        <v>0</v>
      </c>
      <c r="BJ28" s="21">
        <v>0</v>
      </c>
      <c r="BK28" s="21">
        <v>0</v>
      </c>
      <c r="BL28" s="21">
        <v>0</v>
      </c>
      <c r="BM28" s="21">
        <v>0</v>
      </c>
      <c r="BN28" s="21">
        <v>0</v>
      </c>
      <c r="BO28" s="21">
        <v>0</v>
      </c>
      <c r="BP28" s="21">
        <v>0</v>
      </c>
      <c r="BQ28" s="21">
        <v>0</v>
      </c>
      <c r="BR28" s="21">
        <v>0</v>
      </c>
      <c r="BS28" s="21">
        <v>0</v>
      </c>
      <c r="BT28" s="21">
        <v>0</v>
      </c>
      <c r="BU28" s="21">
        <v>0</v>
      </c>
      <c r="BV28" s="21">
        <v>0</v>
      </c>
      <c r="BW28" s="21">
        <v>0</v>
      </c>
      <c r="BX28" s="21">
        <v>0</v>
      </c>
      <c r="BY28" s="21">
        <v>0</v>
      </c>
      <c r="BZ28" s="21">
        <v>0</v>
      </c>
      <c r="CA28" s="21">
        <v>0</v>
      </c>
      <c r="CB28" s="21">
        <v>0</v>
      </c>
      <c r="CC28" s="21">
        <v>0</v>
      </c>
      <c r="CD28" s="21">
        <v>0</v>
      </c>
      <c r="CE28" s="21">
        <v>0</v>
      </c>
      <c r="CF28" s="21">
        <v>0</v>
      </c>
      <c r="CG28" s="21">
        <v>0</v>
      </c>
      <c r="CH28" s="21">
        <v>0</v>
      </c>
      <c r="CI28" s="21">
        <v>0</v>
      </c>
      <c r="CJ28" s="21">
        <v>0</v>
      </c>
      <c r="CK28" s="21">
        <v>0</v>
      </c>
      <c r="CL28" s="21">
        <v>0</v>
      </c>
      <c r="CM28" s="21">
        <v>0</v>
      </c>
      <c r="CN28" s="21">
        <v>0</v>
      </c>
      <c r="CO28" s="21">
        <v>0</v>
      </c>
      <c r="CP28" s="21">
        <v>0</v>
      </c>
      <c r="CQ28" s="21">
        <v>0</v>
      </c>
      <c r="CR28" s="21">
        <v>0</v>
      </c>
      <c r="CS28" s="21">
        <v>0</v>
      </c>
      <c r="CT28" s="21">
        <v>0</v>
      </c>
      <c r="CU28" s="21">
        <v>0</v>
      </c>
      <c r="CV28" s="21">
        <v>0</v>
      </c>
      <c r="CW28" s="21">
        <v>0</v>
      </c>
      <c r="CX28" s="21">
        <v>0</v>
      </c>
      <c r="CY28" s="21">
        <v>0</v>
      </c>
      <c r="CZ28" s="21">
        <v>0</v>
      </c>
      <c r="DA28" s="21">
        <v>0</v>
      </c>
      <c r="DB28" s="21">
        <v>0</v>
      </c>
      <c r="DC28" s="21">
        <v>0</v>
      </c>
      <c r="DD28" s="21">
        <v>0</v>
      </c>
      <c r="DE28" s="21">
        <v>0</v>
      </c>
      <c r="DF28" s="21">
        <v>0</v>
      </c>
      <c r="DG28" s="21">
        <v>0</v>
      </c>
      <c r="DH28" s="74"/>
      <c r="DJ28" s="67"/>
      <c r="DL28" s="67"/>
    </row>
    <row r="29" spans="1:117" ht="32.1">
      <c r="A29" s="19" t="s">
        <v>194</v>
      </c>
      <c r="B29" s="19" t="s">
        <v>195</v>
      </c>
      <c r="C29" s="19" t="s">
        <v>196</v>
      </c>
      <c r="D29" s="20">
        <f t="shared" si="0"/>
        <v>108181.18000000011</v>
      </c>
      <c r="E29" s="21">
        <v>23051.31</v>
      </c>
      <c r="F29" s="21">
        <v>14823.37</v>
      </c>
      <c r="G29" s="21">
        <v>2868.42</v>
      </c>
      <c r="H29" s="21">
        <v>749.91</v>
      </c>
      <c r="I29" s="21">
        <v>7021.65</v>
      </c>
      <c r="J29" s="21">
        <v>1899.89</v>
      </c>
      <c r="K29" s="21">
        <v>334.43</v>
      </c>
      <c r="L29" s="21">
        <v>736.36</v>
      </c>
      <c r="M29" s="21">
        <v>586.79999999999995</v>
      </c>
      <c r="N29" s="21">
        <v>91.44</v>
      </c>
      <c r="O29" s="21">
        <v>96.29</v>
      </c>
      <c r="P29" s="21">
        <v>0</v>
      </c>
      <c r="Q29" s="21">
        <v>186.35</v>
      </c>
      <c r="R29" s="21">
        <v>194.73</v>
      </c>
      <c r="S29" s="21">
        <v>3533.08</v>
      </c>
      <c r="T29" s="21">
        <v>880.28</v>
      </c>
      <c r="U29" s="21">
        <v>1920.29</v>
      </c>
      <c r="V29" s="21">
        <v>407.15</v>
      </c>
      <c r="W29" s="21">
        <v>1678.1</v>
      </c>
      <c r="X29" s="21">
        <v>390.8</v>
      </c>
      <c r="Y29" s="21">
        <v>188.55</v>
      </c>
      <c r="Z29" s="21">
        <v>0</v>
      </c>
      <c r="AA29" s="21">
        <v>1363.79</v>
      </c>
      <c r="AB29" s="21">
        <v>99.8</v>
      </c>
      <c r="AC29" s="21">
        <v>573.08000000000004</v>
      </c>
      <c r="AD29" s="21">
        <v>357.22</v>
      </c>
      <c r="AE29" s="21">
        <v>1262.3599999999999</v>
      </c>
      <c r="AF29" s="21">
        <v>67.209999999999994</v>
      </c>
      <c r="AG29" s="21">
        <v>316.77</v>
      </c>
      <c r="AH29" s="21">
        <v>2151.5700000000002</v>
      </c>
      <c r="AI29" s="21">
        <v>91.76</v>
      </c>
      <c r="AJ29" s="21">
        <v>346.6</v>
      </c>
      <c r="AK29" s="21">
        <v>376.99</v>
      </c>
      <c r="AL29" s="21">
        <v>286.88</v>
      </c>
      <c r="AM29" s="21">
        <v>350.16</v>
      </c>
      <c r="AN29" s="21">
        <v>354.02</v>
      </c>
      <c r="AO29" s="21">
        <v>156.6</v>
      </c>
      <c r="AP29" s="21">
        <v>76.69</v>
      </c>
      <c r="AQ29" s="21">
        <v>29.57</v>
      </c>
      <c r="AR29" s="21">
        <v>75.459999999999994</v>
      </c>
      <c r="AS29" s="21">
        <v>76.72</v>
      </c>
      <c r="AT29" s="21">
        <v>157.49</v>
      </c>
      <c r="AU29" s="21">
        <v>140.84</v>
      </c>
      <c r="AV29" s="21">
        <v>126.96</v>
      </c>
      <c r="AW29" s="21">
        <v>67.48</v>
      </c>
      <c r="AX29" s="21">
        <v>1337.9</v>
      </c>
      <c r="AY29" s="21">
        <v>1030.21</v>
      </c>
      <c r="AZ29" s="21">
        <v>150.46</v>
      </c>
      <c r="BA29" s="21">
        <v>0</v>
      </c>
      <c r="BB29" s="21">
        <v>1202.69</v>
      </c>
      <c r="BC29" s="21">
        <v>819.96</v>
      </c>
      <c r="BD29" s="21">
        <v>319.48</v>
      </c>
      <c r="BE29" s="21">
        <v>807.35</v>
      </c>
      <c r="BF29" s="21">
        <v>832.35</v>
      </c>
      <c r="BG29" s="21">
        <v>117.89</v>
      </c>
      <c r="BH29" s="21">
        <v>140.99</v>
      </c>
      <c r="BI29" s="21">
        <v>50.53</v>
      </c>
      <c r="BJ29" s="21">
        <v>418.82</v>
      </c>
      <c r="BK29" s="21">
        <v>411.97</v>
      </c>
      <c r="BL29" s="21">
        <v>226.3</v>
      </c>
      <c r="BM29" s="21">
        <v>89.63</v>
      </c>
      <c r="BN29" s="21">
        <v>331.73</v>
      </c>
      <c r="BO29" s="21">
        <v>652.65</v>
      </c>
      <c r="BP29" s="21">
        <v>111.81</v>
      </c>
      <c r="BQ29" s="21">
        <v>718.33</v>
      </c>
      <c r="BR29" s="21">
        <v>76.400000000000006</v>
      </c>
      <c r="BS29" s="21">
        <v>121.17</v>
      </c>
      <c r="BT29" s="21">
        <v>716.64</v>
      </c>
      <c r="BU29" s="21">
        <v>417.59</v>
      </c>
      <c r="BV29" s="21">
        <v>414.16</v>
      </c>
      <c r="BW29" s="21">
        <v>2117.83</v>
      </c>
      <c r="BX29" s="21">
        <v>345.97</v>
      </c>
      <c r="BY29" s="21">
        <v>312.18</v>
      </c>
      <c r="BZ29" s="21">
        <v>0</v>
      </c>
      <c r="CA29" s="21">
        <v>135.56</v>
      </c>
      <c r="CB29" s="21">
        <v>236.31</v>
      </c>
      <c r="CC29" s="21">
        <v>47.68</v>
      </c>
      <c r="CD29" s="21">
        <v>53.28</v>
      </c>
      <c r="CE29" s="21">
        <v>322.70999999999998</v>
      </c>
      <c r="CF29" s="21">
        <v>1989.1</v>
      </c>
      <c r="CG29" s="21">
        <v>743.92</v>
      </c>
      <c r="CH29" s="21">
        <v>346.58</v>
      </c>
      <c r="CI29" s="21">
        <v>603.71</v>
      </c>
      <c r="CJ29" s="21">
        <v>1026.6099999999999</v>
      </c>
      <c r="CK29" s="21">
        <v>173.67</v>
      </c>
      <c r="CL29" s="21">
        <v>778.41</v>
      </c>
      <c r="CM29" s="21">
        <v>1512.7</v>
      </c>
      <c r="CN29" s="21">
        <v>1065.83</v>
      </c>
      <c r="CO29" s="21">
        <v>619.16</v>
      </c>
      <c r="CP29" s="21">
        <v>811.75</v>
      </c>
      <c r="CQ29" s="21">
        <v>810.48</v>
      </c>
      <c r="CR29" s="21">
        <v>959.3</v>
      </c>
      <c r="CS29" s="21">
        <v>1490.21</v>
      </c>
      <c r="CT29" s="21">
        <v>2274.67</v>
      </c>
      <c r="CU29" s="21">
        <v>0</v>
      </c>
      <c r="CV29" s="21">
        <v>1431.15</v>
      </c>
      <c r="CW29" s="21">
        <v>468.66</v>
      </c>
      <c r="CX29" s="21">
        <v>0</v>
      </c>
      <c r="CY29" s="21">
        <v>2735.78</v>
      </c>
      <c r="CZ29" s="21">
        <v>0</v>
      </c>
      <c r="DA29" s="21">
        <v>0</v>
      </c>
      <c r="DB29" s="21">
        <v>122.91</v>
      </c>
      <c r="DC29" s="21">
        <v>127.11</v>
      </c>
      <c r="DD29" s="21">
        <v>0</v>
      </c>
      <c r="DE29" s="21">
        <v>1983.64</v>
      </c>
      <c r="DF29" s="21">
        <v>472.08</v>
      </c>
      <c r="DG29" s="21">
        <v>0</v>
      </c>
      <c r="DH29" s="74"/>
      <c r="DJ29" s="67"/>
      <c r="DL29" s="67"/>
    </row>
    <row r="30" spans="1:117">
      <c r="A30" s="19" t="s">
        <v>197</v>
      </c>
      <c r="B30" s="19" t="s">
        <v>198</v>
      </c>
      <c r="C30" s="19" t="s">
        <v>199</v>
      </c>
      <c r="D30" s="20">
        <f t="shared" si="0"/>
        <v>2714</v>
      </c>
      <c r="E30" s="21">
        <v>686</v>
      </c>
      <c r="F30" s="21">
        <v>361</v>
      </c>
      <c r="G30" s="21">
        <v>77</v>
      </c>
      <c r="H30" s="21">
        <v>40</v>
      </c>
      <c r="I30" s="21">
        <v>299</v>
      </c>
      <c r="J30" s="21">
        <v>87</v>
      </c>
      <c r="K30" s="21">
        <v>16</v>
      </c>
      <c r="L30" s="21">
        <v>30</v>
      </c>
      <c r="M30" s="21">
        <v>19</v>
      </c>
      <c r="N30" s="21">
        <v>0</v>
      </c>
      <c r="O30" s="21">
        <v>0</v>
      </c>
      <c r="P30" s="21">
        <v>0</v>
      </c>
      <c r="Q30" s="21">
        <v>0</v>
      </c>
      <c r="R30" s="21">
        <v>0</v>
      </c>
      <c r="S30" s="21">
        <v>153</v>
      </c>
      <c r="T30" s="21">
        <v>0</v>
      </c>
      <c r="U30" s="21">
        <v>0</v>
      </c>
      <c r="V30" s="21">
        <v>0</v>
      </c>
      <c r="W30" s="21">
        <v>83</v>
      </c>
      <c r="X30" s="21">
        <v>0</v>
      </c>
      <c r="Y30" s="21">
        <v>0</v>
      </c>
      <c r="Z30" s="21">
        <v>0</v>
      </c>
      <c r="AA30" s="21">
        <v>23</v>
      </c>
      <c r="AB30" s="21">
        <v>0</v>
      </c>
      <c r="AC30" s="21">
        <v>30</v>
      </c>
      <c r="AD30" s="21">
        <v>18</v>
      </c>
      <c r="AE30" s="21">
        <v>0</v>
      </c>
      <c r="AF30" s="21">
        <v>0</v>
      </c>
      <c r="AG30" s="21">
        <v>0</v>
      </c>
      <c r="AH30" s="21">
        <v>83</v>
      </c>
      <c r="AI30" s="21">
        <v>0</v>
      </c>
      <c r="AJ30" s="21">
        <v>3</v>
      </c>
      <c r="AK30" s="21">
        <v>0</v>
      </c>
      <c r="AL30" s="21">
        <v>0</v>
      </c>
      <c r="AM30" s="21">
        <v>0</v>
      </c>
      <c r="AN30" s="21">
        <v>23</v>
      </c>
      <c r="AO30" s="21">
        <v>0</v>
      </c>
      <c r="AP30" s="21">
        <v>0</v>
      </c>
      <c r="AQ30" s="21">
        <v>0</v>
      </c>
      <c r="AR30" s="21">
        <v>0</v>
      </c>
      <c r="AS30" s="21">
        <v>0</v>
      </c>
      <c r="AT30" s="21">
        <v>0</v>
      </c>
      <c r="AU30" s="21">
        <v>0</v>
      </c>
      <c r="AV30" s="21">
        <v>0</v>
      </c>
      <c r="AW30" s="21">
        <v>0</v>
      </c>
      <c r="AX30" s="21">
        <v>0</v>
      </c>
      <c r="AY30" s="21">
        <v>54</v>
      </c>
      <c r="AZ30" s="21">
        <v>0</v>
      </c>
      <c r="BA30" s="21">
        <v>0</v>
      </c>
      <c r="BB30" s="21">
        <v>96</v>
      </c>
      <c r="BC30" s="21">
        <v>66</v>
      </c>
      <c r="BD30" s="21">
        <v>0</v>
      </c>
      <c r="BE30" s="21">
        <v>0</v>
      </c>
      <c r="BF30" s="21">
        <v>0</v>
      </c>
      <c r="BG30" s="21">
        <v>0</v>
      </c>
      <c r="BH30" s="21">
        <v>0</v>
      </c>
      <c r="BI30" s="21">
        <v>0</v>
      </c>
      <c r="BJ30" s="21">
        <v>0</v>
      </c>
      <c r="BK30" s="21">
        <v>0</v>
      </c>
      <c r="BL30" s="21">
        <v>17</v>
      </c>
      <c r="BM30" s="21">
        <v>0</v>
      </c>
      <c r="BN30" s="21">
        <v>0</v>
      </c>
      <c r="BO30" s="21">
        <v>0</v>
      </c>
      <c r="BP30" s="21">
        <v>0</v>
      </c>
      <c r="BQ30" s="21">
        <v>0</v>
      </c>
      <c r="BR30" s="21">
        <v>0</v>
      </c>
      <c r="BS30" s="21">
        <v>0</v>
      </c>
      <c r="BT30" s="21">
        <v>50</v>
      </c>
      <c r="BU30" s="21">
        <v>0</v>
      </c>
      <c r="BV30" s="21">
        <v>0</v>
      </c>
      <c r="BW30" s="21">
        <v>0</v>
      </c>
      <c r="BX30" s="21">
        <v>0</v>
      </c>
      <c r="BY30" s="21">
        <v>0</v>
      </c>
      <c r="BZ30" s="21">
        <v>0</v>
      </c>
      <c r="CA30" s="21">
        <v>0</v>
      </c>
      <c r="CB30" s="21">
        <v>0</v>
      </c>
      <c r="CC30" s="21">
        <v>0</v>
      </c>
      <c r="CD30" s="21">
        <v>34</v>
      </c>
      <c r="CE30" s="21">
        <v>19</v>
      </c>
      <c r="CF30" s="21">
        <v>90</v>
      </c>
      <c r="CG30" s="21">
        <v>66</v>
      </c>
      <c r="CH30" s="21">
        <v>0</v>
      </c>
      <c r="CI30" s="21">
        <v>30</v>
      </c>
      <c r="CJ30" s="21">
        <v>51</v>
      </c>
      <c r="CK30" s="21">
        <v>5</v>
      </c>
      <c r="CL30" s="21">
        <v>0</v>
      </c>
      <c r="CM30" s="21">
        <v>0</v>
      </c>
      <c r="CN30" s="21">
        <v>0</v>
      </c>
      <c r="CO30" s="21">
        <v>0</v>
      </c>
      <c r="CP30" s="21">
        <v>0</v>
      </c>
      <c r="CQ30" s="21">
        <v>0</v>
      </c>
      <c r="CR30" s="21">
        <v>0</v>
      </c>
      <c r="CS30" s="21">
        <v>0</v>
      </c>
      <c r="CT30" s="21">
        <v>90</v>
      </c>
      <c r="CU30" s="21">
        <v>0</v>
      </c>
      <c r="CV30" s="21">
        <v>0</v>
      </c>
      <c r="CW30" s="21">
        <v>0</v>
      </c>
      <c r="CX30" s="21">
        <v>0</v>
      </c>
      <c r="CY30" s="21">
        <v>0</v>
      </c>
      <c r="CZ30" s="21">
        <v>0</v>
      </c>
      <c r="DA30" s="21">
        <v>0</v>
      </c>
      <c r="DB30" s="21">
        <v>0</v>
      </c>
      <c r="DC30" s="21">
        <v>0</v>
      </c>
      <c r="DD30" s="21">
        <v>0</v>
      </c>
      <c r="DE30" s="21">
        <v>15</v>
      </c>
      <c r="DF30" s="21">
        <v>0</v>
      </c>
      <c r="DG30" s="21">
        <v>0</v>
      </c>
      <c r="DH30" s="74"/>
      <c r="DJ30" s="67"/>
      <c r="DL30" s="67"/>
    </row>
    <row r="31" spans="1:117">
      <c r="A31" s="19" t="s">
        <v>200</v>
      </c>
      <c r="B31" s="19" t="s">
        <v>201</v>
      </c>
      <c r="C31" s="19" t="s">
        <v>202</v>
      </c>
      <c r="D31" s="20">
        <f t="shared" si="0"/>
        <v>180</v>
      </c>
      <c r="E31" s="21">
        <v>153</v>
      </c>
      <c r="F31" s="21">
        <v>1</v>
      </c>
      <c r="G31" s="21">
        <v>0</v>
      </c>
      <c r="H31" s="21">
        <v>0</v>
      </c>
      <c r="I31" s="21">
        <v>0</v>
      </c>
      <c r="J31" s="21">
        <v>0</v>
      </c>
      <c r="K31" s="21">
        <v>0</v>
      </c>
      <c r="L31" s="21">
        <v>0</v>
      </c>
      <c r="M31" s="21">
        <v>0</v>
      </c>
      <c r="N31" s="21">
        <v>0</v>
      </c>
      <c r="O31" s="21">
        <v>0</v>
      </c>
      <c r="P31" s="21">
        <v>0</v>
      </c>
      <c r="Q31" s="21">
        <v>0</v>
      </c>
      <c r="R31" s="21">
        <v>0</v>
      </c>
      <c r="S31" s="21">
        <v>0</v>
      </c>
      <c r="T31" s="21">
        <v>0</v>
      </c>
      <c r="U31" s="21">
        <v>0</v>
      </c>
      <c r="V31" s="21">
        <v>0</v>
      </c>
      <c r="W31" s="21">
        <v>0</v>
      </c>
      <c r="X31" s="21">
        <v>0</v>
      </c>
      <c r="Y31" s="21">
        <v>0</v>
      </c>
      <c r="Z31" s="21">
        <v>0</v>
      </c>
      <c r="AA31" s="21">
        <v>0</v>
      </c>
      <c r="AB31" s="21">
        <v>0</v>
      </c>
      <c r="AC31" s="21">
        <v>0</v>
      </c>
      <c r="AD31" s="21">
        <v>0</v>
      </c>
      <c r="AE31" s="21">
        <v>0</v>
      </c>
      <c r="AF31" s="21">
        <v>0</v>
      </c>
      <c r="AG31" s="21">
        <v>0</v>
      </c>
      <c r="AH31" s="21">
        <v>0</v>
      </c>
      <c r="AI31" s="21">
        <v>0</v>
      </c>
      <c r="AJ31" s="21">
        <v>0</v>
      </c>
      <c r="AK31" s="21">
        <v>0</v>
      </c>
      <c r="AL31" s="21">
        <v>0</v>
      </c>
      <c r="AM31" s="21">
        <v>0</v>
      </c>
      <c r="AN31" s="21">
        <v>0</v>
      </c>
      <c r="AO31" s="21">
        <v>0</v>
      </c>
      <c r="AP31" s="21">
        <v>0</v>
      </c>
      <c r="AQ31" s="21">
        <v>0</v>
      </c>
      <c r="AR31" s="21">
        <v>0</v>
      </c>
      <c r="AS31" s="21">
        <v>0</v>
      </c>
      <c r="AT31" s="21">
        <v>0</v>
      </c>
      <c r="AU31" s="21">
        <v>0</v>
      </c>
      <c r="AV31" s="21">
        <v>0</v>
      </c>
      <c r="AW31" s="21">
        <v>0</v>
      </c>
      <c r="AX31" s="21">
        <v>0</v>
      </c>
      <c r="AY31" s="21">
        <v>0</v>
      </c>
      <c r="AZ31" s="21">
        <v>0</v>
      </c>
      <c r="BA31" s="21">
        <v>0</v>
      </c>
      <c r="BB31" s="21">
        <v>0</v>
      </c>
      <c r="BC31" s="21">
        <v>0</v>
      </c>
      <c r="BD31" s="21">
        <v>0</v>
      </c>
      <c r="BE31" s="21">
        <v>0</v>
      </c>
      <c r="BF31" s="21">
        <v>0</v>
      </c>
      <c r="BG31" s="21">
        <v>0</v>
      </c>
      <c r="BH31" s="21">
        <v>0</v>
      </c>
      <c r="BI31" s="21">
        <v>0</v>
      </c>
      <c r="BJ31" s="21">
        <v>0</v>
      </c>
      <c r="BK31" s="21">
        <v>0</v>
      </c>
      <c r="BL31" s="21">
        <v>0</v>
      </c>
      <c r="BM31" s="21">
        <v>0</v>
      </c>
      <c r="BN31" s="21">
        <v>0</v>
      </c>
      <c r="BO31" s="21">
        <v>0</v>
      </c>
      <c r="BP31" s="21">
        <v>0</v>
      </c>
      <c r="BQ31" s="21">
        <v>0</v>
      </c>
      <c r="BR31" s="21">
        <v>0</v>
      </c>
      <c r="BS31" s="21">
        <v>0</v>
      </c>
      <c r="BT31" s="21">
        <v>0</v>
      </c>
      <c r="BU31" s="21">
        <v>0</v>
      </c>
      <c r="BV31" s="21">
        <v>0</v>
      </c>
      <c r="BW31" s="21">
        <v>0</v>
      </c>
      <c r="BX31" s="21">
        <v>0</v>
      </c>
      <c r="BY31" s="21">
        <v>0</v>
      </c>
      <c r="BZ31" s="21">
        <v>0</v>
      </c>
      <c r="CA31" s="21">
        <v>0</v>
      </c>
      <c r="CB31" s="21">
        <v>0</v>
      </c>
      <c r="CC31" s="21">
        <v>0</v>
      </c>
      <c r="CD31" s="21">
        <v>0</v>
      </c>
      <c r="CE31" s="21">
        <v>0</v>
      </c>
      <c r="CF31" s="21">
        <v>0</v>
      </c>
      <c r="CG31" s="21">
        <v>0</v>
      </c>
      <c r="CH31" s="21">
        <v>0</v>
      </c>
      <c r="CI31" s="21">
        <v>0</v>
      </c>
      <c r="CJ31" s="21">
        <v>0</v>
      </c>
      <c r="CK31" s="21">
        <v>25</v>
      </c>
      <c r="CL31" s="21">
        <v>0</v>
      </c>
      <c r="CM31" s="21">
        <v>0</v>
      </c>
      <c r="CN31" s="21">
        <v>0</v>
      </c>
      <c r="CO31" s="21">
        <v>0</v>
      </c>
      <c r="CP31" s="21">
        <v>0</v>
      </c>
      <c r="CQ31" s="21">
        <v>0</v>
      </c>
      <c r="CR31" s="21">
        <v>0</v>
      </c>
      <c r="CS31" s="21">
        <v>0</v>
      </c>
      <c r="CT31" s="21">
        <v>0</v>
      </c>
      <c r="CU31" s="21">
        <v>0</v>
      </c>
      <c r="CV31" s="21">
        <v>0</v>
      </c>
      <c r="CW31" s="21">
        <v>0</v>
      </c>
      <c r="CX31" s="21">
        <v>0</v>
      </c>
      <c r="CY31" s="21">
        <v>0</v>
      </c>
      <c r="CZ31" s="21">
        <v>1</v>
      </c>
      <c r="DA31" s="21">
        <v>0</v>
      </c>
      <c r="DB31" s="21">
        <v>0</v>
      </c>
      <c r="DC31" s="21">
        <v>0</v>
      </c>
      <c r="DD31" s="21">
        <v>0</v>
      </c>
      <c r="DE31" s="21">
        <v>0</v>
      </c>
      <c r="DF31" s="21">
        <v>0</v>
      </c>
      <c r="DG31" s="21">
        <v>0</v>
      </c>
      <c r="DH31" s="74"/>
      <c r="DJ31" s="67"/>
      <c r="DL31" s="67"/>
    </row>
    <row r="32" spans="1:117">
      <c r="A32" s="19" t="s">
        <v>203</v>
      </c>
      <c r="B32" s="19" t="s">
        <v>204</v>
      </c>
      <c r="C32" s="19" t="s">
        <v>205</v>
      </c>
      <c r="D32" s="20">
        <f t="shared" si="0"/>
        <v>1629</v>
      </c>
      <c r="E32" s="21">
        <v>165</v>
      </c>
      <c r="F32" s="21">
        <v>136</v>
      </c>
      <c r="G32" s="21">
        <v>28</v>
      </c>
      <c r="H32" s="21">
        <v>3</v>
      </c>
      <c r="I32" s="21">
        <v>67</v>
      </c>
      <c r="J32" s="21">
        <v>23</v>
      </c>
      <c r="K32" s="21">
        <v>3</v>
      </c>
      <c r="L32" s="21">
        <v>0</v>
      </c>
      <c r="M32" s="21">
        <v>11</v>
      </c>
      <c r="N32" s="21">
        <v>1</v>
      </c>
      <c r="O32" s="21">
        <v>1</v>
      </c>
      <c r="P32" s="21">
        <v>26</v>
      </c>
      <c r="Q32" s="21">
        <v>51</v>
      </c>
      <c r="R32" s="21">
        <v>0</v>
      </c>
      <c r="S32" s="21">
        <v>16</v>
      </c>
      <c r="T32" s="21">
        <v>40</v>
      </c>
      <c r="U32" s="21">
        <v>87</v>
      </c>
      <c r="V32" s="21">
        <v>15</v>
      </c>
      <c r="W32" s="21">
        <v>6</v>
      </c>
      <c r="X32" s="21">
        <v>14</v>
      </c>
      <c r="Y32" s="21">
        <v>12</v>
      </c>
      <c r="Z32" s="21">
        <v>25</v>
      </c>
      <c r="AA32" s="21">
        <v>39</v>
      </c>
      <c r="AB32" s="21">
        <v>0</v>
      </c>
      <c r="AC32" s="21">
        <v>1</v>
      </c>
      <c r="AD32" s="21">
        <v>81</v>
      </c>
      <c r="AE32" s="21">
        <v>62</v>
      </c>
      <c r="AF32" s="21">
        <v>3</v>
      </c>
      <c r="AG32" s="21">
        <v>27</v>
      </c>
      <c r="AH32" s="21">
        <v>24</v>
      </c>
      <c r="AI32" s="21">
        <v>6</v>
      </c>
      <c r="AJ32" s="21">
        <v>0</v>
      </c>
      <c r="AK32" s="21">
        <v>7</v>
      </c>
      <c r="AL32" s="21">
        <v>14</v>
      </c>
      <c r="AM32" s="21">
        <v>16</v>
      </c>
      <c r="AN32" s="21">
        <v>0</v>
      </c>
      <c r="AO32" s="21">
        <v>4</v>
      </c>
      <c r="AP32" s="21">
        <v>2</v>
      </c>
      <c r="AQ32" s="21">
        <v>1</v>
      </c>
      <c r="AR32" s="21">
        <v>1</v>
      </c>
      <c r="AS32" s="21">
        <v>1</v>
      </c>
      <c r="AT32" s="21">
        <v>6</v>
      </c>
      <c r="AU32" s="21">
        <v>2</v>
      </c>
      <c r="AV32" s="21">
        <v>4</v>
      </c>
      <c r="AW32" s="21">
        <v>2</v>
      </c>
      <c r="AX32" s="21">
        <v>77</v>
      </c>
      <c r="AY32" s="21">
        <v>5</v>
      </c>
      <c r="AZ32" s="21">
        <v>0</v>
      </c>
      <c r="BA32" s="21">
        <v>1</v>
      </c>
      <c r="BB32" s="21">
        <v>1</v>
      </c>
      <c r="BC32" s="21">
        <v>4</v>
      </c>
      <c r="BD32" s="21">
        <v>12</v>
      </c>
      <c r="BE32" s="21">
        <v>0</v>
      </c>
      <c r="BF32" s="21">
        <v>12</v>
      </c>
      <c r="BG32" s="21">
        <v>0</v>
      </c>
      <c r="BH32" s="21">
        <v>0</v>
      </c>
      <c r="BI32" s="21">
        <v>0</v>
      </c>
      <c r="BJ32" s="21">
        <v>25</v>
      </c>
      <c r="BK32" s="21">
        <v>5</v>
      </c>
      <c r="BL32" s="21">
        <v>0</v>
      </c>
      <c r="BM32" s="21">
        <v>0</v>
      </c>
      <c r="BN32" s="21">
        <v>18</v>
      </c>
      <c r="BO32" s="21">
        <v>14</v>
      </c>
      <c r="BP32" s="21">
        <v>0</v>
      </c>
      <c r="BQ32" s="21">
        <v>44</v>
      </c>
      <c r="BR32" s="21">
        <v>0</v>
      </c>
      <c r="BS32" s="21">
        <v>0</v>
      </c>
      <c r="BT32" s="21">
        <v>17</v>
      </c>
      <c r="BU32" s="21">
        <v>3</v>
      </c>
      <c r="BV32" s="21">
        <v>6</v>
      </c>
      <c r="BW32" s="21">
        <v>98</v>
      </c>
      <c r="BX32" s="21">
        <v>0</v>
      </c>
      <c r="BY32" s="21">
        <v>0</v>
      </c>
      <c r="BZ32" s="21">
        <v>0</v>
      </c>
      <c r="CA32" s="21">
        <v>10</v>
      </c>
      <c r="CB32" s="21">
        <v>2</v>
      </c>
      <c r="CC32" s="21">
        <v>0</v>
      </c>
      <c r="CD32" s="21">
        <v>0</v>
      </c>
      <c r="CE32" s="21">
        <v>11</v>
      </c>
      <c r="CF32" s="21">
        <v>5</v>
      </c>
      <c r="CG32" s="21">
        <v>1</v>
      </c>
      <c r="CH32" s="21">
        <v>0</v>
      </c>
      <c r="CI32" s="21">
        <v>1</v>
      </c>
      <c r="CJ32" s="21">
        <v>2</v>
      </c>
      <c r="CK32" s="21">
        <v>29</v>
      </c>
      <c r="CL32" s="21">
        <v>8</v>
      </c>
      <c r="CM32" s="21">
        <v>1</v>
      </c>
      <c r="CN32" s="21">
        <v>0</v>
      </c>
      <c r="CO32" s="21">
        <v>0</v>
      </c>
      <c r="CP32" s="21">
        <v>3</v>
      </c>
      <c r="CQ32" s="21">
        <v>0</v>
      </c>
      <c r="CR32" s="21">
        <v>1</v>
      </c>
      <c r="CS32" s="21">
        <v>46</v>
      </c>
      <c r="CT32" s="21">
        <v>7</v>
      </c>
      <c r="CU32" s="21">
        <v>0</v>
      </c>
      <c r="CV32" s="21">
        <v>11</v>
      </c>
      <c r="CW32" s="21">
        <v>0</v>
      </c>
      <c r="CX32" s="21">
        <v>0</v>
      </c>
      <c r="CY32" s="21">
        <v>23</v>
      </c>
      <c r="CZ32" s="21">
        <v>0</v>
      </c>
      <c r="DA32" s="21">
        <v>0</v>
      </c>
      <c r="DB32" s="21">
        <v>4</v>
      </c>
      <c r="DC32" s="21">
        <v>6</v>
      </c>
      <c r="DD32" s="21">
        <v>0</v>
      </c>
      <c r="DE32" s="21">
        <v>64</v>
      </c>
      <c r="DF32" s="21">
        <v>19</v>
      </c>
      <c r="DG32" s="21">
        <v>0</v>
      </c>
      <c r="DH32" s="74"/>
      <c r="DJ32" s="67"/>
      <c r="DL32" s="67"/>
    </row>
    <row r="33" spans="1:117">
      <c r="A33" s="19" t="s">
        <v>206</v>
      </c>
      <c r="B33" s="19" t="s">
        <v>207</v>
      </c>
      <c r="C33" s="19" t="s">
        <v>208</v>
      </c>
      <c r="D33" s="20">
        <f t="shared" si="0"/>
        <v>145</v>
      </c>
      <c r="E33" s="21">
        <v>64</v>
      </c>
      <c r="F33" s="21">
        <v>31</v>
      </c>
      <c r="G33" s="21">
        <v>12</v>
      </c>
      <c r="H33" s="21">
        <v>1</v>
      </c>
      <c r="I33" s="21">
        <v>8</v>
      </c>
      <c r="J33" s="21">
        <v>4</v>
      </c>
      <c r="K33" s="21">
        <v>1</v>
      </c>
      <c r="L33" s="21">
        <v>0</v>
      </c>
      <c r="M33" s="21">
        <v>0</v>
      </c>
      <c r="N33" s="21">
        <v>0</v>
      </c>
      <c r="O33" s="21">
        <v>0</v>
      </c>
      <c r="P33" s="21">
        <v>0</v>
      </c>
      <c r="Q33" s="21">
        <v>0</v>
      </c>
      <c r="R33" s="21">
        <v>0</v>
      </c>
      <c r="S33" s="21">
        <v>1</v>
      </c>
      <c r="T33" s="21">
        <v>0</v>
      </c>
      <c r="U33" s="21">
        <v>3</v>
      </c>
      <c r="V33" s="21">
        <v>0</v>
      </c>
      <c r="W33" s="21">
        <v>1</v>
      </c>
      <c r="X33" s="21">
        <v>0</v>
      </c>
      <c r="Y33" s="21">
        <v>0</v>
      </c>
      <c r="Z33" s="21">
        <v>0</v>
      </c>
      <c r="AA33" s="21">
        <v>1</v>
      </c>
      <c r="AB33" s="21">
        <v>0</v>
      </c>
      <c r="AC33" s="21">
        <v>0</v>
      </c>
      <c r="AD33" s="21">
        <v>0</v>
      </c>
      <c r="AE33" s="21">
        <v>0</v>
      </c>
      <c r="AF33" s="21">
        <v>0</v>
      </c>
      <c r="AG33" s="21">
        <v>0</v>
      </c>
      <c r="AH33" s="21">
        <v>0</v>
      </c>
      <c r="AI33" s="21">
        <v>0</v>
      </c>
      <c r="AJ33" s="21">
        <v>0</v>
      </c>
      <c r="AK33" s="21">
        <v>0</v>
      </c>
      <c r="AL33" s="21">
        <v>0</v>
      </c>
      <c r="AM33" s="21">
        <v>0</v>
      </c>
      <c r="AN33" s="21">
        <v>0</v>
      </c>
      <c r="AO33" s="21">
        <v>0</v>
      </c>
      <c r="AP33" s="21">
        <v>0</v>
      </c>
      <c r="AQ33" s="21">
        <v>0</v>
      </c>
      <c r="AR33" s="21">
        <v>0</v>
      </c>
      <c r="AS33" s="21">
        <v>0</v>
      </c>
      <c r="AT33" s="21">
        <v>0</v>
      </c>
      <c r="AU33" s="21">
        <v>0</v>
      </c>
      <c r="AV33" s="21">
        <v>0</v>
      </c>
      <c r="AW33" s="21">
        <v>0</v>
      </c>
      <c r="AX33" s="21">
        <v>0</v>
      </c>
      <c r="AY33" s="21">
        <v>2</v>
      </c>
      <c r="AZ33" s="21">
        <v>0</v>
      </c>
      <c r="BA33" s="21">
        <v>0</v>
      </c>
      <c r="BB33" s="21">
        <v>1</v>
      </c>
      <c r="BC33" s="21">
        <v>1</v>
      </c>
      <c r="BD33" s="21">
        <v>0</v>
      </c>
      <c r="BE33" s="21">
        <v>0</v>
      </c>
      <c r="BF33" s="21">
        <v>0</v>
      </c>
      <c r="BG33" s="21">
        <v>0</v>
      </c>
      <c r="BH33" s="21">
        <v>0</v>
      </c>
      <c r="BI33" s="21">
        <v>0</v>
      </c>
      <c r="BJ33" s="21">
        <v>0</v>
      </c>
      <c r="BK33" s="21">
        <v>1</v>
      </c>
      <c r="BL33" s="21">
        <v>0</v>
      </c>
      <c r="BM33" s="21">
        <v>0</v>
      </c>
      <c r="BN33" s="21">
        <v>0</v>
      </c>
      <c r="BO33" s="21">
        <v>0</v>
      </c>
      <c r="BP33" s="21">
        <v>0</v>
      </c>
      <c r="BQ33" s="21">
        <v>0</v>
      </c>
      <c r="BR33" s="21">
        <v>0</v>
      </c>
      <c r="BS33" s="21">
        <v>0</v>
      </c>
      <c r="BT33" s="21">
        <v>1</v>
      </c>
      <c r="BU33" s="21">
        <v>0</v>
      </c>
      <c r="BV33" s="21">
        <v>0</v>
      </c>
      <c r="BW33" s="21">
        <v>0</v>
      </c>
      <c r="BX33" s="21">
        <v>0</v>
      </c>
      <c r="BY33" s="21">
        <v>0</v>
      </c>
      <c r="BZ33" s="21">
        <v>0</v>
      </c>
      <c r="CA33" s="21">
        <v>0</v>
      </c>
      <c r="CB33" s="21">
        <v>0</v>
      </c>
      <c r="CC33" s="21">
        <v>0</v>
      </c>
      <c r="CD33" s="21">
        <v>0</v>
      </c>
      <c r="CE33" s="21">
        <v>0</v>
      </c>
      <c r="CF33" s="21">
        <v>1</v>
      </c>
      <c r="CG33" s="21">
        <v>0</v>
      </c>
      <c r="CH33" s="21">
        <v>1</v>
      </c>
      <c r="CI33" s="21">
        <v>0</v>
      </c>
      <c r="CJ33" s="21">
        <v>0</v>
      </c>
      <c r="CK33" s="21">
        <v>4</v>
      </c>
      <c r="CL33" s="21">
        <v>0</v>
      </c>
      <c r="CM33" s="21">
        <v>0</v>
      </c>
      <c r="CN33" s="21">
        <v>0</v>
      </c>
      <c r="CO33" s="21">
        <v>0</v>
      </c>
      <c r="CP33" s="21">
        <v>0</v>
      </c>
      <c r="CQ33" s="21">
        <v>0</v>
      </c>
      <c r="CR33" s="21">
        <v>2</v>
      </c>
      <c r="CS33" s="21">
        <v>0</v>
      </c>
      <c r="CT33" s="21">
        <v>4</v>
      </c>
      <c r="CU33" s="21">
        <v>0</v>
      </c>
      <c r="CV33" s="21">
        <v>0</v>
      </c>
      <c r="CW33" s="21">
        <v>0</v>
      </c>
      <c r="CX33" s="21">
        <v>0</v>
      </c>
      <c r="CY33" s="21">
        <v>0</v>
      </c>
      <c r="CZ33" s="21">
        <v>0</v>
      </c>
      <c r="DA33" s="21">
        <v>0</v>
      </c>
      <c r="DB33" s="21">
        <v>0</v>
      </c>
      <c r="DC33" s="21">
        <v>0</v>
      </c>
      <c r="DD33" s="21">
        <v>0</v>
      </c>
      <c r="DE33" s="21">
        <v>0</v>
      </c>
      <c r="DF33" s="21">
        <v>0</v>
      </c>
      <c r="DG33" s="21">
        <v>0</v>
      </c>
      <c r="DH33" s="74"/>
      <c r="DJ33" s="67"/>
      <c r="DL33" s="67"/>
    </row>
    <row r="34" spans="1:117">
      <c r="A34" s="19" t="s">
        <v>206</v>
      </c>
      <c r="B34" s="19" t="s">
        <v>209</v>
      </c>
      <c r="C34" s="19" t="s">
        <v>208</v>
      </c>
      <c r="D34" s="20">
        <f t="shared" si="0"/>
        <v>37</v>
      </c>
      <c r="E34" s="21">
        <v>18</v>
      </c>
      <c r="F34" s="21">
        <v>12</v>
      </c>
      <c r="G34" s="21">
        <v>2</v>
      </c>
      <c r="H34" s="21">
        <v>1</v>
      </c>
      <c r="I34" s="21">
        <v>2</v>
      </c>
      <c r="J34" s="21">
        <v>1</v>
      </c>
      <c r="K34" s="21">
        <v>0</v>
      </c>
      <c r="L34" s="21">
        <v>0</v>
      </c>
      <c r="M34" s="21">
        <v>0</v>
      </c>
      <c r="N34" s="21">
        <v>0</v>
      </c>
      <c r="O34" s="21">
        <v>0</v>
      </c>
      <c r="P34" s="21">
        <v>0</v>
      </c>
      <c r="Q34" s="21">
        <v>0</v>
      </c>
      <c r="R34" s="21">
        <v>0</v>
      </c>
      <c r="S34" s="21">
        <v>0</v>
      </c>
      <c r="T34" s="21">
        <v>0</v>
      </c>
      <c r="U34" s="21">
        <v>1</v>
      </c>
      <c r="V34" s="21">
        <v>0</v>
      </c>
      <c r="W34" s="21">
        <v>0</v>
      </c>
      <c r="X34" s="21">
        <v>0</v>
      </c>
      <c r="Y34" s="21">
        <v>0</v>
      </c>
      <c r="Z34" s="21">
        <v>0</v>
      </c>
      <c r="AA34" s="21">
        <v>0</v>
      </c>
      <c r="AB34" s="21">
        <v>0</v>
      </c>
      <c r="AC34" s="21">
        <v>0</v>
      </c>
      <c r="AD34" s="21">
        <v>0</v>
      </c>
      <c r="AE34" s="21">
        <v>0</v>
      </c>
      <c r="AF34" s="21">
        <v>0</v>
      </c>
      <c r="AG34" s="21">
        <v>0</v>
      </c>
      <c r="AH34" s="21">
        <v>0</v>
      </c>
      <c r="AI34" s="21">
        <v>0</v>
      </c>
      <c r="AJ34" s="21">
        <v>0</v>
      </c>
      <c r="AK34" s="21">
        <v>0</v>
      </c>
      <c r="AL34" s="21">
        <v>0</v>
      </c>
      <c r="AM34" s="21">
        <v>0</v>
      </c>
      <c r="AN34" s="21">
        <v>0</v>
      </c>
      <c r="AO34" s="21">
        <v>0</v>
      </c>
      <c r="AP34" s="21">
        <v>0</v>
      </c>
      <c r="AQ34" s="21">
        <v>0</v>
      </c>
      <c r="AR34" s="21">
        <v>0</v>
      </c>
      <c r="AS34" s="21">
        <v>0</v>
      </c>
      <c r="AT34" s="21">
        <v>0</v>
      </c>
      <c r="AU34" s="21">
        <v>0</v>
      </c>
      <c r="AV34" s="21">
        <v>0</v>
      </c>
      <c r="AW34" s="21">
        <v>0</v>
      </c>
      <c r="AX34" s="21">
        <v>0</v>
      </c>
      <c r="AY34" s="21">
        <v>0</v>
      </c>
      <c r="AZ34" s="21">
        <v>0</v>
      </c>
      <c r="BA34" s="21">
        <v>0</v>
      </c>
      <c r="BB34" s="21">
        <v>0</v>
      </c>
      <c r="BC34" s="21">
        <v>0</v>
      </c>
      <c r="BD34" s="21">
        <v>0</v>
      </c>
      <c r="BE34" s="21">
        <v>0</v>
      </c>
      <c r="BF34" s="21">
        <v>0</v>
      </c>
      <c r="BG34" s="21">
        <v>0</v>
      </c>
      <c r="BH34" s="21">
        <v>0</v>
      </c>
      <c r="BI34" s="21">
        <v>0</v>
      </c>
      <c r="BJ34" s="21">
        <v>0</v>
      </c>
      <c r="BK34" s="21">
        <v>0</v>
      </c>
      <c r="BL34" s="21">
        <v>0</v>
      </c>
      <c r="BM34" s="21">
        <v>0</v>
      </c>
      <c r="BN34" s="21">
        <v>0</v>
      </c>
      <c r="BO34" s="21">
        <v>0</v>
      </c>
      <c r="BP34" s="21">
        <v>0</v>
      </c>
      <c r="BQ34" s="21">
        <v>0</v>
      </c>
      <c r="BR34" s="21">
        <v>0</v>
      </c>
      <c r="BS34" s="21">
        <v>0</v>
      </c>
      <c r="BT34" s="21">
        <v>0</v>
      </c>
      <c r="BU34" s="21">
        <v>0</v>
      </c>
      <c r="BV34" s="21">
        <v>0</v>
      </c>
      <c r="BW34" s="21">
        <v>0</v>
      </c>
      <c r="BX34" s="21">
        <v>0</v>
      </c>
      <c r="BY34" s="21">
        <v>0</v>
      </c>
      <c r="BZ34" s="21">
        <v>0</v>
      </c>
      <c r="CA34" s="21">
        <v>0</v>
      </c>
      <c r="CB34" s="21">
        <v>0</v>
      </c>
      <c r="CC34" s="21">
        <v>0</v>
      </c>
      <c r="CD34" s="21">
        <v>0</v>
      </c>
      <c r="CE34" s="21">
        <v>0</v>
      </c>
      <c r="CF34" s="21">
        <v>0</v>
      </c>
      <c r="CG34" s="21">
        <v>0</v>
      </c>
      <c r="CH34" s="21">
        <v>0</v>
      </c>
      <c r="CI34" s="21">
        <v>0</v>
      </c>
      <c r="CJ34" s="21">
        <v>0</v>
      </c>
      <c r="CK34" s="21">
        <v>0</v>
      </c>
      <c r="CL34" s="21">
        <v>0</v>
      </c>
      <c r="CM34" s="21">
        <v>0</v>
      </c>
      <c r="CN34" s="21">
        <v>0</v>
      </c>
      <c r="CO34" s="21">
        <v>0</v>
      </c>
      <c r="CP34" s="21">
        <v>0</v>
      </c>
      <c r="CQ34" s="21">
        <v>0</v>
      </c>
      <c r="CR34" s="21">
        <v>0</v>
      </c>
      <c r="CS34" s="21">
        <v>0</v>
      </c>
      <c r="CT34" s="21">
        <v>0</v>
      </c>
      <c r="CU34" s="21">
        <v>0</v>
      </c>
      <c r="CV34" s="21">
        <v>0</v>
      </c>
      <c r="CW34" s="21">
        <v>0</v>
      </c>
      <c r="CX34" s="21">
        <v>0</v>
      </c>
      <c r="CY34" s="21">
        <v>0</v>
      </c>
      <c r="CZ34" s="21">
        <v>0</v>
      </c>
      <c r="DA34" s="21">
        <v>0</v>
      </c>
      <c r="DB34" s="21">
        <v>0</v>
      </c>
      <c r="DC34" s="21">
        <v>0</v>
      </c>
      <c r="DD34" s="21">
        <v>0</v>
      </c>
      <c r="DE34" s="21">
        <v>0</v>
      </c>
      <c r="DF34" s="21">
        <v>0</v>
      </c>
      <c r="DG34" s="21">
        <v>0</v>
      </c>
      <c r="DH34" s="74"/>
      <c r="DJ34" s="67"/>
      <c r="DL34" s="67"/>
    </row>
    <row r="35" spans="1:117" s="52" customFormat="1">
      <c r="A35" s="19" t="s">
        <v>210</v>
      </c>
      <c r="B35" s="19" t="s">
        <v>211</v>
      </c>
      <c r="C35" s="19" t="s">
        <v>212</v>
      </c>
      <c r="D35" s="20">
        <f t="shared" si="0"/>
        <v>688</v>
      </c>
      <c r="E35" s="21">
        <v>407</v>
      </c>
      <c r="F35" s="21">
        <v>131</v>
      </c>
      <c r="G35" s="21">
        <v>60</v>
      </c>
      <c r="H35" s="21">
        <v>6</v>
      </c>
      <c r="I35" s="21">
        <v>50</v>
      </c>
      <c r="J35" s="21">
        <v>24</v>
      </c>
      <c r="K35" s="21">
        <v>0</v>
      </c>
      <c r="L35" s="21">
        <v>0</v>
      </c>
      <c r="M35" s="21">
        <v>0</v>
      </c>
      <c r="N35" s="21">
        <v>0</v>
      </c>
      <c r="O35" s="21">
        <v>0</v>
      </c>
      <c r="P35" s="21">
        <v>0</v>
      </c>
      <c r="Q35" s="21">
        <v>0</v>
      </c>
      <c r="R35" s="21">
        <v>0</v>
      </c>
      <c r="S35" s="21">
        <v>0</v>
      </c>
      <c r="T35" s="21">
        <v>0</v>
      </c>
      <c r="U35" s="21">
        <v>10</v>
      </c>
      <c r="V35" s="21">
        <v>0</v>
      </c>
      <c r="W35" s="21">
        <v>0</v>
      </c>
      <c r="X35" s="21">
        <v>0</v>
      </c>
      <c r="Y35" s="21">
        <v>0</v>
      </c>
      <c r="Z35" s="21">
        <v>0</v>
      </c>
      <c r="AA35" s="21">
        <v>0</v>
      </c>
      <c r="AB35" s="21">
        <v>0</v>
      </c>
      <c r="AC35" s="21">
        <v>0</v>
      </c>
      <c r="AD35" s="21">
        <v>0</v>
      </c>
      <c r="AE35" s="21">
        <v>0</v>
      </c>
      <c r="AF35" s="21">
        <v>0</v>
      </c>
      <c r="AG35" s="21">
        <v>0</v>
      </c>
      <c r="AH35" s="21">
        <v>0</v>
      </c>
      <c r="AI35" s="21">
        <v>0</v>
      </c>
      <c r="AJ35" s="21">
        <v>0</v>
      </c>
      <c r="AK35" s="21">
        <v>0</v>
      </c>
      <c r="AL35" s="21">
        <v>0</v>
      </c>
      <c r="AM35" s="21">
        <v>0</v>
      </c>
      <c r="AN35" s="21">
        <v>0</v>
      </c>
      <c r="AO35" s="21">
        <v>0</v>
      </c>
      <c r="AP35" s="21">
        <v>0</v>
      </c>
      <c r="AQ35" s="21">
        <v>0</v>
      </c>
      <c r="AR35" s="21">
        <v>0</v>
      </c>
      <c r="AS35" s="21">
        <v>0</v>
      </c>
      <c r="AT35" s="21">
        <v>0</v>
      </c>
      <c r="AU35" s="21">
        <v>0</v>
      </c>
      <c r="AV35" s="21">
        <v>0</v>
      </c>
      <c r="AW35" s="21">
        <v>0</v>
      </c>
      <c r="AX35" s="21">
        <v>0</v>
      </c>
      <c r="AY35" s="21">
        <v>0</v>
      </c>
      <c r="AZ35" s="21">
        <v>0</v>
      </c>
      <c r="BA35" s="21">
        <v>0</v>
      </c>
      <c r="BB35" s="21">
        <v>0</v>
      </c>
      <c r="BC35" s="21">
        <v>0</v>
      </c>
      <c r="BD35" s="21">
        <v>0</v>
      </c>
      <c r="BE35" s="21">
        <v>0</v>
      </c>
      <c r="BF35" s="21">
        <v>0</v>
      </c>
      <c r="BG35" s="21">
        <v>0</v>
      </c>
      <c r="BH35" s="21">
        <v>0</v>
      </c>
      <c r="BI35" s="21">
        <v>0</v>
      </c>
      <c r="BJ35" s="21">
        <v>0</v>
      </c>
      <c r="BK35" s="21">
        <v>0</v>
      </c>
      <c r="BL35" s="21">
        <v>0</v>
      </c>
      <c r="BM35" s="21">
        <v>0</v>
      </c>
      <c r="BN35" s="21">
        <v>0</v>
      </c>
      <c r="BO35" s="21">
        <v>0</v>
      </c>
      <c r="BP35" s="21">
        <v>0</v>
      </c>
      <c r="BQ35" s="21">
        <v>0</v>
      </c>
      <c r="BR35" s="21">
        <v>0</v>
      </c>
      <c r="BS35" s="21">
        <v>0</v>
      </c>
      <c r="BT35" s="21">
        <v>0</v>
      </c>
      <c r="BU35" s="21">
        <v>0</v>
      </c>
      <c r="BV35" s="21">
        <v>0</v>
      </c>
      <c r="BW35" s="21">
        <v>0</v>
      </c>
      <c r="BX35" s="21">
        <v>0</v>
      </c>
      <c r="BY35" s="21">
        <v>0</v>
      </c>
      <c r="BZ35" s="21">
        <v>0</v>
      </c>
      <c r="CA35" s="21">
        <v>0</v>
      </c>
      <c r="CB35" s="21">
        <v>0</v>
      </c>
      <c r="CC35" s="21">
        <v>0</v>
      </c>
      <c r="CD35" s="21">
        <v>0</v>
      </c>
      <c r="CE35" s="21">
        <v>0</v>
      </c>
      <c r="CF35" s="21">
        <v>0</v>
      </c>
      <c r="CG35" s="21">
        <v>0</v>
      </c>
      <c r="CH35" s="21">
        <v>0</v>
      </c>
      <c r="CI35" s="21">
        <v>0</v>
      </c>
      <c r="CJ35" s="21">
        <v>0</v>
      </c>
      <c r="CK35" s="21">
        <v>0</v>
      </c>
      <c r="CL35" s="21">
        <v>0</v>
      </c>
      <c r="CM35" s="21">
        <v>0</v>
      </c>
      <c r="CN35" s="21">
        <v>0</v>
      </c>
      <c r="CO35" s="21">
        <v>0</v>
      </c>
      <c r="CP35" s="21">
        <v>0</v>
      </c>
      <c r="CQ35" s="21">
        <v>0</v>
      </c>
      <c r="CR35" s="21">
        <v>0</v>
      </c>
      <c r="CS35" s="21">
        <v>0</v>
      </c>
      <c r="CT35" s="21">
        <v>0</v>
      </c>
      <c r="CU35" s="21">
        <v>0</v>
      </c>
      <c r="CV35" s="21">
        <v>0</v>
      </c>
      <c r="CW35" s="21">
        <v>0</v>
      </c>
      <c r="CX35" s="21">
        <v>0</v>
      </c>
      <c r="CY35" s="21">
        <v>0</v>
      </c>
      <c r="CZ35" s="21">
        <v>0</v>
      </c>
      <c r="DA35" s="21">
        <v>0</v>
      </c>
      <c r="DB35" s="21">
        <v>0</v>
      </c>
      <c r="DC35" s="21">
        <v>0</v>
      </c>
      <c r="DD35" s="21">
        <v>0</v>
      </c>
      <c r="DE35" s="21">
        <v>0</v>
      </c>
      <c r="DF35" s="21">
        <v>0</v>
      </c>
      <c r="DG35" s="21">
        <v>0</v>
      </c>
      <c r="DH35" s="75"/>
      <c r="DI35" s="67"/>
      <c r="DJ35" s="67"/>
      <c r="DK35" s="50"/>
      <c r="DL35" s="67"/>
      <c r="DM35" s="50"/>
    </row>
    <row r="36" spans="1:117" ht="32.1">
      <c r="A36" s="19" t="s">
        <v>213</v>
      </c>
      <c r="B36" s="19" t="s">
        <v>214</v>
      </c>
      <c r="C36" s="19" t="s">
        <v>215</v>
      </c>
      <c r="D36" s="20">
        <f t="shared" si="0"/>
        <v>58917.740000000005</v>
      </c>
      <c r="E36" s="21">
        <v>25829.37</v>
      </c>
      <c r="F36" s="21">
        <v>11253</v>
      </c>
      <c r="G36" s="21">
        <v>5412.82</v>
      </c>
      <c r="H36" s="21">
        <v>843.55</v>
      </c>
      <c r="I36" s="21">
        <v>2649.1</v>
      </c>
      <c r="J36" s="21">
        <v>1183.3</v>
      </c>
      <c r="K36" s="21">
        <v>215.43</v>
      </c>
      <c r="L36" s="21">
        <v>0</v>
      </c>
      <c r="M36" s="21">
        <v>14.9</v>
      </c>
      <c r="N36" s="21">
        <v>0</v>
      </c>
      <c r="O36" s="21">
        <v>0</v>
      </c>
      <c r="P36" s="21">
        <v>0</v>
      </c>
      <c r="Q36" s="21">
        <v>0</v>
      </c>
      <c r="R36" s="21">
        <v>0</v>
      </c>
      <c r="S36" s="21">
        <v>406.56</v>
      </c>
      <c r="T36" s="21">
        <v>0</v>
      </c>
      <c r="U36" s="21">
        <v>663.99</v>
      </c>
      <c r="V36" s="21">
        <v>89.22</v>
      </c>
      <c r="W36" s="21">
        <v>12.58</v>
      </c>
      <c r="X36" s="21">
        <v>2.91</v>
      </c>
      <c r="Y36" s="21">
        <v>0</v>
      </c>
      <c r="Z36" s="21">
        <v>288.10000000000002</v>
      </c>
      <c r="AA36" s="21">
        <v>236.86</v>
      </c>
      <c r="AB36" s="21">
        <v>0</v>
      </c>
      <c r="AC36" s="21">
        <v>0</v>
      </c>
      <c r="AD36" s="21">
        <v>287.93</v>
      </c>
      <c r="AE36" s="21">
        <v>0</v>
      </c>
      <c r="AF36" s="21">
        <v>0</v>
      </c>
      <c r="AG36" s="21">
        <v>0</v>
      </c>
      <c r="AH36" s="21">
        <v>426.76</v>
      </c>
      <c r="AI36" s="21">
        <v>0</v>
      </c>
      <c r="AJ36" s="21">
        <v>0</v>
      </c>
      <c r="AK36" s="21">
        <v>0</v>
      </c>
      <c r="AL36" s="21">
        <v>0</v>
      </c>
      <c r="AM36" s="21">
        <v>0</v>
      </c>
      <c r="AN36" s="21">
        <v>0</v>
      </c>
      <c r="AO36" s="21">
        <v>2.96</v>
      </c>
      <c r="AP36" s="21">
        <v>0</v>
      </c>
      <c r="AQ36" s="21">
        <v>0</v>
      </c>
      <c r="AR36" s="21">
        <v>0</v>
      </c>
      <c r="AS36" s="21">
        <v>0</v>
      </c>
      <c r="AT36" s="21">
        <v>2.4300000000000002</v>
      </c>
      <c r="AU36" s="21">
        <v>6.75</v>
      </c>
      <c r="AV36" s="21">
        <v>0</v>
      </c>
      <c r="AW36" s="21">
        <v>0</v>
      </c>
      <c r="AX36" s="21">
        <v>122.38</v>
      </c>
      <c r="AY36" s="21">
        <v>633.4</v>
      </c>
      <c r="AZ36" s="21">
        <v>3.65</v>
      </c>
      <c r="BA36" s="21">
        <v>0</v>
      </c>
      <c r="BB36" s="21">
        <v>572.53</v>
      </c>
      <c r="BC36" s="21">
        <v>570.44000000000005</v>
      </c>
      <c r="BD36" s="21">
        <v>0</v>
      </c>
      <c r="BE36" s="21">
        <v>78.319999999999993</v>
      </c>
      <c r="BF36" s="21">
        <v>148.97999999999999</v>
      </c>
      <c r="BG36" s="21">
        <v>0</v>
      </c>
      <c r="BH36" s="21">
        <v>0</v>
      </c>
      <c r="BI36" s="21">
        <v>0</v>
      </c>
      <c r="BJ36" s="21">
        <v>0</v>
      </c>
      <c r="BK36" s="21">
        <v>77.94</v>
      </c>
      <c r="BL36" s="21">
        <v>196.27</v>
      </c>
      <c r="BM36" s="21">
        <v>0</v>
      </c>
      <c r="BN36" s="21">
        <v>0</v>
      </c>
      <c r="BO36" s="21">
        <v>0</v>
      </c>
      <c r="BP36" s="21">
        <v>106.59</v>
      </c>
      <c r="BQ36" s="21">
        <v>0</v>
      </c>
      <c r="BR36" s="21">
        <v>0</v>
      </c>
      <c r="BS36" s="21">
        <v>0</v>
      </c>
      <c r="BT36" s="21">
        <v>186.44</v>
      </c>
      <c r="BU36" s="21">
        <v>0</v>
      </c>
      <c r="BV36" s="21">
        <v>0</v>
      </c>
      <c r="BW36" s="21">
        <v>83.52</v>
      </c>
      <c r="BX36" s="21">
        <v>0</v>
      </c>
      <c r="BY36" s="21">
        <v>0</v>
      </c>
      <c r="BZ36" s="21">
        <v>0</v>
      </c>
      <c r="CA36" s="21">
        <v>0</v>
      </c>
      <c r="CB36" s="21">
        <v>0</v>
      </c>
      <c r="CC36" s="21">
        <v>0</v>
      </c>
      <c r="CD36" s="21">
        <v>589.48</v>
      </c>
      <c r="CE36" s="21">
        <v>102.89</v>
      </c>
      <c r="CF36" s="21">
        <v>340.29</v>
      </c>
      <c r="CG36" s="21">
        <v>35.15</v>
      </c>
      <c r="CH36" s="21">
        <v>319.33</v>
      </c>
      <c r="CI36" s="21">
        <v>930.73</v>
      </c>
      <c r="CJ36" s="21">
        <v>104.46</v>
      </c>
      <c r="CK36" s="21">
        <v>407.99</v>
      </c>
      <c r="CL36" s="21">
        <v>69</v>
      </c>
      <c r="CM36" s="21">
        <v>0</v>
      </c>
      <c r="CN36" s="21">
        <v>143.97</v>
      </c>
      <c r="CO36" s="21">
        <v>49.08</v>
      </c>
      <c r="CP36" s="21">
        <v>22.14</v>
      </c>
      <c r="CQ36" s="21">
        <v>40.799999999999997</v>
      </c>
      <c r="CR36" s="21">
        <v>980.06</v>
      </c>
      <c r="CS36" s="21">
        <v>50.77</v>
      </c>
      <c r="CT36" s="21">
        <v>1940.28</v>
      </c>
      <c r="CU36" s="21">
        <v>0</v>
      </c>
      <c r="CV36" s="21">
        <v>175.56</v>
      </c>
      <c r="CW36" s="21">
        <v>0</v>
      </c>
      <c r="CX36" s="21">
        <v>0</v>
      </c>
      <c r="CY36" s="21">
        <v>6.78</v>
      </c>
      <c r="CZ36" s="21">
        <v>0</v>
      </c>
      <c r="DA36" s="21">
        <v>0</v>
      </c>
      <c r="DB36" s="21">
        <v>0</v>
      </c>
      <c r="DC36" s="21">
        <v>0</v>
      </c>
      <c r="DD36" s="21">
        <v>0</v>
      </c>
      <c r="DE36" s="21">
        <v>0</v>
      </c>
      <c r="DF36" s="21">
        <v>0</v>
      </c>
      <c r="DG36" s="21">
        <v>0</v>
      </c>
      <c r="DH36" s="74"/>
      <c r="DJ36" s="67"/>
      <c r="DL36" s="67"/>
    </row>
    <row r="37" spans="1:117" s="52" customFormat="1" ht="32.1">
      <c r="A37" s="19" t="s">
        <v>216</v>
      </c>
      <c r="B37" s="19" t="s">
        <v>217</v>
      </c>
      <c r="C37" s="19" t="s">
        <v>218</v>
      </c>
      <c r="D37" s="20">
        <f t="shared" si="0"/>
        <v>0</v>
      </c>
      <c r="E37" s="21">
        <v>0</v>
      </c>
      <c r="F37" s="21">
        <v>0</v>
      </c>
      <c r="G37" s="21">
        <v>0</v>
      </c>
      <c r="H37" s="21">
        <v>0</v>
      </c>
      <c r="I37" s="21">
        <v>0</v>
      </c>
      <c r="J37" s="21">
        <v>0</v>
      </c>
      <c r="K37" s="21">
        <v>0</v>
      </c>
      <c r="L37" s="21">
        <v>0</v>
      </c>
      <c r="M37" s="21">
        <v>0</v>
      </c>
      <c r="N37" s="21">
        <v>0</v>
      </c>
      <c r="O37" s="21">
        <v>0</v>
      </c>
      <c r="P37" s="21">
        <v>0</v>
      </c>
      <c r="Q37" s="21">
        <v>0</v>
      </c>
      <c r="R37" s="21">
        <v>0</v>
      </c>
      <c r="S37" s="21">
        <v>0</v>
      </c>
      <c r="T37" s="21">
        <v>0</v>
      </c>
      <c r="U37" s="21">
        <v>0</v>
      </c>
      <c r="V37" s="21">
        <v>0</v>
      </c>
      <c r="W37" s="21">
        <v>0</v>
      </c>
      <c r="X37" s="21">
        <v>0</v>
      </c>
      <c r="Y37" s="21">
        <v>0</v>
      </c>
      <c r="Z37" s="21">
        <v>0</v>
      </c>
      <c r="AA37" s="21">
        <v>0</v>
      </c>
      <c r="AB37" s="21">
        <v>0</v>
      </c>
      <c r="AC37" s="21">
        <v>0</v>
      </c>
      <c r="AD37" s="21">
        <v>0</v>
      </c>
      <c r="AE37" s="21">
        <v>0</v>
      </c>
      <c r="AF37" s="21">
        <v>0</v>
      </c>
      <c r="AG37" s="21">
        <v>0</v>
      </c>
      <c r="AH37" s="21">
        <v>0</v>
      </c>
      <c r="AI37" s="21">
        <v>0</v>
      </c>
      <c r="AJ37" s="21">
        <v>0</v>
      </c>
      <c r="AK37" s="21">
        <v>0</v>
      </c>
      <c r="AL37" s="21">
        <v>0</v>
      </c>
      <c r="AM37" s="21">
        <v>0</v>
      </c>
      <c r="AN37" s="21">
        <v>0</v>
      </c>
      <c r="AO37" s="21">
        <v>0</v>
      </c>
      <c r="AP37" s="21">
        <v>0</v>
      </c>
      <c r="AQ37" s="21">
        <v>0</v>
      </c>
      <c r="AR37" s="21">
        <v>0</v>
      </c>
      <c r="AS37" s="21">
        <v>0</v>
      </c>
      <c r="AT37" s="21">
        <v>0</v>
      </c>
      <c r="AU37" s="21">
        <v>0</v>
      </c>
      <c r="AV37" s="21">
        <v>0</v>
      </c>
      <c r="AW37" s="21">
        <v>0</v>
      </c>
      <c r="AX37" s="21">
        <v>0</v>
      </c>
      <c r="AY37" s="21">
        <v>0</v>
      </c>
      <c r="AZ37" s="21">
        <v>0</v>
      </c>
      <c r="BA37" s="21">
        <v>0</v>
      </c>
      <c r="BB37" s="21">
        <v>0</v>
      </c>
      <c r="BC37" s="21">
        <v>0</v>
      </c>
      <c r="BD37" s="21">
        <v>0</v>
      </c>
      <c r="BE37" s="21">
        <v>0</v>
      </c>
      <c r="BF37" s="21">
        <v>0</v>
      </c>
      <c r="BG37" s="21">
        <v>0</v>
      </c>
      <c r="BH37" s="21">
        <v>0</v>
      </c>
      <c r="BI37" s="21">
        <v>0</v>
      </c>
      <c r="BJ37" s="21">
        <v>0</v>
      </c>
      <c r="BK37" s="21">
        <v>0</v>
      </c>
      <c r="BL37" s="21">
        <v>0</v>
      </c>
      <c r="BM37" s="21">
        <v>0</v>
      </c>
      <c r="BN37" s="21">
        <v>0</v>
      </c>
      <c r="BO37" s="21">
        <v>0</v>
      </c>
      <c r="BP37" s="21">
        <v>0</v>
      </c>
      <c r="BQ37" s="21">
        <v>0</v>
      </c>
      <c r="BR37" s="21">
        <v>0</v>
      </c>
      <c r="BS37" s="21">
        <v>0</v>
      </c>
      <c r="BT37" s="21">
        <v>0</v>
      </c>
      <c r="BU37" s="21">
        <v>0</v>
      </c>
      <c r="BV37" s="21">
        <v>0</v>
      </c>
      <c r="BW37" s="21">
        <v>0</v>
      </c>
      <c r="BX37" s="21">
        <v>0</v>
      </c>
      <c r="BY37" s="21">
        <v>0</v>
      </c>
      <c r="BZ37" s="21">
        <v>0</v>
      </c>
      <c r="CA37" s="21">
        <v>0</v>
      </c>
      <c r="CB37" s="21">
        <v>0</v>
      </c>
      <c r="CC37" s="21">
        <v>0</v>
      </c>
      <c r="CD37" s="21">
        <v>0</v>
      </c>
      <c r="CE37" s="21">
        <v>0</v>
      </c>
      <c r="CF37" s="21">
        <v>0</v>
      </c>
      <c r="CG37" s="21">
        <v>0</v>
      </c>
      <c r="CH37" s="21">
        <v>0</v>
      </c>
      <c r="CI37" s="21">
        <v>0</v>
      </c>
      <c r="CJ37" s="21">
        <v>0</v>
      </c>
      <c r="CK37" s="21">
        <v>0</v>
      </c>
      <c r="CL37" s="21">
        <v>0</v>
      </c>
      <c r="CM37" s="21">
        <v>0</v>
      </c>
      <c r="CN37" s="21">
        <v>0</v>
      </c>
      <c r="CO37" s="21">
        <v>0</v>
      </c>
      <c r="CP37" s="21">
        <v>0</v>
      </c>
      <c r="CQ37" s="21">
        <v>0</v>
      </c>
      <c r="CR37" s="21">
        <v>0</v>
      </c>
      <c r="CS37" s="21">
        <v>0</v>
      </c>
      <c r="CT37" s="21">
        <v>0</v>
      </c>
      <c r="CU37" s="21">
        <v>0</v>
      </c>
      <c r="CV37" s="21">
        <v>0</v>
      </c>
      <c r="CW37" s="21">
        <v>0</v>
      </c>
      <c r="CX37" s="21">
        <v>0</v>
      </c>
      <c r="CY37" s="21">
        <v>0</v>
      </c>
      <c r="CZ37" s="21">
        <v>0</v>
      </c>
      <c r="DA37" s="21">
        <v>0</v>
      </c>
      <c r="DB37" s="21">
        <v>0</v>
      </c>
      <c r="DC37" s="21">
        <v>0</v>
      </c>
      <c r="DD37" s="21">
        <v>0</v>
      </c>
      <c r="DE37" s="21">
        <v>0</v>
      </c>
      <c r="DF37" s="21">
        <v>0</v>
      </c>
      <c r="DG37" s="21">
        <v>0</v>
      </c>
      <c r="DH37" s="75"/>
      <c r="DI37" s="67"/>
      <c r="DJ37" s="67"/>
      <c r="DK37" s="50"/>
      <c r="DL37" s="67"/>
      <c r="DM37" s="50"/>
    </row>
    <row r="38" spans="1:117" s="52" customFormat="1" ht="48">
      <c r="A38" s="23" t="s">
        <v>216</v>
      </c>
      <c r="B38" s="19" t="s">
        <v>219</v>
      </c>
      <c r="C38" s="19" t="s">
        <v>218</v>
      </c>
      <c r="D38" s="20">
        <f t="shared" si="0"/>
        <v>0</v>
      </c>
      <c r="E38" s="21">
        <v>0</v>
      </c>
      <c r="F38" s="21">
        <v>0</v>
      </c>
      <c r="G38" s="21">
        <v>0</v>
      </c>
      <c r="H38" s="21">
        <v>0</v>
      </c>
      <c r="I38" s="21">
        <v>0</v>
      </c>
      <c r="J38" s="21">
        <v>0</v>
      </c>
      <c r="K38" s="21">
        <v>0</v>
      </c>
      <c r="L38" s="21">
        <v>0</v>
      </c>
      <c r="M38" s="21">
        <v>0</v>
      </c>
      <c r="N38" s="21">
        <v>0</v>
      </c>
      <c r="O38" s="21">
        <v>0</v>
      </c>
      <c r="P38" s="21">
        <v>0</v>
      </c>
      <c r="Q38" s="21">
        <v>0</v>
      </c>
      <c r="R38" s="21">
        <v>0</v>
      </c>
      <c r="S38" s="21">
        <v>0</v>
      </c>
      <c r="T38" s="21">
        <v>0</v>
      </c>
      <c r="U38" s="21">
        <v>0</v>
      </c>
      <c r="V38" s="21">
        <v>0</v>
      </c>
      <c r="W38" s="21">
        <v>0</v>
      </c>
      <c r="X38" s="21">
        <v>0</v>
      </c>
      <c r="Y38" s="21">
        <v>0</v>
      </c>
      <c r="Z38" s="21">
        <v>0</v>
      </c>
      <c r="AA38" s="21">
        <v>0</v>
      </c>
      <c r="AB38" s="21">
        <v>0</v>
      </c>
      <c r="AC38" s="21">
        <v>0</v>
      </c>
      <c r="AD38" s="21">
        <v>0</v>
      </c>
      <c r="AE38" s="21">
        <v>0</v>
      </c>
      <c r="AF38" s="21">
        <v>0</v>
      </c>
      <c r="AG38" s="21">
        <v>0</v>
      </c>
      <c r="AH38" s="21">
        <v>0</v>
      </c>
      <c r="AI38" s="21">
        <v>0</v>
      </c>
      <c r="AJ38" s="21">
        <v>0</v>
      </c>
      <c r="AK38" s="21">
        <v>0</v>
      </c>
      <c r="AL38" s="21">
        <v>0</v>
      </c>
      <c r="AM38" s="21">
        <v>0</v>
      </c>
      <c r="AN38" s="21">
        <v>0</v>
      </c>
      <c r="AO38" s="21">
        <v>0</v>
      </c>
      <c r="AP38" s="21">
        <v>0</v>
      </c>
      <c r="AQ38" s="21">
        <v>0</v>
      </c>
      <c r="AR38" s="21">
        <v>0</v>
      </c>
      <c r="AS38" s="21">
        <v>0</v>
      </c>
      <c r="AT38" s="21">
        <v>0</v>
      </c>
      <c r="AU38" s="21">
        <v>0</v>
      </c>
      <c r="AV38" s="21">
        <v>0</v>
      </c>
      <c r="AW38" s="21">
        <v>0</v>
      </c>
      <c r="AX38" s="21">
        <v>0</v>
      </c>
      <c r="AY38" s="21">
        <v>0</v>
      </c>
      <c r="AZ38" s="21">
        <v>0</v>
      </c>
      <c r="BA38" s="21">
        <v>0</v>
      </c>
      <c r="BB38" s="21">
        <v>0</v>
      </c>
      <c r="BC38" s="21">
        <v>0</v>
      </c>
      <c r="BD38" s="21">
        <v>0</v>
      </c>
      <c r="BE38" s="21">
        <v>0</v>
      </c>
      <c r="BF38" s="21">
        <v>0</v>
      </c>
      <c r="BG38" s="21">
        <v>0</v>
      </c>
      <c r="BH38" s="21">
        <v>0</v>
      </c>
      <c r="BI38" s="21">
        <v>0</v>
      </c>
      <c r="BJ38" s="21">
        <v>0</v>
      </c>
      <c r="BK38" s="21">
        <v>0</v>
      </c>
      <c r="BL38" s="21">
        <v>0</v>
      </c>
      <c r="BM38" s="21">
        <v>0</v>
      </c>
      <c r="BN38" s="21">
        <v>0</v>
      </c>
      <c r="BO38" s="21">
        <v>0</v>
      </c>
      <c r="BP38" s="21">
        <v>0</v>
      </c>
      <c r="BQ38" s="21">
        <v>0</v>
      </c>
      <c r="BR38" s="21">
        <v>0</v>
      </c>
      <c r="BS38" s="21">
        <v>0</v>
      </c>
      <c r="BT38" s="21">
        <v>0</v>
      </c>
      <c r="BU38" s="21">
        <v>0</v>
      </c>
      <c r="BV38" s="21">
        <v>0</v>
      </c>
      <c r="BW38" s="21">
        <v>0</v>
      </c>
      <c r="BX38" s="21">
        <v>0</v>
      </c>
      <c r="BY38" s="21">
        <v>0</v>
      </c>
      <c r="BZ38" s="21">
        <v>0</v>
      </c>
      <c r="CA38" s="21">
        <v>0</v>
      </c>
      <c r="CB38" s="21">
        <v>0</v>
      </c>
      <c r="CC38" s="21">
        <v>0</v>
      </c>
      <c r="CD38" s="21">
        <v>0</v>
      </c>
      <c r="CE38" s="21">
        <v>0</v>
      </c>
      <c r="CF38" s="21">
        <v>0</v>
      </c>
      <c r="CG38" s="21">
        <v>0</v>
      </c>
      <c r="CH38" s="21">
        <v>0</v>
      </c>
      <c r="CI38" s="21">
        <v>0</v>
      </c>
      <c r="CJ38" s="21">
        <v>0</v>
      </c>
      <c r="CK38" s="21">
        <v>0</v>
      </c>
      <c r="CL38" s="21">
        <v>0</v>
      </c>
      <c r="CM38" s="21">
        <v>0</v>
      </c>
      <c r="CN38" s="21">
        <v>0</v>
      </c>
      <c r="CO38" s="21">
        <v>0</v>
      </c>
      <c r="CP38" s="21">
        <v>0</v>
      </c>
      <c r="CQ38" s="21">
        <v>0</v>
      </c>
      <c r="CR38" s="21">
        <v>0</v>
      </c>
      <c r="CS38" s="21">
        <v>0</v>
      </c>
      <c r="CT38" s="21">
        <v>0</v>
      </c>
      <c r="CU38" s="21">
        <v>0</v>
      </c>
      <c r="CV38" s="21">
        <v>0</v>
      </c>
      <c r="CW38" s="21">
        <v>0</v>
      </c>
      <c r="CX38" s="21">
        <v>0</v>
      </c>
      <c r="CY38" s="21">
        <v>0</v>
      </c>
      <c r="CZ38" s="21">
        <v>0</v>
      </c>
      <c r="DA38" s="21">
        <v>0</v>
      </c>
      <c r="DB38" s="21">
        <v>0</v>
      </c>
      <c r="DC38" s="21">
        <v>0</v>
      </c>
      <c r="DD38" s="21">
        <v>0</v>
      </c>
      <c r="DE38" s="21">
        <v>0</v>
      </c>
      <c r="DF38" s="21">
        <v>0</v>
      </c>
      <c r="DG38" s="21">
        <v>0</v>
      </c>
      <c r="DH38" s="75"/>
      <c r="DI38" s="67"/>
      <c r="DJ38" s="67"/>
      <c r="DK38" s="50"/>
      <c r="DL38" s="67"/>
      <c r="DM38" s="50"/>
    </row>
    <row r="39" spans="1:117" s="52" customFormat="1" ht="48">
      <c r="A39" s="23" t="s">
        <v>216</v>
      </c>
      <c r="B39" s="19" t="s">
        <v>220</v>
      </c>
      <c r="C39" s="19" t="s">
        <v>218</v>
      </c>
      <c r="D39" s="20">
        <f t="shared" si="0"/>
        <v>0</v>
      </c>
      <c r="E39" s="21">
        <v>0</v>
      </c>
      <c r="F39" s="21">
        <v>0</v>
      </c>
      <c r="G39" s="21">
        <v>0</v>
      </c>
      <c r="H39" s="21">
        <v>0</v>
      </c>
      <c r="I39" s="21">
        <v>0</v>
      </c>
      <c r="J39" s="21">
        <v>0</v>
      </c>
      <c r="K39" s="21">
        <v>0</v>
      </c>
      <c r="L39" s="21">
        <v>0</v>
      </c>
      <c r="M39" s="21">
        <v>0</v>
      </c>
      <c r="N39" s="21">
        <v>0</v>
      </c>
      <c r="O39" s="21">
        <v>0</v>
      </c>
      <c r="P39" s="21">
        <v>0</v>
      </c>
      <c r="Q39" s="21">
        <v>0</v>
      </c>
      <c r="R39" s="21">
        <v>0</v>
      </c>
      <c r="S39" s="21">
        <v>0</v>
      </c>
      <c r="T39" s="21">
        <v>0</v>
      </c>
      <c r="U39" s="21">
        <v>0</v>
      </c>
      <c r="V39" s="21">
        <v>0</v>
      </c>
      <c r="W39" s="21">
        <v>0</v>
      </c>
      <c r="X39" s="21">
        <v>0</v>
      </c>
      <c r="Y39" s="21">
        <v>0</v>
      </c>
      <c r="Z39" s="21">
        <v>0</v>
      </c>
      <c r="AA39" s="21">
        <v>0</v>
      </c>
      <c r="AB39" s="21">
        <v>0</v>
      </c>
      <c r="AC39" s="21">
        <v>0</v>
      </c>
      <c r="AD39" s="21">
        <v>0</v>
      </c>
      <c r="AE39" s="21">
        <v>0</v>
      </c>
      <c r="AF39" s="21">
        <v>0</v>
      </c>
      <c r="AG39" s="21">
        <v>0</v>
      </c>
      <c r="AH39" s="21">
        <v>0</v>
      </c>
      <c r="AI39" s="21">
        <v>0</v>
      </c>
      <c r="AJ39" s="21">
        <v>0</v>
      </c>
      <c r="AK39" s="21">
        <v>0</v>
      </c>
      <c r="AL39" s="21">
        <v>0</v>
      </c>
      <c r="AM39" s="21">
        <v>0</v>
      </c>
      <c r="AN39" s="21">
        <v>0</v>
      </c>
      <c r="AO39" s="21">
        <v>0</v>
      </c>
      <c r="AP39" s="21">
        <v>0</v>
      </c>
      <c r="AQ39" s="21">
        <v>0</v>
      </c>
      <c r="AR39" s="21">
        <v>0</v>
      </c>
      <c r="AS39" s="21">
        <v>0</v>
      </c>
      <c r="AT39" s="21">
        <v>0</v>
      </c>
      <c r="AU39" s="21">
        <v>0</v>
      </c>
      <c r="AV39" s="21">
        <v>0</v>
      </c>
      <c r="AW39" s="21">
        <v>0</v>
      </c>
      <c r="AX39" s="21">
        <v>0</v>
      </c>
      <c r="AY39" s="21">
        <v>0</v>
      </c>
      <c r="AZ39" s="21">
        <v>0</v>
      </c>
      <c r="BA39" s="21">
        <v>0</v>
      </c>
      <c r="BB39" s="21">
        <v>0</v>
      </c>
      <c r="BC39" s="21">
        <v>0</v>
      </c>
      <c r="BD39" s="21">
        <v>0</v>
      </c>
      <c r="BE39" s="21">
        <v>0</v>
      </c>
      <c r="BF39" s="21">
        <v>0</v>
      </c>
      <c r="BG39" s="21">
        <v>0</v>
      </c>
      <c r="BH39" s="21">
        <v>0</v>
      </c>
      <c r="BI39" s="21">
        <v>0</v>
      </c>
      <c r="BJ39" s="21">
        <v>0</v>
      </c>
      <c r="BK39" s="21">
        <v>0</v>
      </c>
      <c r="BL39" s="21">
        <v>0</v>
      </c>
      <c r="BM39" s="21">
        <v>0</v>
      </c>
      <c r="BN39" s="21">
        <v>0</v>
      </c>
      <c r="BO39" s="21">
        <v>0</v>
      </c>
      <c r="BP39" s="21">
        <v>0</v>
      </c>
      <c r="BQ39" s="21">
        <v>0</v>
      </c>
      <c r="BR39" s="21">
        <v>0</v>
      </c>
      <c r="BS39" s="21">
        <v>0</v>
      </c>
      <c r="BT39" s="21">
        <v>0</v>
      </c>
      <c r="BU39" s="21">
        <v>0</v>
      </c>
      <c r="BV39" s="21">
        <v>0</v>
      </c>
      <c r="BW39" s="21">
        <v>0</v>
      </c>
      <c r="BX39" s="21">
        <v>0</v>
      </c>
      <c r="BY39" s="21">
        <v>0</v>
      </c>
      <c r="BZ39" s="21">
        <v>0</v>
      </c>
      <c r="CA39" s="21">
        <v>0</v>
      </c>
      <c r="CB39" s="21">
        <v>0</v>
      </c>
      <c r="CC39" s="21">
        <v>0</v>
      </c>
      <c r="CD39" s="21">
        <v>0</v>
      </c>
      <c r="CE39" s="21">
        <v>0</v>
      </c>
      <c r="CF39" s="21">
        <v>0</v>
      </c>
      <c r="CG39" s="21">
        <v>0</v>
      </c>
      <c r="CH39" s="21">
        <v>0</v>
      </c>
      <c r="CI39" s="21">
        <v>0</v>
      </c>
      <c r="CJ39" s="21">
        <v>0</v>
      </c>
      <c r="CK39" s="21">
        <v>0</v>
      </c>
      <c r="CL39" s="21">
        <v>0</v>
      </c>
      <c r="CM39" s="21">
        <v>0</v>
      </c>
      <c r="CN39" s="21">
        <v>0</v>
      </c>
      <c r="CO39" s="21">
        <v>0</v>
      </c>
      <c r="CP39" s="21">
        <v>0</v>
      </c>
      <c r="CQ39" s="21">
        <v>0</v>
      </c>
      <c r="CR39" s="21">
        <v>0</v>
      </c>
      <c r="CS39" s="21">
        <v>0</v>
      </c>
      <c r="CT39" s="21">
        <v>0</v>
      </c>
      <c r="CU39" s="21">
        <v>0</v>
      </c>
      <c r="CV39" s="21">
        <v>0</v>
      </c>
      <c r="CW39" s="21">
        <v>0</v>
      </c>
      <c r="CX39" s="21">
        <v>0</v>
      </c>
      <c r="CY39" s="21">
        <v>0</v>
      </c>
      <c r="CZ39" s="21">
        <v>0</v>
      </c>
      <c r="DA39" s="21">
        <v>0</v>
      </c>
      <c r="DB39" s="21">
        <v>0</v>
      </c>
      <c r="DC39" s="21">
        <v>0</v>
      </c>
      <c r="DD39" s="21">
        <v>0</v>
      </c>
      <c r="DE39" s="21">
        <v>0</v>
      </c>
      <c r="DF39" s="21">
        <v>0</v>
      </c>
      <c r="DG39" s="21">
        <v>0</v>
      </c>
      <c r="DH39" s="75"/>
      <c r="DI39" s="67"/>
      <c r="DJ39" s="67"/>
      <c r="DK39" s="50"/>
      <c r="DL39" s="67"/>
      <c r="DM39" s="50"/>
    </row>
    <row r="40" spans="1:117" s="52" customFormat="1" ht="32.1">
      <c r="A40" s="23"/>
      <c r="B40" s="19" t="s">
        <v>221</v>
      </c>
      <c r="C40" s="19" t="s">
        <v>222</v>
      </c>
      <c r="D40" s="20">
        <f t="shared" si="0"/>
        <v>2</v>
      </c>
      <c r="E40" s="21">
        <v>1</v>
      </c>
      <c r="F40" s="21">
        <v>1</v>
      </c>
      <c r="G40" s="21">
        <v>0</v>
      </c>
      <c r="H40" s="21">
        <v>0</v>
      </c>
      <c r="I40" s="21">
        <v>0</v>
      </c>
      <c r="J40" s="21">
        <v>0</v>
      </c>
      <c r="K40" s="21">
        <v>0</v>
      </c>
      <c r="L40" s="21">
        <v>0</v>
      </c>
      <c r="M40" s="21">
        <v>0</v>
      </c>
      <c r="N40" s="21">
        <v>0</v>
      </c>
      <c r="O40" s="21">
        <v>0</v>
      </c>
      <c r="P40" s="21">
        <v>0</v>
      </c>
      <c r="Q40" s="21">
        <v>0</v>
      </c>
      <c r="R40" s="21">
        <v>0</v>
      </c>
      <c r="S40" s="21">
        <v>0</v>
      </c>
      <c r="T40" s="21">
        <v>0</v>
      </c>
      <c r="U40" s="21">
        <v>0</v>
      </c>
      <c r="V40" s="21">
        <v>0</v>
      </c>
      <c r="W40" s="21">
        <v>0</v>
      </c>
      <c r="X40" s="21">
        <v>0</v>
      </c>
      <c r="Y40" s="21">
        <v>0</v>
      </c>
      <c r="Z40" s="21">
        <v>0</v>
      </c>
      <c r="AA40" s="21">
        <v>0</v>
      </c>
      <c r="AB40" s="21">
        <v>0</v>
      </c>
      <c r="AC40" s="21">
        <v>0</v>
      </c>
      <c r="AD40" s="21">
        <v>0</v>
      </c>
      <c r="AE40" s="21">
        <v>0</v>
      </c>
      <c r="AF40" s="21">
        <v>0</v>
      </c>
      <c r="AG40" s="21">
        <v>0</v>
      </c>
      <c r="AH40" s="21">
        <v>0</v>
      </c>
      <c r="AI40" s="21">
        <v>0</v>
      </c>
      <c r="AJ40" s="21">
        <v>0</v>
      </c>
      <c r="AK40" s="21">
        <v>0</v>
      </c>
      <c r="AL40" s="21">
        <v>0</v>
      </c>
      <c r="AM40" s="21">
        <v>0</v>
      </c>
      <c r="AN40" s="21">
        <v>0</v>
      </c>
      <c r="AO40" s="21">
        <v>0</v>
      </c>
      <c r="AP40" s="21">
        <v>0</v>
      </c>
      <c r="AQ40" s="21">
        <v>0</v>
      </c>
      <c r="AR40" s="21">
        <v>0</v>
      </c>
      <c r="AS40" s="21">
        <v>0</v>
      </c>
      <c r="AT40" s="21">
        <v>0</v>
      </c>
      <c r="AU40" s="21">
        <v>0</v>
      </c>
      <c r="AV40" s="21">
        <v>0</v>
      </c>
      <c r="AW40" s="21">
        <v>0</v>
      </c>
      <c r="AX40" s="21">
        <v>0</v>
      </c>
      <c r="AY40" s="21">
        <v>0</v>
      </c>
      <c r="AZ40" s="21">
        <v>0</v>
      </c>
      <c r="BA40" s="21">
        <v>0</v>
      </c>
      <c r="BB40" s="21">
        <v>0</v>
      </c>
      <c r="BC40" s="21">
        <v>0</v>
      </c>
      <c r="BD40" s="21">
        <v>0</v>
      </c>
      <c r="BE40" s="21">
        <v>0</v>
      </c>
      <c r="BF40" s="21">
        <v>0</v>
      </c>
      <c r="BG40" s="21">
        <v>0</v>
      </c>
      <c r="BH40" s="21">
        <v>0</v>
      </c>
      <c r="BI40" s="21">
        <v>0</v>
      </c>
      <c r="BJ40" s="21">
        <v>0</v>
      </c>
      <c r="BK40" s="21">
        <v>0</v>
      </c>
      <c r="BL40" s="21">
        <v>0</v>
      </c>
      <c r="BM40" s="21">
        <v>0</v>
      </c>
      <c r="BN40" s="21">
        <v>0</v>
      </c>
      <c r="BO40" s="21">
        <v>0</v>
      </c>
      <c r="BP40" s="21">
        <v>0</v>
      </c>
      <c r="BQ40" s="21">
        <v>0</v>
      </c>
      <c r="BR40" s="21">
        <v>0</v>
      </c>
      <c r="BS40" s="21">
        <v>0</v>
      </c>
      <c r="BT40" s="21">
        <v>0</v>
      </c>
      <c r="BU40" s="21">
        <v>0</v>
      </c>
      <c r="BV40" s="21">
        <v>0</v>
      </c>
      <c r="BW40" s="21">
        <v>0</v>
      </c>
      <c r="BX40" s="21">
        <v>0</v>
      </c>
      <c r="BY40" s="21">
        <v>0</v>
      </c>
      <c r="BZ40" s="21">
        <v>0</v>
      </c>
      <c r="CA40" s="21">
        <v>0</v>
      </c>
      <c r="CB40" s="21">
        <v>0</v>
      </c>
      <c r="CC40" s="21">
        <v>0</v>
      </c>
      <c r="CD40" s="21">
        <v>0</v>
      </c>
      <c r="CE40" s="21">
        <v>0</v>
      </c>
      <c r="CF40" s="21">
        <v>0</v>
      </c>
      <c r="CG40" s="21">
        <v>0</v>
      </c>
      <c r="CH40" s="21">
        <v>0</v>
      </c>
      <c r="CI40" s="21">
        <v>0</v>
      </c>
      <c r="CJ40" s="21">
        <v>0</v>
      </c>
      <c r="CK40" s="21">
        <v>0</v>
      </c>
      <c r="CL40" s="21">
        <v>0</v>
      </c>
      <c r="CM40" s="21">
        <v>0</v>
      </c>
      <c r="CN40" s="21">
        <v>0</v>
      </c>
      <c r="CO40" s="21">
        <v>0</v>
      </c>
      <c r="CP40" s="21">
        <v>0</v>
      </c>
      <c r="CQ40" s="21">
        <v>0</v>
      </c>
      <c r="CR40" s="21">
        <v>0</v>
      </c>
      <c r="CS40" s="21">
        <v>0</v>
      </c>
      <c r="CT40" s="21">
        <v>0</v>
      </c>
      <c r="CU40" s="21">
        <v>0</v>
      </c>
      <c r="CV40" s="21">
        <v>0</v>
      </c>
      <c r="CW40" s="21">
        <v>0</v>
      </c>
      <c r="CX40" s="21">
        <v>0</v>
      </c>
      <c r="CY40" s="21">
        <v>0</v>
      </c>
      <c r="CZ40" s="21">
        <v>0</v>
      </c>
      <c r="DA40" s="21">
        <v>0</v>
      </c>
      <c r="DB40" s="21">
        <v>0</v>
      </c>
      <c r="DC40" s="21">
        <v>0</v>
      </c>
      <c r="DD40" s="21">
        <v>0</v>
      </c>
      <c r="DE40" s="21">
        <v>0</v>
      </c>
      <c r="DF40" s="21">
        <v>0</v>
      </c>
      <c r="DG40" s="21">
        <v>0</v>
      </c>
      <c r="DH40" s="75"/>
      <c r="DI40" s="67"/>
      <c r="DJ40" s="67"/>
      <c r="DK40" s="50"/>
      <c r="DL40" s="67"/>
      <c r="DM40" s="50"/>
    </row>
    <row r="41" spans="1:117" s="52" customFormat="1">
      <c r="A41" s="23" t="s">
        <v>223</v>
      </c>
      <c r="B41" s="19" t="s">
        <v>224</v>
      </c>
      <c r="C41" s="19" t="s">
        <v>225</v>
      </c>
      <c r="D41" s="20">
        <f t="shared" si="0"/>
        <v>0</v>
      </c>
      <c r="E41" s="21">
        <v>0</v>
      </c>
      <c r="F41" s="21">
        <v>0</v>
      </c>
      <c r="G41" s="21">
        <v>0</v>
      </c>
      <c r="H41" s="21">
        <v>0</v>
      </c>
      <c r="I41" s="21">
        <v>0</v>
      </c>
      <c r="J41" s="21">
        <v>0</v>
      </c>
      <c r="K41" s="21">
        <v>0</v>
      </c>
      <c r="L41" s="21">
        <v>0</v>
      </c>
      <c r="M41" s="21">
        <v>0</v>
      </c>
      <c r="N41" s="21">
        <v>0</v>
      </c>
      <c r="O41" s="21">
        <v>0</v>
      </c>
      <c r="P41" s="21">
        <v>0</v>
      </c>
      <c r="Q41" s="21">
        <v>0</v>
      </c>
      <c r="R41" s="21">
        <v>0</v>
      </c>
      <c r="S41" s="21">
        <v>0</v>
      </c>
      <c r="T41" s="21">
        <v>0</v>
      </c>
      <c r="U41" s="21">
        <v>0</v>
      </c>
      <c r="V41" s="21">
        <v>0</v>
      </c>
      <c r="W41" s="21">
        <v>0</v>
      </c>
      <c r="X41" s="21">
        <v>0</v>
      </c>
      <c r="Y41" s="21">
        <v>0</v>
      </c>
      <c r="Z41" s="21">
        <v>0</v>
      </c>
      <c r="AA41" s="21">
        <v>0</v>
      </c>
      <c r="AB41" s="21">
        <v>0</v>
      </c>
      <c r="AC41" s="21">
        <v>0</v>
      </c>
      <c r="AD41" s="21">
        <v>0</v>
      </c>
      <c r="AE41" s="21">
        <v>0</v>
      </c>
      <c r="AF41" s="21">
        <v>0</v>
      </c>
      <c r="AG41" s="21">
        <v>0</v>
      </c>
      <c r="AH41" s="21">
        <v>0</v>
      </c>
      <c r="AI41" s="21">
        <v>0</v>
      </c>
      <c r="AJ41" s="21">
        <v>0</v>
      </c>
      <c r="AK41" s="21">
        <v>0</v>
      </c>
      <c r="AL41" s="21">
        <v>0</v>
      </c>
      <c r="AM41" s="21">
        <v>0</v>
      </c>
      <c r="AN41" s="21">
        <v>0</v>
      </c>
      <c r="AO41" s="21">
        <v>0</v>
      </c>
      <c r="AP41" s="21">
        <v>0</v>
      </c>
      <c r="AQ41" s="21">
        <v>0</v>
      </c>
      <c r="AR41" s="21">
        <v>0</v>
      </c>
      <c r="AS41" s="21">
        <v>0</v>
      </c>
      <c r="AT41" s="21">
        <v>0</v>
      </c>
      <c r="AU41" s="21">
        <v>0</v>
      </c>
      <c r="AV41" s="21">
        <v>0</v>
      </c>
      <c r="AW41" s="21">
        <v>0</v>
      </c>
      <c r="AX41" s="21">
        <v>0</v>
      </c>
      <c r="AY41" s="21">
        <v>0</v>
      </c>
      <c r="AZ41" s="21">
        <v>0</v>
      </c>
      <c r="BA41" s="21">
        <v>0</v>
      </c>
      <c r="BB41" s="21">
        <v>0</v>
      </c>
      <c r="BC41" s="21">
        <v>0</v>
      </c>
      <c r="BD41" s="21">
        <v>0</v>
      </c>
      <c r="BE41" s="21">
        <v>0</v>
      </c>
      <c r="BF41" s="21">
        <v>0</v>
      </c>
      <c r="BG41" s="21">
        <v>0</v>
      </c>
      <c r="BH41" s="21">
        <v>0</v>
      </c>
      <c r="BI41" s="21">
        <v>0</v>
      </c>
      <c r="BJ41" s="21">
        <v>0</v>
      </c>
      <c r="BK41" s="21">
        <v>0</v>
      </c>
      <c r="BL41" s="21">
        <v>0</v>
      </c>
      <c r="BM41" s="21">
        <v>0</v>
      </c>
      <c r="BN41" s="21">
        <v>0</v>
      </c>
      <c r="BO41" s="21">
        <v>0</v>
      </c>
      <c r="BP41" s="21">
        <v>0</v>
      </c>
      <c r="BQ41" s="21">
        <v>0</v>
      </c>
      <c r="BR41" s="21">
        <v>0</v>
      </c>
      <c r="BS41" s="21">
        <v>0</v>
      </c>
      <c r="BT41" s="21">
        <v>0</v>
      </c>
      <c r="BU41" s="21">
        <v>0</v>
      </c>
      <c r="BV41" s="21">
        <v>0</v>
      </c>
      <c r="BW41" s="21">
        <v>0</v>
      </c>
      <c r="BX41" s="21">
        <v>0</v>
      </c>
      <c r="BY41" s="21">
        <v>0</v>
      </c>
      <c r="BZ41" s="21">
        <v>0</v>
      </c>
      <c r="CA41" s="21">
        <v>0</v>
      </c>
      <c r="CB41" s="21">
        <v>0</v>
      </c>
      <c r="CC41" s="21">
        <v>0</v>
      </c>
      <c r="CD41" s="21">
        <v>0</v>
      </c>
      <c r="CE41" s="21">
        <v>0</v>
      </c>
      <c r="CF41" s="21">
        <v>0</v>
      </c>
      <c r="CG41" s="21">
        <v>0</v>
      </c>
      <c r="CH41" s="21">
        <v>0</v>
      </c>
      <c r="CI41" s="21">
        <v>0</v>
      </c>
      <c r="CJ41" s="21">
        <v>0</v>
      </c>
      <c r="CK41" s="21">
        <v>0</v>
      </c>
      <c r="CL41" s="21">
        <v>0</v>
      </c>
      <c r="CM41" s="21">
        <v>0</v>
      </c>
      <c r="CN41" s="21">
        <v>0</v>
      </c>
      <c r="CO41" s="21">
        <v>0</v>
      </c>
      <c r="CP41" s="21">
        <v>0</v>
      </c>
      <c r="CQ41" s="21">
        <v>0</v>
      </c>
      <c r="CR41" s="21">
        <v>0</v>
      </c>
      <c r="CS41" s="21">
        <v>0</v>
      </c>
      <c r="CT41" s="21">
        <v>0</v>
      </c>
      <c r="CU41" s="21">
        <v>0</v>
      </c>
      <c r="CV41" s="21">
        <v>0</v>
      </c>
      <c r="CW41" s="21">
        <v>0</v>
      </c>
      <c r="CX41" s="21">
        <v>0</v>
      </c>
      <c r="CY41" s="21">
        <v>0</v>
      </c>
      <c r="CZ41" s="21">
        <v>0</v>
      </c>
      <c r="DA41" s="21">
        <v>0</v>
      </c>
      <c r="DB41" s="21">
        <v>0</v>
      </c>
      <c r="DC41" s="21">
        <v>0</v>
      </c>
      <c r="DD41" s="21">
        <v>0</v>
      </c>
      <c r="DE41" s="21">
        <v>0</v>
      </c>
      <c r="DF41" s="21">
        <v>0</v>
      </c>
      <c r="DG41" s="21">
        <v>0</v>
      </c>
      <c r="DH41" s="75"/>
      <c r="DI41" s="67"/>
      <c r="DJ41" s="67"/>
      <c r="DK41" s="50"/>
      <c r="DL41" s="67"/>
      <c r="DM41" s="50"/>
    </row>
    <row r="42" spans="1:117" s="52" customFormat="1" ht="32.1">
      <c r="A42" s="23"/>
      <c r="B42" s="19" t="s">
        <v>226</v>
      </c>
      <c r="C42" s="27" t="s">
        <v>227</v>
      </c>
      <c r="D42" s="20">
        <f t="shared" si="0"/>
        <v>2</v>
      </c>
      <c r="E42" s="21">
        <v>0</v>
      </c>
      <c r="F42" s="21">
        <v>0</v>
      </c>
      <c r="G42" s="21">
        <v>0</v>
      </c>
      <c r="H42" s="21">
        <v>0</v>
      </c>
      <c r="I42" s="21">
        <v>1</v>
      </c>
      <c r="J42" s="21">
        <v>1</v>
      </c>
      <c r="K42" s="21">
        <v>0</v>
      </c>
      <c r="L42" s="21">
        <v>0</v>
      </c>
      <c r="M42" s="21">
        <v>0</v>
      </c>
      <c r="N42" s="21">
        <v>0</v>
      </c>
      <c r="O42" s="21">
        <v>0</v>
      </c>
      <c r="P42" s="21">
        <v>0</v>
      </c>
      <c r="Q42" s="21">
        <v>0</v>
      </c>
      <c r="R42" s="21">
        <v>0</v>
      </c>
      <c r="S42" s="21">
        <v>0</v>
      </c>
      <c r="T42" s="21">
        <v>0</v>
      </c>
      <c r="U42" s="21">
        <v>0</v>
      </c>
      <c r="V42" s="21">
        <v>0</v>
      </c>
      <c r="W42" s="21">
        <v>0</v>
      </c>
      <c r="X42" s="21">
        <v>0</v>
      </c>
      <c r="Y42" s="21">
        <v>0</v>
      </c>
      <c r="Z42" s="21">
        <v>0</v>
      </c>
      <c r="AA42" s="21">
        <v>0</v>
      </c>
      <c r="AB42" s="21">
        <v>0</v>
      </c>
      <c r="AC42" s="21">
        <v>0</v>
      </c>
      <c r="AD42" s="21">
        <v>0</v>
      </c>
      <c r="AE42" s="21">
        <v>0</v>
      </c>
      <c r="AF42" s="21">
        <v>0</v>
      </c>
      <c r="AG42" s="21">
        <v>0</v>
      </c>
      <c r="AH42" s="21">
        <v>0</v>
      </c>
      <c r="AI42" s="21">
        <v>0</v>
      </c>
      <c r="AJ42" s="21">
        <v>0</v>
      </c>
      <c r="AK42" s="21">
        <v>0</v>
      </c>
      <c r="AL42" s="21">
        <v>0</v>
      </c>
      <c r="AM42" s="21">
        <v>0</v>
      </c>
      <c r="AN42" s="21">
        <v>0</v>
      </c>
      <c r="AO42" s="21">
        <v>0</v>
      </c>
      <c r="AP42" s="21">
        <v>0</v>
      </c>
      <c r="AQ42" s="21">
        <v>0</v>
      </c>
      <c r="AR42" s="21">
        <v>0</v>
      </c>
      <c r="AS42" s="21">
        <v>0</v>
      </c>
      <c r="AT42" s="21">
        <v>0</v>
      </c>
      <c r="AU42" s="21">
        <v>0</v>
      </c>
      <c r="AV42" s="21">
        <v>0</v>
      </c>
      <c r="AW42" s="21">
        <v>0</v>
      </c>
      <c r="AX42" s="21">
        <v>0</v>
      </c>
      <c r="AY42" s="21">
        <v>0</v>
      </c>
      <c r="AZ42" s="21">
        <v>0</v>
      </c>
      <c r="BA42" s="21">
        <v>0</v>
      </c>
      <c r="BB42" s="21">
        <v>0</v>
      </c>
      <c r="BC42" s="21">
        <v>0</v>
      </c>
      <c r="BD42" s="21">
        <v>0</v>
      </c>
      <c r="BE42" s="21">
        <v>0</v>
      </c>
      <c r="BF42" s="21">
        <v>0</v>
      </c>
      <c r="BG42" s="21">
        <v>0</v>
      </c>
      <c r="BH42" s="21">
        <v>0</v>
      </c>
      <c r="BI42" s="21">
        <v>0</v>
      </c>
      <c r="BJ42" s="21">
        <v>0</v>
      </c>
      <c r="BK42" s="21">
        <v>0</v>
      </c>
      <c r="BL42" s="21">
        <v>0</v>
      </c>
      <c r="BM42" s="21">
        <v>0</v>
      </c>
      <c r="BN42" s="21">
        <v>0</v>
      </c>
      <c r="BO42" s="21">
        <v>0</v>
      </c>
      <c r="BP42" s="21">
        <v>0</v>
      </c>
      <c r="BQ42" s="21">
        <v>0</v>
      </c>
      <c r="BR42" s="21">
        <v>0</v>
      </c>
      <c r="BS42" s="21">
        <v>0</v>
      </c>
      <c r="BT42" s="21">
        <v>0</v>
      </c>
      <c r="BU42" s="21">
        <v>0</v>
      </c>
      <c r="BV42" s="21">
        <v>0</v>
      </c>
      <c r="BW42" s="21">
        <v>0</v>
      </c>
      <c r="BX42" s="21">
        <v>0</v>
      </c>
      <c r="BY42" s="21">
        <v>0</v>
      </c>
      <c r="BZ42" s="21">
        <v>0</v>
      </c>
      <c r="CA42" s="21">
        <v>0</v>
      </c>
      <c r="CB42" s="21">
        <v>0</v>
      </c>
      <c r="CC42" s="21">
        <v>0</v>
      </c>
      <c r="CD42" s="21">
        <v>0</v>
      </c>
      <c r="CE42" s="21">
        <v>0</v>
      </c>
      <c r="CF42" s="21">
        <v>0</v>
      </c>
      <c r="CG42" s="21">
        <v>0</v>
      </c>
      <c r="CH42" s="21">
        <v>0</v>
      </c>
      <c r="CI42" s="21">
        <v>0</v>
      </c>
      <c r="CJ42" s="21">
        <v>0</v>
      </c>
      <c r="CK42" s="21">
        <v>0</v>
      </c>
      <c r="CL42" s="21">
        <v>0</v>
      </c>
      <c r="CM42" s="21">
        <v>0</v>
      </c>
      <c r="CN42" s="21">
        <v>0</v>
      </c>
      <c r="CO42" s="21">
        <v>0</v>
      </c>
      <c r="CP42" s="21">
        <v>0</v>
      </c>
      <c r="CQ42" s="21">
        <v>0</v>
      </c>
      <c r="CR42" s="21">
        <v>0</v>
      </c>
      <c r="CS42" s="21">
        <v>0</v>
      </c>
      <c r="CT42" s="21">
        <v>0</v>
      </c>
      <c r="CU42" s="21">
        <v>0</v>
      </c>
      <c r="CV42" s="21">
        <v>0</v>
      </c>
      <c r="CW42" s="21">
        <v>0</v>
      </c>
      <c r="CX42" s="21">
        <v>0</v>
      </c>
      <c r="CY42" s="21">
        <v>0</v>
      </c>
      <c r="CZ42" s="21">
        <v>0</v>
      </c>
      <c r="DA42" s="21">
        <v>0</v>
      </c>
      <c r="DB42" s="21">
        <v>0</v>
      </c>
      <c r="DC42" s="21">
        <v>0</v>
      </c>
      <c r="DD42" s="21">
        <v>0</v>
      </c>
      <c r="DE42" s="21">
        <v>0</v>
      </c>
      <c r="DF42" s="21">
        <v>0</v>
      </c>
      <c r="DG42" s="21">
        <v>0</v>
      </c>
      <c r="DH42" s="75"/>
      <c r="DI42" s="67"/>
      <c r="DJ42" s="67"/>
      <c r="DK42" s="50"/>
      <c r="DL42" s="67"/>
      <c r="DM42" s="50"/>
    </row>
    <row r="43" spans="1:117">
      <c r="A43" s="23" t="s">
        <v>228</v>
      </c>
      <c r="B43" s="19" t="s">
        <v>229</v>
      </c>
      <c r="C43" s="19" t="s">
        <v>230</v>
      </c>
      <c r="D43" s="20">
        <f t="shared" si="0"/>
        <v>3</v>
      </c>
      <c r="E43" s="21">
        <v>1</v>
      </c>
      <c r="F43" s="21">
        <v>1</v>
      </c>
      <c r="G43" s="21">
        <v>1</v>
      </c>
      <c r="H43" s="21">
        <v>0</v>
      </c>
      <c r="I43" s="21">
        <v>0</v>
      </c>
      <c r="J43" s="21">
        <v>0</v>
      </c>
      <c r="K43" s="21">
        <v>0</v>
      </c>
      <c r="L43" s="21">
        <v>0</v>
      </c>
      <c r="M43" s="21">
        <v>0</v>
      </c>
      <c r="N43" s="21">
        <v>0</v>
      </c>
      <c r="O43" s="21">
        <v>0</v>
      </c>
      <c r="P43" s="21">
        <v>0</v>
      </c>
      <c r="Q43" s="21">
        <v>0</v>
      </c>
      <c r="R43" s="21">
        <v>0</v>
      </c>
      <c r="S43" s="21">
        <v>0</v>
      </c>
      <c r="T43" s="21">
        <v>0</v>
      </c>
      <c r="U43" s="21">
        <v>0</v>
      </c>
      <c r="V43" s="21">
        <v>0</v>
      </c>
      <c r="W43" s="21">
        <v>0</v>
      </c>
      <c r="X43" s="21">
        <v>0</v>
      </c>
      <c r="Y43" s="21">
        <v>0</v>
      </c>
      <c r="Z43" s="21">
        <v>0</v>
      </c>
      <c r="AA43" s="21">
        <v>0</v>
      </c>
      <c r="AB43" s="21">
        <v>0</v>
      </c>
      <c r="AC43" s="21">
        <v>0</v>
      </c>
      <c r="AD43" s="21">
        <v>0</v>
      </c>
      <c r="AE43" s="21">
        <v>0</v>
      </c>
      <c r="AF43" s="21">
        <v>0</v>
      </c>
      <c r="AG43" s="21">
        <v>0</v>
      </c>
      <c r="AH43" s="21">
        <v>0</v>
      </c>
      <c r="AI43" s="21">
        <v>0</v>
      </c>
      <c r="AJ43" s="21">
        <v>0</v>
      </c>
      <c r="AK43" s="21">
        <v>0</v>
      </c>
      <c r="AL43" s="21">
        <v>0</v>
      </c>
      <c r="AM43" s="21">
        <v>0</v>
      </c>
      <c r="AN43" s="21">
        <v>0</v>
      </c>
      <c r="AO43" s="21">
        <v>0</v>
      </c>
      <c r="AP43" s="21">
        <v>0</v>
      </c>
      <c r="AQ43" s="21">
        <v>0</v>
      </c>
      <c r="AR43" s="21">
        <v>0</v>
      </c>
      <c r="AS43" s="21">
        <v>0</v>
      </c>
      <c r="AT43" s="21">
        <v>0</v>
      </c>
      <c r="AU43" s="21">
        <v>0</v>
      </c>
      <c r="AV43" s="21">
        <v>0</v>
      </c>
      <c r="AW43" s="21">
        <v>0</v>
      </c>
      <c r="AX43" s="21">
        <v>0</v>
      </c>
      <c r="AY43" s="21">
        <v>0</v>
      </c>
      <c r="AZ43" s="21">
        <v>0</v>
      </c>
      <c r="BA43" s="21">
        <v>0</v>
      </c>
      <c r="BB43" s="21">
        <v>0</v>
      </c>
      <c r="BC43" s="21">
        <v>0</v>
      </c>
      <c r="BD43" s="21">
        <v>0</v>
      </c>
      <c r="BE43" s="21">
        <v>0</v>
      </c>
      <c r="BF43" s="21">
        <v>0</v>
      </c>
      <c r="BG43" s="21">
        <v>0</v>
      </c>
      <c r="BH43" s="21">
        <v>0</v>
      </c>
      <c r="BI43" s="21">
        <v>0</v>
      </c>
      <c r="BJ43" s="21">
        <v>0</v>
      </c>
      <c r="BK43" s="21">
        <v>0</v>
      </c>
      <c r="BL43" s="21">
        <v>0</v>
      </c>
      <c r="BM43" s="21">
        <v>0</v>
      </c>
      <c r="BN43" s="21">
        <v>0</v>
      </c>
      <c r="BO43" s="21">
        <v>0</v>
      </c>
      <c r="BP43" s="21">
        <v>0</v>
      </c>
      <c r="BQ43" s="21">
        <v>0</v>
      </c>
      <c r="BR43" s="21">
        <v>0</v>
      </c>
      <c r="BS43" s="21">
        <v>0</v>
      </c>
      <c r="BT43" s="21">
        <v>0</v>
      </c>
      <c r="BU43" s="21">
        <v>0</v>
      </c>
      <c r="BV43" s="21">
        <v>0</v>
      </c>
      <c r="BW43" s="21">
        <v>0</v>
      </c>
      <c r="BX43" s="21">
        <v>0</v>
      </c>
      <c r="BY43" s="21">
        <v>0</v>
      </c>
      <c r="BZ43" s="21">
        <v>0</v>
      </c>
      <c r="CA43" s="21">
        <v>0</v>
      </c>
      <c r="CB43" s="21">
        <v>0</v>
      </c>
      <c r="CC43" s="21">
        <v>0</v>
      </c>
      <c r="CD43" s="21">
        <v>0</v>
      </c>
      <c r="CE43" s="21">
        <v>0</v>
      </c>
      <c r="CF43" s="21">
        <v>0</v>
      </c>
      <c r="CG43" s="21">
        <v>0</v>
      </c>
      <c r="CH43" s="21">
        <v>0</v>
      </c>
      <c r="CI43" s="21">
        <v>0</v>
      </c>
      <c r="CJ43" s="21">
        <v>0</v>
      </c>
      <c r="CK43" s="21">
        <v>0</v>
      </c>
      <c r="CL43" s="21">
        <v>0</v>
      </c>
      <c r="CM43" s="21">
        <v>0</v>
      </c>
      <c r="CN43" s="21">
        <v>0</v>
      </c>
      <c r="CO43" s="21">
        <v>0</v>
      </c>
      <c r="CP43" s="21">
        <v>0</v>
      </c>
      <c r="CQ43" s="21">
        <v>0</v>
      </c>
      <c r="CR43" s="21">
        <v>0</v>
      </c>
      <c r="CS43" s="21">
        <v>0</v>
      </c>
      <c r="CT43" s="21">
        <v>0</v>
      </c>
      <c r="CU43" s="21">
        <v>0</v>
      </c>
      <c r="CV43" s="21">
        <v>0</v>
      </c>
      <c r="CW43" s="21">
        <v>0</v>
      </c>
      <c r="CX43" s="21">
        <v>0</v>
      </c>
      <c r="CY43" s="21">
        <v>0</v>
      </c>
      <c r="CZ43" s="21">
        <v>0</v>
      </c>
      <c r="DA43" s="21">
        <v>0</v>
      </c>
      <c r="DB43" s="21">
        <v>0</v>
      </c>
      <c r="DC43" s="21">
        <v>0</v>
      </c>
      <c r="DD43" s="21">
        <v>0</v>
      </c>
      <c r="DE43" s="21">
        <v>0</v>
      </c>
      <c r="DF43" s="21">
        <v>0</v>
      </c>
      <c r="DG43" s="21">
        <v>0</v>
      </c>
      <c r="DH43" s="74"/>
      <c r="DJ43" s="67"/>
      <c r="DL43" s="67"/>
    </row>
    <row r="44" spans="1:117">
      <c r="A44" s="24" t="s">
        <v>231</v>
      </c>
      <c r="B44" s="25"/>
      <c r="C44" s="25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63"/>
      <c r="CV44" s="63"/>
      <c r="CW44" s="63"/>
      <c r="CX44" s="63"/>
      <c r="CY44" s="63"/>
      <c r="CZ44" s="63"/>
      <c r="DA44" s="63"/>
      <c r="DB44" s="63"/>
      <c r="DC44" s="63"/>
      <c r="DD44" s="63"/>
      <c r="DE44" s="63"/>
      <c r="DF44" s="63"/>
      <c r="DG44" s="63"/>
      <c r="DH44" s="74"/>
      <c r="DJ44" s="67"/>
      <c r="DL44" s="67"/>
    </row>
    <row r="45" spans="1:117">
      <c r="A45" s="23" t="s">
        <v>232</v>
      </c>
      <c r="B45" s="19" t="s">
        <v>233</v>
      </c>
      <c r="C45" s="19" t="s">
        <v>196</v>
      </c>
      <c r="D45" s="20">
        <f>SUM(E45:DG45)</f>
        <v>261598.89999999985</v>
      </c>
      <c r="E45" s="21">
        <v>61745.27</v>
      </c>
      <c r="F45" s="21">
        <v>41993.99</v>
      </c>
      <c r="G45" s="21">
        <v>12810.83</v>
      </c>
      <c r="H45" s="21">
        <v>1946.19</v>
      </c>
      <c r="I45" s="21">
        <v>21286.52</v>
      </c>
      <c r="J45" s="21">
        <v>4754.18</v>
      </c>
      <c r="K45" s="21">
        <v>964.2</v>
      </c>
      <c r="L45" s="21">
        <v>922</v>
      </c>
      <c r="M45" s="21">
        <v>1331.93</v>
      </c>
      <c r="N45" s="21">
        <v>137.57</v>
      </c>
      <c r="O45" s="21">
        <v>145.99</v>
      </c>
      <c r="P45" s="21">
        <v>865.67</v>
      </c>
      <c r="Q45" s="21">
        <v>1568.18</v>
      </c>
      <c r="R45" s="21">
        <v>262.02</v>
      </c>
      <c r="S45" s="21">
        <v>6645.92</v>
      </c>
      <c r="T45" s="21">
        <v>2184.73</v>
      </c>
      <c r="U45" s="21">
        <v>3130.18</v>
      </c>
      <c r="V45" s="21">
        <v>728.58</v>
      </c>
      <c r="W45" s="21">
        <v>2961.79</v>
      </c>
      <c r="X45" s="21">
        <v>493.01</v>
      </c>
      <c r="Y45" s="21">
        <v>268.39999999999998</v>
      </c>
      <c r="Z45" s="21">
        <v>686.77</v>
      </c>
      <c r="AA45" s="21">
        <v>2279.9299999999998</v>
      </c>
      <c r="AB45" s="21">
        <v>105.37</v>
      </c>
      <c r="AC45" s="21">
        <v>1588.26</v>
      </c>
      <c r="AD45" s="21">
        <v>2689.07</v>
      </c>
      <c r="AE45" s="21">
        <v>2474.44</v>
      </c>
      <c r="AF45" s="21">
        <v>77.400000000000006</v>
      </c>
      <c r="AG45" s="21">
        <v>458.61</v>
      </c>
      <c r="AH45" s="21">
        <v>3099.97</v>
      </c>
      <c r="AI45" s="21">
        <v>314.10000000000002</v>
      </c>
      <c r="AJ45" s="21">
        <v>608.04999999999995</v>
      </c>
      <c r="AK45" s="21">
        <v>606.03</v>
      </c>
      <c r="AL45" s="21">
        <v>425.13</v>
      </c>
      <c r="AM45" s="21">
        <v>1051.21</v>
      </c>
      <c r="AN45" s="21">
        <v>816.84</v>
      </c>
      <c r="AO45" s="21">
        <v>172.74</v>
      </c>
      <c r="AP45" s="21">
        <v>93.81</v>
      </c>
      <c r="AQ45" s="21">
        <v>53.36</v>
      </c>
      <c r="AR45" s="21">
        <v>98.49</v>
      </c>
      <c r="AS45" s="21">
        <v>99.02</v>
      </c>
      <c r="AT45" s="21">
        <v>169.27</v>
      </c>
      <c r="AU45" s="21">
        <v>163.82</v>
      </c>
      <c r="AV45" s="21">
        <v>209.84</v>
      </c>
      <c r="AW45" s="21">
        <v>96.84</v>
      </c>
      <c r="AX45" s="21">
        <v>2322.71</v>
      </c>
      <c r="AY45" s="21">
        <v>2962.92</v>
      </c>
      <c r="AZ45" s="21">
        <v>173.36</v>
      </c>
      <c r="BA45" s="21">
        <v>131.68</v>
      </c>
      <c r="BB45" s="21">
        <v>2485.13</v>
      </c>
      <c r="BC45" s="21">
        <v>1594.3</v>
      </c>
      <c r="BD45" s="21">
        <v>461.14</v>
      </c>
      <c r="BE45" s="21">
        <v>1885.64</v>
      </c>
      <c r="BF45" s="21">
        <v>1217.1099999999999</v>
      </c>
      <c r="BG45" s="21">
        <v>121.98</v>
      </c>
      <c r="BH45" s="21">
        <v>156.68</v>
      </c>
      <c r="BI45" s="21">
        <v>112.89</v>
      </c>
      <c r="BJ45" s="21">
        <v>536.12</v>
      </c>
      <c r="BK45" s="21">
        <v>912.63</v>
      </c>
      <c r="BL45" s="21">
        <v>945.37</v>
      </c>
      <c r="BM45" s="21">
        <v>104.7</v>
      </c>
      <c r="BN45" s="21">
        <v>674.54</v>
      </c>
      <c r="BO45" s="21">
        <v>1037.24</v>
      </c>
      <c r="BP45" s="21">
        <v>120.44</v>
      </c>
      <c r="BQ45" s="21">
        <v>1823.99</v>
      </c>
      <c r="BR45" s="21">
        <v>80.25</v>
      </c>
      <c r="BS45" s="21">
        <v>147.77000000000001</v>
      </c>
      <c r="BT45" s="21">
        <v>1540.68</v>
      </c>
      <c r="BU45" s="21">
        <v>471.52</v>
      </c>
      <c r="BV45" s="21">
        <v>467.37</v>
      </c>
      <c r="BW45" s="21">
        <v>3532.04</v>
      </c>
      <c r="BX45" s="21">
        <v>457.61</v>
      </c>
      <c r="BY45" s="21">
        <v>562.27</v>
      </c>
      <c r="BZ45" s="21">
        <v>72.22</v>
      </c>
      <c r="CA45" s="21">
        <v>216.36</v>
      </c>
      <c r="CB45" s="21">
        <v>413.42</v>
      </c>
      <c r="CC45" s="21">
        <v>82.56</v>
      </c>
      <c r="CD45" s="21">
        <v>682.68</v>
      </c>
      <c r="CE45" s="21">
        <v>453.08</v>
      </c>
      <c r="CF45" s="21">
        <v>3457.93</v>
      </c>
      <c r="CG45" s="21">
        <v>1024.81</v>
      </c>
      <c r="CH45" s="21">
        <v>422.62</v>
      </c>
      <c r="CI45" s="21">
        <v>1148.4100000000001</v>
      </c>
      <c r="CJ45" s="21">
        <v>1303.3800000000001</v>
      </c>
      <c r="CK45" s="21">
        <v>9042.36</v>
      </c>
      <c r="CL45" s="21">
        <v>1492.69</v>
      </c>
      <c r="CM45" s="21">
        <v>2430.94</v>
      </c>
      <c r="CN45" s="21">
        <v>1686.34</v>
      </c>
      <c r="CO45" s="21">
        <v>1150.94</v>
      </c>
      <c r="CP45" s="21">
        <v>1386.26</v>
      </c>
      <c r="CQ45" s="21">
        <v>1385.41</v>
      </c>
      <c r="CR45" s="21">
        <v>1095.3399999999999</v>
      </c>
      <c r="CS45" s="21">
        <v>2239.36</v>
      </c>
      <c r="CT45" s="21">
        <v>3879</v>
      </c>
      <c r="CU45" s="21">
        <v>0</v>
      </c>
      <c r="CV45" s="21">
        <v>2296.94</v>
      </c>
      <c r="CW45" s="21">
        <v>586.67999999999995</v>
      </c>
      <c r="CX45" s="21">
        <v>1439.25</v>
      </c>
      <c r="CY45" s="21">
        <v>4029.35</v>
      </c>
      <c r="CZ45" s="21">
        <v>154.01</v>
      </c>
      <c r="DA45" s="21">
        <v>977.39</v>
      </c>
      <c r="DB45" s="21">
        <v>122.91</v>
      </c>
      <c r="DC45" s="21">
        <v>201.66</v>
      </c>
      <c r="DD45" s="21">
        <v>936.09</v>
      </c>
      <c r="DE45" s="21">
        <v>2638.26</v>
      </c>
      <c r="DF45" s="21">
        <v>524.65</v>
      </c>
      <c r="DG45" s="21">
        <v>0</v>
      </c>
      <c r="DH45" s="74"/>
      <c r="DJ45" s="67"/>
      <c r="DL45" s="67"/>
    </row>
    <row r="46" spans="1:117">
      <c r="A46" s="23" t="s">
        <v>234</v>
      </c>
      <c r="B46" s="19" t="s">
        <v>235</v>
      </c>
      <c r="C46" s="19" t="s">
        <v>236</v>
      </c>
      <c r="D46" s="20">
        <f t="shared" ref="D46:D110" si="1">SUM(E46:DG46)</f>
        <v>1273</v>
      </c>
      <c r="E46" s="21">
        <v>151</v>
      </c>
      <c r="F46" s="21">
        <v>170</v>
      </c>
      <c r="G46" s="21">
        <v>41</v>
      </c>
      <c r="H46" s="21">
        <v>16</v>
      </c>
      <c r="I46" s="21">
        <v>88</v>
      </c>
      <c r="J46" s="21">
        <v>12</v>
      </c>
      <c r="K46" s="21">
        <v>0</v>
      </c>
      <c r="L46" s="21">
        <v>0</v>
      </c>
      <c r="M46" s="21">
        <v>0</v>
      </c>
      <c r="N46" s="21">
        <v>0</v>
      </c>
      <c r="O46" s="21">
        <v>0</v>
      </c>
      <c r="P46" s="21">
        <v>10</v>
      </c>
      <c r="Q46" s="21">
        <v>15</v>
      </c>
      <c r="R46" s="21">
        <v>0</v>
      </c>
      <c r="S46" s="21">
        <v>11</v>
      </c>
      <c r="T46" s="21">
        <v>1</v>
      </c>
      <c r="U46" s="21">
        <v>6</v>
      </c>
      <c r="V46" s="21">
        <v>0</v>
      </c>
      <c r="W46" s="21">
        <v>6</v>
      </c>
      <c r="X46" s="21">
        <v>0</v>
      </c>
      <c r="Y46" s="21">
        <v>0</v>
      </c>
      <c r="Z46" s="21">
        <v>7</v>
      </c>
      <c r="AA46" s="21">
        <v>15</v>
      </c>
      <c r="AB46" s="21">
        <v>0</v>
      </c>
      <c r="AC46" s="21">
        <v>12</v>
      </c>
      <c r="AD46" s="21">
        <v>2</v>
      </c>
      <c r="AE46" s="21">
        <v>0</v>
      </c>
      <c r="AF46" s="21">
        <v>0</v>
      </c>
      <c r="AG46" s="21">
        <v>0</v>
      </c>
      <c r="AH46" s="21">
        <v>5</v>
      </c>
      <c r="AI46" s="21">
        <v>0</v>
      </c>
      <c r="AJ46" s="21">
        <v>5</v>
      </c>
      <c r="AK46" s="21">
        <v>2</v>
      </c>
      <c r="AL46" s="21">
        <v>6</v>
      </c>
      <c r="AM46" s="21">
        <v>22</v>
      </c>
      <c r="AN46" s="21">
        <v>24</v>
      </c>
      <c r="AO46" s="21">
        <v>0</v>
      </c>
      <c r="AP46" s="21">
        <v>2</v>
      </c>
      <c r="AQ46" s="21">
        <v>1</v>
      </c>
      <c r="AR46" s="21">
        <v>2</v>
      </c>
      <c r="AS46" s="21">
        <v>2</v>
      </c>
      <c r="AT46" s="21">
        <v>0</v>
      </c>
      <c r="AU46" s="21">
        <v>0</v>
      </c>
      <c r="AV46" s="21">
        <v>0</v>
      </c>
      <c r="AW46" s="21">
        <v>2</v>
      </c>
      <c r="AX46" s="21">
        <v>13</v>
      </c>
      <c r="AY46" s="21">
        <v>13</v>
      </c>
      <c r="AZ46" s="21">
        <v>0</v>
      </c>
      <c r="BA46" s="21">
        <v>0</v>
      </c>
      <c r="BB46" s="21">
        <v>31</v>
      </c>
      <c r="BC46" s="21">
        <v>7</v>
      </c>
      <c r="BD46" s="21">
        <v>8</v>
      </c>
      <c r="BE46" s="21">
        <v>9</v>
      </c>
      <c r="BF46" s="21">
        <v>18</v>
      </c>
      <c r="BG46" s="21">
        <v>0</v>
      </c>
      <c r="BH46" s="21">
        <v>0</v>
      </c>
      <c r="BI46" s="21">
        <v>0</v>
      </c>
      <c r="BJ46" s="21">
        <v>0</v>
      </c>
      <c r="BK46" s="21">
        <v>8</v>
      </c>
      <c r="BL46" s="21">
        <v>2</v>
      </c>
      <c r="BM46" s="21">
        <v>1</v>
      </c>
      <c r="BN46" s="21">
        <v>0</v>
      </c>
      <c r="BO46" s="21">
        <v>6</v>
      </c>
      <c r="BP46" s="21">
        <v>6</v>
      </c>
      <c r="BQ46" s="21">
        <v>0</v>
      </c>
      <c r="BR46" s="21">
        <v>0</v>
      </c>
      <c r="BS46" s="21">
        <v>0</v>
      </c>
      <c r="BT46" s="21">
        <v>12</v>
      </c>
      <c r="BU46" s="21">
        <v>21</v>
      </c>
      <c r="BV46" s="21">
        <v>8</v>
      </c>
      <c r="BW46" s="21">
        <v>12</v>
      </c>
      <c r="BX46" s="21">
        <v>0</v>
      </c>
      <c r="BY46" s="21">
        <v>11</v>
      </c>
      <c r="BZ46" s="21">
        <v>0</v>
      </c>
      <c r="CA46" s="21">
        <v>9</v>
      </c>
      <c r="CB46" s="21">
        <v>0</v>
      </c>
      <c r="CC46" s="21">
        <v>0</v>
      </c>
      <c r="CD46" s="21">
        <v>8</v>
      </c>
      <c r="CE46" s="21">
        <v>3</v>
      </c>
      <c r="CF46" s="21">
        <v>0</v>
      </c>
      <c r="CG46" s="21">
        <v>0</v>
      </c>
      <c r="CH46" s="21">
        <v>0</v>
      </c>
      <c r="CI46" s="21">
        <v>4</v>
      </c>
      <c r="CJ46" s="21">
        <v>0</v>
      </c>
      <c r="CK46" s="21">
        <v>32</v>
      </c>
      <c r="CL46" s="21">
        <v>0</v>
      </c>
      <c r="CM46" s="21">
        <v>0</v>
      </c>
      <c r="CN46" s="21">
        <v>0</v>
      </c>
      <c r="CO46" s="21">
        <v>0</v>
      </c>
      <c r="CP46" s="21">
        <v>0</v>
      </c>
      <c r="CQ46" s="21">
        <v>0</v>
      </c>
      <c r="CR46" s="21">
        <v>0</v>
      </c>
      <c r="CS46" s="21">
        <v>0</v>
      </c>
      <c r="CT46" s="21">
        <v>0</v>
      </c>
      <c r="CU46" s="21">
        <v>0</v>
      </c>
      <c r="CV46" s="21">
        <v>0</v>
      </c>
      <c r="CW46" s="21">
        <v>0</v>
      </c>
      <c r="CX46" s="21">
        <v>0</v>
      </c>
      <c r="CY46" s="21">
        <v>0</v>
      </c>
      <c r="CZ46" s="21">
        <v>0</v>
      </c>
      <c r="DA46" s="21">
        <v>0</v>
      </c>
      <c r="DB46" s="21">
        <v>0</v>
      </c>
      <c r="DC46" s="21">
        <v>0</v>
      </c>
      <c r="DD46" s="21">
        <v>0</v>
      </c>
      <c r="DE46" s="21">
        <v>0</v>
      </c>
      <c r="DF46" s="21">
        <v>0</v>
      </c>
      <c r="DG46" s="21">
        <v>395</v>
      </c>
      <c r="DH46" s="74"/>
      <c r="DJ46" s="67"/>
      <c r="DL46" s="67"/>
    </row>
    <row r="47" spans="1:117">
      <c r="A47" s="23" t="s">
        <v>237</v>
      </c>
      <c r="B47" s="19" t="s">
        <v>238</v>
      </c>
      <c r="C47" s="19" t="s">
        <v>239</v>
      </c>
      <c r="D47" s="20">
        <f t="shared" si="1"/>
        <v>780</v>
      </c>
      <c r="E47" s="22">
        <v>353</v>
      </c>
      <c r="F47" s="22">
        <v>143</v>
      </c>
      <c r="G47" s="22">
        <v>20</v>
      </c>
      <c r="H47" s="22">
        <v>0</v>
      </c>
      <c r="I47" s="22">
        <v>25</v>
      </c>
      <c r="J47" s="22">
        <v>6</v>
      </c>
      <c r="K47" s="22">
        <v>0</v>
      </c>
      <c r="L47" s="22">
        <v>0</v>
      </c>
      <c r="M47" s="22">
        <v>0</v>
      </c>
      <c r="N47" s="22">
        <v>5</v>
      </c>
      <c r="O47" s="22">
        <v>5</v>
      </c>
      <c r="P47" s="22">
        <v>0</v>
      </c>
      <c r="Q47" s="22">
        <v>0</v>
      </c>
      <c r="R47" s="22">
        <v>0</v>
      </c>
      <c r="S47" s="22">
        <v>0</v>
      </c>
      <c r="T47" s="22">
        <v>0</v>
      </c>
      <c r="U47" s="22">
        <v>0</v>
      </c>
      <c r="V47" s="22">
        <v>0</v>
      </c>
      <c r="W47" s="22">
        <v>0</v>
      </c>
      <c r="X47" s="22">
        <v>0</v>
      </c>
      <c r="Y47" s="22">
        <v>0</v>
      </c>
      <c r="Z47" s="22">
        <v>0</v>
      </c>
      <c r="AA47" s="22">
        <v>0</v>
      </c>
      <c r="AB47" s="22">
        <v>3</v>
      </c>
      <c r="AC47" s="22">
        <v>0</v>
      </c>
      <c r="AD47" s="22">
        <v>0</v>
      </c>
      <c r="AE47" s="22">
        <v>0</v>
      </c>
      <c r="AF47" s="22">
        <v>0</v>
      </c>
      <c r="AG47" s="22">
        <v>0</v>
      </c>
      <c r="AH47" s="22">
        <v>0</v>
      </c>
      <c r="AI47" s="22">
        <v>0</v>
      </c>
      <c r="AJ47" s="22">
        <v>0</v>
      </c>
      <c r="AK47" s="22">
        <v>0</v>
      </c>
      <c r="AL47" s="22">
        <v>0</v>
      </c>
      <c r="AM47" s="22">
        <v>8</v>
      </c>
      <c r="AN47" s="22">
        <v>0</v>
      </c>
      <c r="AO47" s="22">
        <v>0</v>
      </c>
      <c r="AP47" s="22">
        <v>6</v>
      </c>
      <c r="AQ47" s="22">
        <v>2</v>
      </c>
      <c r="AR47" s="22">
        <v>5</v>
      </c>
      <c r="AS47" s="22">
        <v>5</v>
      </c>
      <c r="AT47" s="22">
        <v>0</v>
      </c>
      <c r="AU47" s="22">
        <v>0</v>
      </c>
      <c r="AV47" s="22">
        <v>0</v>
      </c>
      <c r="AW47" s="22">
        <v>2</v>
      </c>
      <c r="AX47" s="22">
        <v>0</v>
      </c>
      <c r="AY47" s="22">
        <v>0</v>
      </c>
      <c r="AZ47" s="22">
        <v>0</v>
      </c>
      <c r="BA47" s="22">
        <v>0</v>
      </c>
      <c r="BB47" s="22">
        <v>0</v>
      </c>
      <c r="BC47" s="22">
        <v>0</v>
      </c>
      <c r="BD47" s="22">
        <v>0</v>
      </c>
      <c r="BE47" s="22">
        <v>0</v>
      </c>
      <c r="BF47" s="22">
        <v>16</v>
      </c>
      <c r="BG47" s="22">
        <v>0</v>
      </c>
      <c r="BH47" s="22">
        <v>0</v>
      </c>
      <c r="BI47" s="22">
        <v>0</v>
      </c>
      <c r="BJ47" s="22">
        <v>0</v>
      </c>
      <c r="BK47" s="22">
        <v>0</v>
      </c>
      <c r="BL47" s="22">
        <v>0</v>
      </c>
      <c r="BM47" s="22">
        <v>4</v>
      </c>
      <c r="BN47" s="22">
        <v>0</v>
      </c>
      <c r="BO47" s="22">
        <v>0</v>
      </c>
      <c r="BP47" s="22">
        <v>0</v>
      </c>
      <c r="BQ47" s="22">
        <v>0</v>
      </c>
      <c r="BR47" s="22">
        <v>4</v>
      </c>
      <c r="BS47" s="22">
        <v>5</v>
      </c>
      <c r="BT47" s="22">
        <v>0</v>
      </c>
      <c r="BU47" s="22">
        <v>0</v>
      </c>
      <c r="BV47" s="22">
        <v>18</v>
      </c>
      <c r="BW47" s="22">
        <v>0</v>
      </c>
      <c r="BX47" s="22">
        <v>0</v>
      </c>
      <c r="BY47" s="22">
        <v>9</v>
      </c>
      <c r="BZ47" s="22">
        <v>0</v>
      </c>
      <c r="CA47" s="22">
        <v>0</v>
      </c>
      <c r="CB47" s="22">
        <v>0</v>
      </c>
      <c r="CC47" s="22">
        <v>0</v>
      </c>
      <c r="CD47" s="22">
        <v>0</v>
      </c>
      <c r="CE47" s="22">
        <v>0</v>
      </c>
      <c r="CF47" s="22">
        <v>0</v>
      </c>
      <c r="CG47" s="22">
        <v>0</v>
      </c>
      <c r="CH47" s="22">
        <v>0</v>
      </c>
      <c r="CI47" s="22">
        <v>0</v>
      </c>
      <c r="CJ47" s="22">
        <v>0</v>
      </c>
      <c r="CK47" s="22">
        <v>0</v>
      </c>
      <c r="CL47" s="22">
        <v>0</v>
      </c>
      <c r="CM47" s="22">
        <v>20</v>
      </c>
      <c r="CN47" s="22">
        <v>0</v>
      </c>
      <c r="CO47" s="22">
        <v>11</v>
      </c>
      <c r="CP47" s="22">
        <v>0</v>
      </c>
      <c r="CQ47" s="22">
        <v>50</v>
      </c>
      <c r="CR47" s="22">
        <v>25</v>
      </c>
      <c r="CS47" s="22">
        <v>0</v>
      </c>
      <c r="CT47" s="22">
        <v>30</v>
      </c>
      <c r="CU47" s="21">
        <v>0</v>
      </c>
      <c r="CV47" s="21">
        <v>0</v>
      </c>
      <c r="CW47" s="21">
        <v>0</v>
      </c>
      <c r="CX47" s="21">
        <v>0</v>
      </c>
      <c r="CY47" s="21">
        <v>0</v>
      </c>
      <c r="CZ47" s="21">
        <v>0</v>
      </c>
      <c r="DA47" s="21">
        <v>0</v>
      </c>
      <c r="DB47" s="21">
        <v>0</v>
      </c>
      <c r="DC47" s="21">
        <v>0</v>
      </c>
      <c r="DD47" s="21">
        <v>0</v>
      </c>
      <c r="DE47" s="21">
        <v>0</v>
      </c>
      <c r="DF47" s="21">
        <v>0</v>
      </c>
      <c r="DG47" s="21">
        <v>0</v>
      </c>
      <c r="DH47" s="74"/>
      <c r="DJ47" s="67"/>
      <c r="DL47" s="67"/>
    </row>
    <row r="48" spans="1:117" s="52" customFormat="1">
      <c r="A48" s="23" t="s">
        <v>240</v>
      </c>
      <c r="B48" s="19" t="s">
        <v>241</v>
      </c>
      <c r="C48" s="19" t="s">
        <v>242</v>
      </c>
      <c r="D48" s="20">
        <f t="shared" si="1"/>
        <v>0</v>
      </c>
      <c r="E48" s="21">
        <v>0</v>
      </c>
      <c r="F48" s="21">
        <v>0</v>
      </c>
      <c r="G48" s="21">
        <v>0</v>
      </c>
      <c r="H48" s="21">
        <v>0</v>
      </c>
      <c r="I48" s="21">
        <v>0</v>
      </c>
      <c r="J48" s="21">
        <v>0</v>
      </c>
      <c r="K48" s="21">
        <v>0</v>
      </c>
      <c r="L48" s="21">
        <v>0</v>
      </c>
      <c r="M48" s="21">
        <v>0</v>
      </c>
      <c r="N48" s="21">
        <v>0</v>
      </c>
      <c r="O48" s="21">
        <v>0</v>
      </c>
      <c r="P48" s="21">
        <v>0</v>
      </c>
      <c r="Q48" s="21">
        <v>0</v>
      </c>
      <c r="R48" s="21">
        <v>0</v>
      </c>
      <c r="S48" s="21">
        <v>0</v>
      </c>
      <c r="T48" s="21">
        <v>0</v>
      </c>
      <c r="U48" s="21">
        <v>0</v>
      </c>
      <c r="V48" s="21">
        <v>0</v>
      </c>
      <c r="W48" s="21">
        <v>0</v>
      </c>
      <c r="X48" s="21">
        <v>0</v>
      </c>
      <c r="Y48" s="21">
        <v>0</v>
      </c>
      <c r="Z48" s="21">
        <v>0</v>
      </c>
      <c r="AA48" s="21">
        <v>0</v>
      </c>
      <c r="AB48" s="21">
        <v>0</v>
      </c>
      <c r="AC48" s="21">
        <v>0</v>
      </c>
      <c r="AD48" s="21">
        <v>0</v>
      </c>
      <c r="AE48" s="21">
        <v>0</v>
      </c>
      <c r="AF48" s="21">
        <v>0</v>
      </c>
      <c r="AG48" s="21">
        <v>0</v>
      </c>
      <c r="AH48" s="21">
        <v>0</v>
      </c>
      <c r="AI48" s="21">
        <v>0</v>
      </c>
      <c r="AJ48" s="21">
        <v>0</v>
      </c>
      <c r="AK48" s="21">
        <v>0</v>
      </c>
      <c r="AL48" s="21">
        <v>0</v>
      </c>
      <c r="AM48" s="21">
        <v>0</v>
      </c>
      <c r="AN48" s="21">
        <v>0</v>
      </c>
      <c r="AO48" s="21">
        <v>0</v>
      </c>
      <c r="AP48" s="21">
        <v>0</v>
      </c>
      <c r="AQ48" s="21">
        <v>0</v>
      </c>
      <c r="AR48" s="21">
        <v>0</v>
      </c>
      <c r="AS48" s="21">
        <v>0</v>
      </c>
      <c r="AT48" s="21">
        <v>0</v>
      </c>
      <c r="AU48" s="21">
        <v>0</v>
      </c>
      <c r="AV48" s="21">
        <v>0</v>
      </c>
      <c r="AW48" s="21">
        <v>0</v>
      </c>
      <c r="AX48" s="21">
        <v>0</v>
      </c>
      <c r="AY48" s="21">
        <v>0</v>
      </c>
      <c r="AZ48" s="21">
        <v>0</v>
      </c>
      <c r="BA48" s="21">
        <v>0</v>
      </c>
      <c r="BB48" s="21">
        <v>0</v>
      </c>
      <c r="BC48" s="21">
        <v>0</v>
      </c>
      <c r="BD48" s="21">
        <v>0</v>
      </c>
      <c r="BE48" s="21">
        <v>0</v>
      </c>
      <c r="BF48" s="21">
        <v>0</v>
      </c>
      <c r="BG48" s="21">
        <v>0</v>
      </c>
      <c r="BH48" s="21">
        <v>0</v>
      </c>
      <c r="BI48" s="21">
        <v>0</v>
      </c>
      <c r="BJ48" s="21">
        <v>0</v>
      </c>
      <c r="BK48" s="21">
        <v>0</v>
      </c>
      <c r="BL48" s="21">
        <v>0</v>
      </c>
      <c r="BM48" s="21">
        <v>0</v>
      </c>
      <c r="BN48" s="21">
        <v>0</v>
      </c>
      <c r="BO48" s="21">
        <v>0</v>
      </c>
      <c r="BP48" s="21">
        <v>0</v>
      </c>
      <c r="BQ48" s="21">
        <v>0</v>
      </c>
      <c r="BR48" s="21">
        <v>0</v>
      </c>
      <c r="BS48" s="21">
        <v>0</v>
      </c>
      <c r="BT48" s="21">
        <v>0</v>
      </c>
      <c r="BU48" s="21">
        <v>0</v>
      </c>
      <c r="BV48" s="21">
        <v>0</v>
      </c>
      <c r="BW48" s="21">
        <v>0</v>
      </c>
      <c r="BX48" s="21">
        <v>0</v>
      </c>
      <c r="BY48" s="21">
        <v>0</v>
      </c>
      <c r="BZ48" s="21">
        <v>0</v>
      </c>
      <c r="CA48" s="21">
        <v>0</v>
      </c>
      <c r="CB48" s="21">
        <v>0</v>
      </c>
      <c r="CC48" s="21">
        <v>0</v>
      </c>
      <c r="CD48" s="21">
        <v>0</v>
      </c>
      <c r="CE48" s="21">
        <v>0</v>
      </c>
      <c r="CF48" s="21">
        <v>0</v>
      </c>
      <c r="CG48" s="21">
        <v>0</v>
      </c>
      <c r="CH48" s="21">
        <v>0</v>
      </c>
      <c r="CI48" s="21">
        <v>0</v>
      </c>
      <c r="CJ48" s="21">
        <v>0</v>
      </c>
      <c r="CK48" s="21">
        <v>0</v>
      </c>
      <c r="CL48" s="21">
        <v>0</v>
      </c>
      <c r="CM48" s="21">
        <v>0</v>
      </c>
      <c r="CN48" s="21">
        <v>0</v>
      </c>
      <c r="CO48" s="21">
        <v>0</v>
      </c>
      <c r="CP48" s="21">
        <v>0</v>
      </c>
      <c r="CQ48" s="21">
        <v>0</v>
      </c>
      <c r="CR48" s="21">
        <v>0</v>
      </c>
      <c r="CS48" s="21">
        <v>0</v>
      </c>
      <c r="CT48" s="21">
        <v>0</v>
      </c>
      <c r="CU48" s="21">
        <v>0</v>
      </c>
      <c r="CV48" s="21">
        <v>0</v>
      </c>
      <c r="CW48" s="21">
        <v>0</v>
      </c>
      <c r="CX48" s="21">
        <v>0</v>
      </c>
      <c r="CY48" s="21">
        <v>0</v>
      </c>
      <c r="CZ48" s="21">
        <v>0</v>
      </c>
      <c r="DA48" s="21">
        <v>0</v>
      </c>
      <c r="DB48" s="21">
        <v>0</v>
      </c>
      <c r="DC48" s="21">
        <v>0</v>
      </c>
      <c r="DD48" s="21">
        <v>0</v>
      </c>
      <c r="DE48" s="21">
        <v>0</v>
      </c>
      <c r="DF48" s="21">
        <v>0</v>
      </c>
      <c r="DG48" s="21">
        <v>0</v>
      </c>
      <c r="DH48" s="75"/>
      <c r="DI48" s="67"/>
      <c r="DJ48" s="67"/>
      <c r="DK48" s="50"/>
      <c r="DL48" s="67"/>
      <c r="DM48" s="50"/>
    </row>
    <row r="49" spans="1:117" s="52" customFormat="1">
      <c r="A49" s="23" t="s">
        <v>243</v>
      </c>
      <c r="B49" s="19" t="s">
        <v>244</v>
      </c>
      <c r="C49" s="19" t="s">
        <v>245</v>
      </c>
      <c r="D49" s="20">
        <f t="shared" si="1"/>
        <v>0</v>
      </c>
      <c r="E49" s="22">
        <v>0</v>
      </c>
      <c r="F49" s="22">
        <v>0</v>
      </c>
      <c r="G49" s="22">
        <v>0</v>
      </c>
      <c r="H49" s="22">
        <v>0</v>
      </c>
      <c r="I49" s="22">
        <v>0</v>
      </c>
      <c r="J49" s="22">
        <v>0</v>
      </c>
      <c r="K49" s="22">
        <v>0</v>
      </c>
      <c r="L49" s="22">
        <v>0</v>
      </c>
      <c r="M49" s="22">
        <v>0</v>
      </c>
      <c r="N49" s="22">
        <v>0</v>
      </c>
      <c r="O49" s="22">
        <v>0</v>
      </c>
      <c r="P49" s="22">
        <v>0</v>
      </c>
      <c r="Q49" s="22">
        <v>0</v>
      </c>
      <c r="R49" s="22">
        <v>0</v>
      </c>
      <c r="S49" s="22">
        <v>0</v>
      </c>
      <c r="T49" s="22">
        <v>0</v>
      </c>
      <c r="U49" s="22">
        <v>0</v>
      </c>
      <c r="V49" s="22">
        <v>0</v>
      </c>
      <c r="W49" s="22">
        <v>0</v>
      </c>
      <c r="X49" s="22">
        <v>0</v>
      </c>
      <c r="Y49" s="22">
        <v>0</v>
      </c>
      <c r="Z49" s="22">
        <v>0</v>
      </c>
      <c r="AA49" s="22">
        <v>0</v>
      </c>
      <c r="AB49" s="22">
        <v>0</v>
      </c>
      <c r="AC49" s="22">
        <v>0</v>
      </c>
      <c r="AD49" s="22">
        <v>0</v>
      </c>
      <c r="AE49" s="22">
        <v>0</v>
      </c>
      <c r="AF49" s="22">
        <v>0</v>
      </c>
      <c r="AG49" s="22">
        <v>0</v>
      </c>
      <c r="AH49" s="22">
        <v>0</v>
      </c>
      <c r="AI49" s="22">
        <v>0</v>
      </c>
      <c r="AJ49" s="22">
        <v>0</v>
      </c>
      <c r="AK49" s="22">
        <v>0</v>
      </c>
      <c r="AL49" s="22">
        <v>0</v>
      </c>
      <c r="AM49" s="22">
        <v>0</v>
      </c>
      <c r="AN49" s="22">
        <v>0</v>
      </c>
      <c r="AO49" s="22">
        <v>0</v>
      </c>
      <c r="AP49" s="22">
        <v>0</v>
      </c>
      <c r="AQ49" s="22">
        <v>0</v>
      </c>
      <c r="AR49" s="22">
        <v>0</v>
      </c>
      <c r="AS49" s="22">
        <v>0</v>
      </c>
      <c r="AT49" s="22">
        <v>0</v>
      </c>
      <c r="AU49" s="22">
        <v>0</v>
      </c>
      <c r="AV49" s="22">
        <v>0</v>
      </c>
      <c r="AW49" s="22">
        <v>0</v>
      </c>
      <c r="AX49" s="22">
        <v>0</v>
      </c>
      <c r="AY49" s="22">
        <v>0</v>
      </c>
      <c r="AZ49" s="22">
        <v>0</v>
      </c>
      <c r="BA49" s="22">
        <v>0</v>
      </c>
      <c r="BB49" s="22">
        <v>0</v>
      </c>
      <c r="BC49" s="22">
        <v>0</v>
      </c>
      <c r="BD49" s="22">
        <v>0</v>
      </c>
      <c r="BE49" s="22">
        <v>0</v>
      </c>
      <c r="BF49" s="22">
        <v>0</v>
      </c>
      <c r="BG49" s="22">
        <v>0</v>
      </c>
      <c r="BH49" s="22">
        <v>0</v>
      </c>
      <c r="BI49" s="22">
        <v>0</v>
      </c>
      <c r="BJ49" s="22">
        <v>0</v>
      </c>
      <c r="BK49" s="22">
        <v>0</v>
      </c>
      <c r="BL49" s="22">
        <v>0</v>
      </c>
      <c r="BM49" s="22">
        <v>0</v>
      </c>
      <c r="BN49" s="22">
        <v>0</v>
      </c>
      <c r="BO49" s="22">
        <v>0</v>
      </c>
      <c r="BP49" s="22">
        <v>0</v>
      </c>
      <c r="BQ49" s="22">
        <v>0</v>
      </c>
      <c r="BR49" s="22">
        <v>0</v>
      </c>
      <c r="BS49" s="22">
        <v>0</v>
      </c>
      <c r="BT49" s="22">
        <v>0</v>
      </c>
      <c r="BU49" s="22">
        <v>0</v>
      </c>
      <c r="BV49" s="22">
        <v>0</v>
      </c>
      <c r="BW49" s="22">
        <v>0</v>
      </c>
      <c r="BX49" s="22">
        <v>0</v>
      </c>
      <c r="BY49" s="22">
        <v>0</v>
      </c>
      <c r="BZ49" s="22">
        <v>0</v>
      </c>
      <c r="CA49" s="22">
        <v>0</v>
      </c>
      <c r="CB49" s="22">
        <v>0</v>
      </c>
      <c r="CC49" s="22">
        <v>0</v>
      </c>
      <c r="CD49" s="22">
        <v>0</v>
      </c>
      <c r="CE49" s="22">
        <v>0</v>
      </c>
      <c r="CF49" s="22">
        <v>0</v>
      </c>
      <c r="CG49" s="22">
        <v>0</v>
      </c>
      <c r="CH49" s="22">
        <v>0</v>
      </c>
      <c r="CI49" s="22">
        <v>0</v>
      </c>
      <c r="CJ49" s="22">
        <v>0</v>
      </c>
      <c r="CK49" s="22">
        <v>0</v>
      </c>
      <c r="CL49" s="22">
        <v>0</v>
      </c>
      <c r="CM49" s="22">
        <v>0</v>
      </c>
      <c r="CN49" s="22">
        <v>0</v>
      </c>
      <c r="CO49" s="22">
        <v>0</v>
      </c>
      <c r="CP49" s="22">
        <v>0</v>
      </c>
      <c r="CQ49" s="22">
        <v>0</v>
      </c>
      <c r="CR49" s="22">
        <v>0</v>
      </c>
      <c r="CS49" s="22">
        <v>0</v>
      </c>
      <c r="CT49" s="22">
        <v>0</v>
      </c>
      <c r="CU49" s="21">
        <v>0</v>
      </c>
      <c r="CV49" s="21">
        <v>0</v>
      </c>
      <c r="CW49" s="21">
        <v>0</v>
      </c>
      <c r="CX49" s="21">
        <v>0</v>
      </c>
      <c r="CY49" s="21">
        <v>0</v>
      </c>
      <c r="CZ49" s="21">
        <v>0</v>
      </c>
      <c r="DA49" s="21">
        <v>0</v>
      </c>
      <c r="DB49" s="21">
        <v>0</v>
      </c>
      <c r="DC49" s="21">
        <v>0</v>
      </c>
      <c r="DD49" s="21">
        <v>0</v>
      </c>
      <c r="DE49" s="21">
        <v>0</v>
      </c>
      <c r="DF49" s="21">
        <v>0</v>
      </c>
      <c r="DG49" s="21">
        <v>0</v>
      </c>
      <c r="DH49" s="75"/>
      <c r="DI49" s="67"/>
      <c r="DJ49" s="67"/>
      <c r="DK49" s="50"/>
      <c r="DL49" s="67"/>
      <c r="DM49" s="50"/>
    </row>
    <row r="50" spans="1:117" s="52" customFormat="1">
      <c r="A50" s="23" t="s">
        <v>246</v>
      </c>
      <c r="B50" s="19" t="s">
        <v>247</v>
      </c>
      <c r="C50" s="19" t="s">
        <v>248</v>
      </c>
      <c r="D50" s="20">
        <f t="shared" si="1"/>
        <v>0</v>
      </c>
      <c r="E50" s="21">
        <v>0</v>
      </c>
      <c r="F50" s="21">
        <v>0</v>
      </c>
      <c r="G50" s="21">
        <v>0</v>
      </c>
      <c r="H50" s="21">
        <v>0</v>
      </c>
      <c r="I50" s="21">
        <v>0</v>
      </c>
      <c r="J50" s="21">
        <v>0</v>
      </c>
      <c r="K50" s="21">
        <v>0</v>
      </c>
      <c r="L50" s="21">
        <v>0</v>
      </c>
      <c r="M50" s="21">
        <v>0</v>
      </c>
      <c r="N50" s="21">
        <v>0</v>
      </c>
      <c r="O50" s="21">
        <v>0</v>
      </c>
      <c r="P50" s="21">
        <v>0</v>
      </c>
      <c r="Q50" s="21">
        <v>0</v>
      </c>
      <c r="R50" s="21">
        <v>0</v>
      </c>
      <c r="S50" s="21">
        <v>0</v>
      </c>
      <c r="T50" s="21">
        <v>0</v>
      </c>
      <c r="U50" s="21">
        <v>0</v>
      </c>
      <c r="V50" s="21">
        <v>0</v>
      </c>
      <c r="W50" s="21">
        <v>0</v>
      </c>
      <c r="X50" s="21">
        <v>0</v>
      </c>
      <c r="Y50" s="21">
        <v>0</v>
      </c>
      <c r="Z50" s="21">
        <v>0</v>
      </c>
      <c r="AA50" s="21">
        <v>0</v>
      </c>
      <c r="AB50" s="21">
        <v>0</v>
      </c>
      <c r="AC50" s="21">
        <v>0</v>
      </c>
      <c r="AD50" s="21">
        <v>0</v>
      </c>
      <c r="AE50" s="21">
        <v>0</v>
      </c>
      <c r="AF50" s="21">
        <v>0</v>
      </c>
      <c r="AG50" s="21">
        <v>0</v>
      </c>
      <c r="AH50" s="21">
        <v>0</v>
      </c>
      <c r="AI50" s="21">
        <v>0</v>
      </c>
      <c r="AJ50" s="21">
        <v>0</v>
      </c>
      <c r="AK50" s="21">
        <v>0</v>
      </c>
      <c r="AL50" s="21">
        <v>0</v>
      </c>
      <c r="AM50" s="21">
        <v>0</v>
      </c>
      <c r="AN50" s="21">
        <v>0</v>
      </c>
      <c r="AO50" s="21">
        <v>0</v>
      </c>
      <c r="AP50" s="21">
        <v>0</v>
      </c>
      <c r="AQ50" s="21">
        <v>0</v>
      </c>
      <c r="AR50" s="21">
        <v>0</v>
      </c>
      <c r="AS50" s="21">
        <v>0</v>
      </c>
      <c r="AT50" s="21">
        <v>0</v>
      </c>
      <c r="AU50" s="21">
        <v>0</v>
      </c>
      <c r="AV50" s="21">
        <v>0</v>
      </c>
      <c r="AW50" s="21">
        <v>0</v>
      </c>
      <c r="AX50" s="21">
        <v>0</v>
      </c>
      <c r="AY50" s="21">
        <v>0</v>
      </c>
      <c r="AZ50" s="21">
        <v>0</v>
      </c>
      <c r="BA50" s="21">
        <v>0</v>
      </c>
      <c r="BB50" s="21">
        <v>0</v>
      </c>
      <c r="BC50" s="21">
        <v>0</v>
      </c>
      <c r="BD50" s="21">
        <v>0</v>
      </c>
      <c r="BE50" s="21">
        <v>0</v>
      </c>
      <c r="BF50" s="21">
        <v>0</v>
      </c>
      <c r="BG50" s="21">
        <v>0</v>
      </c>
      <c r="BH50" s="21">
        <v>0</v>
      </c>
      <c r="BI50" s="21">
        <v>0</v>
      </c>
      <c r="BJ50" s="21">
        <v>0</v>
      </c>
      <c r="BK50" s="21">
        <v>0</v>
      </c>
      <c r="BL50" s="21">
        <v>0</v>
      </c>
      <c r="BM50" s="21">
        <v>0</v>
      </c>
      <c r="BN50" s="21">
        <v>0</v>
      </c>
      <c r="BO50" s="21">
        <v>0</v>
      </c>
      <c r="BP50" s="21">
        <v>0</v>
      </c>
      <c r="BQ50" s="21">
        <v>0</v>
      </c>
      <c r="BR50" s="21">
        <v>0</v>
      </c>
      <c r="BS50" s="21">
        <v>0</v>
      </c>
      <c r="BT50" s="21">
        <v>0</v>
      </c>
      <c r="BU50" s="21">
        <v>0</v>
      </c>
      <c r="BV50" s="21">
        <v>0</v>
      </c>
      <c r="BW50" s="21">
        <v>0</v>
      </c>
      <c r="BX50" s="21">
        <v>0</v>
      </c>
      <c r="BY50" s="21">
        <v>0</v>
      </c>
      <c r="BZ50" s="21">
        <v>0</v>
      </c>
      <c r="CA50" s="21">
        <v>0</v>
      </c>
      <c r="CB50" s="21">
        <v>0</v>
      </c>
      <c r="CC50" s="21">
        <v>0</v>
      </c>
      <c r="CD50" s="21">
        <v>0</v>
      </c>
      <c r="CE50" s="21">
        <v>0</v>
      </c>
      <c r="CF50" s="21">
        <v>0</v>
      </c>
      <c r="CG50" s="21">
        <v>0</v>
      </c>
      <c r="CH50" s="21">
        <v>0</v>
      </c>
      <c r="CI50" s="21">
        <v>0</v>
      </c>
      <c r="CJ50" s="21">
        <v>0</v>
      </c>
      <c r="CK50" s="21">
        <v>0</v>
      </c>
      <c r="CL50" s="21">
        <v>0</v>
      </c>
      <c r="CM50" s="21">
        <v>0</v>
      </c>
      <c r="CN50" s="21">
        <v>0</v>
      </c>
      <c r="CO50" s="21">
        <v>0</v>
      </c>
      <c r="CP50" s="21">
        <v>0</v>
      </c>
      <c r="CQ50" s="21">
        <v>0</v>
      </c>
      <c r="CR50" s="21">
        <v>0</v>
      </c>
      <c r="CS50" s="21">
        <v>0</v>
      </c>
      <c r="CT50" s="21">
        <v>0</v>
      </c>
      <c r="CU50" s="21">
        <v>0</v>
      </c>
      <c r="CV50" s="21">
        <v>0</v>
      </c>
      <c r="CW50" s="21">
        <v>0</v>
      </c>
      <c r="CX50" s="21">
        <v>0</v>
      </c>
      <c r="CY50" s="21">
        <v>0</v>
      </c>
      <c r="CZ50" s="21">
        <v>0</v>
      </c>
      <c r="DA50" s="21">
        <v>0</v>
      </c>
      <c r="DB50" s="21">
        <v>0</v>
      </c>
      <c r="DC50" s="21">
        <v>0</v>
      </c>
      <c r="DD50" s="21">
        <v>0</v>
      </c>
      <c r="DE50" s="21">
        <v>0</v>
      </c>
      <c r="DF50" s="21">
        <v>0</v>
      </c>
      <c r="DG50" s="21">
        <v>0</v>
      </c>
      <c r="DH50" s="75"/>
      <c r="DI50" s="67"/>
      <c r="DJ50" s="67"/>
      <c r="DK50" s="50"/>
      <c r="DL50" s="67"/>
      <c r="DM50" s="50"/>
    </row>
    <row r="51" spans="1:117" s="52" customFormat="1">
      <c r="A51" s="23" t="s">
        <v>249</v>
      </c>
      <c r="B51" s="19" t="s">
        <v>250</v>
      </c>
      <c r="C51" s="19" t="s">
        <v>236</v>
      </c>
      <c r="D51" s="20">
        <f t="shared" si="1"/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1">
        <v>0</v>
      </c>
      <c r="AX51" s="21">
        <v>0</v>
      </c>
      <c r="AY51" s="21">
        <v>0</v>
      </c>
      <c r="AZ51" s="21">
        <v>0</v>
      </c>
      <c r="BA51" s="21">
        <v>0</v>
      </c>
      <c r="BB51" s="21">
        <v>0</v>
      </c>
      <c r="BC51" s="21">
        <v>0</v>
      </c>
      <c r="BD51" s="21">
        <v>0</v>
      </c>
      <c r="BE51" s="21">
        <v>0</v>
      </c>
      <c r="BF51" s="21">
        <v>0</v>
      </c>
      <c r="BG51" s="21">
        <v>0</v>
      </c>
      <c r="BH51" s="21">
        <v>0</v>
      </c>
      <c r="BI51" s="21">
        <v>0</v>
      </c>
      <c r="BJ51" s="21">
        <v>0</v>
      </c>
      <c r="BK51" s="21">
        <v>0</v>
      </c>
      <c r="BL51" s="21">
        <v>0</v>
      </c>
      <c r="BM51" s="21">
        <v>0</v>
      </c>
      <c r="BN51" s="21">
        <v>0</v>
      </c>
      <c r="BO51" s="21">
        <v>0</v>
      </c>
      <c r="BP51" s="21">
        <v>0</v>
      </c>
      <c r="BQ51" s="21">
        <v>0</v>
      </c>
      <c r="BR51" s="21">
        <v>0</v>
      </c>
      <c r="BS51" s="21">
        <v>0</v>
      </c>
      <c r="BT51" s="21">
        <v>0</v>
      </c>
      <c r="BU51" s="21">
        <v>0</v>
      </c>
      <c r="BV51" s="21">
        <v>0</v>
      </c>
      <c r="BW51" s="21">
        <v>0</v>
      </c>
      <c r="BX51" s="21">
        <v>0</v>
      </c>
      <c r="BY51" s="21">
        <v>0</v>
      </c>
      <c r="BZ51" s="21">
        <v>0</v>
      </c>
      <c r="CA51" s="21">
        <v>0</v>
      </c>
      <c r="CB51" s="21">
        <v>0</v>
      </c>
      <c r="CC51" s="21">
        <v>0</v>
      </c>
      <c r="CD51" s="21">
        <v>0</v>
      </c>
      <c r="CE51" s="21">
        <v>0</v>
      </c>
      <c r="CF51" s="21">
        <v>0</v>
      </c>
      <c r="CG51" s="21">
        <v>0</v>
      </c>
      <c r="CH51" s="21">
        <v>0</v>
      </c>
      <c r="CI51" s="21">
        <v>0</v>
      </c>
      <c r="CJ51" s="21">
        <v>0</v>
      </c>
      <c r="CK51" s="21">
        <v>0</v>
      </c>
      <c r="CL51" s="21">
        <v>0</v>
      </c>
      <c r="CM51" s="21">
        <v>0</v>
      </c>
      <c r="CN51" s="21">
        <v>0</v>
      </c>
      <c r="CO51" s="21">
        <v>0</v>
      </c>
      <c r="CP51" s="21">
        <v>0</v>
      </c>
      <c r="CQ51" s="21">
        <v>0</v>
      </c>
      <c r="CR51" s="21">
        <v>0</v>
      </c>
      <c r="CS51" s="21">
        <v>0</v>
      </c>
      <c r="CT51" s="21">
        <v>0</v>
      </c>
      <c r="CU51" s="21">
        <v>0</v>
      </c>
      <c r="CV51" s="21">
        <v>0</v>
      </c>
      <c r="CW51" s="21">
        <v>0</v>
      </c>
      <c r="CX51" s="21">
        <v>0</v>
      </c>
      <c r="CY51" s="21">
        <v>0</v>
      </c>
      <c r="CZ51" s="21">
        <v>0</v>
      </c>
      <c r="DA51" s="21">
        <v>0</v>
      </c>
      <c r="DB51" s="21">
        <v>0</v>
      </c>
      <c r="DC51" s="21">
        <v>0</v>
      </c>
      <c r="DD51" s="21">
        <v>0</v>
      </c>
      <c r="DE51" s="21">
        <v>0</v>
      </c>
      <c r="DF51" s="21">
        <v>0</v>
      </c>
      <c r="DG51" s="21">
        <v>0</v>
      </c>
      <c r="DH51" s="75"/>
      <c r="DI51" s="67"/>
      <c r="DJ51" s="67"/>
      <c r="DK51" s="50"/>
      <c r="DL51" s="67"/>
      <c r="DM51" s="50"/>
    </row>
    <row r="52" spans="1:117" s="52" customFormat="1">
      <c r="A52" s="23" t="s">
        <v>251</v>
      </c>
      <c r="B52" s="19" t="s">
        <v>252</v>
      </c>
      <c r="C52" s="19" t="s">
        <v>253</v>
      </c>
      <c r="D52" s="20">
        <f t="shared" si="1"/>
        <v>38</v>
      </c>
      <c r="E52" s="22">
        <v>14</v>
      </c>
      <c r="F52" s="22">
        <v>5</v>
      </c>
      <c r="G52" s="22">
        <v>2</v>
      </c>
      <c r="H52" s="22">
        <v>0</v>
      </c>
      <c r="I52" s="22">
        <v>2</v>
      </c>
      <c r="J52" s="22">
        <v>2</v>
      </c>
      <c r="K52" s="22">
        <v>0</v>
      </c>
      <c r="L52" s="22">
        <v>0</v>
      </c>
      <c r="M52" s="22">
        <v>0</v>
      </c>
      <c r="N52" s="22">
        <v>0</v>
      </c>
      <c r="O52" s="22">
        <v>0</v>
      </c>
      <c r="P52" s="22">
        <v>0</v>
      </c>
      <c r="Q52" s="22">
        <v>0</v>
      </c>
      <c r="R52" s="22">
        <v>0</v>
      </c>
      <c r="S52" s="22">
        <v>0</v>
      </c>
      <c r="T52" s="22">
        <v>0</v>
      </c>
      <c r="U52" s="22">
        <v>0</v>
      </c>
      <c r="V52" s="22">
        <v>0</v>
      </c>
      <c r="W52" s="22">
        <v>0</v>
      </c>
      <c r="X52" s="22">
        <v>0</v>
      </c>
      <c r="Y52" s="22">
        <v>0</v>
      </c>
      <c r="Z52" s="22">
        <v>0</v>
      </c>
      <c r="AA52" s="22">
        <v>0</v>
      </c>
      <c r="AB52" s="22">
        <v>0</v>
      </c>
      <c r="AC52" s="22">
        <v>0</v>
      </c>
      <c r="AD52" s="22">
        <v>0</v>
      </c>
      <c r="AE52" s="22">
        <v>0</v>
      </c>
      <c r="AF52" s="22">
        <v>0</v>
      </c>
      <c r="AG52" s="22">
        <v>0</v>
      </c>
      <c r="AH52" s="22">
        <v>2</v>
      </c>
      <c r="AI52" s="22">
        <v>0</v>
      </c>
      <c r="AJ52" s="22">
        <v>0</v>
      </c>
      <c r="AK52" s="22">
        <v>0</v>
      </c>
      <c r="AL52" s="22">
        <v>0</v>
      </c>
      <c r="AM52" s="22">
        <v>0</v>
      </c>
      <c r="AN52" s="22">
        <v>0</v>
      </c>
      <c r="AO52" s="22">
        <v>0</v>
      </c>
      <c r="AP52" s="22">
        <v>0</v>
      </c>
      <c r="AQ52" s="22">
        <v>0</v>
      </c>
      <c r="AR52" s="22">
        <v>0</v>
      </c>
      <c r="AS52" s="22">
        <v>0</v>
      </c>
      <c r="AT52" s="22">
        <v>0</v>
      </c>
      <c r="AU52" s="22">
        <v>0</v>
      </c>
      <c r="AV52" s="22">
        <v>0</v>
      </c>
      <c r="AW52" s="22">
        <v>0</v>
      </c>
      <c r="AX52" s="22">
        <v>0</v>
      </c>
      <c r="AY52" s="22">
        <v>0</v>
      </c>
      <c r="AZ52" s="22">
        <v>0</v>
      </c>
      <c r="BA52" s="22">
        <v>0</v>
      </c>
      <c r="BB52" s="22">
        <v>2</v>
      </c>
      <c r="BC52" s="22">
        <v>2</v>
      </c>
      <c r="BD52" s="22">
        <v>0</v>
      </c>
      <c r="BE52" s="22">
        <v>0</v>
      </c>
      <c r="BF52" s="22">
        <v>0</v>
      </c>
      <c r="BG52" s="22">
        <v>0</v>
      </c>
      <c r="BH52" s="22">
        <v>0</v>
      </c>
      <c r="BI52" s="22">
        <v>0</v>
      </c>
      <c r="BJ52" s="22">
        <v>0</v>
      </c>
      <c r="BK52" s="22">
        <v>0</v>
      </c>
      <c r="BL52" s="22">
        <v>0</v>
      </c>
      <c r="BM52" s="22">
        <v>0</v>
      </c>
      <c r="BN52" s="22">
        <v>0</v>
      </c>
      <c r="BO52" s="22">
        <v>0</v>
      </c>
      <c r="BP52" s="22">
        <v>0</v>
      </c>
      <c r="BQ52" s="22">
        <v>0</v>
      </c>
      <c r="BR52" s="22">
        <v>0</v>
      </c>
      <c r="BS52" s="22">
        <v>0</v>
      </c>
      <c r="BT52" s="22">
        <v>0</v>
      </c>
      <c r="BU52" s="22">
        <v>0</v>
      </c>
      <c r="BV52" s="22">
        <v>0</v>
      </c>
      <c r="BW52" s="22">
        <v>0</v>
      </c>
      <c r="BX52" s="22">
        <v>0</v>
      </c>
      <c r="BY52" s="22">
        <v>0</v>
      </c>
      <c r="BZ52" s="22">
        <v>0</v>
      </c>
      <c r="CA52" s="22">
        <v>0</v>
      </c>
      <c r="CB52" s="22">
        <v>0</v>
      </c>
      <c r="CC52" s="22">
        <v>0</v>
      </c>
      <c r="CD52" s="22">
        <v>0</v>
      </c>
      <c r="CE52" s="22">
        <v>0</v>
      </c>
      <c r="CF52" s="22">
        <v>0</v>
      </c>
      <c r="CG52" s="22">
        <v>0</v>
      </c>
      <c r="CH52" s="22">
        <v>0</v>
      </c>
      <c r="CI52" s="22">
        <v>0</v>
      </c>
      <c r="CJ52" s="22">
        <v>0</v>
      </c>
      <c r="CK52" s="22">
        <v>0</v>
      </c>
      <c r="CL52" s="22">
        <v>0</v>
      </c>
      <c r="CM52" s="22">
        <v>0</v>
      </c>
      <c r="CN52" s="22">
        <v>0</v>
      </c>
      <c r="CO52" s="22">
        <v>0</v>
      </c>
      <c r="CP52" s="22">
        <v>0</v>
      </c>
      <c r="CQ52" s="22">
        <v>0</v>
      </c>
      <c r="CR52" s="22">
        <v>0</v>
      </c>
      <c r="CS52" s="22">
        <v>0</v>
      </c>
      <c r="CT52" s="22">
        <v>0</v>
      </c>
      <c r="CU52" s="21">
        <v>0</v>
      </c>
      <c r="CV52" s="21">
        <v>0</v>
      </c>
      <c r="CW52" s="21">
        <v>0</v>
      </c>
      <c r="CX52" s="21">
        <v>0</v>
      </c>
      <c r="CY52" s="21">
        <v>0</v>
      </c>
      <c r="CZ52" s="21">
        <v>0</v>
      </c>
      <c r="DA52" s="21">
        <v>0</v>
      </c>
      <c r="DB52" s="21">
        <v>0</v>
      </c>
      <c r="DC52" s="21">
        <v>0</v>
      </c>
      <c r="DD52" s="21">
        <v>0</v>
      </c>
      <c r="DE52" s="21">
        <v>0</v>
      </c>
      <c r="DF52" s="21">
        <v>0</v>
      </c>
      <c r="DG52" s="21">
        <v>7</v>
      </c>
      <c r="DH52" s="75"/>
      <c r="DI52" s="67"/>
      <c r="DJ52" s="67"/>
      <c r="DK52" s="50"/>
      <c r="DL52" s="67"/>
      <c r="DM52" s="50"/>
    </row>
    <row r="53" spans="1:117" s="52" customFormat="1">
      <c r="A53" s="23" t="s">
        <v>254</v>
      </c>
      <c r="B53" s="19" t="s">
        <v>255</v>
      </c>
      <c r="C53" s="19" t="s">
        <v>256</v>
      </c>
      <c r="D53" s="20">
        <f t="shared" si="1"/>
        <v>21</v>
      </c>
      <c r="E53" s="21">
        <v>11</v>
      </c>
      <c r="F53" s="21">
        <v>1</v>
      </c>
      <c r="G53" s="21">
        <v>4</v>
      </c>
      <c r="H53" s="21">
        <v>0</v>
      </c>
      <c r="I53" s="21">
        <v>1</v>
      </c>
      <c r="J53" s="21">
        <v>1</v>
      </c>
      <c r="K53" s="21">
        <v>0</v>
      </c>
      <c r="L53" s="21">
        <v>0</v>
      </c>
      <c r="M53" s="21">
        <v>0</v>
      </c>
      <c r="N53" s="21">
        <v>0</v>
      </c>
      <c r="O53" s="21">
        <v>0</v>
      </c>
      <c r="P53" s="21">
        <v>0</v>
      </c>
      <c r="Q53" s="21">
        <v>0</v>
      </c>
      <c r="R53" s="21">
        <v>0</v>
      </c>
      <c r="S53" s="21">
        <v>0</v>
      </c>
      <c r="T53" s="21">
        <v>0</v>
      </c>
      <c r="U53" s="21">
        <v>0</v>
      </c>
      <c r="V53" s="21">
        <v>0</v>
      </c>
      <c r="W53" s="21">
        <v>0</v>
      </c>
      <c r="X53" s="21">
        <v>0</v>
      </c>
      <c r="Y53" s="21">
        <v>0</v>
      </c>
      <c r="Z53" s="21">
        <v>0</v>
      </c>
      <c r="AA53" s="21">
        <v>0</v>
      </c>
      <c r="AB53" s="21">
        <v>0</v>
      </c>
      <c r="AC53" s="21">
        <v>0</v>
      </c>
      <c r="AD53" s="21">
        <v>0</v>
      </c>
      <c r="AE53" s="21">
        <v>0</v>
      </c>
      <c r="AF53" s="21">
        <v>0</v>
      </c>
      <c r="AG53" s="21">
        <v>0</v>
      </c>
      <c r="AH53" s="21">
        <v>1</v>
      </c>
      <c r="AI53" s="21">
        <v>0</v>
      </c>
      <c r="AJ53" s="21">
        <v>0</v>
      </c>
      <c r="AK53" s="21">
        <v>0</v>
      </c>
      <c r="AL53" s="21">
        <v>0</v>
      </c>
      <c r="AM53" s="21">
        <v>0</v>
      </c>
      <c r="AN53" s="21">
        <v>0</v>
      </c>
      <c r="AO53" s="21">
        <v>0</v>
      </c>
      <c r="AP53" s="21">
        <v>0</v>
      </c>
      <c r="AQ53" s="21">
        <v>0</v>
      </c>
      <c r="AR53" s="21">
        <v>0</v>
      </c>
      <c r="AS53" s="21">
        <v>0</v>
      </c>
      <c r="AT53" s="21">
        <v>0</v>
      </c>
      <c r="AU53" s="21">
        <v>0</v>
      </c>
      <c r="AV53" s="21">
        <v>0</v>
      </c>
      <c r="AW53" s="21">
        <v>0</v>
      </c>
      <c r="AX53" s="21">
        <v>0</v>
      </c>
      <c r="AY53" s="21">
        <v>0</v>
      </c>
      <c r="AZ53" s="21">
        <v>0</v>
      </c>
      <c r="BA53" s="21">
        <v>0</v>
      </c>
      <c r="BB53" s="21">
        <v>1</v>
      </c>
      <c r="BC53" s="21">
        <v>0</v>
      </c>
      <c r="BD53" s="21">
        <v>0</v>
      </c>
      <c r="BE53" s="21">
        <v>0</v>
      </c>
      <c r="BF53" s="21">
        <v>0</v>
      </c>
      <c r="BG53" s="21">
        <v>0</v>
      </c>
      <c r="BH53" s="21">
        <v>0</v>
      </c>
      <c r="BI53" s="21">
        <v>0</v>
      </c>
      <c r="BJ53" s="21">
        <v>0</v>
      </c>
      <c r="BK53" s="21">
        <v>0</v>
      </c>
      <c r="BL53" s="21">
        <v>0</v>
      </c>
      <c r="BM53" s="21">
        <v>0</v>
      </c>
      <c r="BN53" s="21">
        <v>0</v>
      </c>
      <c r="BO53" s="21">
        <v>0</v>
      </c>
      <c r="BP53" s="21">
        <v>0</v>
      </c>
      <c r="BQ53" s="21">
        <v>0</v>
      </c>
      <c r="BR53" s="21">
        <v>0</v>
      </c>
      <c r="BS53" s="21">
        <v>0</v>
      </c>
      <c r="BT53" s="21">
        <v>0</v>
      </c>
      <c r="BU53" s="21">
        <v>0</v>
      </c>
      <c r="BV53" s="21">
        <v>0</v>
      </c>
      <c r="BW53" s="21">
        <v>0</v>
      </c>
      <c r="BX53" s="21">
        <v>0</v>
      </c>
      <c r="BY53" s="21">
        <v>0</v>
      </c>
      <c r="BZ53" s="21">
        <v>0</v>
      </c>
      <c r="CA53" s="21">
        <v>0</v>
      </c>
      <c r="CB53" s="21">
        <v>0</v>
      </c>
      <c r="CC53" s="21">
        <v>0</v>
      </c>
      <c r="CD53" s="21">
        <v>0</v>
      </c>
      <c r="CE53" s="21">
        <v>0</v>
      </c>
      <c r="CF53" s="21">
        <v>0</v>
      </c>
      <c r="CG53" s="21">
        <v>0</v>
      </c>
      <c r="CH53" s="21">
        <v>0</v>
      </c>
      <c r="CI53" s="21">
        <v>0</v>
      </c>
      <c r="CJ53" s="21">
        <v>0</v>
      </c>
      <c r="CK53" s="21">
        <v>0</v>
      </c>
      <c r="CL53" s="21">
        <v>0</v>
      </c>
      <c r="CM53" s="21">
        <v>0</v>
      </c>
      <c r="CN53" s="21">
        <v>0</v>
      </c>
      <c r="CO53" s="21">
        <v>0</v>
      </c>
      <c r="CP53" s="21">
        <v>0</v>
      </c>
      <c r="CQ53" s="21">
        <v>0</v>
      </c>
      <c r="CR53" s="21">
        <v>0</v>
      </c>
      <c r="CS53" s="21">
        <v>0</v>
      </c>
      <c r="CT53" s="21">
        <v>0</v>
      </c>
      <c r="CU53" s="21">
        <v>0</v>
      </c>
      <c r="CV53" s="21">
        <v>0</v>
      </c>
      <c r="CW53" s="21">
        <v>0</v>
      </c>
      <c r="CX53" s="21">
        <v>0</v>
      </c>
      <c r="CY53" s="21">
        <v>0</v>
      </c>
      <c r="CZ53" s="21">
        <v>0</v>
      </c>
      <c r="DA53" s="21">
        <v>0</v>
      </c>
      <c r="DB53" s="21">
        <v>0</v>
      </c>
      <c r="DC53" s="21">
        <v>0</v>
      </c>
      <c r="DD53" s="21">
        <v>0</v>
      </c>
      <c r="DE53" s="21">
        <v>0</v>
      </c>
      <c r="DF53" s="21">
        <v>0</v>
      </c>
      <c r="DG53" s="21">
        <v>1</v>
      </c>
      <c r="DH53" s="75"/>
      <c r="DI53" s="67"/>
      <c r="DJ53" s="67"/>
      <c r="DK53" s="50"/>
      <c r="DL53" s="67"/>
      <c r="DM53" s="50"/>
    </row>
    <row r="54" spans="1:117">
      <c r="A54" s="23" t="s">
        <v>257</v>
      </c>
      <c r="B54" s="19" t="s">
        <v>258</v>
      </c>
      <c r="C54" s="19" t="s">
        <v>259</v>
      </c>
      <c r="D54" s="20">
        <f t="shared" si="1"/>
        <v>14</v>
      </c>
      <c r="E54" s="21">
        <v>0</v>
      </c>
      <c r="F54" s="21">
        <v>1</v>
      </c>
      <c r="G54" s="21">
        <v>0</v>
      </c>
      <c r="H54" s="21">
        <v>1</v>
      </c>
      <c r="I54" s="21">
        <v>2</v>
      </c>
      <c r="J54" s="21">
        <v>1</v>
      </c>
      <c r="K54" s="21">
        <v>0</v>
      </c>
      <c r="L54" s="21">
        <v>0</v>
      </c>
      <c r="M54" s="21">
        <v>0</v>
      </c>
      <c r="N54" s="21">
        <v>0</v>
      </c>
      <c r="O54" s="21">
        <v>0</v>
      </c>
      <c r="P54" s="21">
        <v>0</v>
      </c>
      <c r="Q54" s="21">
        <v>0</v>
      </c>
      <c r="R54" s="21">
        <v>0</v>
      </c>
      <c r="S54" s="21">
        <v>0</v>
      </c>
      <c r="T54" s="21">
        <v>0</v>
      </c>
      <c r="U54" s="21">
        <v>1</v>
      </c>
      <c r="V54" s="21">
        <v>0</v>
      </c>
      <c r="W54" s="21">
        <v>1</v>
      </c>
      <c r="X54" s="21">
        <v>0</v>
      </c>
      <c r="Y54" s="21">
        <v>0</v>
      </c>
      <c r="Z54" s="21">
        <v>0</v>
      </c>
      <c r="AA54" s="21">
        <v>0</v>
      </c>
      <c r="AB54" s="21">
        <v>0</v>
      </c>
      <c r="AC54" s="21">
        <v>0</v>
      </c>
      <c r="AD54" s="21">
        <v>1</v>
      </c>
      <c r="AE54" s="21">
        <v>0</v>
      </c>
      <c r="AF54" s="21">
        <v>0</v>
      </c>
      <c r="AG54" s="21">
        <v>0</v>
      </c>
      <c r="AH54" s="21">
        <v>0</v>
      </c>
      <c r="AI54" s="21">
        <v>0</v>
      </c>
      <c r="AJ54" s="21">
        <v>0</v>
      </c>
      <c r="AK54" s="21">
        <v>0</v>
      </c>
      <c r="AL54" s="21">
        <v>0</v>
      </c>
      <c r="AM54" s="21">
        <v>0</v>
      </c>
      <c r="AN54" s="21">
        <v>0</v>
      </c>
      <c r="AO54" s="21">
        <v>0</v>
      </c>
      <c r="AP54" s="21">
        <v>0</v>
      </c>
      <c r="AQ54" s="21">
        <v>0</v>
      </c>
      <c r="AR54" s="21">
        <v>0</v>
      </c>
      <c r="AS54" s="21">
        <v>0</v>
      </c>
      <c r="AT54" s="21">
        <v>0</v>
      </c>
      <c r="AU54" s="21">
        <v>0</v>
      </c>
      <c r="AV54" s="21">
        <v>0</v>
      </c>
      <c r="AW54" s="21">
        <v>0</v>
      </c>
      <c r="AX54" s="21">
        <v>0</v>
      </c>
      <c r="AY54" s="21">
        <v>1</v>
      </c>
      <c r="AZ54" s="21">
        <v>0</v>
      </c>
      <c r="BA54" s="21">
        <v>0</v>
      </c>
      <c r="BB54" s="21">
        <v>0</v>
      </c>
      <c r="BC54" s="21">
        <v>0</v>
      </c>
      <c r="BD54" s="21">
        <v>0</v>
      </c>
      <c r="BE54" s="21">
        <v>0</v>
      </c>
      <c r="BF54" s="21">
        <v>0</v>
      </c>
      <c r="BG54" s="21">
        <v>0</v>
      </c>
      <c r="BH54" s="21">
        <v>0</v>
      </c>
      <c r="BI54" s="21">
        <v>0</v>
      </c>
      <c r="BJ54" s="21">
        <v>0</v>
      </c>
      <c r="BK54" s="21">
        <v>0</v>
      </c>
      <c r="BL54" s="21">
        <v>0</v>
      </c>
      <c r="BM54" s="21">
        <v>0</v>
      </c>
      <c r="BN54" s="21">
        <v>0</v>
      </c>
      <c r="BO54" s="21">
        <v>0</v>
      </c>
      <c r="BP54" s="21">
        <v>0</v>
      </c>
      <c r="BQ54" s="21">
        <v>1</v>
      </c>
      <c r="BR54" s="21">
        <v>0</v>
      </c>
      <c r="BS54" s="21">
        <v>0</v>
      </c>
      <c r="BT54" s="21">
        <v>0</v>
      </c>
      <c r="BU54" s="21">
        <v>0</v>
      </c>
      <c r="BV54" s="21">
        <v>0</v>
      </c>
      <c r="BW54" s="21">
        <v>0</v>
      </c>
      <c r="BX54" s="21">
        <v>0</v>
      </c>
      <c r="BY54" s="21">
        <v>0</v>
      </c>
      <c r="BZ54" s="21">
        <v>0</v>
      </c>
      <c r="CA54" s="21">
        <v>0</v>
      </c>
      <c r="CB54" s="21">
        <v>0</v>
      </c>
      <c r="CC54" s="21">
        <v>0</v>
      </c>
      <c r="CD54" s="21">
        <v>0</v>
      </c>
      <c r="CE54" s="21">
        <v>0</v>
      </c>
      <c r="CF54" s="21">
        <v>1</v>
      </c>
      <c r="CG54" s="21">
        <v>0</v>
      </c>
      <c r="CH54" s="21">
        <v>0</v>
      </c>
      <c r="CI54" s="21">
        <v>0</v>
      </c>
      <c r="CJ54" s="21">
        <v>0</v>
      </c>
      <c r="CK54" s="21">
        <v>1</v>
      </c>
      <c r="CL54" s="21">
        <v>0</v>
      </c>
      <c r="CM54" s="21">
        <v>0</v>
      </c>
      <c r="CN54" s="21">
        <v>0</v>
      </c>
      <c r="CO54" s="21">
        <v>0</v>
      </c>
      <c r="CP54" s="21">
        <v>0</v>
      </c>
      <c r="CQ54" s="21">
        <v>0</v>
      </c>
      <c r="CR54" s="21">
        <v>0</v>
      </c>
      <c r="CS54" s="21">
        <v>0</v>
      </c>
      <c r="CT54" s="21">
        <v>1</v>
      </c>
      <c r="CU54" s="21">
        <v>0</v>
      </c>
      <c r="CV54" s="21">
        <v>1</v>
      </c>
      <c r="CW54" s="21">
        <v>0</v>
      </c>
      <c r="CX54" s="21">
        <v>0</v>
      </c>
      <c r="CY54" s="21">
        <v>0</v>
      </c>
      <c r="CZ54" s="21">
        <v>0</v>
      </c>
      <c r="DA54" s="21">
        <v>0</v>
      </c>
      <c r="DB54" s="21">
        <v>0</v>
      </c>
      <c r="DC54" s="21">
        <v>0</v>
      </c>
      <c r="DD54" s="21">
        <v>0</v>
      </c>
      <c r="DE54" s="21">
        <v>0</v>
      </c>
      <c r="DF54" s="21">
        <v>0</v>
      </c>
      <c r="DG54" s="21">
        <v>0</v>
      </c>
      <c r="DH54" s="74"/>
      <c r="DJ54" s="67"/>
      <c r="DL54" s="67"/>
    </row>
    <row r="55" spans="1:117">
      <c r="A55" s="23" t="s">
        <v>257</v>
      </c>
      <c r="B55" s="19" t="s">
        <v>260</v>
      </c>
      <c r="C55" s="19" t="s">
        <v>259</v>
      </c>
      <c r="D55" s="20">
        <f t="shared" si="1"/>
        <v>1</v>
      </c>
      <c r="E55" s="21">
        <v>0</v>
      </c>
      <c r="F55" s="21">
        <v>1</v>
      </c>
      <c r="G55" s="21">
        <v>0</v>
      </c>
      <c r="H55" s="21">
        <v>0</v>
      </c>
      <c r="I55" s="21">
        <v>0</v>
      </c>
      <c r="J55" s="21">
        <v>0</v>
      </c>
      <c r="K55" s="21">
        <v>0</v>
      </c>
      <c r="L55" s="21">
        <v>0</v>
      </c>
      <c r="M55" s="21">
        <v>0</v>
      </c>
      <c r="N55" s="21">
        <v>0</v>
      </c>
      <c r="O55" s="21">
        <v>0</v>
      </c>
      <c r="P55" s="21">
        <v>0</v>
      </c>
      <c r="Q55" s="21">
        <v>0</v>
      </c>
      <c r="R55" s="21">
        <v>0</v>
      </c>
      <c r="S55" s="21">
        <v>0</v>
      </c>
      <c r="T55" s="21">
        <v>0</v>
      </c>
      <c r="U55" s="21">
        <v>0</v>
      </c>
      <c r="V55" s="21">
        <v>0</v>
      </c>
      <c r="W55" s="21">
        <v>0</v>
      </c>
      <c r="X55" s="21">
        <v>0</v>
      </c>
      <c r="Y55" s="21">
        <v>0</v>
      </c>
      <c r="Z55" s="21">
        <v>0</v>
      </c>
      <c r="AA55" s="21">
        <v>0</v>
      </c>
      <c r="AB55" s="21">
        <v>0</v>
      </c>
      <c r="AC55" s="21">
        <v>0</v>
      </c>
      <c r="AD55" s="21">
        <v>0</v>
      </c>
      <c r="AE55" s="21">
        <v>0</v>
      </c>
      <c r="AF55" s="21">
        <v>0</v>
      </c>
      <c r="AG55" s="21">
        <v>0</v>
      </c>
      <c r="AH55" s="21">
        <v>0</v>
      </c>
      <c r="AI55" s="21">
        <v>0</v>
      </c>
      <c r="AJ55" s="21">
        <v>0</v>
      </c>
      <c r="AK55" s="21">
        <v>0</v>
      </c>
      <c r="AL55" s="21">
        <v>0</v>
      </c>
      <c r="AM55" s="21">
        <v>0</v>
      </c>
      <c r="AN55" s="21">
        <v>0</v>
      </c>
      <c r="AO55" s="21">
        <v>0</v>
      </c>
      <c r="AP55" s="21">
        <v>0</v>
      </c>
      <c r="AQ55" s="21">
        <v>0</v>
      </c>
      <c r="AR55" s="21">
        <v>0</v>
      </c>
      <c r="AS55" s="21">
        <v>0</v>
      </c>
      <c r="AT55" s="21">
        <v>0</v>
      </c>
      <c r="AU55" s="21">
        <v>0</v>
      </c>
      <c r="AV55" s="21">
        <v>0</v>
      </c>
      <c r="AW55" s="21">
        <v>0</v>
      </c>
      <c r="AX55" s="21">
        <v>0</v>
      </c>
      <c r="AY55" s="21">
        <v>0</v>
      </c>
      <c r="AZ55" s="21">
        <v>0</v>
      </c>
      <c r="BA55" s="21">
        <v>0</v>
      </c>
      <c r="BB55" s="21">
        <v>0</v>
      </c>
      <c r="BC55" s="21">
        <v>0</v>
      </c>
      <c r="BD55" s="21">
        <v>0</v>
      </c>
      <c r="BE55" s="21">
        <v>0</v>
      </c>
      <c r="BF55" s="21">
        <v>0</v>
      </c>
      <c r="BG55" s="21">
        <v>0</v>
      </c>
      <c r="BH55" s="21">
        <v>0</v>
      </c>
      <c r="BI55" s="21">
        <v>0</v>
      </c>
      <c r="BJ55" s="21">
        <v>0</v>
      </c>
      <c r="BK55" s="21">
        <v>0</v>
      </c>
      <c r="BL55" s="21">
        <v>0</v>
      </c>
      <c r="BM55" s="21">
        <v>0</v>
      </c>
      <c r="BN55" s="21">
        <v>0</v>
      </c>
      <c r="BO55" s="21">
        <v>0</v>
      </c>
      <c r="BP55" s="21">
        <v>0</v>
      </c>
      <c r="BQ55" s="21">
        <v>0</v>
      </c>
      <c r="BR55" s="21">
        <v>0</v>
      </c>
      <c r="BS55" s="21">
        <v>0</v>
      </c>
      <c r="BT55" s="21">
        <v>0</v>
      </c>
      <c r="BU55" s="21">
        <v>0</v>
      </c>
      <c r="BV55" s="21">
        <v>0</v>
      </c>
      <c r="BW55" s="21">
        <v>0</v>
      </c>
      <c r="BX55" s="21">
        <v>0</v>
      </c>
      <c r="BY55" s="21">
        <v>0</v>
      </c>
      <c r="BZ55" s="21">
        <v>0</v>
      </c>
      <c r="CA55" s="21">
        <v>0</v>
      </c>
      <c r="CB55" s="21">
        <v>0</v>
      </c>
      <c r="CC55" s="21">
        <v>0</v>
      </c>
      <c r="CD55" s="21">
        <v>0</v>
      </c>
      <c r="CE55" s="21">
        <v>0</v>
      </c>
      <c r="CF55" s="21">
        <v>0</v>
      </c>
      <c r="CG55" s="21">
        <v>0</v>
      </c>
      <c r="CH55" s="21">
        <v>0</v>
      </c>
      <c r="CI55" s="21">
        <v>0</v>
      </c>
      <c r="CJ55" s="21">
        <v>0</v>
      </c>
      <c r="CK55" s="21">
        <v>0</v>
      </c>
      <c r="CL55" s="21">
        <v>0</v>
      </c>
      <c r="CM55" s="21">
        <v>0</v>
      </c>
      <c r="CN55" s="21">
        <v>0</v>
      </c>
      <c r="CO55" s="21">
        <v>0</v>
      </c>
      <c r="CP55" s="21">
        <v>0</v>
      </c>
      <c r="CQ55" s="21">
        <v>0</v>
      </c>
      <c r="CR55" s="21">
        <v>0</v>
      </c>
      <c r="CS55" s="21">
        <v>0</v>
      </c>
      <c r="CT55" s="21">
        <v>0</v>
      </c>
      <c r="CU55" s="21">
        <v>0</v>
      </c>
      <c r="CV55" s="21">
        <v>0</v>
      </c>
      <c r="CW55" s="21">
        <v>0</v>
      </c>
      <c r="CX55" s="21">
        <v>0</v>
      </c>
      <c r="CY55" s="21">
        <v>0</v>
      </c>
      <c r="CZ55" s="21">
        <v>0</v>
      </c>
      <c r="DA55" s="21">
        <v>0</v>
      </c>
      <c r="DB55" s="21">
        <v>0</v>
      </c>
      <c r="DC55" s="21">
        <v>0</v>
      </c>
      <c r="DD55" s="21">
        <v>0</v>
      </c>
      <c r="DE55" s="21">
        <v>0</v>
      </c>
      <c r="DF55" s="21">
        <v>0</v>
      </c>
      <c r="DG55" s="21">
        <v>0</v>
      </c>
      <c r="DH55" s="74"/>
      <c r="DJ55" s="67"/>
      <c r="DL55" s="67"/>
    </row>
    <row r="56" spans="1:117">
      <c r="A56" s="23" t="s">
        <v>257</v>
      </c>
      <c r="B56" s="19" t="s">
        <v>261</v>
      </c>
      <c r="C56" s="19" t="s">
        <v>259</v>
      </c>
      <c r="D56" s="20">
        <f t="shared" si="1"/>
        <v>3</v>
      </c>
      <c r="E56" s="21">
        <v>2</v>
      </c>
      <c r="F56" s="21">
        <v>0</v>
      </c>
      <c r="G56" s="21">
        <v>1</v>
      </c>
      <c r="H56" s="21">
        <v>0</v>
      </c>
      <c r="I56" s="21">
        <v>0</v>
      </c>
      <c r="J56" s="21">
        <v>0</v>
      </c>
      <c r="K56" s="21">
        <v>0</v>
      </c>
      <c r="L56" s="21">
        <v>0</v>
      </c>
      <c r="M56" s="21">
        <v>0</v>
      </c>
      <c r="N56" s="21">
        <v>0</v>
      </c>
      <c r="O56" s="21">
        <v>0</v>
      </c>
      <c r="P56" s="21">
        <v>0</v>
      </c>
      <c r="Q56" s="21">
        <v>0</v>
      </c>
      <c r="R56" s="21">
        <v>0</v>
      </c>
      <c r="S56" s="21">
        <v>0</v>
      </c>
      <c r="T56" s="21">
        <v>0</v>
      </c>
      <c r="U56" s="21">
        <v>0</v>
      </c>
      <c r="V56" s="21">
        <v>0</v>
      </c>
      <c r="W56" s="21">
        <v>0</v>
      </c>
      <c r="X56" s="21">
        <v>0</v>
      </c>
      <c r="Y56" s="21">
        <v>0</v>
      </c>
      <c r="Z56" s="21">
        <v>0</v>
      </c>
      <c r="AA56" s="21">
        <v>0</v>
      </c>
      <c r="AB56" s="21">
        <v>0</v>
      </c>
      <c r="AC56" s="21">
        <v>0</v>
      </c>
      <c r="AD56" s="21">
        <v>0</v>
      </c>
      <c r="AE56" s="21">
        <v>0</v>
      </c>
      <c r="AF56" s="21">
        <v>0</v>
      </c>
      <c r="AG56" s="21">
        <v>0</v>
      </c>
      <c r="AH56" s="21">
        <v>0</v>
      </c>
      <c r="AI56" s="21">
        <v>0</v>
      </c>
      <c r="AJ56" s="21">
        <v>0</v>
      </c>
      <c r="AK56" s="21">
        <v>0</v>
      </c>
      <c r="AL56" s="21">
        <v>0</v>
      </c>
      <c r="AM56" s="21">
        <v>0</v>
      </c>
      <c r="AN56" s="21">
        <v>0</v>
      </c>
      <c r="AO56" s="21">
        <v>0</v>
      </c>
      <c r="AP56" s="21">
        <v>0</v>
      </c>
      <c r="AQ56" s="21">
        <v>0</v>
      </c>
      <c r="AR56" s="21">
        <v>0</v>
      </c>
      <c r="AS56" s="21">
        <v>0</v>
      </c>
      <c r="AT56" s="21">
        <v>0</v>
      </c>
      <c r="AU56" s="21">
        <v>0</v>
      </c>
      <c r="AV56" s="21">
        <v>0</v>
      </c>
      <c r="AW56" s="21">
        <v>0</v>
      </c>
      <c r="AX56" s="21">
        <v>0</v>
      </c>
      <c r="AY56" s="21">
        <v>0</v>
      </c>
      <c r="AZ56" s="21">
        <v>0</v>
      </c>
      <c r="BA56" s="21">
        <v>0</v>
      </c>
      <c r="BB56" s="21">
        <v>0</v>
      </c>
      <c r="BC56" s="21">
        <v>0</v>
      </c>
      <c r="BD56" s="21">
        <v>0</v>
      </c>
      <c r="BE56" s="21">
        <v>0</v>
      </c>
      <c r="BF56" s="21">
        <v>0</v>
      </c>
      <c r="BG56" s="21">
        <v>0</v>
      </c>
      <c r="BH56" s="21">
        <v>0</v>
      </c>
      <c r="BI56" s="21">
        <v>0</v>
      </c>
      <c r="BJ56" s="21">
        <v>0</v>
      </c>
      <c r="BK56" s="21">
        <v>0</v>
      </c>
      <c r="BL56" s="21">
        <v>0</v>
      </c>
      <c r="BM56" s="21">
        <v>0</v>
      </c>
      <c r="BN56" s="21">
        <v>0</v>
      </c>
      <c r="BO56" s="21">
        <v>0</v>
      </c>
      <c r="BP56" s="21">
        <v>0</v>
      </c>
      <c r="BQ56" s="21">
        <v>0</v>
      </c>
      <c r="BR56" s="21">
        <v>0</v>
      </c>
      <c r="BS56" s="21">
        <v>0</v>
      </c>
      <c r="BT56" s="21">
        <v>0</v>
      </c>
      <c r="BU56" s="21">
        <v>0</v>
      </c>
      <c r="BV56" s="21">
        <v>0</v>
      </c>
      <c r="BW56" s="21">
        <v>0</v>
      </c>
      <c r="BX56" s="21">
        <v>0</v>
      </c>
      <c r="BY56" s="21">
        <v>0</v>
      </c>
      <c r="BZ56" s="21">
        <v>0</v>
      </c>
      <c r="CA56" s="21">
        <v>0</v>
      </c>
      <c r="CB56" s="21">
        <v>0</v>
      </c>
      <c r="CC56" s="21">
        <v>0</v>
      </c>
      <c r="CD56" s="21">
        <v>0</v>
      </c>
      <c r="CE56" s="21">
        <v>0</v>
      </c>
      <c r="CF56" s="21">
        <v>0</v>
      </c>
      <c r="CG56" s="21">
        <v>0</v>
      </c>
      <c r="CH56" s="21">
        <v>0</v>
      </c>
      <c r="CI56" s="21">
        <v>0</v>
      </c>
      <c r="CJ56" s="21">
        <v>0</v>
      </c>
      <c r="CK56" s="21">
        <v>0</v>
      </c>
      <c r="CL56" s="21">
        <v>0</v>
      </c>
      <c r="CM56" s="21">
        <v>0</v>
      </c>
      <c r="CN56" s="21">
        <v>0</v>
      </c>
      <c r="CO56" s="21">
        <v>0</v>
      </c>
      <c r="CP56" s="21">
        <v>0</v>
      </c>
      <c r="CQ56" s="21">
        <v>0</v>
      </c>
      <c r="CR56" s="21">
        <v>0</v>
      </c>
      <c r="CS56" s="21">
        <v>0</v>
      </c>
      <c r="CT56" s="21">
        <v>0</v>
      </c>
      <c r="CU56" s="21">
        <v>0</v>
      </c>
      <c r="CV56" s="21">
        <v>0</v>
      </c>
      <c r="CW56" s="21">
        <v>0</v>
      </c>
      <c r="CX56" s="21">
        <v>0</v>
      </c>
      <c r="CY56" s="21">
        <v>0</v>
      </c>
      <c r="CZ56" s="21">
        <v>0</v>
      </c>
      <c r="DA56" s="21">
        <v>0</v>
      </c>
      <c r="DB56" s="21">
        <v>0</v>
      </c>
      <c r="DC56" s="21">
        <v>0</v>
      </c>
      <c r="DD56" s="21">
        <v>0</v>
      </c>
      <c r="DE56" s="21">
        <v>0</v>
      </c>
      <c r="DF56" s="21">
        <v>0</v>
      </c>
      <c r="DG56" s="21">
        <v>0</v>
      </c>
      <c r="DH56" s="74"/>
      <c r="DJ56" s="67"/>
      <c r="DL56" s="67"/>
    </row>
    <row r="57" spans="1:117">
      <c r="A57" s="23" t="s">
        <v>262</v>
      </c>
      <c r="B57" s="19" t="s">
        <v>263</v>
      </c>
      <c r="C57" s="19" t="s">
        <v>259</v>
      </c>
      <c r="D57" s="20">
        <f t="shared" si="1"/>
        <v>4</v>
      </c>
      <c r="E57" s="21">
        <v>2</v>
      </c>
      <c r="F57" s="21">
        <v>0</v>
      </c>
      <c r="G57" s="21">
        <v>0</v>
      </c>
      <c r="H57" s="21">
        <v>1</v>
      </c>
      <c r="I57" s="21">
        <v>1</v>
      </c>
      <c r="J57" s="21">
        <v>0</v>
      </c>
      <c r="K57" s="21">
        <v>0</v>
      </c>
      <c r="L57" s="21">
        <v>0</v>
      </c>
      <c r="M57" s="21">
        <v>0</v>
      </c>
      <c r="N57" s="21">
        <v>0</v>
      </c>
      <c r="O57" s="21">
        <v>0</v>
      </c>
      <c r="P57" s="21">
        <v>0</v>
      </c>
      <c r="Q57" s="21">
        <v>0</v>
      </c>
      <c r="R57" s="21">
        <v>0</v>
      </c>
      <c r="S57" s="21">
        <v>0</v>
      </c>
      <c r="T57" s="21">
        <v>0</v>
      </c>
      <c r="U57" s="21">
        <v>0</v>
      </c>
      <c r="V57" s="21">
        <v>0</v>
      </c>
      <c r="W57" s="21">
        <v>0</v>
      </c>
      <c r="X57" s="21">
        <v>0</v>
      </c>
      <c r="Y57" s="21">
        <v>0</v>
      </c>
      <c r="Z57" s="21">
        <v>0</v>
      </c>
      <c r="AA57" s="21">
        <v>0</v>
      </c>
      <c r="AB57" s="21">
        <v>0</v>
      </c>
      <c r="AC57" s="21">
        <v>0</v>
      </c>
      <c r="AD57" s="21">
        <v>0</v>
      </c>
      <c r="AE57" s="21">
        <v>0</v>
      </c>
      <c r="AF57" s="21">
        <v>0</v>
      </c>
      <c r="AG57" s="21">
        <v>0</v>
      </c>
      <c r="AH57" s="21">
        <v>0</v>
      </c>
      <c r="AI57" s="21">
        <v>0</v>
      </c>
      <c r="AJ57" s="21">
        <v>0</v>
      </c>
      <c r="AK57" s="21">
        <v>0</v>
      </c>
      <c r="AL57" s="21">
        <v>0</v>
      </c>
      <c r="AM57" s="21">
        <v>0</v>
      </c>
      <c r="AN57" s="21">
        <v>0</v>
      </c>
      <c r="AO57" s="21">
        <v>0</v>
      </c>
      <c r="AP57" s="21">
        <v>0</v>
      </c>
      <c r="AQ57" s="21">
        <v>0</v>
      </c>
      <c r="AR57" s="21">
        <v>0</v>
      </c>
      <c r="AS57" s="21">
        <v>0</v>
      </c>
      <c r="AT57" s="21">
        <v>0</v>
      </c>
      <c r="AU57" s="21">
        <v>0</v>
      </c>
      <c r="AV57" s="21">
        <v>0</v>
      </c>
      <c r="AW57" s="21">
        <v>0</v>
      </c>
      <c r="AX57" s="21">
        <v>0</v>
      </c>
      <c r="AY57" s="21">
        <v>0</v>
      </c>
      <c r="AZ57" s="21">
        <v>0</v>
      </c>
      <c r="BA57" s="21">
        <v>0</v>
      </c>
      <c r="BB57" s="21">
        <v>0</v>
      </c>
      <c r="BC57" s="21">
        <v>0</v>
      </c>
      <c r="BD57" s="21">
        <v>0</v>
      </c>
      <c r="BE57" s="21">
        <v>0</v>
      </c>
      <c r="BF57" s="21">
        <v>0</v>
      </c>
      <c r="BG57" s="21">
        <v>0</v>
      </c>
      <c r="BH57" s="21">
        <v>0</v>
      </c>
      <c r="BI57" s="21">
        <v>0</v>
      </c>
      <c r="BJ57" s="21">
        <v>0</v>
      </c>
      <c r="BK57" s="21">
        <v>0</v>
      </c>
      <c r="BL57" s="21">
        <v>0</v>
      </c>
      <c r="BM57" s="21">
        <v>0</v>
      </c>
      <c r="BN57" s="21">
        <v>0</v>
      </c>
      <c r="BO57" s="21">
        <v>0</v>
      </c>
      <c r="BP57" s="21">
        <v>0</v>
      </c>
      <c r="BQ57" s="21">
        <v>0</v>
      </c>
      <c r="BR57" s="21">
        <v>0</v>
      </c>
      <c r="BS57" s="21">
        <v>0</v>
      </c>
      <c r="BT57" s="21">
        <v>0</v>
      </c>
      <c r="BU57" s="21">
        <v>0</v>
      </c>
      <c r="BV57" s="21">
        <v>0</v>
      </c>
      <c r="BW57" s="21">
        <v>0</v>
      </c>
      <c r="BX57" s="21">
        <v>0</v>
      </c>
      <c r="BY57" s="21">
        <v>0</v>
      </c>
      <c r="BZ57" s="21">
        <v>0</v>
      </c>
      <c r="CA57" s="21">
        <v>0</v>
      </c>
      <c r="CB57" s="21">
        <v>0</v>
      </c>
      <c r="CC57" s="21">
        <v>0</v>
      </c>
      <c r="CD57" s="21">
        <v>0</v>
      </c>
      <c r="CE57" s="21">
        <v>0</v>
      </c>
      <c r="CF57" s="21">
        <v>0</v>
      </c>
      <c r="CG57" s="21">
        <v>0</v>
      </c>
      <c r="CH57" s="21">
        <v>0</v>
      </c>
      <c r="CI57" s="21">
        <v>0</v>
      </c>
      <c r="CJ57" s="21">
        <v>0</v>
      </c>
      <c r="CK57" s="21">
        <v>0</v>
      </c>
      <c r="CL57" s="21">
        <v>0</v>
      </c>
      <c r="CM57" s="21">
        <v>0</v>
      </c>
      <c r="CN57" s="21">
        <v>0</v>
      </c>
      <c r="CO57" s="21">
        <v>0</v>
      </c>
      <c r="CP57" s="21">
        <v>0</v>
      </c>
      <c r="CQ57" s="21">
        <v>0</v>
      </c>
      <c r="CR57" s="21">
        <v>0</v>
      </c>
      <c r="CS57" s="21">
        <v>0</v>
      </c>
      <c r="CT57" s="21">
        <v>0</v>
      </c>
      <c r="CU57" s="21">
        <v>0</v>
      </c>
      <c r="CV57" s="21">
        <v>0</v>
      </c>
      <c r="CW57" s="21">
        <v>0</v>
      </c>
      <c r="CX57" s="21">
        <v>0</v>
      </c>
      <c r="CY57" s="21">
        <v>0</v>
      </c>
      <c r="CZ57" s="21">
        <v>0</v>
      </c>
      <c r="DA57" s="21">
        <v>0</v>
      </c>
      <c r="DB57" s="21">
        <v>0</v>
      </c>
      <c r="DC57" s="21">
        <v>0</v>
      </c>
      <c r="DD57" s="21">
        <v>0</v>
      </c>
      <c r="DE57" s="21">
        <v>0</v>
      </c>
      <c r="DF57" s="21">
        <v>0</v>
      </c>
      <c r="DG57" s="21">
        <v>0</v>
      </c>
      <c r="DH57" s="74"/>
      <c r="DJ57" s="67"/>
      <c r="DL57" s="67"/>
    </row>
    <row r="58" spans="1:117">
      <c r="A58" s="23"/>
      <c r="B58" s="19" t="s">
        <v>264</v>
      </c>
      <c r="C58" s="19" t="s">
        <v>265</v>
      </c>
      <c r="D58" s="20">
        <f t="shared" si="1"/>
        <v>18</v>
      </c>
      <c r="E58" s="21">
        <v>6</v>
      </c>
      <c r="F58" s="21">
        <v>0</v>
      </c>
      <c r="G58" s="21">
        <v>1</v>
      </c>
      <c r="H58" s="21">
        <v>1</v>
      </c>
      <c r="I58" s="21">
        <v>2</v>
      </c>
      <c r="J58" s="21">
        <v>2</v>
      </c>
      <c r="K58" s="21">
        <v>0</v>
      </c>
      <c r="L58" s="21">
        <v>0</v>
      </c>
      <c r="M58" s="21">
        <v>0</v>
      </c>
      <c r="N58" s="21">
        <v>0</v>
      </c>
      <c r="O58" s="21">
        <v>0</v>
      </c>
      <c r="P58" s="21">
        <v>0</v>
      </c>
      <c r="Q58" s="21">
        <v>0</v>
      </c>
      <c r="R58" s="21">
        <v>0</v>
      </c>
      <c r="S58" s="21">
        <v>3</v>
      </c>
      <c r="T58" s="21">
        <v>0</v>
      </c>
      <c r="U58" s="21">
        <v>1</v>
      </c>
      <c r="V58" s="21">
        <v>0</v>
      </c>
      <c r="W58" s="21">
        <v>0</v>
      </c>
      <c r="X58" s="21">
        <v>0</v>
      </c>
      <c r="Y58" s="21">
        <v>0</v>
      </c>
      <c r="Z58" s="21">
        <v>0</v>
      </c>
      <c r="AA58" s="21">
        <v>0</v>
      </c>
      <c r="AB58" s="21">
        <v>0</v>
      </c>
      <c r="AC58" s="21">
        <v>0</v>
      </c>
      <c r="AD58" s="21">
        <v>0</v>
      </c>
      <c r="AE58" s="21">
        <v>0</v>
      </c>
      <c r="AF58" s="21">
        <v>0</v>
      </c>
      <c r="AG58" s="21">
        <v>0</v>
      </c>
      <c r="AH58" s="21">
        <v>1</v>
      </c>
      <c r="AI58" s="21">
        <v>0</v>
      </c>
      <c r="AJ58" s="21">
        <v>0</v>
      </c>
      <c r="AK58" s="21">
        <v>0</v>
      </c>
      <c r="AL58" s="21">
        <v>0</v>
      </c>
      <c r="AM58" s="21">
        <v>0</v>
      </c>
      <c r="AN58" s="21">
        <v>0</v>
      </c>
      <c r="AO58" s="21">
        <v>0</v>
      </c>
      <c r="AP58" s="21">
        <v>0</v>
      </c>
      <c r="AQ58" s="21">
        <v>0</v>
      </c>
      <c r="AR58" s="21">
        <v>0</v>
      </c>
      <c r="AS58" s="21">
        <v>0</v>
      </c>
      <c r="AT58" s="21">
        <v>0</v>
      </c>
      <c r="AU58" s="21">
        <v>0</v>
      </c>
      <c r="AV58" s="21">
        <v>0</v>
      </c>
      <c r="AW58" s="21">
        <v>0</v>
      </c>
      <c r="AX58" s="21">
        <v>0</v>
      </c>
      <c r="AY58" s="21">
        <v>0</v>
      </c>
      <c r="AZ58" s="21">
        <v>0</v>
      </c>
      <c r="BA58" s="21">
        <v>0</v>
      </c>
      <c r="BB58" s="21">
        <v>0</v>
      </c>
      <c r="BC58" s="21">
        <v>0</v>
      </c>
      <c r="BD58" s="21">
        <v>0</v>
      </c>
      <c r="BE58" s="21">
        <v>0</v>
      </c>
      <c r="BF58" s="21">
        <v>0</v>
      </c>
      <c r="BG58" s="21">
        <v>0</v>
      </c>
      <c r="BH58" s="21">
        <v>0</v>
      </c>
      <c r="BI58" s="21">
        <v>0</v>
      </c>
      <c r="BJ58" s="21">
        <v>0</v>
      </c>
      <c r="BK58" s="21">
        <v>0</v>
      </c>
      <c r="BL58" s="21">
        <v>0</v>
      </c>
      <c r="BM58" s="21">
        <v>0</v>
      </c>
      <c r="BN58" s="21">
        <v>0</v>
      </c>
      <c r="BO58" s="21">
        <v>0</v>
      </c>
      <c r="BP58" s="21">
        <v>0</v>
      </c>
      <c r="BQ58" s="21">
        <v>0</v>
      </c>
      <c r="BR58" s="21">
        <v>0</v>
      </c>
      <c r="BS58" s="21">
        <v>0</v>
      </c>
      <c r="BT58" s="21">
        <v>0</v>
      </c>
      <c r="BU58" s="21">
        <v>0</v>
      </c>
      <c r="BV58" s="21">
        <v>0</v>
      </c>
      <c r="BW58" s="21">
        <v>0</v>
      </c>
      <c r="BX58" s="21">
        <v>0</v>
      </c>
      <c r="BY58" s="21">
        <v>0</v>
      </c>
      <c r="BZ58" s="21">
        <v>0</v>
      </c>
      <c r="CA58" s="21">
        <v>0</v>
      </c>
      <c r="CB58" s="21">
        <v>0</v>
      </c>
      <c r="CC58" s="21">
        <v>0</v>
      </c>
      <c r="CD58" s="21">
        <v>0</v>
      </c>
      <c r="CE58" s="21">
        <v>0</v>
      </c>
      <c r="CF58" s="21">
        <v>0</v>
      </c>
      <c r="CG58" s="21">
        <v>0</v>
      </c>
      <c r="CH58" s="21">
        <v>0</v>
      </c>
      <c r="CI58" s="21">
        <v>0</v>
      </c>
      <c r="CJ58" s="21">
        <v>0</v>
      </c>
      <c r="CK58" s="21">
        <v>1</v>
      </c>
      <c r="CL58" s="21">
        <v>0</v>
      </c>
      <c r="CM58" s="21">
        <v>0</v>
      </c>
      <c r="CN58" s="21">
        <v>0</v>
      </c>
      <c r="CO58" s="21">
        <v>0</v>
      </c>
      <c r="CP58" s="21">
        <v>0</v>
      </c>
      <c r="CQ58" s="21">
        <v>0</v>
      </c>
      <c r="CR58" s="21">
        <v>0</v>
      </c>
      <c r="CS58" s="21">
        <v>0</v>
      </c>
      <c r="CT58" s="21">
        <v>0</v>
      </c>
      <c r="CU58" s="21">
        <v>0</v>
      </c>
      <c r="CV58" s="21">
        <v>0</v>
      </c>
      <c r="CW58" s="21">
        <v>0</v>
      </c>
      <c r="CX58" s="21">
        <v>0</v>
      </c>
      <c r="CY58" s="21">
        <v>0</v>
      </c>
      <c r="CZ58" s="21">
        <v>0</v>
      </c>
      <c r="DA58" s="21">
        <v>0</v>
      </c>
      <c r="DB58" s="21">
        <v>0</v>
      </c>
      <c r="DC58" s="21">
        <v>0</v>
      </c>
      <c r="DD58" s="21">
        <v>0</v>
      </c>
      <c r="DE58" s="21">
        <v>0</v>
      </c>
      <c r="DF58" s="21">
        <v>0</v>
      </c>
      <c r="DG58" s="21">
        <v>0</v>
      </c>
      <c r="DH58" s="74"/>
      <c r="DJ58" s="67"/>
      <c r="DL58" s="67"/>
    </row>
    <row r="59" spans="1:117">
      <c r="A59" s="23" t="s">
        <v>262</v>
      </c>
      <c r="B59" s="19" t="s">
        <v>266</v>
      </c>
      <c r="C59" s="19" t="s">
        <v>265</v>
      </c>
      <c r="D59" s="20">
        <f t="shared" si="1"/>
        <v>20</v>
      </c>
      <c r="E59" s="21">
        <v>6</v>
      </c>
      <c r="F59" s="21">
        <v>10</v>
      </c>
      <c r="G59" s="21">
        <v>0</v>
      </c>
      <c r="H59" s="21">
        <v>0</v>
      </c>
      <c r="I59" s="21">
        <v>1</v>
      </c>
      <c r="J59" s="21">
        <v>0</v>
      </c>
      <c r="K59" s="21">
        <v>0</v>
      </c>
      <c r="L59" s="21">
        <v>0</v>
      </c>
      <c r="M59" s="21">
        <v>0</v>
      </c>
      <c r="N59" s="21">
        <v>0</v>
      </c>
      <c r="O59" s="21">
        <v>0</v>
      </c>
      <c r="P59" s="21">
        <v>0</v>
      </c>
      <c r="Q59" s="21">
        <v>0</v>
      </c>
      <c r="R59" s="21">
        <v>0</v>
      </c>
      <c r="S59" s="21">
        <v>0</v>
      </c>
      <c r="T59" s="21">
        <v>0</v>
      </c>
      <c r="U59" s="21">
        <v>0</v>
      </c>
      <c r="V59" s="21">
        <v>0</v>
      </c>
      <c r="W59" s="21">
        <v>0</v>
      </c>
      <c r="X59" s="21">
        <v>0</v>
      </c>
      <c r="Y59" s="21">
        <v>0</v>
      </c>
      <c r="Z59" s="21">
        <v>0</v>
      </c>
      <c r="AA59" s="21">
        <v>0</v>
      </c>
      <c r="AB59" s="21">
        <v>0</v>
      </c>
      <c r="AC59" s="21">
        <v>0</v>
      </c>
      <c r="AD59" s="21">
        <v>1</v>
      </c>
      <c r="AE59" s="21">
        <v>0</v>
      </c>
      <c r="AF59" s="21">
        <v>0</v>
      </c>
      <c r="AG59" s="21">
        <v>0</v>
      </c>
      <c r="AH59" s="21">
        <v>0</v>
      </c>
      <c r="AI59" s="21">
        <v>0</v>
      </c>
      <c r="AJ59" s="21">
        <v>0</v>
      </c>
      <c r="AK59" s="21">
        <v>0</v>
      </c>
      <c r="AL59" s="21">
        <v>0</v>
      </c>
      <c r="AM59" s="21">
        <v>0</v>
      </c>
      <c r="AN59" s="21">
        <v>0</v>
      </c>
      <c r="AO59" s="21">
        <v>0</v>
      </c>
      <c r="AP59" s="21">
        <v>0</v>
      </c>
      <c r="AQ59" s="21">
        <v>0</v>
      </c>
      <c r="AR59" s="21">
        <v>0</v>
      </c>
      <c r="AS59" s="21">
        <v>0</v>
      </c>
      <c r="AT59" s="21">
        <v>0</v>
      </c>
      <c r="AU59" s="21">
        <v>0</v>
      </c>
      <c r="AV59" s="21">
        <v>0</v>
      </c>
      <c r="AW59" s="21">
        <v>0</v>
      </c>
      <c r="AX59" s="21">
        <v>0</v>
      </c>
      <c r="AY59" s="21">
        <v>0</v>
      </c>
      <c r="AZ59" s="21">
        <v>0</v>
      </c>
      <c r="BA59" s="21">
        <v>0</v>
      </c>
      <c r="BB59" s="21">
        <v>0</v>
      </c>
      <c r="BC59" s="21">
        <v>0</v>
      </c>
      <c r="BD59" s="21">
        <v>0</v>
      </c>
      <c r="BE59" s="21">
        <v>0</v>
      </c>
      <c r="BF59" s="21">
        <v>0</v>
      </c>
      <c r="BG59" s="21">
        <v>0</v>
      </c>
      <c r="BH59" s="21">
        <v>0</v>
      </c>
      <c r="BI59" s="21">
        <v>0</v>
      </c>
      <c r="BJ59" s="21">
        <v>0</v>
      </c>
      <c r="BK59" s="21">
        <v>0</v>
      </c>
      <c r="BL59" s="21">
        <v>0</v>
      </c>
      <c r="BM59" s="21">
        <v>0</v>
      </c>
      <c r="BN59" s="21">
        <v>0</v>
      </c>
      <c r="BO59" s="21">
        <v>0</v>
      </c>
      <c r="BP59" s="21">
        <v>0</v>
      </c>
      <c r="BQ59" s="21">
        <v>0</v>
      </c>
      <c r="BR59" s="21">
        <v>0</v>
      </c>
      <c r="BS59" s="21">
        <v>0</v>
      </c>
      <c r="BT59" s="21">
        <v>1</v>
      </c>
      <c r="BU59" s="21">
        <v>0</v>
      </c>
      <c r="BV59" s="21">
        <v>0</v>
      </c>
      <c r="BW59" s="21">
        <v>0</v>
      </c>
      <c r="BX59" s="21">
        <v>0</v>
      </c>
      <c r="BY59" s="21">
        <v>0</v>
      </c>
      <c r="BZ59" s="21">
        <v>0</v>
      </c>
      <c r="CA59" s="21">
        <v>0</v>
      </c>
      <c r="CB59" s="21">
        <v>0</v>
      </c>
      <c r="CC59" s="21">
        <v>0</v>
      </c>
      <c r="CD59" s="21">
        <v>0</v>
      </c>
      <c r="CE59" s="21">
        <v>0</v>
      </c>
      <c r="CF59" s="21">
        <v>0</v>
      </c>
      <c r="CG59" s="21">
        <v>1</v>
      </c>
      <c r="CH59" s="21">
        <v>0</v>
      </c>
      <c r="CI59" s="21">
        <v>0</v>
      </c>
      <c r="CJ59" s="21">
        <v>0</v>
      </c>
      <c r="CK59" s="21">
        <v>0</v>
      </c>
      <c r="CL59" s="21">
        <v>0</v>
      </c>
      <c r="CM59" s="21">
        <v>0</v>
      </c>
      <c r="CN59" s="21">
        <v>0</v>
      </c>
      <c r="CO59" s="21">
        <v>0</v>
      </c>
      <c r="CP59" s="21">
        <v>0</v>
      </c>
      <c r="CQ59" s="21">
        <v>0</v>
      </c>
      <c r="CR59" s="21">
        <v>0</v>
      </c>
      <c r="CS59" s="21">
        <v>0</v>
      </c>
      <c r="CT59" s="21">
        <v>0</v>
      </c>
      <c r="CU59" s="21">
        <v>0</v>
      </c>
      <c r="CV59" s="21">
        <v>0</v>
      </c>
      <c r="CW59" s="21">
        <v>0</v>
      </c>
      <c r="CX59" s="21">
        <v>0</v>
      </c>
      <c r="CY59" s="21">
        <v>0</v>
      </c>
      <c r="CZ59" s="21">
        <v>0</v>
      </c>
      <c r="DA59" s="21">
        <v>0</v>
      </c>
      <c r="DB59" s="21">
        <v>0</v>
      </c>
      <c r="DC59" s="21">
        <v>0</v>
      </c>
      <c r="DD59" s="21">
        <v>0</v>
      </c>
      <c r="DE59" s="21">
        <v>0</v>
      </c>
      <c r="DF59" s="21">
        <v>0</v>
      </c>
      <c r="DG59" s="21">
        <v>0</v>
      </c>
      <c r="DH59" s="74"/>
      <c r="DJ59" s="67"/>
      <c r="DL59" s="67"/>
    </row>
    <row r="60" spans="1:117">
      <c r="A60" s="23" t="s">
        <v>262</v>
      </c>
      <c r="B60" s="19" t="s">
        <v>267</v>
      </c>
      <c r="C60" s="19" t="s">
        <v>265</v>
      </c>
      <c r="D60" s="20">
        <f t="shared" si="1"/>
        <v>7</v>
      </c>
      <c r="E60" s="21">
        <v>1</v>
      </c>
      <c r="F60" s="21">
        <v>0</v>
      </c>
      <c r="G60" s="21">
        <v>4</v>
      </c>
      <c r="H60" s="21">
        <v>0</v>
      </c>
      <c r="I60" s="21">
        <v>1</v>
      </c>
      <c r="J60" s="21">
        <v>0</v>
      </c>
      <c r="K60" s="21">
        <v>0</v>
      </c>
      <c r="L60" s="21">
        <v>0</v>
      </c>
      <c r="M60" s="21">
        <v>0</v>
      </c>
      <c r="N60" s="21">
        <v>0</v>
      </c>
      <c r="O60" s="21">
        <v>0</v>
      </c>
      <c r="P60" s="21">
        <v>0</v>
      </c>
      <c r="Q60" s="21">
        <v>0</v>
      </c>
      <c r="R60" s="21">
        <v>0</v>
      </c>
      <c r="S60" s="21">
        <v>0</v>
      </c>
      <c r="T60" s="21">
        <v>0</v>
      </c>
      <c r="U60" s="21">
        <v>0</v>
      </c>
      <c r="V60" s="21">
        <v>0</v>
      </c>
      <c r="W60" s="21">
        <v>0</v>
      </c>
      <c r="X60" s="21">
        <v>0</v>
      </c>
      <c r="Y60" s="21">
        <v>0</v>
      </c>
      <c r="Z60" s="21">
        <v>0</v>
      </c>
      <c r="AA60" s="21">
        <v>0</v>
      </c>
      <c r="AB60" s="21">
        <v>0</v>
      </c>
      <c r="AC60" s="21">
        <v>0</v>
      </c>
      <c r="AD60" s="21">
        <v>0</v>
      </c>
      <c r="AE60" s="21">
        <v>0</v>
      </c>
      <c r="AF60" s="21">
        <v>0</v>
      </c>
      <c r="AG60" s="21">
        <v>0</v>
      </c>
      <c r="AH60" s="21">
        <v>0</v>
      </c>
      <c r="AI60" s="21">
        <v>0</v>
      </c>
      <c r="AJ60" s="21">
        <v>0</v>
      </c>
      <c r="AK60" s="21">
        <v>0</v>
      </c>
      <c r="AL60" s="21">
        <v>0</v>
      </c>
      <c r="AM60" s="21">
        <v>0</v>
      </c>
      <c r="AN60" s="21">
        <v>0</v>
      </c>
      <c r="AO60" s="21">
        <v>0</v>
      </c>
      <c r="AP60" s="21">
        <v>0</v>
      </c>
      <c r="AQ60" s="21">
        <v>0</v>
      </c>
      <c r="AR60" s="21">
        <v>0</v>
      </c>
      <c r="AS60" s="21">
        <v>0</v>
      </c>
      <c r="AT60" s="21">
        <v>0</v>
      </c>
      <c r="AU60" s="21">
        <v>0</v>
      </c>
      <c r="AV60" s="21">
        <v>0</v>
      </c>
      <c r="AW60" s="21">
        <v>0</v>
      </c>
      <c r="AX60" s="21">
        <v>0</v>
      </c>
      <c r="AY60" s="21">
        <v>0</v>
      </c>
      <c r="AZ60" s="21">
        <v>0</v>
      </c>
      <c r="BA60" s="21">
        <v>0</v>
      </c>
      <c r="BB60" s="21">
        <v>0</v>
      </c>
      <c r="BC60" s="21">
        <v>0</v>
      </c>
      <c r="BD60" s="21">
        <v>0</v>
      </c>
      <c r="BE60" s="21">
        <v>0</v>
      </c>
      <c r="BF60" s="21">
        <v>0</v>
      </c>
      <c r="BG60" s="21">
        <v>0</v>
      </c>
      <c r="BH60" s="21">
        <v>0</v>
      </c>
      <c r="BI60" s="21">
        <v>0</v>
      </c>
      <c r="BJ60" s="21">
        <v>0</v>
      </c>
      <c r="BK60" s="21">
        <v>0</v>
      </c>
      <c r="BL60" s="21">
        <v>0</v>
      </c>
      <c r="BM60" s="21">
        <v>0</v>
      </c>
      <c r="BN60" s="21">
        <v>0</v>
      </c>
      <c r="BO60" s="21">
        <v>0</v>
      </c>
      <c r="BP60" s="21">
        <v>0</v>
      </c>
      <c r="BQ60" s="21">
        <v>0</v>
      </c>
      <c r="BR60" s="21">
        <v>0</v>
      </c>
      <c r="BS60" s="21">
        <v>0</v>
      </c>
      <c r="BT60" s="21">
        <v>0</v>
      </c>
      <c r="BU60" s="21">
        <v>0</v>
      </c>
      <c r="BV60" s="21">
        <v>0</v>
      </c>
      <c r="BW60" s="21">
        <v>0</v>
      </c>
      <c r="BX60" s="21">
        <v>0</v>
      </c>
      <c r="BY60" s="21">
        <v>0</v>
      </c>
      <c r="BZ60" s="21">
        <v>0</v>
      </c>
      <c r="CA60" s="21">
        <v>0</v>
      </c>
      <c r="CB60" s="21">
        <v>0</v>
      </c>
      <c r="CC60" s="21">
        <v>0</v>
      </c>
      <c r="CD60" s="21">
        <v>0</v>
      </c>
      <c r="CE60" s="21">
        <v>0</v>
      </c>
      <c r="CF60" s="21">
        <v>0</v>
      </c>
      <c r="CG60" s="21">
        <v>0</v>
      </c>
      <c r="CH60" s="21">
        <v>0</v>
      </c>
      <c r="CI60" s="21">
        <v>0</v>
      </c>
      <c r="CJ60" s="21">
        <v>0</v>
      </c>
      <c r="CK60" s="21">
        <v>0</v>
      </c>
      <c r="CL60" s="21">
        <v>0</v>
      </c>
      <c r="CM60" s="21">
        <v>0</v>
      </c>
      <c r="CN60" s="21">
        <v>0</v>
      </c>
      <c r="CO60" s="21">
        <v>0</v>
      </c>
      <c r="CP60" s="21">
        <v>0</v>
      </c>
      <c r="CQ60" s="21">
        <v>0</v>
      </c>
      <c r="CR60" s="21">
        <v>0</v>
      </c>
      <c r="CS60" s="21">
        <v>0</v>
      </c>
      <c r="CT60" s="21">
        <v>1</v>
      </c>
      <c r="CU60" s="21">
        <v>0</v>
      </c>
      <c r="CV60" s="21">
        <v>0</v>
      </c>
      <c r="CW60" s="21">
        <v>0</v>
      </c>
      <c r="CX60" s="21">
        <v>0</v>
      </c>
      <c r="CY60" s="21">
        <v>0</v>
      </c>
      <c r="CZ60" s="21">
        <v>0</v>
      </c>
      <c r="DA60" s="21">
        <v>0</v>
      </c>
      <c r="DB60" s="21">
        <v>0</v>
      </c>
      <c r="DC60" s="21">
        <v>0</v>
      </c>
      <c r="DD60" s="21">
        <v>0</v>
      </c>
      <c r="DE60" s="21">
        <v>0</v>
      </c>
      <c r="DF60" s="21">
        <v>0</v>
      </c>
      <c r="DG60" s="21">
        <v>0</v>
      </c>
      <c r="DH60" s="74"/>
      <c r="DJ60" s="67"/>
      <c r="DL60" s="67"/>
    </row>
    <row r="61" spans="1:117">
      <c r="A61" s="23" t="s">
        <v>262</v>
      </c>
      <c r="B61" s="19" t="s">
        <v>268</v>
      </c>
      <c r="C61" s="19" t="s">
        <v>265</v>
      </c>
      <c r="D61" s="20">
        <f t="shared" si="1"/>
        <v>4</v>
      </c>
      <c r="E61" s="21">
        <v>2</v>
      </c>
      <c r="F61" s="21">
        <v>2</v>
      </c>
      <c r="G61" s="21">
        <v>0</v>
      </c>
      <c r="H61" s="21">
        <v>0</v>
      </c>
      <c r="I61" s="21">
        <v>0</v>
      </c>
      <c r="J61" s="21">
        <v>0</v>
      </c>
      <c r="K61" s="21">
        <v>0</v>
      </c>
      <c r="L61" s="21">
        <v>0</v>
      </c>
      <c r="M61" s="21">
        <v>0</v>
      </c>
      <c r="N61" s="21">
        <v>0</v>
      </c>
      <c r="O61" s="21">
        <v>0</v>
      </c>
      <c r="P61" s="21">
        <v>0</v>
      </c>
      <c r="Q61" s="21">
        <v>0</v>
      </c>
      <c r="R61" s="21">
        <v>0</v>
      </c>
      <c r="S61" s="21">
        <v>0</v>
      </c>
      <c r="T61" s="21">
        <v>0</v>
      </c>
      <c r="U61" s="21">
        <v>0</v>
      </c>
      <c r="V61" s="21">
        <v>0</v>
      </c>
      <c r="W61" s="21">
        <v>0</v>
      </c>
      <c r="X61" s="21">
        <v>0</v>
      </c>
      <c r="Y61" s="21">
        <v>0</v>
      </c>
      <c r="Z61" s="21">
        <v>0</v>
      </c>
      <c r="AA61" s="21">
        <v>0</v>
      </c>
      <c r="AB61" s="21">
        <v>0</v>
      </c>
      <c r="AC61" s="21">
        <v>0</v>
      </c>
      <c r="AD61" s="21">
        <v>0</v>
      </c>
      <c r="AE61" s="21">
        <v>0</v>
      </c>
      <c r="AF61" s="21">
        <v>0</v>
      </c>
      <c r="AG61" s="21">
        <v>0</v>
      </c>
      <c r="AH61" s="21">
        <v>0</v>
      </c>
      <c r="AI61" s="21">
        <v>0</v>
      </c>
      <c r="AJ61" s="21">
        <v>0</v>
      </c>
      <c r="AK61" s="21">
        <v>0</v>
      </c>
      <c r="AL61" s="21">
        <v>0</v>
      </c>
      <c r="AM61" s="21">
        <v>0</v>
      </c>
      <c r="AN61" s="21">
        <v>0</v>
      </c>
      <c r="AO61" s="21">
        <v>0</v>
      </c>
      <c r="AP61" s="21">
        <v>0</v>
      </c>
      <c r="AQ61" s="21">
        <v>0</v>
      </c>
      <c r="AR61" s="21">
        <v>0</v>
      </c>
      <c r="AS61" s="21">
        <v>0</v>
      </c>
      <c r="AT61" s="21">
        <v>0</v>
      </c>
      <c r="AU61" s="21">
        <v>0</v>
      </c>
      <c r="AV61" s="21">
        <v>0</v>
      </c>
      <c r="AW61" s="21">
        <v>0</v>
      </c>
      <c r="AX61" s="21">
        <v>0</v>
      </c>
      <c r="AY61" s="21">
        <v>0</v>
      </c>
      <c r="AZ61" s="21">
        <v>0</v>
      </c>
      <c r="BA61" s="21">
        <v>0</v>
      </c>
      <c r="BB61" s="21">
        <v>0</v>
      </c>
      <c r="BC61" s="21">
        <v>0</v>
      </c>
      <c r="BD61" s="21">
        <v>0</v>
      </c>
      <c r="BE61" s="21">
        <v>0</v>
      </c>
      <c r="BF61" s="21">
        <v>0</v>
      </c>
      <c r="BG61" s="21">
        <v>0</v>
      </c>
      <c r="BH61" s="21">
        <v>0</v>
      </c>
      <c r="BI61" s="21">
        <v>0</v>
      </c>
      <c r="BJ61" s="21">
        <v>0</v>
      </c>
      <c r="BK61" s="21">
        <v>0</v>
      </c>
      <c r="BL61" s="21">
        <v>0</v>
      </c>
      <c r="BM61" s="21">
        <v>0</v>
      </c>
      <c r="BN61" s="21">
        <v>0</v>
      </c>
      <c r="BO61" s="21">
        <v>0</v>
      </c>
      <c r="BP61" s="21">
        <v>0</v>
      </c>
      <c r="BQ61" s="21">
        <v>0</v>
      </c>
      <c r="BR61" s="21">
        <v>0</v>
      </c>
      <c r="BS61" s="21">
        <v>0</v>
      </c>
      <c r="BT61" s="21">
        <v>0</v>
      </c>
      <c r="BU61" s="21">
        <v>0</v>
      </c>
      <c r="BV61" s="21">
        <v>0</v>
      </c>
      <c r="BW61" s="21">
        <v>0</v>
      </c>
      <c r="BX61" s="21">
        <v>0</v>
      </c>
      <c r="BY61" s="21">
        <v>0</v>
      </c>
      <c r="BZ61" s="21">
        <v>0</v>
      </c>
      <c r="CA61" s="21">
        <v>0</v>
      </c>
      <c r="CB61" s="21">
        <v>0</v>
      </c>
      <c r="CC61" s="21">
        <v>0</v>
      </c>
      <c r="CD61" s="21">
        <v>0</v>
      </c>
      <c r="CE61" s="21">
        <v>0</v>
      </c>
      <c r="CF61" s="21">
        <v>0</v>
      </c>
      <c r="CG61" s="21">
        <v>0</v>
      </c>
      <c r="CH61" s="21">
        <v>0</v>
      </c>
      <c r="CI61" s="21">
        <v>0</v>
      </c>
      <c r="CJ61" s="21">
        <v>0</v>
      </c>
      <c r="CK61" s="21">
        <v>0</v>
      </c>
      <c r="CL61" s="21">
        <v>0</v>
      </c>
      <c r="CM61" s="21">
        <v>0</v>
      </c>
      <c r="CN61" s="21">
        <v>0</v>
      </c>
      <c r="CO61" s="21">
        <v>0</v>
      </c>
      <c r="CP61" s="21">
        <v>0</v>
      </c>
      <c r="CQ61" s="21">
        <v>0</v>
      </c>
      <c r="CR61" s="21">
        <v>0</v>
      </c>
      <c r="CS61" s="21">
        <v>0</v>
      </c>
      <c r="CT61" s="21">
        <v>0</v>
      </c>
      <c r="CU61" s="21">
        <v>0</v>
      </c>
      <c r="CV61" s="21">
        <v>0</v>
      </c>
      <c r="CW61" s="21">
        <v>0</v>
      </c>
      <c r="CX61" s="21">
        <v>0</v>
      </c>
      <c r="CY61" s="21">
        <v>0</v>
      </c>
      <c r="CZ61" s="21">
        <v>0</v>
      </c>
      <c r="DA61" s="21">
        <v>0</v>
      </c>
      <c r="DB61" s="21">
        <v>0</v>
      </c>
      <c r="DC61" s="21">
        <v>0</v>
      </c>
      <c r="DD61" s="21">
        <v>0</v>
      </c>
      <c r="DE61" s="21">
        <v>0</v>
      </c>
      <c r="DF61" s="21">
        <v>0</v>
      </c>
      <c r="DG61" s="21">
        <v>0</v>
      </c>
      <c r="DH61" s="74"/>
      <c r="DJ61" s="67"/>
      <c r="DL61" s="67"/>
    </row>
    <row r="62" spans="1:117">
      <c r="A62" s="23" t="s">
        <v>262</v>
      </c>
      <c r="B62" s="19" t="s">
        <v>269</v>
      </c>
      <c r="C62" s="19" t="s">
        <v>265</v>
      </c>
      <c r="D62" s="20">
        <f t="shared" si="1"/>
        <v>10</v>
      </c>
      <c r="E62" s="21">
        <v>7</v>
      </c>
      <c r="F62" s="21">
        <v>3</v>
      </c>
      <c r="G62" s="21">
        <v>0</v>
      </c>
      <c r="H62" s="21">
        <v>0</v>
      </c>
      <c r="I62" s="21">
        <v>0</v>
      </c>
      <c r="J62" s="21">
        <v>0</v>
      </c>
      <c r="K62" s="21">
        <v>0</v>
      </c>
      <c r="L62" s="21">
        <v>0</v>
      </c>
      <c r="M62" s="21">
        <v>0</v>
      </c>
      <c r="N62" s="21">
        <v>0</v>
      </c>
      <c r="O62" s="21">
        <v>0</v>
      </c>
      <c r="P62" s="21">
        <v>0</v>
      </c>
      <c r="Q62" s="21">
        <v>0</v>
      </c>
      <c r="R62" s="21">
        <v>0</v>
      </c>
      <c r="S62" s="21">
        <v>0</v>
      </c>
      <c r="T62" s="21">
        <v>0</v>
      </c>
      <c r="U62" s="21">
        <v>0</v>
      </c>
      <c r="V62" s="21">
        <v>0</v>
      </c>
      <c r="W62" s="21">
        <v>0</v>
      </c>
      <c r="X62" s="21">
        <v>0</v>
      </c>
      <c r="Y62" s="21">
        <v>0</v>
      </c>
      <c r="Z62" s="21">
        <v>0</v>
      </c>
      <c r="AA62" s="21">
        <v>0</v>
      </c>
      <c r="AB62" s="21">
        <v>0</v>
      </c>
      <c r="AC62" s="21">
        <v>0</v>
      </c>
      <c r="AD62" s="21">
        <v>0</v>
      </c>
      <c r="AE62" s="21">
        <v>0</v>
      </c>
      <c r="AF62" s="21">
        <v>0</v>
      </c>
      <c r="AG62" s="21">
        <v>0</v>
      </c>
      <c r="AH62" s="21">
        <v>0</v>
      </c>
      <c r="AI62" s="21">
        <v>0</v>
      </c>
      <c r="AJ62" s="21">
        <v>0</v>
      </c>
      <c r="AK62" s="21">
        <v>0</v>
      </c>
      <c r="AL62" s="21">
        <v>0</v>
      </c>
      <c r="AM62" s="21">
        <v>0</v>
      </c>
      <c r="AN62" s="21">
        <v>0</v>
      </c>
      <c r="AO62" s="21">
        <v>0</v>
      </c>
      <c r="AP62" s="21">
        <v>0</v>
      </c>
      <c r="AQ62" s="21">
        <v>0</v>
      </c>
      <c r="AR62" s="21">
        <v>0</v>
      </c>
      <c r="AS62" s="21">
        <v>0</v>
      </c>
      <c r="AT62" s="21">
        <v>0</v>
      </c>
      <c r="AU62" s="21">
        <v>0</v>
      </c>
      <c r="AV62" s="21">
        <v>0</v>
      </c>
      <c r="AW62" s="21">
        <v>0</v>
      </c>
      <c r="AX62" s="21">
        <v>0</v>
      </c>
      <c r="AY62" s="21">
        <v>0</v>
      </c>
      <c r="AZ62" s="21">
        <v>0</v>
      </c>
      <c r="BA62" s="21">
        <v>0</v>
      </c>
      <c r="BB62" s="21">
        <v>0</v>
      </c>
      <c r="BC62" s="21">
        <v>0</v>
      </c>
      <c r="BD62" s="21">
        <v>0</v>
      </c>
      <c r="BE62" s="21">
        <v>0</v>
      </c>
      <c r="BF62" s="21">
        <v>0</v>
      </c>
      <c r="BG62" s="21">
        <v>0</v>
      </c>
      <c r="BH62" s="21">
        <v>0</v>
      </c>
      <c r="BI62" s="21">
        <v>0</v>
      </c>
      <c r="BJ62" s="21">
        <v>0</v>
      </c>
      <c r="BK62" s="21">
        <v>0</v>
      </c>
      <c r="BL62" s="21">
        <v>0</v>
      </c>
      <c r="BM62" s="21">
        <v>0</v>
      </c>
      <c r="BN62" s="21">
        <v>0</v>
      </c>
      <c r="BO62" s="21">
        <v>0</v>
      </c>
      <c r="BP62" s="21">
        <v>0</v>
      </c>
      <c r="BQ62" s="21">
        <v>0</v>
      </c>
      <c r="BR62" s="21">
        <v>0</v>
      </c>
      <c r="BS62" s="21">
        <v>0</v>
      </c>
      <c r="BT62" s="21">
        <v>0</v>
      </c>
      <c r="BU62" s="21">
        <v>0</v>
      </c>
      <c r="BV62" s="21">
        <v>0</v>
      </c>
      <c r="BW62" s="21">
        <v>0</v>
      </c>
      <c r="BX62" s="21">
        <v>0</v>
      </c>
      <c r="BY62" s="21">
        <v>0</v>
      </c>
      <c r="BZ62" s="21">
        <v>0</v>
      </c>
      <c r="CA62" s="21">
        <v>0</v>
      </c>
      <c r="CB62" s="21">
        <v>0</v>
      </c>
      <c r="CC62" s="21">
        <v>0</v>
      </c>
      <c r="CD62" s="21">
        <v>0</v>
      </c>
      <c r="CE62" s="21">
        <v>0</v>
      </c>
      <c r="CF62" s="21">
        <v>0</v>
      </c>
      <c r="CG62" s="21">
        <v>0</v>
      </c>
      <c r="CH62" s="21">
        <v>0</v>
      </c>
      <c r="CI62" s="21">
        <v>0</v>
      </c>
      <c r="CJ62" s="21">
        <v>0</v>
      </c>
      <c r="CK62" s="21">
        <v>0</v>
      </c>
      <c r="CL62" s="21">
        <v>0</v>
      </c>
      <c r="CM62" s="21">
        <v>0</v>
      </c>
      <c r="CN62" s="21">
        <v>0</v>
      </c>
      <c r="CO62" s="21">
        <v>0</v>
      </c>
      <c r="CP62" s="21">
        <v>0</v>
      </c>
      <c r="CQ62" s="21">
        <v>0</v>
      </c>
      <c r="CR62" s="21">
        <v>0</v>
      </c>
      <c r="CS62" s="21">
        <v>0</v>
      </c>
      <c r="CT62" s="21">
        <v>0</v>
      </c>
      <c r="CU62" s="21">
        <v>0</v>
      </c>
      <c r="CV62" s="21">
        <v>0</v>
      </c>
      <c r="CW62" s="21">
        <v>0</v>
      </c>
      <c r="CX62" s="21">
        <v>0</v>
      </c>
      <c r="CY62" s="21">
        <v>0</v>
      </c>
      <c r="CZ62" s="21">
        <v>0</v>
      </c>
      <c r="DA62" s="21">
        <v>0</v>
      </c>
      <c r="DB62" s="21">
        <v>0</v>
      </c>
      <c r="DC62" s="21">
        <v>0</v>
      </c>
      <c r="DD62" s="21">
        <v>0</v>
      </c>
      <c r="DE62" s="21">
        <v>0</v>
      </c>
      <c r="DF62" s="21">
        <v>0</v>
      </c>
      <c r="DG62" s="21">
        <v>0</v>
      </c>
      <c r="DH62" s="74"/>
      <c r="DJ62" s="67"/>
      <c r="DL62" s="67"/>
    </row>
    <row r="63" spans="1:117">
      <c r="A63" s="23" t="s">
        <v>270</v>
      </c>
      <c r="B63" s="19" t="s">
        <v>271</v>
      </c>
      <c r="C63" s="19" t="s">
        <v>272</v>
      </c>
      <c r="D63" s="20">
        <f t="shared" si="1"/>
        <v>527.58000000000004</v>
      </c>
      <c r="E63" s="21">
        <v>0</v>
      </c>
      <c r="F63" s="21">
        <v>0</v>
      </c>
      <c r="G63" s="21">
        <v>0</v>
      </c>
      <c r="H63" s="21">
        <v>0</v>
      </c>
      <c r="I63" s="21">
        <v>0</v>
      </c>
      <c r="J63" s="21">
        <v>0</v>
      </c>
      <c r="K63" s="21">
        <v>0</v>
      </c>
      <c r="L63" s="21">
        <v>0</v>
      </c>
      <c r="M63" s="21">
        <v>0</v>
      </c>
      <c r="N63" s="21">
        <v>0</v>
      </c>
      <c r="O63" s="21">
        <v>0</v>
      </c>
      <c r="P63" s="21">
        <v>0</v>
      </c>
      <c r="Q63" s="21">
        <v>0</v>
      </c>
      <c r="R63" s="21">
        <v>0</v>
      </c>
      <c r="S63" s="21">
        <v>0</v>
      </c>
      <c r="T63" s="21">
        <v>0</v>
      </c>
      <c r="U63" s="21">
        <v>0</v>
      </c>
      <c r="V63" s="21">
        <v>0</v>
      </c>
      <c r="W63" s="21">
        <v>0</v>
      </c>
      <c r="X63" s="21">
        <v>0</v>
      </c>
      <c r="Y63" s="21">
        <v>0</v>
      </c>
      <c r="Z63" s="21">
        <v>0</v>
      </c>
      <c r="AA63" s="21">
        <v>0</v>
      </c>
      <c r="AB63" s="21">
        <v>0</v>
      </c>
      <c r="AC63" s="21">
        <v>0</v>
      </c>
      <c r="AD63" s="21">
        <v>0</v>
      </c>
      <c r="AE63" s="21">
        <v>0</v>
      </c>
      <c r="AF63" s="21">
        <v>0</v>
      </c>
      <c r="AG63" s="21">
        <v>0</v>
      </c>
      <c r="AH63" s="21">
        <v>0</v>
      </c>
      <c r="AI63" s="21">
        <v>0</v>
      </c>
      <c r="AJ63" s="21">
        <v>0</v>
      </c>
      <c r="AK63" s="21">
        <v>0</v>
      </c>
      <c r="AL63" s="21">
        <v>0</v>
      </c>
      <c r="AM63" s="21">
        <v>0</v>
      </c>
      <c r="AN63" s="21">
        <v>0</v>
      </c>
      <c r="AO63" s="21">
        <v>0</v>
      </c>
      <c r="AP63" s="21">
        <v>0</v>
      </c>
      <c r="AQ63" s="21">
        <v>0</v>
      </c>
      <c r="AR63" s="21">
        <v>0</v>
      </c>
      <c r="AS63" s="21">
        <v>0</v>
      </c>
      <c r="AT63" s="21">
        <v>0</v>
      </c>
      <c r="AU63" s="21">
        <v>0</v>
      </c>
      <c r="AV63" s="21">
        <v>0</v>
      </c>
      <c r="AW63" s="21">
        <v>0</v>
      </c>
      <c r="AX63" s="21">
        <v>0</v>
      </c>
      <c r="AY63" s="21">
        <v>108</v>
      </c>
      <c r="AZ63" s="21">
        <v>0</v>
      </c>
      <c r="BA63" s="21">
        <v>0</v>
      </c>
      <c r="BB63" s="21">
        <v>19.43</v>
      </c>
      <c r="BC63" s="21">
        <v>0</v>
      </c>
      <c r="BD63" s="21">
        <v>0</v>
      </c>
      <c r="BE63" s="21">
        <v>0</v>
      </c>
      <c r="BF63" s="21">
        <v>0</v>
      </c>
      <c r="BG63" s="21">
        <v>0</v>
      </c>
      <c r="BH63" s="21">
        <v>0</v>
      </c>
      <c r="BI63" s="21">
        <v>0</v>
      </c>
      <c r="BJ63" s="21">
        <v>0</v>
      </c>
      <c r="BK63" s="21">
        <v>0</v>
      </c>
      <c r="BL63" s="21">
        <v>0</v>
      </c>
      <c r="BM63" s="21">
        <v>0</v>
      </c>
      <c r="BN63" s="21">
        <v>0</v>
      </c>
      <c r="BO63" s="21">
        <v>0</v>
      </c>
      <c r="BP63" s="21">
        <v>0</v>
      </c>
      <c r="BQ63" s="21">
        <v>0</v>
      </c>
      <c r="BR63" s="21">
        <v>0</v>
      </c>
      <c r="BS63" s="21">
        <v>0</v>
      </c>
      <c r="BT63" s="21">
        <v>8.2799999999999994</v>
      </c>
      <c r="BU63" s="21">
        <v>0</v>
      </c>
      <c r="BV63" s="21">
        <v>0</v>
      </c>
      <c r="BW63" s="21">
        <v>59.34</v>
      </c>
      <c r="BX63" s="21">
        <v>0</v>
      </c>
      <c r="BY63" s="21">
        <v>0</v>
      </c>
      <c r="BZ63" s="21">
        <v>0</v>
      </c>
      <c r="CA63" s="21">
        <v>0</v>
      </c>
      <c r="CB63" s="21">
        <v>0</v>
      </c>
      <c r="CC63" s="21">
        <v>0</v>
      </c>
      <c r="CD63" s="21">
        <v>0</v>
      </c>
      <c r="CE63" s="21">
        <v>0</v>
      </c>
      <c r="CF63" s="21">
        <v>0</v>
      </c>
      <c r="CG63" s="21">
        <v>0</v>
      </c>
      <c r="CH63" s="21">
        <v>0</v>
      </c>
      <c r="CI63" s="21">
        <v>0</v>
      </c>
      <c r="CJ63" s="21">
        <v>0</v>
      </c>
      <c r="CK63" s="21">
        <v>0</v>
      </c>
      <c r="CL63" s="21">
        <v>0</v>
      </c>
      <c r="CM63" s="21">
        <v>0</v>
      </c>
      <c r="CN63" s="21">
        <v>0</v>
      </c>
      <c r="CO63" s="21">
        <v>0</v>
      </c>
      <c r="CP63" s="21">
        <v>0</v>
      </c>
      <c r="CQ63" s="21">
        <v>0</v>
      </c>
      <c r="CR63" s="21">
        <v>0</v>
      </c>
      <c r="CS63" s="21">
        <v>71.709999999999994</v>
      </c>
      <c r="CT63" s="21">
        <v>0</v>
      </c>
      <c r="CU63" s="21">
        <v>0</v>
      </c>
      <c r="CV63" s="21">
        <v>41.18</v>
      </c>
      <c r="CW63" s="21">
        <v>0</v>
      </c>
      <c r="CX63" s="21">
        <v>0</v>
      </c>
      <c r="CY63" s="21">
        <v>120.75</v>
      </c>
      <c r="CZ63" s="21">
        <v>0</v>
      </c>
      <c r="DA63" s="21">
        <v>0</v>
      </c>
      <c r="DB63" s="21">
        <v>0</v>
      </c>
      <c r="DC63" s="21">
        <v>0</v>
      </c>
      <c r="DD63" s="21">
        <v>0</v>
      </c>
      <c r="DE63" s="21">
        <v>98.89</v>
      </c>
      <c r="DF63" s="21">
        <v>0</v>
      </c>
      <c r="DG63" s="21">
        <v>0</v>
      </c>
      <c r="DH63" s="74"/>
      <c r="DJ63" s="67"/>
      <c r="DL63" s="67"/>
    </row>
    <row r="64" spans="1:117">
      <c r="A64" s="23" t="s">
        <v>273</v>
      </c>
      <c r="B64" s="19" t="s">
        <v>274</v>
      </c>
      <c r="C64" s="19" t="s">
        <v>275</v>
      </c>
      <c r="D64" s="20">
        <f t="shared" si="1"/>
        <v>522</v>
      </c>
      <c r="E64" s="21">
        <v>265</v>
      </c>
      <c r="F64" s="21">
        <v>54</v>
      </c>
      <c r="G64" s="21">
        <v>26</v>
      </c>
      <c r="H64" s="21">
        <v>11</v>
      </c>
      <c r="I64" s="21">
        <v>53</v>
      </c>
      <c r="J64" s="21">
        <v>37</v>
      </c>
      <c r="K64" s="21">
        <v>0</v>
      </c>
      <c r="L64" s="21">
        <v>0</v>
      </c>
      <c r="M64" s="21">
        <v>0</v>
      </c>
      <c r="N64" s="21">
        <v>0</v>
      </c>
      <c r="O64" s="21">
        <v>0</v>
      </c>
      <c r="P64" s="21">
        <v>0</v>
      </c>
      <c r="Q64" s="21">
        <v>0</v>
      </c>
      <c r="R64" s="21">
        <v>0</v>
      </c>
      <c r="S64" s="21">
        <v>0</v>
      </c>
      <c r="T64" s="21">
        <v>0</v>
      </c>
      <c r="U64" s="21">
        <v>4</v>
      </c>
      <c r="V64" s="21">
        <v>0</v>
      </c>
      <c r="W64" s="21">
        <v>14</v>
      </c>
      <c r="X64" s="21">
        <v>0</v>
      </c>
      <c r="Y64" s="21">
        <v>0</v>
      </c>
      <c r="Z64" s="21">
        <v>0</v>
      </c>
      <c r="AA64" s="21">
        <v>0</v>
      </c>
      <c r="AB64" s="21">
        <v>0</v>
      </c>
      <c r="AC64" s="21">
        <v>0</v>
      </c>
      <c r="AD64" s="21">
        <v>0</v>
      </c>
      <c r="AE64" s="21">
        <v>0</v>
      </c>
      <c r="AF64" s="21">
        <v>0</v>
      </c>
      <c r="AG64" s="21">
        <v>0</v>
      </c>
      <c r="AH64" s="21">
        <v>13</v>
      </c>
      <c r="AI64" s="21">
        <v>0</v>
      </c>
      <c r="AJ64" s="21">
        <v>0</v>
      </c>
      <c r="AK64" s="21">
        <v>0</v>
      </c>
      <c r="AL64" s="21">
        <v>0</v>
      </c>
      <c r="AM64" s="21">
        <v>0</v>
      </c>
      <c r="AN64" s="21">
        <v>0</v>
      </c>
      <c r="AO64" s="21">
        <v>0</v>
      </c>
      <c r="AP64" s="21">
        <v>0</v>
      </c>
      <c r="AQ64" s="21">
        <v>0</v>
      </c>
      <c r="AR64" s="21">
        <v>0</v>
      </c>
      <c r="AS64" s="21">
        <v>0</v>
      </c>
      <c r="AT64" s="21">
        <v>0</v>
      </c>
      <c r="AU64" s="21">
        <v>0</v>
      </c>
      <c r="AV64" s="21">
        <v>0</v>
      </c>
      <c r="AW64" s="21">
        <v>0</v>
      </c>
      <c r="AX64" s="21">
        <v>0</v>
      </c>
      <c r="AY64" s="21">
        <v>0</v>
      </c>
      <c r="AZ64" s="21">
        <v>0</v>
      </c>
      <c r="BA64" s="21">
        <v>0</v>
      </c>
      <c r="BB64" s="21">
        <v>1</v>
      </c>
      <c r="BC64" s="21">
        <v>0</v>
      </c>
      <c r="BD64" s="21">
        <v>0</v>
      </c>
      <c r="BE64" s="21">
        <v>0</v>
      </c>
      <c r="BF64" s="21">
        <v>0</v>
      </c>
      <c r="BG64" s="21">
        <v>0</v>
      </c>
      <c r="BH64" s="21">
        <v>0</v>
      </c>
      <c r="BI64" s="21">
        <v>0</v>
      </c>
      <c r="BJ64" s="21">
        <v>0</v>
      </c>
      <c r="BK64" s="21">
        <v>0</v>
      </c>
      <c r="BL64" s="21">
        <v>0</v>
      </c>
      <c r="BM64" s="21">
        <v>0</v>
      </c>
      <c r="BN64" s="21">
        <v>0</v>
      </c>
      <c r="BO64" s="21">
        <v>0</v>
      </c>
      <c r="BP64" s="21">
        <v>0</v>
      </c>
      <c r="BQ64" s="21">
        <v>0</v>
      </c>
      <c r="BR64" s="21">
        <v>0</v>
      </c>
      <c r="BS64" s="21">
        <v>0</v>
      </c>
      <c r="BT64" s="21">
        <v>0</v>
      </c>
      <c r="BU64" s="21">
        <v>0</v>
      </c>
      <c r="BV64" s="21">
        <v>0</v>
      </c>
      <c r="BW64" s="21">
        <v>0</v>
      </c>
      <c r="BX64" s="21">
        <v>20</v>
      </c>
      <c r="BY64" s="21">
        <v>0</v>
      </c>
      <c r="BZ64" s="21">
        <v>0</v>
      </c>
      <c r="CA64" s="21">
        <v>0</v>
      </c>
      <c r="CB64" s="21">
        <v>0</v>
      </c>
      <c r="CC64" s="21">
        <v>0</v>
      </c>
      <c r="CD64" s="21">
        <v>0</v>
      </c>
      <c r="CE64" s="21">
        <v>0</v>
      </c>
      <c r="CF64" s="21">
        <v>0</v>
      </c>
      <c r="CG64" s="21">
        <v>0</v>
      </c>
      <c r="CH64" s="21">
        <v>0</v>
      </c>
      <c r="CI64" s="21">
        <v>0</v>
      </c>
      <c r="CJ64" s="21">
        <v>0</v>
      </c>
      <c r="CK64" s="21">
        <v>0</v>
      </c>
      <c r="CL64" s="21">
        <v>0</v>
      </c>
      <c r="CM64" s="21">
        <v>0</v>
      </c>
      <c r="CN64" s="21">
        <v>0</v>
      </c>
      <c r="CO64" s="21">
        <v>0</v>
      </c>
      <c r="CP64" s="21">
        <v>0</v>
      </c>
      <c r="CQ64" s="21">
        <v>0</v>
      </c>
      <c r="CR64" s="21">
        <v>0</v>
      </c>
      <c r="CS64" s="21">
        <v>0</v>
      </c>
      <c r="CT64" s="21">
        <v>24</v>
      </c>
      <c r="CU64" s="21">
        <v>0</v>
      </c>
      <c r="CV64" s="21">
        <v>0</v>
      </c>
      <c r="CW64" s="21">
        <v>0</v>
      </c>
      <c r="CX64" s="21">
        <v>0</v>
      </c>
      <c r="CY64" s="21">
        <v>0</v>
      </c>
      <c r="CZ64" s="21">
        <v>0</v>
      </c>
      <c r="DA64" s="21">
        <v>0</v>
      </c>
      <c r="DB64" s="21">
        <v>0</v>
      </c>
      <c r="DC64" s="21">
        <v>0</v>
      </c>
      <c r="DD64" s="21">
        <v>0</v>
      </c>
      <c r="DE64" s="21">
        <v>0</v>
      </c>
      <c r="DF64" s="21">
        <v>0</v>
      </c>
      <c r="DG64" s="21">
        <v>0</v>
      </c>
      <c r="DH64" s="74"/>
      <c r="DJ64" s="67"/>
      <c r="DL64" s="67"/>
    </row>
    <row r="65" spans="1:117">
      <c r="A65" s="23" t="s">
        <v>273</v>
      </c>
      <c r="B65" s="19" t="s">
        <v>276</v>
      </c>
      <c r="C65" s="19" t="s">
        <v>196</v>
      </c>
      <c r="D65" s="20">
        <f t="shared" si="1"/>
        <v>261598.89999999985</v>
      </c>
      <c r="E65" s="22">
        <v>61745.27</v>
      </c>
      <c r="F65" s="22">
        <v>41993.99</v>
      </c>
      <c r="G65" s="22">
        <v>12810.83</v>
      </c>
      <c r="H65" s="22">
        <v>1946.19</v>
      </c>
      <c r="I65" s="22">
        <v>21286.52</v>
      </c>
      <c r="J65" s="22">
        <v>4754.18</v>
      </c>
      <c r="K65" s="22">
        <v>964.2</v>
      </c>
      <c r="L65" s="22">
        <v>922</v>
      </c>
      <c r="M65" s="22">
        <v>1331.93</v>
      </c>
      <c r="N65" s="22">
        <v>137.57</v>
      </c>
      <c r="O65" s="22">
        <v>145.99</v>
      </c>
      <c r="P65" s="22">
        <v>865.67</v>
      </c>
      <c r="Q65" s="22">
        <v>1568.18</v>
      </c>
      <c r="R65" s="22">
        <v>262.02</v>
      </c>
      <c r="S65" s="22">
        <v>6645.92</v>
      </c>
      <c r="T65" s="22">
        <v>2184.73</v>
      </c>
      <c r="U65" s="22">
        <v>3130.18</v>
      </c>
      <c r="V65" s="22">
        <v>728.58</v>
      </c>
      <c r="W65" s="22">
        <v>2961.79</v>
      </c>
      <c r="X65" s="22">
        <v>493.01</v>
      </c>
      <c r="Y65" s="22">
        <v>268.39999999999998</v>
      </c>
      <c r="Z65" s="22">
        <v>686.77</v>
      </c>
      <c r="AA65" s="22">
        <v>2279.9299999999998</v>
      </c>
      <c r="AB65" s="22">
        <v>105.37</v>
      </c>
      <c r="AC65" s="22">
        <v>1588.26</v>
      </c>
      <c r="AD65" s="22">
        <v>2689.07</v>
      </c>
      <c r="AE65" s="22">
        <v>2474.44</v>
      </c>
      <c r="AF65" s="22">
        <v>77.400000000000006</v>
      </c>
      <c r="AG65" s="22">
        <v>458.61</v>
      </c>
      <c r="AH65" s="22">
        <v>3099.97</v>
      </c>
      <c r="AI65" s="22">
        <v>314.10000000000002</v>
      </c>
      <c r="AJ65" s="22">
        <v>608.04999999999995</v>
      </c>
      <c r="AK65" s="22">
        <v>606.03</v>
      </c>
      <c r="AL65" s="22">
        <v>425.13</v>
      </c>
      <c r="AM65" s="22">
        <v>1051.21</v>
      </c>
      <c r="AN65" s="22">
        <v>816.84</v>
      </c>
      <c r="AO65" s="22">
        <v>172.74</v>
      </c>
      <c r="AP65" s="22">
        <v>93.81</v>
      </c>
      <c r="AQ65" s="22">
        <v>53.36</v>
      </c>
      <c r="AR65" s="22">
        <v>98.49</v>
      </c>
      <c r="AS65" s="22">
        <v>99.02</v>
      </c>
      <c r="AT65" s="22">
        <v>169.27</v>
      </c>
      <c r="AU65" s="22">
        <v>163.82</v>
      </c>
      <c r="AV65" s="22">
        <v>209.84</v>
      </c>
      <c r="AW65" s="22">
        <v>96.84</v>
      </c>
      <c r="AX65" s="22">
        <v>2322.71</v>
      </c>
      <c r="AY65" s="22">
        <v>2962.92</v>
      </c>
      <c r="AZ65" s="22">
        <v>173.36</v>
      </c>
      <c r="BA65" s="22">
        <v>131.68</v>
      </c>
      <c r="BB65" s="22">
        <v>2485.13</v>
      </c>
      <c r="BC65" s="22">
        <v>1594.3</v>
      </c>
      <c r="BD65" s="22">
        <v>461.14</v>
      </c>
      <c r="BE65" s="22">
        <v>1885.64</v>
      </c>
      <c r="BF65" s="22">
        <v>1217.1099999999999</v>
      </c>
      <c r="BG65" s="22">
        <v>121.98</v>
      </c>
      <c r="BH65" s="22">
        <v>156.68</v>
      </c>
      <c r="BI65" s="22">
        <v>112.89</v>
      </c>
      <c r="BJ65" s="22">
        <v>536.12</v>
      </c>
      <c r="BK65" s="22">
        <v>912.63</v>
      </c>
      <c r="BL65" s="22">
        <v>945.37</v>
      </c>
      <c r="BM65" s="22">
        <v>104.7</v>
      </c>
      <c r="BN65" s="22">
        <v>674.54</v>
      </c>
      <c r="BO65" s="22">
        <v>1037.24</v>
      </c>
      <c r="BP65" s="22">
        <v>120.44</v>
      </c>
      <c r="BQ65" s="22">
        <v>1823.99</v>
      </c>
      <c r="BR65" s="22">
        <v>80.25</v>
      </c>
      <c r="BS65" s="22">
        <v>147.77000000000001</v>
      </c>
      <c r="BT65" s="22">
        <v>1540.68</v>
      </c>
      <c r="BU65" s="22">
        <v>471.52</v>
      </c>
      <c r="BV65" s="22">
        <v>467.37</v>
      </c>
      <c r="BW65" s="22">
        <v>3532.04</v>
      </c>
      <c r="BX65" s="22">
        <v>457.61</v>
      </c>
      <c r="BY65" s="22">
        <v>562.27</v>
      </c>
      <c r="BZ65" s="22">
        <v>72.22</v>
      </c>
      <c r="CA65" s="22">
        <v>216.36</v>
      </c>
      <c r="CB65" s="22">
        <v>413.42</v>
      </c>
      <c r="CC65" s="22">
        <v>82.56</v>
      </c>
      <c r="CD65" s="22">
        <v>682.68</v>
      </c>
      <c r="CE65" s="22">
        <v>453.08</v>
      </c>
      <c r="CF65" s="22">
        <v>3457.93</v>
      </c>
      <c r="CG65" s="22">
        <v>1024.81</v>
      </c>
      <c r="CH65" s="22">
        <v>422.62</v>
      </c>
      <c r="CI65" s="22">
        <v>1148.4100000000001</v>
      </c>
      <c r="CJ65" s="22">
        <v>1303.3800000000001</v>
      </c>
      <c r="CK65" s="22">
        <v>9042.36</v>
      </c>
      <c r="CL65" s="22">
        <v>1492.69</v>
      </c>
      <c r="CM65" s="22">
        <v>2430.94</v>
      </c>
      <c r="CN65" s="22">
        <v>1686.34</v>
      </c>
      <c r="CO65" s="22">
        <v>1150.94</v>
      </c>
      <c r="CP65" s="22">
        <v>1386.26</v>
      </c>
      <c r="CQ65" s="22">
        <v>1385.41</v>
      </c>
      <c r="CR65" s="22">
        <v>1095.3399999999999</v>
      </c>
      <c r="CS65" s="22">
        <v>2239.36</v>
      </c>
      <c r="CT65" s="22">
        <v>3879</v>
      </c>
      <c r="CU65" s="21">
        <v>0</v>
      </c>
      <c r="CV65" s="21">
        <v>2296.94</v>
      </c>
      <c r="CW65" s="21">
        <v>586.67999999999995</v>
      </c>
      <c r="CX65" s="21">
        <v>1439.25</v>
      </c>
      <c r="CY65" s="21">
        <v>4029.35</v>
      </c>
      <c r="CZ65" s="21">
        <v>154.01</v>
      </c>
      <c r="DA65" s="21">
        <v>977.39</v>
      </c>
      <c r="DB65" s="21">
        <v>122.91</v>
      </c>
      <c r="DC65" s="21">
        <v>201.66</v>
      </c>
      <c r="DD65" s="21">
        <v>936.09</v>
      </c>
      <c r="DE65" s="21">
        <v>2638.26</v>
      </c>
      <c r="DF65" s="21">
        <v>524.65</v>
      </c>
      <c r="DG65" s="21">
        <v>0</v>
      </c>
      <c r="DH65" s="74"/>
      <c r="DJ65" s="67"/>
      <c r="DL65" s="67"/>
    </row>
    <row r="66" spans="1:117">
      <c r="A66" s="23" t="s">
        <v>277</v>
      </c>
      <c r="B66" s="19" t="s">
        <v>278</v>
      </c>
      <c r="C66" s="19" t="s">
        <v>279</v>
      </c>
      <c r="D66" s="20">
        <f t="shared" si="1"/>
        <v>16</v>
      </c>
      <c r="E66" s="22">
        <v>5</v>
      </c>
      <c r="F66" s="22">
        <v>1</v>
      </c>
      <c r="G66" s="22">
        <v>1</v>
      </c>
      <c r="H66" s="22">
        <v>0</v>
      </c>
      <c r="I66" s="22">
        <v>1</v>
      </c>
      <c r="J66" s="22">
        <v>1</v>
      </c>
      <c r="K66" s="22">
        <v>0</v>
      </c>
      <c r="L66" s="22">
        <v>0</v>
      </c>
      <c r="M66" s="22">
        <v>0</v>
      </c>
      <c r="N66" s="22">
        <v>0</v>
      </c>
      <c r="O66" s="22">
        <v>0</v>
      </c>
      <c r="P66" s="22">
        <v>0</v>
      </c>
      <c r="Q66" s="22">
        <v>0</v>
      </c>
      <c r="R66" s="22">
        <v>0</v>
      </c>
      <c r="S66" s="22">
        <v>0</v>
      </c>
      <c r="T66" s="22">
        <v>0</v>
      </c>
      <c r="U66" s="22">
        <v>0</v>
      </c>
      <c r="V66" s="22">
        <v>0</v>
      </c>
      <c r="W66" s="22">
        <v>0</v>
      </c>
      <c r="X66" s="22">
        <v>0</v>
      </c>
      <c r="Y66" s="22">
        <v>0</v>
      </c>
      <c r="Z66" s="22">
        <v>0</v>
      </c>
      <c r="AA66" s="22">
        <v>0</v>
      </c>
      <c r="AB66" s="22">
        <v>0</v>
      </c>
      <c r="AC66" s="22">
        <v>0</v>
      </c>
      <c r="AD66" s="22">
        <v>0</v>
      </c>
      <c r="AE66" s="22">
        <v>0</v>
      </c>
      <c r="AF66" s="22">
        <v>0</v>
      </c>
      <c r="AG66" s="22">
        <v>0</v>
      </c>
      <c r="AH66" s="22">
        <v>1</v>
      </c>
      <c r="AI66" s="22">
        <v>0</v>
      </c>
      <c r="AJ66" s="22">
        <v>0</v>
      </c>
      <c r="AK66" s="22">
        <v>0</v>
      </c>
      <c r="AL66" s="22">
        <v>0</v>
      </c>
      <c r="AM66" s="22">
        <v>0</v>
      </c>
      <c r="AN66" s="22">
        <v>0</v>
      </c>
      <c r="AO66" s="22">
        <v>0</v>
      </c>
      <c r="AP66" s="22">
        <v>0</v>
      </c>
      <c r="AQ66" s="22">
        <v>0</v>
      </c>
      <c r="AR66" s="22">
        <v>0</v>
      </c>
      <c r="AS66" s="22">
        <v>0</v>
      </c>
      <c r="AT66" s="22">
        <v>0</v>
      </c>
      <c r="AU66" s="22">
        <v>0</v>
      </c>
      <c r="AV66" s="22">
        <v>0</v>
      </c>
      <c r="AW66" s="22">
        <v>0</v>
      </c>
      <c r="AX66" s="22">
        <v>0</v>
      </c>
      <c r="AY66" s="22">
        <v>0</v>
      </c>
      <c r="AZ66" s="22">
        <v>0</v>
      </c>
      <c r="BA66" s="22">
        <v>0</v>
      </c>
      <c r="BB66" s="22">
        <v>1</v>
      </c>
      <c r="BC66" s="22">
        <v>1</v>
      </c>
      <c r="BD66" s="22">
        <v>0</v>
      </c>
      <c r="BE66" s="22">
        <v>0</v>
      </c>
      <c r="BF66" s="22">
        <v>0</v>
      </c>
      <c r="BG66" s="22">
        <v>0</v>
      </c>
      <c r="BH66" s="22">
        <v>0</v>
      </c>
      <c r="BI66" s="22">
        <v>0</v>
      </c>
      <c r="BJ66" s="22">
        <v>0</v>
      </c>
      <c r="BK66" s="22">
        <v>0</v>
      </c>
      <c r="BL66" s="22">
        <v>0</v>
      </c>
      <c r="BM66" s="22">
        <v>0</v>
      </c>
      <c r="BN66" s="22">
        <v>0</v>
      </c>
      <c r="BO66" s="22">
        <v>0</v>
      </c>
      <c r="BP66" s="22">
        <v>0</v>
      </c>
      <c r="BQ66" s="22">
        <v>0</v>
      </c>
      <c r="BR66" s="22">
        <v>0</v>
      </c>
      <c r="BS66" s="22">
        <v>0</v>
      </c>
      <c r="BT66" s="22">
        <v>0</v>
      </c>
      <c r="BU66" s="22">
        <v>0</v>
      </c>
      <c r="BV66" s="22">
        <v>0</v>
      </c>
      <c r="BW66" s="22">
        <v>0</v>
      </c>
      <c r="BX66" s="22">
        <v>0</v>
      </c>
      <c r="BY66" s="22">
        <v>0</v>
      </c>
      <c r="BZ66" s="22">
        <v>0</v>
      </c>
      <c r="CA66" s="22">
        <v>0</v>
      </c>
      <c r="CB66" s="22">
        <v>0</v>
      </c>
      <c r="CC66" s="22">
        <v>0</v>
      </c>
      <c r="CD66" s="22">
        <v>0</v>
      </c>
      <c r="CE66" s="22">
        <v>0</v>
      </c>
      <c r="CF66" s="22">
        <v>0</v>
      </c>
      <c r="CG66" s="22">
        <v>0</v>
      </c>
      <c r="CH66" s="22">
        <v>0</v>
      </c>
      <c r="CI66" s="22">
        <v>0</v>
      </c>
      <c r="CJ66" s="22">
        <v>0</v>
      </c>
      <c r="CK66" s="22">
        <v>0</v>
      </c>
      <c r="CL66" s="22">
        <v>0</v>
      </c>
      <c r="CM66" s="22">
        <v>0</v>
      </c>
      <c r="CN66" s="22">
        <v>0</v>
      </c>
      <c r="CO66" s="22">
        <v>0</v>
      </c>
      <c r="CP66" s="22">
        <v>0</v>
      </c>
      <c r="CQ66" s="22">
        <v>0</v>
      </c>
      <c r="CR66" s="22">
        <v>0</v>
      </c>
      <c r="CS66" s="22">
        <v>0</v>
      </c>
      <c r="CT66" s="22">
        <v>0</v>
      </c>
      <c r="CU66" s="21">
        <v>0</v>
      </c>
      <c r="CV66" s="21">
        <v>0</v>
      </c>
      <c r="CW66" s="21">
        <v>0</v>
      </c>
      <c r="CX66" s="21">
        <v>0</v>
      </c>
      <c r="CY66" s="21">
        <v>0</v>
      </c>
      <c r="CZ66" s="21">
        <v>0</v>
      </c>
      <c r="DA66" s="21">
        <v>0</v>
      </c>
      <c r="DB66" s="21">
        <v>0</v>
      </c>
      <c r="DC66" s="21">
        <v>0</v>
      </c>
      <c r="DD66" s="21">
        <v>0</v>
      </c>
      <c r="DE66" s="21">
        <v>0</v>
      </c>
      <c r="DF66" s="21">
        <v>0</v>
      </c>
      <c r="DG66" s="21">
        <v>4</v>
      </c>
      <c r="DH66" s="74"/>
      <c r="DJ66" s="67"/>
      <c r="DL66" s="67"/>
    </row>
    <row r="67" spans="1:117" s="52" customFormat="1">
      <c r="A67" s="23" t="s">
        <v>280</v>
      </c>
      <c r="B67" s="19" t="s">
        <v>281</v>
      </c>
      <c r="C67" s="19" t="s">
        <v>282</v>
      </c>
      <c r="D67" s="20">
        <f t="shared" si="1"/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1">
        <v>0</v>
      </c>
      <c r="AZ67" s="21">
        <v>0</v>
      </c>
      <c r="BA67" s="21">
        <v>0</v>
      </c>
      <c r="BB67" s="21">
        <v>0</v>
      </c>
      <c r="BC67" s="21">
        <v>0</v>
      </c>
      <c r="BD67" s="21">
        <v>0</v>
      </c>
      <c r="BE67" s="21">
        <v>0</v>
      </c>
      <c r="BF67" s="21">
        <v>0</v>
      </c>
      <c r="BG67" s="21">
        <v>0</v>
      </c>
      <c r="BH67" s="21">
        <v>0</v>
      </c>
      <c r="BI67" s="21">
        <v>0</v>
      </c>
      <c r="BJ67" s="21">
        <v>0</v>
      </c>
      <c r="BK67" s="21">
        <v>0</v>
      </c>
      <c r="BL67" s="21">
        <v>0</v>
      </c>
      <c r="BM67" s="21">
        <v>0</v>
      </c>
      <c r="BN67" s="21">
        <v>0</v>
      </c>
      <c r="BO67" s="21">
        <v>0</v>
      </c>
      <c r="BP67" s="21">
        <v>0</v>
      </c>
      <c r="BQ67" s="21">
        <v>0</v>
      </c>
      <c r="BR67" s="21">
        <v>0</v>
      </c>
      <c r="BS67" s="21">
        <v>0</v>
      </c>
      <c r="BT67" s="21">
        <v>0</v>
      </c>
      <c r="BU67" s="21">
        <v>0</v>
      </c>
      <c r="BV67" s="21">
        <v>0</v>
      </c>
      <c r="BW67" s="21">
        <v>0</v>
      </c>
      <c r="BX67" s="21">
        <v>0</v>
      </c>
      <c r="BY67" s="21">
        <v>0</v>
      </c>
      <c r="BZ67" s="21">
        <v>0</v>
      </c>
      <c r="CA67" s="21">
        <v>0</v>
      </c>
      <c r="CB67" s="21">
        <v>0</v>
      </c>
      <c r="CC67" s="21">
        <v>0</v>
      </c>
      <c r="CD67" s="21">
        <v>0</v>
      </c>
      <c r="CE67" s="21">
        <v>0</v>
      </c>
      <c r="CF67" s="21">
        <v>0</v>
      </c>
      <c r="CG67" s="21">
        <v>0</v>
      </c>
      <c r="CH67" s="21">
        <v>0</v>
      </c>
      <c r="CI67" s="21">
        <v>0</v>
      </c>
      <c r="CJ67" s="21">
        <v>0</v>
      </c>
      <c r="CK67" s="21">
        <v>0</v>
      </c>
      <c r="CL67" s="21">
        <v>0</v>
      </c>
      <c r="CM67" s="21">
        <v>0</v>
      </c>
      <c r="CN67" s="21">
        <v>0</v>
      </c>
      <c r="CO67" s="21">
        <v>0</v>
      </c>
      <c r="CP67" s="21">
        <v>0</v>
      </c>
      <c r="CQ67" s="21">
        <v>0</v>
      </c>
      <c r="CR67" s="21">
        <v>0</v>
      </c>
      <c r="CS67" s="21">
        <v>0</v>
      </c>
      <c r="CT67" s="21">
        <v>0</v>
      </c>
      <c r="CU67" s="21">
        <v>0</v>
      </c>
      <c r="CV67" s="21">
        <v>0</v>
      </c>
      <c r="CW67" s="21">
        <v>0</v>
      </c>
      <c r="CX67" s="21">
        <v>0</v>
      </c>
      <c r="CY67" s="21">
        <v>0</v>
      </c>
      <c r="CZ67" s="21">
        <v>0</v>
      </c>
      <c r="DA67" s="21">
        <v>0</v>
      </c>
      <c r="DB67" s="21">
        <v>0</v>
      </c>
      <c r="DC67" s="21">
        <v>0</v>
      </c>
      <c r="DD67" s="21">
        <v>0</v>
      </c>
      <c r="DE67" s="21">
        <v>0</v>
      </c>
      <c r="DF67" s="21">
        <v>0</v>
      </c>
      <c r="DG67" s="21">
        <v>0</v>
      </c>
      <c r="DH67" s="75"/>
      <c r="DI67" s="67"/>
      <c r="DJ67" s="67"/>
      <c r="DK67" s="50"/>
      <c r="DL67" s="67"/>
      <c r="DM67" s="50"/>
    </row>
    <row r="68" spans="1:117">
      <c r="A68" s="23" t="s">
        <v>283</v>
      </c>
      <c r="B68" s="19" t="s">
        <v>284</v>
      </c>
      <c r="C68" s="19" t="s">
        <v>285</v>
      </c>
      <c r="D68" s="20">
        <f t="shared" si="1"/>
        <v>1</v>
      </c>
      <c r="E68" s="21">
        <v>1</v>
      </c>
      <c r="F68" s="21">
        <v>0</v>
      </c>
      <c r="G68" s="21">
        <v>0</v>
      </c>
      <c r="H68" s="21">
        <v>0</v>
      </c>
      <c r="I68" s="21">
        <v>0</v>
      </c>
      <c r="J68" s="21">
        <v>0</v>
      </c>
      <c r="K68" s="21">
        <v>0</v>
      </c>
      <c r="L68" s="21">
        <v>0</v>
      </c>
      <c r="M68" s="21">
        <v>0</v>
      </c>
      <c r="N68" s="21">
        <v>0</v>
      </c>
      <c r="O68" s="21">
        <v>0</v>
      </c>
      <c r="P68" s="21">
        <v>0</v>
      </c>
      <c r="Q68" s="21">
        <v>0</v>
      </c>
      <c r="R68" s="21">
        <v>0</v>
      </c>
      <c r="S68" s="21">
        <v>0</v>
      </c>
      <c r="T68" s="21">
        <v>0</v>
      </c>
      <c r="U68" s="21">
        <v>0</v>
      </c>
      <c r="V68" s="21">
        <v>0</v>
      </c>
      <c r="W68" s="21">
        <v>0</v>
      </c>
      <c r="X68" s="21">
        <v>0</v>
      </c>
      <c r="Y68" s="21">
        <v>0</v>
      </c>
      <c r="Z68" s="21">
        <v>0</v>
      </c>
      <c r="AA68" s="21">
        <v>0</v>
      </c>
      <c r="AB68" s="21">
        <v>0</v>
      </c>
      <c r="AC68" s="21">
        <v>0</v>
      </c>
      <c r="AD68" s="21">
        <v>0</v>
      </c>
      <c r="AE68" s="21">
        <v>0</v>
      </c>
      <c r="AF68" s="21">
        <v>0</v>
      </c>
      <c r="AG68" s="21">
        <v>0</v>
      </c>
      <c r="AH68" s="21">
        <v>0</v>
      </c>
      <c r="AI68" s="21">
        <v>0</v>
      </c>
      <c r="AJ68" s="21">
        <v>0</v>
      </c>
      <c r="AK68" s="21">
        <v>0</v>
      </c>
      <c r="AL68" s="21">
        <v>0</v>
      </c>
      <c r="AM68" s="21">
        <v>0</v>
      </c>
      <c r="AN68" s="21">
        <v>0</v>
      </c>
      <c r="AO68" s="21">
        <v>0</v>
      </c>
      <c r="AP68" s="21">
        <v>0</v>
      </c>
      <c r="AQ68" s="21">
        <v>0</v>
      </c>
      <c r="AR68" s="21">
        <v>0</v>
      </c>
      <c r="AS68" s="21">
        <v>0</v>
      </c>
      <c r="AT68" s="21">
        <v>0</v>
      </c>
      <c r="AU68" s="21">
        <v>0</v>
      </c>
      <c r="AV68" s="21">
        <v>0</v>
      </c>
      <c r="AW68" s="21">
        <v>0</v>
      </c>
      <c r="AX68" s="21">
        <v>0</v>
      </c>
      <c r="AY68" s="21">
        <v>0</v>
      </c>
      <c r="AZ68" s="21">
        <v>0</v>
      </c>
      <c r="BA68" s="21">
        <v>0</v>
      </c>
      <c r="BB68" s="21">
        <v>0</v>
      </c>
      <c r="BC68" s="21">
        <v>0</v>
      </c>
      <c r="BD68" s="21">
        <v>0</v>
      </c>
      <c r="BE68" s="21">
        <v>0</v>
      </c>
      <c r="BF68" s="21">
        <v>0</v>
      </c>
      <c r="BG68" s="21">
        <v>0</v>
      </c>
      <c r="BH68" s="21">
        <v>0</v>
      </c>
      <c r="BI68" s="21">
        <v>0</v>
      </c>
      <c r="BJ68" s="21">
        <v>0</v>
      </c>
      <c r="BK68" s="21">
        <v>0</v>
      </c>
      <c r="BL68" s="21">
        <v>0</v>
      </c>
      <c r="BM68" s="21">
        <v>0</v>
      </c>
      <c r="BN68" s="21">
        <v>0</v>
      </c>
      <c r="BO68" s="21">
        <v>0</v>
      </c>
      <c r="BP68" s="21">
        <v>0</v>
      </c>
      <c r="BQ68" s="21">
        <v>0</v>
      </c>
      <c r="BR68" s="21">
        <v>0</v>
      </c>
      <c r="BS68" s="21">
        <v>0</v>
      </c>
      <c r="BT68" s="21">
        <v>0</v>
      </c>
      <c r="BU68" s="21">
        <v>0</v>
      </c>
      <c r="BV68" s="21">
        <v>0</v>
      </c>
      <c r="BW68" s="21">
        <v>0</v>
      </c>
      <c r="BX68" s="21">
        <v>0</v>
      </c>
      <c r="BY68" s="21">
        <v>0</v>
      </c>
      <c r="BZ68" s="21">
        <v>0</v>
      </c>
      <c r="CA68" s="21">
        <v>0</v>
      </c>
      <c r="CB68" s="21">
        <v>0</v>
      </c>
      <c r="CC68" s="21">
        <v>0</v>
      </c>
      <c r="CD68" s="21">
        <v>0</v>
      </c>
      <c r="CE68" s="21">
        <v>0</v>
      </c>
      <c r="CF68" s="21">
        <v>0</v>
      </c>
      <c r="CG68" s="21">
        <v>0</v>
      </c>
      <c r="CH68" s="21">
        <v>0</v>
      </c>
      <c r="CI68" s="21">
        <v>0</v>
      </c>
      <c r="CJ68" s="21">
        <v>0</v>
      </c>
      <c r="CK68" s="21">
        <v>0</v>
      </c>
      <c r="CL68" s="21">
        <v>0</v>
      </c>
      <c r="CM68" s="21">
        <v>0</v>
      </c>
      <c r="CN68" s="21">
        <v>0</v>
      </c>
      <c r="CO68" s="21">
        <v>0</v>
      </c>
      <c r="CP68" s="21">
        <v>0</v>
      </c>
      <c r="CQ68" s="21">
        <v>0</v>
      </c>
      <c r="CR68" s="21">
        <v>0</v>
      </c>
      <c r="CS68" s="21">
        <v>0</v>
      </c>
      <c r="CT68" s="21">
        <v>0</v>
      </c>
      <c r="CU68" s="21">
        <v>0</v>
      </c>
      <c r="CV68" s="21">
        <v>0</v>
      </c>
      <c r="CW68" s="21">
        <v>0</v>
      </c>
      <c r="CX68" s="21">
        <v>0</v>
      </c>
      <c r="CY68" s="21">
        <v>0</v>
      </c>
      <c r="CZ68" s="21">
        <v>0</v>
      </c>
      <c r="DA68" s="21">
        <v>0</v>
      </c>
      <c r="DB68" s="21">
        <v>0</v>
      </c>
      <c r="DC68" s="21">
        <v>0</v>
      </c>
      <c r="DD68" s="21">
        <v>0</v>
      </c>
      <c r="DE68" s="21">
        <v>0</v>
      </c>
      <c r="DF68" s="21">
        <v>0</v>
      </c>
      <c r="DG68" s="21">
        <v>0</v>
      </c>
      <c r="DH68" s="74"/>
      <c r="DJ68" s="67"/>
      <c r="DL68" s="67"/>
    </row>
    <row r="69" spans="1:117" s="52" customFormat="1">
      <c r="A69" s="23"/>
      <c r="B69" s="19" t="s">
        <v>286</v>
      </c>
      <c r="C69" s="19" t="s">
        <v>287</v>
      </c>
      <c r="D69" s="20">
        <f t="shared" si="1"/>
        <v>3</v>
      </c>
      <c r="E69" s="21">
        <v>1</v>
      </c>
      <c r="F69" s="21">
        <v>1</v>
      </c>
      <c r="G69" s="21">
        <v>1</v>
      </c>
      <c r="H69" s="21">
        <v>0</v>
      </c>
      <c r="I69" s="21">
        <v>0</v>
      </c>
      <c r="J69" s="21">
        <v>0</v>
      </c>
      <c r="K69" s="21">
        <v>0</v>
      </c>
      <c r="L69" s="21">
        <v>0</v>
      </c>
      <c r="M69" s="21">
        <v>0</v>
      </c>
      <c r="N69" s="21">
        <v>0</v>
      </c>
      <c r="O69" s="21">
        <v>0</v>
      </c>
      <c r="P69" s="21">
        <v>0</v>
      </c>
      <c r="Q69" s="21">
        <v>0</v>
      </c>
      <c r="R69" s="21">
        <v>0</v>
      </c>
      <c r="S69" s="21">
        <v>0</v>
      </c>
      <c r="T69" s="21">
        <v>0</v>
      </c>
      <c r="U69" s="21">
        <v>0</v>
      </c>
      <c r="V69" s="21">
        <v>0</v>
      </c>
      <c r="W69" s="21">
        <v>0</v>
      </c>
      <c r="X69" s="21">
        <v>0</v>
      </c>
      <c r="Y69" s="21">
        <v>0</v>
      </c>
      <c r="Z69" s="21">
        <v>0</v>
      </c>
      <c r="AA69" s="21">
        <v>0</v>
      </c>
      <c r="AB69" s="21">
        <v>0</v>
      </c>
      <c r="AC69" s="21">
        <v>0</v>
      </c>
      <c r="AD69" s="21">
        <v>0</v>
      </c>
      <c r="AE69" s="21">
        <v>0</v>
      </c>
      <c r="AF69" s="21">
        <v>0</v>
      </c>
      <c r="AG69" s="21">
        <v>0</v>
      </c>
      <c r="AH69" s="21">
        <v>0</v>
      </c>
      <c r="AI69" s="21">
        <v>0</v>
      </c>
      <c r="AJ69" s="21">
        <v>0</v>
      </c>
      <c r="AK69" s="21">
        <v>0</v>
      </c>
      <c r="AL69" s="21">
        <v>0</v>
      </c>
      <c r="AM69" s="21">
        <v>0</v>
      </c>
      <c r="AN69" s="21">
        <v>0</v>
      </c>
      <c r="AO69" s="21">
        <v>0</v>
      </c>
      <c r="AP69" s="21">
        <v>0</v>
      </c>
      <c r="AQ69" s="21">
        <v>0</v>
      </c>
      <c r="AR69" s="21">
        <v>0</v>
      </c>
      <c r="AS69" s="21">
        <v>0</v>
      </c>
      <c r="AT69" s="21">
        <v>0</v>
      </c>
      <c r="AU69" s="21">
        <v>0</v>
      </c>
      <c r="AV69" s="21">
        <v>0</v>
      </c>
      <c r="AW69" s="21">
        <v>0</v>
      </c>
      <c r="AX69" s="21">
        <v>0</v>
      </c>
      <c r="AY69" s="21">
        <v>0</v>
      </c>
      <c r="AZ69" s="21">
        <v>0</v>
      </c>
      <c r="BA69" s="21">
        <v>0</v>
      </c>
      <c r="BB69" s="21">
        <v>0</v>
      </c>
      <c r="BC69" s="21">
        <v>0</v>
      </c>
      <c r="BD69" s="21">
        <v>0</v>
      </c>
      <c r="BE69" s="21">
        <v>0</v>
      </c>
      <c r="BF69" s="21">
        <v>0</v>
      </c>
      <c r="BG69" s="21">
        <v>0</v>
      </c>
      <c r="BH69" s="21">
        <v>0</v>
      </c>
      <c r="BI69" s="21">
        <v>0</v>
      </c>
      <c r="BJ69" s="21">
        <v>0</v>
      </c>
      <c r="BK69" s="21">
        <v>0</v>
      </c>
      <c r="BL69" s="21">
        <v>0</v>
      </c>
      <c r="BM69" s="21">
        <v>0</v>
      </c>
      <c r="BN69" s="21">
        <v>0</v>
      </c>
      <c r="BO69" s="21">
        <v>0</v>
      </c>
      <c r="BP69" s="21">
        <v>0</v>
      </c>
      <c r="BQ69" s="21">
        <v>0</v>
      </c>
      <c r="BR69" s="21">
        <v>0</v>
      </c>
      <c r="BS69" s="21">
        <v>0</v>
      </c>
      <c r="BT69" s="21">
        <v>0</v>
      </c>
      <c r="BU69" s="21">
        <v>0</v>
      </c>
      <c r="BV69" s="21">
        <v>0</v>
      </c>
      <c r="BW69" s="21">
        <v>0</v>
      </c>
      <c r="BX69" s="21">
        <v>0</v>
      </c>
      <c r="BY69" s="21">
        <v>0</v>
      </c>
      <c r="BZ69" s="21">
        <v>0</v>
      </c>
      <c r="CA69" s="21">
        <v>0</v>
      </c>
      <c r="CB69" s="21">
        <v>0</v>
      </c>
      <c r="CC69" s="21">
        <v>0</v>
      </c>
      <c r="CD69" s="21">
        <v>0</v>
      </c>
      <c r="CE69" s="21">
        <v>0</v>
      </c>
      <c r="CF69" s="21">
        <v>0</v>
      </c>
      <c r="CG69" s="21">
        <v>0</v>
      </c>
      <c r="CH69" s="21">
        <v>0</v>
      </c>
      <c r="CI69" s="21">
        <v>0</v>
      </c>
      <c r="CJ69" s="21">
        <v>0</v>
      </c>
      <c r="CK69" s="21">
        <v>0</v>
      </c>
      <c r="CL69" s="21">
        <v>0</v>
      </c>
      <c r="CM69" s="21">
        <v>0</v>
      </c>
      <c r="CN69" s="21">
        <v>0</v>
      </c>
      <c r="CO69" s="21">
        <v>0</v>
      </c>
      <c r="CP69" s="21">
        <v>0</v>
      </c>
      <c r="CQ69" s="21">
        <v>0</v>
      </c>
      <c r="CR69" s="21">
        <v>0</v>
      </c>
      <c r="CS69" s="21">
        <v>0</v>
      </c>
      <c r="CT69" s="21">
        <v>0</v>
      </c>
      <c r="CU69" s="21">
        <v>0</v>
      </c>
      <c r="CV69" s="21">
        <v>0</v>
      </c>
      <c r="CW69" s="21">
        <v>0</v>
      </c>
      <c r="CX69" s="21">
        <v>0</v>
      </c>
      <c r="CY69" s="21">
        <v>0</v>
      </c>
      <c r="CZ69" s="21">
        <v>0</v>
      </c>
      <c r="DA69" s="21">
        <v>0</v>
      </c>
      <c r="DB69" s="21">
        <v>0</v>
      </c>
      <c r="DC69" s="21">
        <v>0</v>
      </c>
      <c r="DD69" s="21">
        <v>0</v>
      </c>
      <c r="DE69" s="21">
        <v>0</v>
      </c>
      <c r="DF69" s="21">
        <v>0</v>
      </c>
      <c r="DG69" s="21">
        <v>0</v>
      </c>
      <c r="DH69" s="75"/>
      <c r="DI69" s="67"/>
      <c r="DJ69" s="67"/>
      <c r="DK69" s="50"/>
      <c r="DL69" s="67"/>
      <c r="DM69" s="50"/>
    </row>
    <row r="70" spans="1:117" s="52" customFormat="1" ht="32.1">
      <c r="A70" s="23"/>
      <c r="B70" s="19" t="s">
        <v>288</v>
      </c>
      <c r="C70" s="19" t="s">
        <v>227</v>
      </c>
      <c r="D70" s="20">
        <f t="shared" si="1"/>
        <v>2</v>
      </c>
      <c r="E70" s="21">
        <v>0</v>
      </c>
      <c r="F70" s="21">
        <v>0</v>
      </c>
      <c r="G70" s="21">
        <v>1</v>
      </c>
      <c r="H70" s="21">
        <v>0</v>
      </c>
      <c r="I70" s="21">
        <v>0</v>
      </c>
      <c r="J70" s="21">
        <v>0</v>
      </c>
      <c r="K70" s="21">
        <v>0</v>
      </c>
      <c r="L70" s="21">
        <v>0</v>
      </c>
      <c r="M70" s="21">
        <v>0</v>
      </c>
      <c r="N70" s="21">
        <v>0</v>
      </c>
      <c r="O70" s="21">
        <v>0</v>
      </c>
      <c r="P70" s="21">
        <v>0</v>
      </c>
      <c r="Q70" s="21">
        <v>0</v>
      </c>
      <c r="R70" s="21">
        <v>0</v>
      </c>
      <c r="S70" s="21">
        <v>0</v>
      </c>
      <c r="T70" s="21">
        <v>0</v>
      </c>
      <c r="U70" s="21">
        <v>0</v>
      </c>
      <c r="V70" s="21">
        <v>0</v>
      </c>
      <c r="W70" s="21">
        <v>0</v>
      </c>
      <c r="X70" s="21">
        <v>0</v>
      </c>
      <c r="Y70" s="21">
        <v>0</v>
      </c>
      <c r="Z70" s="21">
        <v>0</v>
      </c>
      <c r="AA70" s="21">
        <v>0</v>
      </c>
      <c r="AB70" s="21">
        <v>0</v>
      </c>
      <c r="AC70" s="21">
        <v>0</v>
      </c>
      <c r="AD70" s="21">
        <v>0</v>
      </c>
      <c r="AE70" s="21">
        <v>0</v>
      </c>
      <c r="AF70" s="21">
        <v>0</v>
      </c>
      <c r="AG70" s="21">
        <v>0</v>
      </c>
      <c r="AH70" s="21">
        <v>0</v>
      </c>
      <c r="AI70" s="21">
        <v>0</v>
      </c>
      <c r="AJ70" s="21">
        <v>0</v>
      </c>
      <c r="AK70" s="21">
        <v>0</v>
      </c>
      <c r="AL70" s="21">
        <v>0</v>
      </c>
      <c r="AM70" s="21">
        <v>0</v>
      </c>
      <c r="AN70" s="21">
        <v>0</v>
      </c>
      <c r="AO70" s="21">
        <v>0</v>
      </c>
      <c r="AP70" s="21">
        <v>0</v>
      </c>
      <c r="AQ70" s="21">
        <v>0</v>
      </c>
      <c r="AR70" s="21">
        <v>0</v>
      </c>
      <c r="AS70" s="21">
        <v>0</v>
      </c>
      <c r="AT70" s="21">
        <v>0</v>
      </c>
      <c r="AU70" s="21">
        <v>0</v>
      </c>
      <c r="AV70" s="21">
        <v>0</v>
      </c>
      <c r="AW70" s="21">
        <v>0</v>
      </c>
      <c r="AX70" s="21">
        <v>0</v>
      </c>
      <c r="AY70" s="21">
        <v>0</v>
      </c>
      <c r="AZ70" s="21">
        <v>0</v>
      </c>
      <c r="BA70" s="21">
        <v>0</v>
      </c>
      <c r="BB70" s="21">
        <v>0</v>
      </c>
      <c r="BC70" s="21">
        <v>0</v>
      </c>
      <c r="BD70" s="21">
        <v>0</v>
      </c>
      <c r="BE70" s="21">
        <v>0</v>
      </c>
      <c r="BF70" s="21">
        <v>0</v>
      </c>
      <c r="BG70" s="21">
        <v>0</v>
      </c>
      <c r="BH70" s="21">
        <v>0</v>
      </c>
      <c r="BI70" s="21">
        <v>0</v>
      </c>
      <c r="BJ70" s="21">
        <v>0</v>
      </c>
      <c r="BK70" s="21">
        <v>0</v>
      </c>
      <c r="BL70" s="21">
        <v>0</v>
      </c>
      <c r="BM70" s="21">
        <v>0</v>
      </c>
      <c r="BN70" s="21">
        <v>0</v>
      </c>
      <c r="BO70" s="21">
        <v>0</v>
      </c>
      <c r="BP70" s="21">
        <v>0</v>
      </c>
      <c r="BQ70" s="21">
        <v>0</v>
      </c>
      <c r="BR70" s="21">
        <v>0</v>
      </c>
      <c r="BS70" s="21">
        <v>0</v>
      </c>
      <c r="BT70" s="21">
        <v>0</v>
      </c>
      <c r="BU70" s="21">
        <v>0</v>
      </c>
      <c r="BV70" s="21">
        <v>0</v>
      </c>
      <c r="BW70" s="21">
        <v>0</v>
      </c>
      <c r="BX70" s="21">
        <v>0</v>
      </c>
      <c r="BY70" s="21">
        <v>0</v>
      </c>
      <c r="BZ70" s="21">
        <v>0</v>
      </c>
      <c r="CA70" s="21">
        <v>0</v>
      </c>
      <c r="CB70" s="21">
        <v>0</v>
      </c>
      <c r="CC70" s="21">
        <v>0</v>
      </c>
      <c r="CD70" s="21">
        <v>0</v>
      </c>
      <c r="CE70" s="21">
        <v>0</v>
      </c>
      <c r="CF70" s="21">
        <v>0</v>
      </c>
      <c r="CG70" s="21">
        <v>0</v>
      </c>
      <c r="CH70" s="21">
        <v>0</v>
      </c>
      <c r="CI70" s="21">
        <v>0</v>
      </c>
      <c r="CJ70" s="21">
        <v>0</v>
      </c>
      <c r="CK70" s="21">
        <v>0</v>
      </c>
      <c r="CL70" s="21">
        <v>0</v>
      </c>
      <c r="CM70" s="21">
        <v>0</v>
      </c>
      <c r="CN70" s="21">
        <v>0</v>
      </c>
      <c r="CO70" s="21">
        <v>0</v>
      </c>
      <c r="CP70" s="21">
        <v>0</v>
      </c>
      <c r="CQ70" s="21">
        <v>0</v>
      </c>
      <c r="CR70" s="21">
        <v>0</v>
      </c>
      <c r="CS70" s="21">
        <v>0</v>
      </c>
      <c r="CT70" s="21">
        <v>0</v>
      </c>
      <c r="CU70" s="21">
        <v>0</v>
      </c>
      <c r="CV70" s="21">
        <v>0</v>
      </c>
      <c r="CW70" s="21">
        <v>0</v>
      </c>
      <c r="CX70" s="21">
        <v>0</v>
      </c>
      <c r="CY70" s="21">
        <v>0</v>
      </c>
      <c r="CZ70" s="21">
        <v>0</v>
      </c>
      <c r="DA70" s="21">
        <v>0</v>
      </c>
      <c r="DB70" s="21">
        <v>0</v>
      </c>
      <c r="DC70" s="21">
        <v>0</v>
      </c>
      <c r="DD70" s="21">
        <v>0</v>
      </c>
      <c r="DE70" s="21">
        <v>0</v>
      </c>
      <c r="DF70" s="21">
        <v>0</v>
      </c>
      <c r="DG70" s="21">
        <v>1</v>
      </c>
      <c r="DH70" s="75"/>
      <c r="DI70" s="67"/>
      <c r="DJ70" s="67"/>
      <c r="DK70" s="50"/>
      <c r="DL70" s="67"/>
      <c r="DM70" s="50"/>
    </row>
    <row r="71" spans="1:117" s="52" customFormat="1">
      <c r="A71" s="23" t="s">
        <v>289</v>
      </c>
      <c r="B71" s="19" t="s">
        <v>290</v>
      </c>
      <c r="C71" s="27" t="s">
        <v>248</v>
      </c>
      <c r="D71" s="20">
        <f t="shared" si="1"/>
        <v>20</v>
      </c>
      <c r="E71" s="94">
        <v>20</v>
      </c>
      <c r="F71" s="95"/>
      <c r="G71" s="95"/>
      <c r="H71" s="95"/>
      <c r="I71" s="95"/>
      <c r="J71" s="95"/>
      <c r="K71" s="95"/>
      <c r="L71" s="95"/>
      <c r="M71" s="9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Z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  <c r="AM71" s="95"/>
      <c r="AN71" s="95"/>
      <c r="AO71" s="95"/>
      <c r="AP71" s="95"/>
      <c r="AQ71" s="95"/>
      <c r="AR71" s="95"/>
      <c r="AS71" s="95"/>
      <c r="AT71" s="95"/>
      <c r="AU71" s="95"/>
      <c r="AV71" s="95"/>
      <c r="AW71" s="95"/>
      <c r="AX71" s="95"/>
      <c r="AY71" s="95"/>
      <c r="AZ71" s="95"/>
      <c r="BA71" s="95"/>
      <c r="BB71" s="95"/>
      <c r="BC71" s="95"/>
      <c r="BD71" s="95"/>
      <c r="BE71" s="95"/>
      <c r="BF71" s="95"/>
      <c r="BG71" s="95"/>
      <c r="BH71" s="95"/>
      <c r="BI71" s="95"/>
      <c r="BJ71" s="95"/>
      <c r="BK71" s="95"/>
      <c r="BL71" s="95"/>
      <c r="BM71" s="95"/>
      <c r="BN71" s="95"/>
      <c r="BO71" s="95"/>
      <c r="BP71" s="95"/>
      <c r="BQ71" s="95"/>
      <c r="BR71" s="95"/>
      <c r="BS71" s="95"/>
      <c r="BT71" s="95"/>
      <c r="BU71" s="95"/>
      <c r="BV71" s="95"/>
      <c r="BW71" s="95"/>
      <c r="BX71" s="95"/>
      <c r="BY71" s="95"/>
      <c r="BZ71" s="95"/>
      <c r="CA71" s="95"/>
      <c r="CB71" s="95"/>
      <c r="CC71" s="95"/>
      <c r="CD71" s="95"/>
      <c r="CE71" s="95"/>
      <c r="CF71" s="95"/>
      <c r="CG71" s="95"/>
      <c r="CH71" s="95"/>
      <c r="CI71" s="95"/>
      <c r="CJ71" s="95"/>
      <c r="CK71" s="95"/>
      <c r="CL71" s="95"/>
      <c r="CM71" s="95"/>
      <c r="CN71" s="95"/>
      <c r="CO71" s="95"/>
      <c r="CP71" s="95"/>
      <c r="CQ71" s="95"/>
      <c r="CR71" s="95"/>
      <c r="CS71" s="95"/>
      <c r="CT71" s="95"/>
      <c r="CU71" s="95"/>
      <c r="CV71" s="95"/>
      <c r="CW71" s="95"/>
      <c r="CX71" s="95"/>
      <c r="CY71" s="95"/>
      <c r="CZ71" s="95"/>
      <c r="DA71" s="95"/>
      <c r="DB71" s="95"/>
      <c r="DC71" s="95"/>
      <c r="DD71" s="95"/>
      <c r="DE71" s="95"/>
      <c r="DF71" s="95"/>
      <c r="DG71" s="96"/>
      <c r="DH71" s="75"/>
      <c r="DI71" s="67"/>
      <c r="DJ71" s="67"/>
      <c r="DK71" s="50"/>
      <c r="DL71" s="67"/>
      <c r="DM71" s="50"/>
    </row>
    <row r="72" spans="1:117" s="52" customFormat="1">
      <c r="A72" s="23" t="s">
        <v>289</v>
      </c>
      <c r="B72" s="19" t="s">
        <v>291</v>
      </c>
      <c r="C72" s="27" t="s">
        <v>248</v>
      </c>
      <c r="D72" s="20">
        <f t="shared" si="1"/>
        <v>20</v>
      </c>
      <c r="E72" s="94">
        <v>20</v>
      </c>
      <c r="F72" s="95"/>
      <c r="G72" s="95"/>
      <c r="H72" s="95"/>
      <c r="I72" s="95"/>
      <c r="J72" s="95"/>
      <c r="K72" s="95"/>
      <c r="L72" s="95"/>
      <c r="M72" s="9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Z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  <c r="AM72" s="95"/>
      <c r="AN72" s="95"/>
      <c r="AO72" s="95"/>
      <c r="AP72" s="95"/>
      <c r="AQ72" s="95"/>
      <c r="AR72" s="95"/>
      <c r="AS72" s="95"/>
      <c r="AT72" s="95"/>
      <c r="AU72" s="95"/>
      <c r="AV72" s="95"/>
      <c r="AW72" s="95"/>
      <c r="AX72" s="95"/>
      <c r="AY72" s="95"/>
      <c r="AZ72" s="95"/>
      <c r="BA72" s="95"/>
      <c r="BB72" s="95"/>
      <c r="BC72" s="95"/>
      <c r="BD72" s="95"/>
      <c r="BE72" s="95"/>
      <c r="BF72" s="95"/>
      <c r="BG72" s="95"/>
      <c r="BH72" s="95"/>
      <c r="BI72" s="95"/>
      <c r="BJ72" s="95"/>
      <c r="BK72" s="95"/>
      <c r="BL72" s="95"/>
      <c r="BM72" s="95"/>
      <c r="BN72" s="95"/>
      <c r="BO72" s="95"/>
      <c r="BP72" s="95"/>
      <c r="BQ72" s="95"/>
      <c r="BR72" s="95"/>
      <c r="BS72" s="95"/>
      <c r="BT72" s="95"/>
      <c r="BU72" s="95"/>
      <c r="BV72" s="95"/>
      <c r="BW72" s="95"/>
      <c r="BX72" s="95"/>
      <c r="BY72" s="95"/>
      <c r="BZ72" s="95"/>
      <c r="CA72" s="95"/>
      <c r="CB72" s="95"/>
      <c r="CC72" s="95"/>
      <c r="CD72" s="95"/>
      <c r="CE72" s="95"/>
      <c r="CF72" s="95"/>
      <c r="CG72" s="95"/>
      <c r="CH72" s="95"/>
      <c r="CI72" s="95"/>
      <c r="CJ72" s="95"/>
      <c r="CK72" s="95"/>
      <c r="CL72" s="95"/>
      <c r="CM72" s="95"/>
      <c r="CN72" s="95"/>
      <c r="CO72" s="95"/>
      <c r="CP72" s="95"/>
      <c r="CQ72" s="95"/>
      <c r="CR72" s="95"/>
      <c r="CS72" s="95"/>
      <c r="CT72" s="95"/>
      <c r="CU72" s="95"/>
      <c r="CV72" s="95"/>
      <c r="CW72" s="95"/>
      <c r="CX72" s="95"/>
      <c r="CY72" s="95"/>
      <c r="CZ72" s="95"/>
      <c r="DA72" s="95"/>
      <c r="DB72" s="95"/>
      <c r="DC72" s="95"/>
      <c r="DD72" s="95"/>
      <c r="DE72" s="95"/>
      <c r="DF72" s="95"/>
      <c r="DG72" s="96"/>
      <c r="DH72" s="75"/>
      <c r="DI72" s="67"/>
      <c r="DJ72" s="67"/>
      <c r="DK72" s="50"/>
      <c r="DL72" s="67"/>
      <c r="DM72" s="50"/>
    </row>
    <row r="73" spans="1:117" s="52" customFormat="1">
      <c r="A73" s="26" t="s">
        <v>292</v>
      </c>
      <c r="B73" s="27" t="s">
        <v>293</v>
      </c>
      <c r="C73" s="27" t="s">
        <v>294</v>
      </c>
      <c r="D73" s="20">
        <f t="shared" si="1"/>
        <v>2</v>
      </c>
      <c r="E73" s="21">
        <v>1</v>
      </c>
      <c r="F73" s="21">
        <v>1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1">
        <v>0</v>
      </c>
      <c r="BI73" s="21">
        <v>0</v>
      </c>
      <c r="BJ73" s="21">
        <v>0</v>
      </c>
      <c r="BK73" s="21">
        <v>0</v>
      </c>
      <c r="BL73" s="21">
        <v>0</v>
      </c>
      <c r="BM73" s="21">
        <v>0</v>
      </c>
      <c r="BN73" s="21">
        <v>0</v>
      </c>
      <c r="BO73" s="21">
        <v>0</v>
      </c>
      <c r="BP73" s="21">
        <v>0</v>
      </c>
      <c r="BQ73" s="21">
        <v>0</v>
      </c>
      <c r="BR73" s="21">
        <v>0</v>
      </c>
      <c r="BS73" s="21">
        <v>0</v>
      </c>
      <c r="BT73" s="21">
        <v>0</v>
      </c>
      <c r="BU73" s="21">
        <v>0</v>
      </c>
      <c r="BV73" s="21">
        <v>0</v>
      </c>
      <c r="BW73" s="21">
        <v>0</v>
      </c>
      <c r="BX73" s="21">
        <v>0</v>
      </c>
      <c r="BY73" s="21">
        <v>0</v>
      </c>
      <c r="BZ73" s="21">
        <v>0</v>
      </c>
      <c r="CA73" s="21">
        <v>0</v>
      </c>
      <c r="CB73" s="21">
        <v>0</v>
      </c>
      <c r="CC73" s="21">
        <v>0</v>
      </c>
      <c r="CD73" s="21">
        <v>0</v>
      </c>
      <c r="CE73" s="21">
        <v>0</v>
      </c>
      <c r="CF73" s="21">
        <v>0</v>
      </c>
      <c r="CG73" s="21">
        <v>0</v>
      </c>
      <c r="CH73" s="21">
        <v>0</v>
      </c>
      <c r="CI73" s="21">
        <v>0</v>
      </c>
      <c r="CJ73" s="21">
        <v>0</v>
      </c>
      <c r="CK73" s="21">
        <v>0</v>
      </c>
      <c r="CL73" s="21">
        <v>0</v>
      </c>
      <c r="CM73" s="21">
        <v>0</v>
      </c>
      <c r="CN73" s="21">
        <v>0</v>
      </c>
      <c r="CO73" s="21">
        <v>0</v>
      </c>
      <c r="CP73" s="21">
        <v>0</v>
      </c>
      <c r="CQ73" s="21">
        <v>0</v>
      </c>
      <c r="CR73" s="21">
        <v>0</v>
      </c>
      <c r="CS73" s="21">
        <v>0</v>
      </c>
      <c r="CT73" s="21">
        <v>0</v>
      </c>
      <c r="CU73" s="21">
        <v>0</v>
      </c>
      <c r="CV73" s="21">
        <v>0</v>
      </c>
      <c r="CW73" s="21">
        <v>0</v>
      </c>
      <c r="CX73" s="21">
        <v>0</v>
      </c>
      <c r="CY73" s="21">
        <v>0</v>
      </c>
      <c r="CZ73" s="21">
        <v>0</v>
      </c>
      <c r="DA73" s="21">
        <v>0</v>
      </c>
      <c r="DB73" s="21">
        <v>0</v>
      </c>
      <c r="DC73" s="21">
        <v>0</v>
      </c>
      <c r="DD73" s="21">
        <v>0</v>
      </c>
      <c r="DE73" s="21">
        <v>0</v>
      </c>
      <c r="DF73" s="21">
        <v>0</v>
      </c>
      <c r="DG73" s="21">
        <v>0</v>
      </c>
      <c r="DH73" s="75"/>
      <c r="DI73" s="67"/>
      <c r="DJ73" s="67"/>
      <c r="DK73" s="50"/>
      <c r="DL73" s="67"/>
      <c r="DM73" s="50"/>
    </row>
    <row r="74" spans="1:117">
      <c r="A74" s="26" t="s">
        <v>295</v>
      </c>
      <c r="B74" s="27" t="s">
        <v>296</v>
      </c>
      <c r="C74" s="27" t="s">
        <v>297</v>
      </c>
      <c r="D74" s="20">
        <f t="shared" si="1"/>
        <v>0</v>
      </c>
      <c r="E74" s="21">
        <v>0</v>
      </c>
      <c r="F74" s="21">
        <v>0</v>
      </c>
      <c r="G74" s="21">
        <v>0</v>
      </c>
      <c r="H74" s="21">
        <v>0</v>
      </c>
      <c r="I74" s="21">
        <v>0</v>
      </c>
      <c r="J74" s="21">
        <v>0</v>
      </c>
      <c r="K74" s="21">
        <v>0</v>
      </c>
      <c r="L74" s="21">
        <v>0</v>
      </c>
      <c r="M74" s="21">
        <v>0</v>
      </c>
      <c r="N74" s="21">
        <v>0</v>
      </c>
      <c r="O74" s="21">
        <v>0</v>
      </c>
      <c r="P74" s="21">
        <v>0</v>
      </c>
      <c r="Q74" s="21">
        <v>0</v>
      </c>
      <c r="R74" s="21">
        <v>0</v>
      </c>
      <c r="S74" s="21">
        <v>0</v>
      </c>
      <c r="T74" s="21">
        <v>0</v>
      </c>
      <c r="U74" s="21">
        <v>0</v>
      </c>
      <c r="V74" s="21">
        <v>0</v>
      </c>
      <c r="W74" s="21">
        <v>0</v>
      </c>
      <c r="X74" s="21">
        <v>0</v>
      </c>
      <c r="Y74" s="21">
        <v>0</v>
      </c>
      <c r="Z74" s="21">
        <v>0</v>
      </c>
      <c r="AA74" s="21">
        <v>0</v>
      </c>
      <c r="AB74" s="21">
        <v>0</v>
      </c>
      <c r="AC74" s="21">
        <v>0</v>
      </c>
      <c r="AD74" s="21">
        <v>0</v>
      </c>
      <c r="AE74" s="21">
        <v>0</v>
      </c>
      <c r="AF74" s="21">
        <v>0</v>
      </c>
      <c r="AG74" s="21">
        <v>0</v>
      </c>
      <c r="AH74" s="21">
        <v>0</v>
      </c>
      <c r="AI74" s="21">
        <v>0</v>
      </c>
      <c r="AJ74" s="21">
        <v>0</v>
      </c>
      <c r="AK74" s="21">
        <v>0</v>
      </c>
      <c r="AL74" s="21">
        <v>0</v>
      </c>
      <c r="AM74" s="21">
        <v>0</v>
      </c>
      <c r="AN74" s="21">
        <v>0</v>
      </c>
      <c r="AO74" s="21">
        <v>0</v>
      </c>
      <c r="AP74" s="21">
        <v>0</v>
      </c>
      <c r="AQ74" s="21">
        <v>0</v>
      </c>
      <c r="AR74" s="21">
        <v>0</v>
      </c>
      <c r="AS74" s="21">
        <v>0</v>
      </c>
      <c r="AT74" s="21">
        <v>0</v>
      </c>
      <c r="AU74" s="21">
        <v>0</v>
      </c>
      <c r="AV74" s="21">
        <v>0</v>
      </c>
      <c r="AW74" s="21">
        <v>0</v>
      </c>
      <c r="AX74" s="21">
        <v>0</v>
      </c>
      <c r="AY74" s="21">
        <v>0</v>
      </c>
      <c r="AZ74" s="21">
        <v>0</v>
      </c>
      <c r="BA74" s="21">
        <v>0</v>
      </c>
      <c r="BB74" s="21">
        <v>0</v>
      </c>
      <c r="BC74" s="21">
        <v>0</v>
      </c>
      <c r="BD74" s="21">
        <v>0</v>
      </c>
      <c r="BE74" s="21">
        <v>0</v>
      </c>
      <c r="BF74" s="21">
        <v>0</v>
      </c>
      <c r="BG74" s="21">
        <v>0</v>
      </c>
      <c r="BH74" s="21">
        <v>0</v>
      </c>
      <c r="BI74" s="21">
        <v>0</v>
      </c>
      <c r="BJ74" s="21">
        <v>0</v>
      </c>
      <c r="BK74" s="21">
        <v>0</v>
      </c>
      <c r="BL74" s="21">
        <v>0</v>
      </c>
      <c r="BM74" s="21">
        <v>0</v>
      </c>
      <c r="BN74" s="21">
        <v>0</v>
      </c>
      <c r="BO74" s="21">
        <v>0</v>
      </c>
      <c r="BP74" s="21">
        <v>0</v>
      </c>
      <c r="BQ74" s="21">
        <v>0</v>
      </c>
      <c r="BR74" s="21">
        <v>0</v>
      </c>
      <c r="BS74" s="21">
        <v>0</v>
      </c>
      <c r="BT74" s="21">
        <v>0</v>
      </c>
      <c r="BU74" s="21">
        <v>0</v>
      </c>
      <c r="BV74" s="21">
        <v>0</v>
      </c>
      <c r="BW74" s="21">
        <v>0</v>
      </c>
      <c r="BX74" s="21">
        <v>0</v>
      </c>
      <c r="BY74" s="21">
        <v>0</v>
      </c>
      <c r="BZ74" s="21">
        <v>0</v>
      </c>
      <c r="CA74" s="21">
        <v>0</v>
      </c>
      <c r="CB74" s="21">
        <v>0</v>
      </c>
      <c r="CC74" s="21">
        <v>0</v>
      </c>
      <c r="CD74" s="21">
        <v>0</v>
      </c>
      <c r="CE74" s="21">
        <v>0</v>
      </c>
      <c r="CF74" s="21">
        <v>0</v>
      </c>
      <c r="CG74" s="21">
        <v>0</v>
      </c>
      <c r="CH74" s="21">
        <v>0</v>
      </c>
      <c r="CI74" s="21">
        <v>0</v>
      </c>
      <c r="CJ74" s="21">
        <v>0</v>
      </c>
      <c r="CK74" s="21">
        <v>0</v>
      </c>
      <c r="CL74" s="21">
        <v>0</v>
      </c>
      <c r="CM74" s="21">
        <v>0</v>
      </c>
      <c r="CN74" s="21">
        <v>0</v>
      </c>
      <c r="CO74" s="21">
        <v>0</v>
      </c>
      <c r="CP74" s="21">
        <v>0</v>
      </c>
      <c r="CQ74" s="21">
        <v>0</v>
      </c>
      <c r="CR74" s="21">
        <v>0</v>
      </c>
      <c r="CS74" s="21">
        <v>0</v>
      </c>
      <c r="CT74" s="21">
        <v>0</v>
      </c>
      <c r="CU74" s="21">
        <v>0</v>
      </c>
      <c r="CV74" s="21">
        <v>0</v>
      </c>
      <c r="CW74" s="21">
        <v>0</v>
      </c>
      <c r="CX74" s="21">
        <v>0</v>
      </c>
      <c r="CY74" s="21">
        <v>0</v>
      </c>
      <c r="CZ74" s="21">
        <v>0</v>
      </c>
      <c r="DA74" s="21">
        <v>0</v>
      </c>
      <c r="DB74" s="21">
        <v>0</v>
      </c>
      <c r="DC74" s="21">
        <v>0</v>
      </c>
      <c r="DD74" s="21">
        <v>0</v>
      </c>
      <c r="DE74" s="21">
        <v>0</v>
      </c>
      <c r="DF74" s="21">
        <v>0</v>
      </c>
      <c r="DG74" s="21">
        <v>0</v>
      </c>
      <c r="DH74" s="74"/>
      <c r="DJ74" s="67"/>
      <c r="DL74" s="67"/>
    </row>
    <row r="75" spans="1:117">
      <c r="A75" s="24" t="s">
        <v>298</v>
      </c>
      <c r="B75" s="25"/>
      <c r="C75" s="25"/>
      <c r="D75" s="25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  <c r="BM75" s="28"/>
      <c r="BN75" s="28"/>
      <c r="BO75" s="28"/>
      <c r="BP75" s="28"/>
      <c r="BQ75" s="28"/>
      <c r="BR75" s="28"/>
      <c r="BS75" s="28"/>
      <c r="BT75" s="28"/>
      <c r="BU75" s="28"/>
      <c r="BV75" s="28"/>
      <c r="BW75" s="28"/>
      <c r="BX75" s="28"/>
      <c r="BY75" s="28"/>
      <c r="BZ75" s="28"/>
      <c r="CA75" s="28"/>
      <c r="CB75" s="28"/>
      <c r="CC75" s="28"/>
      <c r="CD75" s="28"/>
      <c r="CE75" s="28"/>
      <c r="CF75" s="28"/>
      <c r="CG75" s="28"/>
      <c r="CH75" s="28"/>
      <c r="CI75" s="28"/>
      <c r="CJ75" s="28"/>
      <c r="CK75" s="28"/>
      <c r="CL75" s="28"/>
      <c r="CM75" s="28"/>
      <c r="CN75" s="28"/>
      <c r="CO75" s="28"/>
      <c r="CP75" s="28"/>
      <c r="CQ75" s="28"/>
      <c r="CR75" s="28"/>
      <c r="CS75" s="28"/>
      <c r="CT75" s="28"/>
      <c r="CU75" s="64"/>
      <c r="CV75" s="64"/>
      <c r="CW75" s="64"/>
      <c r="CX75" s="64"/>
      <c r="CY75" s="64"/>
      <c r="CZ75" s="64"/>
      <c r="DA75" s="64"/>
      <c r="DB75" s="64"/>
      <c r="DC75" s="64"/>
      <c r="DD75" s="64"/>
      <c r="DE75" s="64"/>
      <c r="DF75" s="64"/>
      <c r="DG75" s="64"/>
      <c r="DH75" s="74"/>
      <c r="DJ75" s="67"/>
      <c r="DL75" s="67"/>
    </row>
    <row r="76" spans="1:117">
      <c r="A76" s="23" t="s">
        <v>299</v>
      </c>
      <c r="B76" s="19" t="s">
        <v>300</v>
      </c>
      <c r="C76" s="19" t="s">
        <v>301</v>
      </c>
      <c r="D76" s="20">
        <f t="shared" si="1"/>
        <v>5</v>
      </c>
      <c r="E76" s="22">
        <v>2</v>
      </c>
      <c r="F76" s="22">
        <v>1</v>
      </c>
      <c r="G76" s="22">
        <v>1</v>
      </c>
      <c r="H76" s="22">
        <v>0</v>
      </c>
      <c r="I76" s="22">
        <v>0</v>
      </c>
      <c r="J76" s="22">
        <v>0</v>
      </c>
      <c r="K76" s="22">
        <v>0</v>
      </c>
      <c r="L76" s="22">
        <v>0</v>
      </c>
      <c r="M76" s="22">
        <v>0</v>
      </c>
      <c r="N76" s="22">
        <v>0</v>
      </c>
      <c r="O76" s="22">
        <v>0</v>
      </c>
      <c r="P76" s="22">
        <v>0</v>
      </c>
      <c r="Q76" s="22">
        <v>0</v>
      </c>
      <c r="R76" s="22">
        <v>0</v>
      </c>
      <c r="S76" s="22">
        <v>0</v>
      </c>
      <c r="T76" s="22">
        <v>0</v>
      </c>
      <c r="U76" s="22">
        <v>0</v>
      </c>
      <c r="V76" s="22">
        <v>0</v>
      </c>
      <c r="W76" s="22">
        <v>0</v>
      </c>
      <c r="X76" s="22">
        <v>0</v>
      </c>
      <c r="Y76" s="22">
        <v>0</v>
      </c>
      <c r="Z76" s="22">
        <v>0</v>
      </c>
      <c r="AA76" s="22">
        <v>0</v>
      </c>
      <c r="AB76" s="22">
        <v>0</v>
      </c>
      <c r="AC76" s="22">
        <v>0</v>
      </c>
      <c r="AD76" s="22">
        <v>0</v>
      </c>
      <c r="AE76" s="22">
        <v>0</v>
      </c>
      <c r="AF76" s="22">
        <v>0</v>
      </c>
      <c r="AG76" s="22">
        <v>0</v>
      </c>
      <c r="AH76" s="22">
        <v>0</v>
      </c>
      <c r="AI76" s="22">
        <v>0</v>
      </c>
      <c r="AJ76" s="22">
        <v>0</v>
      </c>
      <c r="AK76" s="22">
        <v>0</v>
      </c>
      <c r="AL76" s="22">
        <v>0</v>
      </c>
      <c r="AM76" s="22">
        <v>0</v>
      </c>
      <c r="AN76" s="22">
        <v>0</v>
      </c>
      <c r="AO76" s="22">
        <v>0</v>
      </c>
      <c r="AP76" s="22">
        <v>0</v>
      </c>
      <c r="AQ76" s="22">
        <v>0</v>
      </c>
      <c r="AR76" s="22">
        <v>0</v>
      </c>
      <c r="AS76" s="22">
        <v>0</v>
      </c>
      <c r="AT76" s="22">
        <v>0</v>
      </c>
      <c r="AU76" s="22">
        <v>0</v>
      </c>
      <c r="AV76" s="22">
        <v>0</v>
      </c>
      <c r="AW76" s="22">
        <v>0</v>
      </c>
      <c r="AX76" s="22">
        <v>0</v>
      </c>
      <c r="AY76" s="22">
        <v>0</v>
      </c>
      <c r="AZ76" s="22">
        <v>0</v>
      </c>
      <c r="BA76" s="22">
        <v>0</v>
      </c>
      <c r="BB76" s="22">
        <v>0</v>
      </c>
      <c r="BC76" s="22">
        <v>0</v>
      </c>
      <c r="BD76" s="22">
        <v>0</v>
      </c>
      <c r="BE76" s="22">
        <v>0</v>
      </c>
      <c r="BF76" s="22">
        <v>0</v>
      </c>
      <c r="BG76" s="22">
        <v>0</v>
      </c>
      <c r="BH76" s="22">
        <v>0</v>
      </c>
      <c r="BI76" s="22">
        <v>0</v>
      </c>
      <c r="BJ76" s="22">
        <v>0</v>
      </c>
      <c r="BK76" s="22">
        <v>0</v>
      </c>
      <c r="BL76" s="22">
        <v>0</v>
      </c>
      <c r="BM76" s="22">
        <v>0</v>
      </c>
      <c r="BN76" s="22">
        <v>0</v>
      </c>
      <c r="BO76" s="22">
        <v>0</v>
      </c>
      <c r="BP76" s="22">
        <v>0</v>
      </c>
      <c r="BQ76" s="22">
        <v>0</v>
      </c>
      <c r="BR76" s="22">
        <v>0</v>
      </c>
      <c r="BS76" s="22">
        <v>0</v>
      </c>
      <c r="BT76" s="22">
        <v>0</v>
      </c>
      <c r="BU76" s="22">
        <v>0</v>
      </c>
      <c r="BV76" s="22">
        <v>0</v>
      </c>
      <c r="BW76" s="22">
        <v>0</v>
      </c>
      <c r="BX76" s="22">
        <v>0</v>
      </c>
      <c r="BY76" s="22">
        <v>0</v>
      </c>
      <c r="BZ76" s="22">
        <v>0</v>
      </c>
      <c r="CA76" s="22">
        <v>0</v>
      </c>
      <c r="CB76" s="22">
        <v>0</v>
      </c>
      <c r="CC76" s="22">
        <v>0</v>
      </c>
      <c r="CD76" s="22">
        <v>0</v>
      </c>
      <c r="CE76" s="22">
        <v>0</v>
      </c>
      <c r="CF76" s="22">
        <v>0</v>
      </c>
      <c r="CG76" s="22">
        <v>1</v>
      </c>
      <c r="CH76" s="22">
        <v>0</v>
      </c>
      <c r="CI76" s="22">
        <v>0</v>
      </c>
      <c r="CJ76" s="22">
        <v>0</v>
      </c>
      <c r="CK76" s="22">
        <v>0</v>
      </c>
      <c r="CL76" s="22">
        <v>0</v>
      </c>
      <c r="CM76" s="22">
        <v>0</v>
      </c>
      <c r="CN76" s="22">
        <v>0</v>
      </c>
      <c r="CO76" s="22">
        <v>0</v>
      </c>
      <c r="CP76" s="22">
        <v>0</v>
      </c>
      <c r="CQ76" s="22">
        <v>0</v>
      </c>
      <c r="CR76" s="22">
        <v>0</v>
      </c>
      <c r="CS76" s="22">
        <v>0</v>
      </c>
      <c r="CT76" s="22">
        <v>0</v>
      </c>
      <c r="CU76" s="21">
        <v>0</v>
      </c>
      <c r="CV76" s="21">
        <v>0</v>
      </c>
      <c r="CW76" s="21">
        <v>0</v>
      </c>
      <c r="CX76" s="21">
        <v>0</v>
      </c>
      <c r="CY76" s="21">
        <v>0</v>
      </c>
      <c r="CZ76" s="21">
        <v>0</v>
      </c>
      <c r="DA76" s="21">
        <v>0</v>
      </c>
      <c r="DB76" s="21">
        <v>0</v>
      </c>
      <c r="DC76" s="21">
        <v>0</v>
      </c>
      <c r="DD76" s="21">
        <v>0</v>
      </c>
      <c r="DE76" s="21">
        <v>0</v>
      </c>
      <c r="DF76" s="21">
        <v>0</v>
      </c>
      <c r="DG76" s="21">
        <v>0</v>
      </c>
      <c r="DH76" s="74"/>
      <c r="DJ76" s="67"/>
      <c r="DL76" s="67"/>
    </row>
    <row r="77" spans="1:117" s="52" customFormat="1">
      <c r="A77" s="23" t="s">
        <v>302</v>
      </c>
      <c r="B77" s="19" t="s">
        <v>303</v>
      </c>
      <c r="C77" s="19" t="s">
        <v>304</v>
      </c>
      <c r="D77" s="20">
        <f t="shared" si="1"/>
        <v>0</v>
      </c>
      <c r="E77" s="21">
        <v>0</v>
      </c>
      <c r="F77" s="21">
        <v>0</v>
      </c>
      <c r="G77" s="21">
        <v>0</v>
      </c>
      <c r="H77" s="21">
        <v>0</v>
      </c>
      <c r="I77" s="21">
        <v>0</v>
      </c>
      <c r="J77" s="21">
        <v>0</v>
      </c>
      <c r="K77" s="21">
        <v>0</v>
      </c>
      <c r="L77" s="21">
        <v>0</v>
      </c>
      <c r="M77" s="21">
        <v>0</v>
      </c>
      <c r="N77" s="21">
        <v>0</v>
      </c>
      <c r="O77" s="21">
        <v>0</v>
      </c>
      <c r="P77" s="21">
        <v>0</v>
      </c>
      <c r="Q77" s="21">
        <v>0</v>
      </c>
      <c r="R77" s="21">
        <v>0</v>
      </c>
      <c r="S77" s="21">
        <v>0</v>
      </c>
      <c r="T77" s="21">
        <v>0</v>
      </c>
      <c r="U77" s="21">
        <v>0</v>
      </c>
      <c r="V77" s="21">
        <v>0</v>
      </c>
      <c r="W77" s="21">
        <v>0</v>
      </c>
      <c r="X77" s="21">
        <v>0</v>
      </c>
      <c r="Y77" s="21">
        <v>0</v>
      </c>
      <c r="Z77" s="21">
        <v>0</v>
      </c>
      <c r="AA77" s="21">
        <v>0</v>
      </c>
      <c r="AB77" s="21">
        <v>0</v>
      </c>
      <c r="AC77" s="21">
        <v>0</v>
      </c>
      <c r="AD77" s="21">
        <v>0</v>
      </c>
      <c r="AE77" s="21">
        <v>0</v>
      </c>
      <c r="AF77" s="21">
        <v>0</v>
      </c>
      <c r="AG77" s="21">
        <v>0</v>
      </c>
      <c r="AH77" s="21">
        <v>0</v>
      </c>
      <c r="AI77" s="21">
        <v>0</v>
      </c>
      <c r="AJ77" s="21">
        <v>0</v>
      </c>
      <c r="AK77" s="21">
        <v>0</v>
      </c>
      <c r="AL77" s="21">
        <v>0</v>
      </c>
      <c r="AM77" s="21">
        <v>0</v>
      </c>
      <c r="AN77" s="21">
        <v>0</v>
      </c>
      <c r="AO77" s="21">
        <v>0</v>
      </c>
      <c r="AP77" s="21">
        <v>0</v>
      </c>
      <c r="AQ77" s="21">
        <v>0</v>
      </c>
      <c r="AR77" s="21">
        <v>0</v>
      </c>
      <c r="AS77" s="21">
        <v>0</v>
      </c>
      <c r="AT77" s="21">
        <v>0</v>
      </c>
      <c r="AU77" s="21">
        <v>0</v>
      </c>
      <c r="AV77" s="21">
        <v>0</v>
      </c>
      <c r="AW77" s="21">
        <v>0</v>
      </c>
      <c r="AX77" s="21">
        <v>0</v>
      </c>
      <c r="AY77" s="21">
        <v>0</v>
      </c>
      <c r="AZ77" s="21">
        <v>0</v>
      </c>
      <c r="BA77" s="21">
        <v>0</v>
      </c>
      <c r="BB77" s="21">
        <v>0</v>
      </c>
      <c r="BC77" s="21">
        <v>0</v>
      </c>
      <c r="BD77" s="21">
        <v>0</v>
      </c>
      <c r="BE77" s="21">
        <v>0</v>
      </c>
      <c r="BF77" s="21">
        <v>0</v>
      </c>
      <c r="BG77" s="21">
        <v>0</v>
      </c>
      <c r="BH77" s="21">
        <v>0</v>
      </c>
      <c r="BI77" s="21">
        <v>0</v>
      </c>
      <c r="BJ77" s="21">
        <v>0</v>
      </c>
      <c r="BK77" s="21">
        <v>0</v>
      </c>
      <c r="BL77" s="21">
        <v>0</v>
      </c>
      <c r="BM77" s="21">
        <v>0</v>
      </c>
      <c r="BN77" s="21">
        <v>0</v>
      </c>
      <c r="BO77" s="21">
        <v>0</v>
      </c>
      <c r="BP77" s="21">
        <v>0</v>
      </c>
      <c r="BQ77" s="21">
        <v>0</v>
      </c>
      <c r="BR77" s="21">
        <v>0</v>
      </c>
      <c r="BS77" s="21">
        <v>0</v>
      </c>
      <c r="BT77" s="21">
        <v>0</v>
      </c>
      <c r="BU77" s="21">
        <v>0</v>
      </c>
      <c r="BV77" s="21">
        <v>0</v>
      </c>
      <c r="BW77" s="21">
        <v>0</v>
      </c>
      <c r="BX77" s="21">
        <v>0</v>
      </c>
      <c r="BY77" s="21">
        <v>0</v>
      </c>
      <c r="BZ77" s="21">
        <v>0</v>
      </c>
      <c r="CA77" s="21">
        <v>0</v>
      </c>
      <c r="CB77" s="21">
        <v>0</v>
      </c>
      <c r="CC77" s="21">
        <v>0</v>
      </c>
      <c r="CD77" s="21">
        <v>0</v>
      </c>
      <c r="CE77" s="21">
        <v>0</v>
      </c>
      <c r="CF77" s="21">
        <v>0</v>
      </c>
      <c r="CG77" s="21">
        <v>0</v>
      </c>
      <c r="CH77" s="21">
        <v>0</v>
      </c>
      <c r="CI77" s="21">
        <v>0</v>
      </c>
      <c r="CJ77" s="21">
        <v>0</v>
      </c>
      <c r="CK77" s="21">
        <v>0</v>
      </c>
      <c r="CL77" s="21">
        <v>0</v>
      </c>
      <c r="CM77" s="21">
        <v>0</v>
      </c>
      <c r="CN77" s="21">
        <v>0</v>
      </c>
      <c r="CO77" s="21">
        <v>0</v>
      </c>
      <c r="CP77" s="21">
        <v>0</v>
      </c>
      <c r="CQ77" s="21">
        <v>0</v>
      </c>
      <c r="CR77" s="21">
        <v>0</v>
      </c>
      <c r="CS77" s="21">
        <v>0</v>
      </c>
      <c r="CT77" s="21">
        <v>0</v>
      </c>
      <c r="CU77" s="21">
        <v>0</v>
      </c>
      <c r="CV77" s="21">
        <v>0</v>
      </c>
      <c r="CW77" s="21">
        <v>0</v>
      </c>
      <c r="CX77" s="21">
        <v>0</v>
      </c>
      <c r="CY77" s="21">
        <v>0</v>
      </c>
      <c r="CZ77" s="21">
        <v>0</v>
      </c>
      <c r="DA77" s="21">
        <v>0</v>
      </c>
      <c r="DB77" s="21">
        <v>0</v>
      </c>
      <c r="DC77" s="21">
        <v>0</v>
      </c>
      <c r="DD77" s="21">
        <v>0</v>
      </c>
      <c r="DE77" s="21">
        <v>0</v>
      </c>
      <c r="DF77" s="21">
        <v>0</v>
      </c>
      <c r="DG77" s="21">
        <v>0</v>
      </c>
      <c r="DH77" s="75"/>
      <c r="DI77" s="67"/>
      <c r="DJ77" s="67"/>
      <c r="DK77" s="50"/>
      <c r="DL77" s="67"/>
      <c r="DM77" s="50"/>
    </row>
    <row r="78" spans="1:117">
      <c r="A78" s="23" t="s">
        <v>305</v>
      </c>
      <c r="B78" s="19" t="s">
        <v>306</v>
      </c>
      <c r="C78" s="19" t="s">
        <v>307</v>
      </c>
      <c r="D78" s="20">
        <f t="shared" si="1"/>
        <v>23</v>
      </c>
      <c r="E78" s="22">
        <v>6</v>
      </c>
      <c r="F78" s="22">
        <v>2</v>
      </c>
      <c r="G78" s="22">
        <v>6</v>
      </c>
      <c r="H78" s="22">
        <v>1</v>
      </c>
      <c r="I78" s="22">
        <v>1</v>
      </c>
      <c r="J78" s="22">
        <v>0</v>
      </c>
      <c r="K78" s="22">
        <v>0</v>
      </c>
      <c r="L78" s="22">
        <v>0</v>
      </c>
      <c r="M78" s="22">
        <v>0</v>
      </c>
      <c r="N78" s="22">
        <v>1</v>
      </c>
      <c r="O78" s="22">
        <v>0</v>
      </c>
      <c r="P78" s="22">
        <v>0</v>
      </c>
      <c r="Q78" s="22">
        <v>0</v>
      </c>
      <c r="R78" s="22">
        <v>0</v>
      </c>
      <c r="S78" s="22">
        <v>0</v>
      </c>
      <c r="T78" s="22">
        <v>0</v>
      </c>
      <c r="U78" s="22">
        <v>1</v>
      </c>
      <c r="V78" s="22">
        <v>0</v>
      </c>
      <c r="W78" s="22">
        <v>0</v>
      </c>
      <c r="X78" s="22">
        <v>0</v>
      </c>
      <c r="Y78" s="22">
        <v>0</v>
      </c>
      <c r="Z78" s="22">
        <v>0</v>
      </c>
      <c r="AA78" s="22">
        <v>0</v>
      </c>
      <c r="AB78" s="22">
        <v>0</v>
      </c>
      <c r="AC78" s="22">
        <v>0</v>
      </c>
      <c r="AD78" s="22">
        <v>0</v>
      </c>
      <c r="AE78" s="22">
        <v>0</v>
      </c>
      <c r="AF78" s="22">
        <v>0</v>
      </c>
      <c r="AG78" s="22">
        <v>0</v>
      </c>
      <c r="AH78" s="22">
        <v>0</v>
      </c>
      <c r="AI78" s="22">
        <v>0</v>
      </c>
      <c r="AJ78" s="22">
        <v>0</v>
      </c>
      <c r="AK78" s="22">
        <v>0</v>
      </c>
      <c r="AL78" s="22">
        <v>0</v>
      </c>
      <c r="AM78" s="22">
        <v>0</v>
      </c>
      <c r="AN78" s="22">
        <v>0</v>
      </c>
      <c r="AO78" s="22">
        <v>0</v>
      </c>
      <c r="AP78" s="22">
        <v>0</v>
      </c>
      <c r="AQ78" s="22">
        <v>0</v>
      </c>
      <c r="AR78" s="22">
        <v>0</v>
      </c>
      <c r="AS78" s="22">
        <v>0</v>
      </c>
      <c r="AT78" s="22">
        <v>0</v>
      </c>
      <c r="AU78" s="22">
        <v>0</v>
      </c>
      <c r="AV78" s="22">
        <v>0</v>
      </c>
      <c r="AW78" s="22">
        <v>0</v>
      </c>
      <c r="AX78" s="22">
        <v>0</v>
      </c>
      <c r="AY78" s="22">
        <v>0</v>
      </c>
      <c r="AZ78" s="22">
        <v>0</v>
      </c>
      <c r="BA78" s="22">
        <v>0</v>
      </c>
      <c r="BB78" s="22">
        <v>1</v>
      </c>
      <c r="BC78" s="22">
        <v>1</v>
      </c>
      <c r="BD78" s="22">
        <v>1</v>
      </c>
      <c r="BE78" s="22">
        <v>0</v>
      </c>
      <c r="BF78" s="22">
        <v>0</v>
      </c>
      <c r="BG78" s="22">
        <v>0</v>
      </c>
      <c r="BH78" s="22">
        <v>0</v>
      </c>
      <c r="BI78" s="22">
        <v>0</v>
      </c>
      <c r="BJ78" s="22">
        <v>0</v>
      </c>
      <c r="BK78" s="22">
        <v>0</v>
      </c>
      <c r="BL78" s="22">
        <v>0</v>
      </c>
      <c r="BM78" s="22">
        <v>0</v>
      </c>
      <c r="BN78" s="22">
        <v>0</v>
      </c>
      <c r="BO78" s="22">
        <v>0</v>
      </c>
      <c r="BP78" s="22">
        <v>0</v>
      </c>
      <c r="BQ78" s="22">
        <v>0</v>
      </c>
      <c r="BR78" s="22">
        <v>0</v>
      </c>
      <c r="BS78" s="22">
        <v>0</v>
      </c>
      <c r="BT78" s="22">
        <v>0</v>
      </c>
      <c r="BU78" s="22">
        <v>0</v>
      </c>
      <c r="BV78" s="22">
        <v>0</v>
      </c>
      <c r="BW78" s="22">
        <v>0</v>
      </c>
      <c r="BX78" s="22">
        <v>0</v>
      </c>
      <c r="BY78" s="22">
        <v>0</v>
      </c>
      <c r="BZ78" s="22">
        <v>0</v>
      </c>
      <c r="CA78" s="22">
        <v>0</v>
      </c>
      <c r="CB78" s="22">
        <v>0</v>
      </c>
      <c r="CC78" s="22">
        <v>0</v>
      </c>
      <c r="CD78" s="22">
        <v>0</v>
      </c>
      <c r="CE78" s="22">
        <v>0</v>
      </c>
      <c r="CF78" s="22">
        <v>0</v>
      </c>
      <c r="CG78" s="22">
        <v>0</v>
      </c>
      <c r="CH78" s="22">
        <v>0</v>
      </c>
      <c r="CI78" s="22">
        <v>0</v>
      </c>
      <c r="CJ78" s="22">
        <v>0</v>
      </c>
      <c r="CK78" s="22">
        <v>0</v>
      </c>
      <c r="CL78" s="22">
        <v>1</v>
      </c>
      <c r="CM78" s="22">
        <v>0</v>
      </c>
      <c r="CN78" s="22">
        <v>0</v>
      </c>
      <c r="CO78" s="22">
        <v>0</v>
      </c>
      <c r="CP78" s="22">
        <v>0</v>
      </c>
      <c r="CQ78" s="22">
        <v>0</v>
      </c>
      <c r="CR78" s="22">
        <v>0</v>
      </c>
      <c r="CS78" s="22">
        <v>0</v>
      </c>
      <c r="CT78" s="22">
        <v>1</v>
      </c>
      <c r="CU78" s="21">
        <v>0</v>
      </c>
      <c r="CV78" s="21">
        <v>0</v>
      </c>
      <c r="CW78" s="21">
        <v>0</v>
      </c>
      <c r="CX78" s="21">
        <v>0</v>
      </c>
      <c r="CY78" s="21">
        <v>0</v>
      </c>
      <c r="CZ78" s="21">
        <v>0</v>
      </c>
      <c r="DA78" s="21">
        <v>0</v>
      </c>
      <c r="DB78" s="21">
        <v>0</v>
      </c>
      <c r="DC78" s="21">
        <v>0</v>
      </c>
      <c r="DD78" s="21">
        <v>0</v>
      </c>
      <c r="DE78" s="21">
        <v>0</v>
      </c>
      <c r="DF78" s="21">
        <v>0</v>
      </c>
      <c r="DG78" s="21">
        <v>0</v>
      </c>
      <c r="DH78" s="74"/>
      <c r="DJ78" s="67"/>
      <c r="DL78" s="67"/>
    </row>
    <row r="79" spans="1:117">
      <c r="A79" s="23" t="s">
        <v>305</v>
      </c>
      <c r="B79" s="19" t="s">
        <v>308</v>
      </c>
      <c r="C79" s="19" t="s">
        <v>309</v>
      </c>
      <c r="D79" s="20">
        <f t="shared" si="1"/>
        <v>1</v>
      </c>
      <c r="E79" s="21">
        <v>1</v>
      </c>
      <c r="F79" s="21">
        <v>0</v>
      </c>
      <c r="G79" s="21">
        <v>0</v>
      </c>
      <c r="H79" s="21">
        <v>0</v>
      </c>
      <c r="I79" s="21">
        <v>0</v>
      </c>
      <c r="J79" s="21">
        <v>0</v>
      </c>
      <c r="K79" s="21">
        <v>0</v>
      </c>
      <c r="L79" s="21">
        <v>0</v>
      </c>
      <c r="M79" s="21">
        <v>0</v>
      </c>
      <c r="N79" s="21">
        <v>0</v>
      </c>
      <c r="O79" s="21">
        <v>0</v>
      </c>
      <c r="P79" s="21">
        <v>0</v>
      </c>
      <c r="Q79" s="21">
        <v>0</v>
      </c>
      <c r="R79" s="21">
        <v>0</v>
      </c>
      <c r="S79" s="21">
        <v>0</v>
      </c>
      <c r="T79" s="21">
        <v>0</v>
      </c>
      <c r="U79" s="21">
        <v>0</v>
      </c>
      <c r="V79" s="21">
        <v>0</v>
      </c>
      <c r="W79" s="21">
        <v>0</v>
      </c>
      <c r="X79" s="21">
        <v>0</v>
      </c>
      <c r="Y79" s="21">
        <v>0</v>
      </c>
      <c r="Z79" s="21">
        <v>0</v>
      </c>
      <c r="AA79" s="21">
        <v>0</v>
      </c>
      <c r="AB79" s="21">
        <v>0</v>
      </c>
      <c r="AC79" s="21">
        <v>0</v>
      </c>
      <c r="AD79" s="21">
        <v>0</v>
      </c>
      <c r="AE79" s="21">
        <v>0</v>
      </c>
      <c r="AF79" s="21">
        <v>0</v>
      </c>
      <c r="AG79" s="21">
        <v>0</v>
      </c>
      <c r="AH79" s="21">
        <v>0</v>
      </c>
      <c r="AI79" s="21">
        <v>0</v>
      </c>
      <c r="AJ79" s="21">
        <v>0</v>
      </c>
      <c r="AK79" s="21">
        <v>0</v>
      </c>
      <c r="AL79" s="21">
        <v>0</v>
      </c>
      <c r="AM79" s="21">
        <v>0</v>
      </c>
      <c r="AN79" s="21">
        <v>0</v>
      </c>
      <c r="AO79" s="21">
        <v>0</v>
      </c>
      <c r="AP79" s="21">
        <v>0</v>
      </c>
      <c r="AQ79" s="21">
        <v>0</v>
      </c>
      <c r="AR79" s="21">
        <v>0</v>
      </c>
      <c r="AS79" s="21">
        <v>0</v>
      </c>
      <c r="AT79" s="21">
        <v>0</v>
      </c>
      <c r="AU79" s="21">
        <v>0</v>
      </c>
      <c r="AV79" s="21">
        <v>0</v>
      </c>
      <c r="AW79" s="21">
        <v>0</v>
      </c>
      <c r="AX79" s="21">
        <v>0</v>
      </c>
      <c r="AY79" s="21">
        <v>0</v>
      </c>
      <c r="AZ79" s="21">
        <v>0</v>
      </c>
      <c r="BA79" s="21">
        <v>0</v>
      </c>
      <c r="BB79" s="21">
        <v>0</v>
      </c>
      <c r="BC79" s="21">
        <v>0</v>
      </c>
      <c r="BD79" s="21">
        <v>0</v>
      </c>
      <c r="BE79" s="21">
        <v>0</v>
      </c>
      <c r="BF79" s="21">
        <v>0</v>
      </c>
      <c r="BG79" s="21">
        <v>0</v>
      </c>
      <c r="BH79" s="21">
        <v>0</v>
      </c>
      <c r="BI79" s="21">
        <v>0</v>
      </c>
      <c r="BJ79" s="21">
        <v>0</v>
      </c>
      <c r="BK79" s="21">
        <v>0</v>
      </c>
      <c r="BL79" s="21">
        <v>0</v>
      </c>
      <c r="BM79" s="21">
        <v>0</v>
      </c>
      <c r="BN79" s="21">
        <v>0</v>
      </c>
      <c r="BO79" s="21">
        <v>0</v>
      </c>
      <c r="BP79" s="21">
        <v>0</v>
      </c>
      <c r="BQ79" s="21">
        <v>0</v>
      </c>
      <c r="BR79" s="21">
        <v>0</v>
      </c>
      <c r="BS79" s="21">
        <v>0</v>
      </c>
      <c r="BT79" s="21">
        <v>0</v>
      </c>
      <c r="BU79" s="21">
        <v>0</v>
      </c>
      <c r="BV79" s="21">
        <v>0</v>
      </c>
      <c r="BW79" s="21">
        <v>0</v>
      </c>
      <c r="BX79" s="21">
        <v>0</v>
      </c>
      <c r="BY79" s="21">
        <v>0</v>
      </c>
      <c r="BZ79" s="21">
        <v>0</v>
      </c>
      <c r="CA79" s="21">
        <v>0</v>
      </c>
      <c r="CB79" s="21">
        <v>0</v>
      </c>
      <c r="CC79" s="21">
        <v>0</v>
      </c>
      <c r="CD79" s="21">
        <v>0</v>
      </c>
      <c r="CE79" s="21">
        <v>0</v>
      </c>
      <c r="CF79" s="21">
        <v>0</v>
      </c>
      <c r="CG79" s="21">
        <v>0</v>
      </c>
      <c r="CH79" s="21">
        <v>0</v>
      </c>
      <c r="CI79" s="21">
        <v>0</v>
      </c>
      <c r="CJ79" s="21">
        <v>0</v>
      </c>
      <c r="CK79" s="21">
        <v>0</v>
      </c>
      <c r="CL79" s="21">
        <v>0</v>
      </c>
      <c r="CM79" s="21">
        <v>0</v>
      </c>
      <c r="CN79" s="21">
        <v>0</v>
      </c>
      <c r="CO79" s="21">
        <v>0</v>
      </c>
      <c r="CP79" s="21">
        <v>0</v>
      </c>
      <c r="CQ79" s="21">
        <v>0</v>
      </c>
      <c r="CR79" s="21">
        <v>0</v>
      </c>
      <c r="CS79" s="21">
        <v>0</v>
      </c>
      <c r="CT79" s="21">
        <v>0</v>
      </c>
      <c r="CU79" s="21">
        <v>0</v>
      </c>
      <c r="CV79" s="21">
        <v>0</v>
      </c>
      <c r="CW79" s="21">
        <v>0</v>
      </c>
      <c r="CX79" s="21">
        <v>0</v>
      </c>
      <c r="CY79" s="21">
        <v>0</v>
      </c>
      <c r="CZ79" s="21">
        <v>0</v>
      </c>
      <c r="DA79" s="21">
        <v>0</v>
      </c>
      <c r="DB79" s="21">
        <v>0</v>
      </c>
      <c r="DC79" s="21">
        <v>0</v>
      </c>
      <c r="DD79" s="21">
        <v>0</v>
      </c>
      <c r="DE79" s="21">
        <v>0</v>
      </c>
      <c r="DF79" s="21">
        <v>0</v>
      </c>
      <c r="DG79" s="21">
        <v>0</v>
      </c>
      <c r="DH79" s="74"/>
      <c r="DJ79" s="67"/>
      <c r="DL79" s="67"/>
    </row>
    <row r="80" spans="1:117">
      <c r="A80" s="23" t="s">
        <v>310</v>
      </c>
      <c r="B80" s="19" t="s">
        <v>311</v>
      </c>
      <c r="C80" s="19" t="s">
        <v>312</v>
      </c>
      <c r="D80" s="20">
        <f t="shared" si="1"/>
        <v>1</v>
      </c>
      <c r="E80" s="21">
        <v>1</v>
      </c>
      <c r="F80" s="21">
        <v>0</v>
      </c>
      <c r="G80" s="21">
        <v>0</v>
      </c>
      <c r="H80" s="21">
        <v>0</v>
      </c>
      <c r="I80" s="21">
        <v>0</v>
      </c>
      <c r="J80" s="21">
        <v>0</v>
      </c>
      <c r="K80" s="21">
        <v>0</v>
      </c>
      <c r="L80" s="21">
        <v>0</v>
      </c>
      <c r="M80" s="21">
        <v>0</v>
      </c>
      <c r="N80" s="21">
        <v>0</v>
      </c>
      <c r="O80" s="21">
        <v>0</v>
      </c>
      <c r="P80" s="21">
        <v>0</v>
      </c>
      <c r="Q80" s="21">
        <v>0</v>
      </c>
      <c r="R80" s="21">
        <v>0</v>
      </c>
      <c r="S80" s="21">
        <v>0</v>
      </c>
      <c r="T80" s="21">
        <v>0</v>
      </c>
      <c r="U80" s="21">
        <v>0</v>
      </c>
      <c r="V80" s="21">
        <v>0</v>
      </c>
      <c r="W80" s="21">
        <v>0</v>
      </c>
      <c r="X80" s="21">
        <v>0</v>
      </c>
      <c r="Y80" s="21">
        <v>0</v>
      </c>
      <c r="Z80" s="21">
        <v>0</v>
      </c>
      <c r="AA80" s="21">
        <v>0</v>
      </c>
      <c r="AB80" s="21">
        <v>0</v>
      </c>
      <c r="AC80" s="21">
        <v>0</v>
      </c>
      <c r="AD80" s="21">
        <v>0</v>
      </c>
      <c r="AE80" s="21">
        <v>0</v>
      </c>
      <c r="AF80" s="21">
        <v>0</v>
      </c>
      <c r="AG80" s="21">
        <v>0</v>
      </c>
      <c r="AH80" s="21">
        <v>0</v>
      </c>
      <c r="AI80" s="21">
        <v>0</v>
      </c>
      <c r="AJ80" s="21">
        <v>0</v>
      </c>
      <c r="AK80" s="21">
        <v>0</v>
      </c>
      <c r="AL80" s="21">
        <v>0</v>
      </c>
      <c r="AM80" s="21">
        <v>0</v>
      </c>
      <c r="AN80" s="21">
        <v>0</v>
      </c>
      <c r="AO80" s="21">
        <v>0</v>
      </c>
      <c r="AP80" s="21">
        <v>0</v>
      </c>
      <c r="AQ80" s="21">
        <v>0</v>
      </c>
      <c r="AR80" s="21">
        <v>0</v>
      </c>
      <c r="AS80" s="21">
        <v>0</v>
      </c>
      <c r="AT80" s="21">
        <v>0</v>
      </c>
      <c r="AU80" s="21">
        <v>0</v>
      </c>
      <c r="AV80" s="21">
        <v>0</v>
      </c>
      <c r="AW80" s="21">
        <v>0</v>
      </c>
      <c r="AX80" s="21">
        <v>0</v>
      </c>
      <c r="AY80" s="21">
        <v>0</v>
      </c>
      <c r="AZ80" s="21">
        <v>0</v>
      </c>
      <c r="BA80" s="21">
        <v>0</v>
      </c>
      <c r="BB80" s="21">
        <v>0</v>
      </c>
      <c r="BC80" s="21">
        <v>0</v>
      </c>
      <c r="BD80" s="21">
        <v>0</v>
      </c>
      <c r="BE80" s="21">
        <v>0</v>
      </c>
      <c r="BF80" s="21">
        <v>0</v>
      </c>
      <c r="BG80" s="21">
        <v>0</v>
      </c>
      <c r="BH80" s="21">
        <v>0</v>
      </c>
      <c r="BI80" s="21">
        <v>0</v>
      </c>
      <c r="BJ80" s="21">
        <v>0</v>
      </c>
      <c r="BK80" s="21">
        <v>0</v>
      </c>
      <c r="BL80" s="21">
        <v>0</v>
      </c>
      <c r="BM80" s="21">
        <v>0</v>
      </c>
      <c r="BN80" s="21">
        <v>0</v>
      </c>
      <c r="BO80" s="21">
        <v>0</v>
      </c>
      <c r="BP80" s="21">
        <v>0</v>
      </c>
      <c r="BQ80" s="21">
        <v>0</v>
      </c>
      <c r="BR80" s="21">
        <v>0</v>
      </c>
      <c r="BS80" s="21">
        <v>0</v>
      </c>
      <c r="BT80" s="21">
        <v>0</v>
      </c>
      <c r="BU80" s="21">
        <v>0</v>
      </c>
      <c r="BV80" s="21">
        <v>0</v>
      </c>
      <c r="BW80" s="21">
        <v>0</v>
      </c>
      <c r="BX80" s="21">
        <v>0</v>
      </c>
      <c r="BY80" s="21">
        <v>0</v>
      </c>
      <c r="BZ80" s="21">
        <v>0</v>
      </c>
      <c r="CA80" s="21">
        <v>0</v>
      </c>
      <c r="CB80" s="21">
        <v>0</v>
      </c>
      <c r="CC80" s="21">
        <v>0</v>
      </c>
      <c r="CD80" s="21">
        <v>0</v>
      </c>
      <c r="CE80" s="21">
        <v>0</v>
      </c>
      <c r="CF80" s="21">
        <v>0</v>
      </c>
      <c r="CG80" s="21">
        <v>0</v>
      </c>
      <c r="CH80" s="21">
        <v>0</v>
      </c>
      <c r="CI80" s="21">
        <v>0</v>
      </c>
      <c r="CJ80" s="21">
        <v>0</v>
      </c>
      <c r="CK80" s="21">
        <v>0</v>
      </c>
      <c r="CL80" s="21">
        <v>0</v>
      </c>
      <c r="CM80" s="21">
        <v>0</v>
      </c>
      <c r="CN80" s="21">
        <v>0</v>
      </c>
      <c r="CO80" s="21">
        <v>0</v>
      </c>
      <c r="CP80" s="21">
        <v>0</v>
      </c>
      <c r="CQ80" s="21">
        <v>0</v>
      </c>
      <c r="CR80" s="21">
        <v>0</v>
      </c>
      <c r="CS80" s="21">
        <v>0</v>
      </c>
      <c r="CT80" s="21">
        <v>0</v>
      </c>
      <c r="CU80" s="21">
        <v>0</v>
      </c>
      <c r="CV80" s="21">
        <v>0</v>
      </c>
      <c r="CW80" s="21">
        <v>0</v>
      </c>
      <c r="CX80" s="21">
        <v>0</v>
      </c>
      <c r="CY80" s="21">
        <v>0</v>
      </c>
      <c r="CZ80" s="21">
        <v>0</v>
      </c>
      <c r="DA80" s="21">
        <v>0</v>
      </c>
      <c r="DB80" s="21">
        <v>0</v>
      </c>
      <c r="DC80" s="21">
        <v>0</v>
      </c>
      <c r="DD80" s="21">
        <v>0</v>
      </c>
      <c r="DE80" s="21">
        <v>0</v>
      </c>
      <c r="DF80" s="21">
        <v>0</v>
      </c>
      <c r="DG80" s="21">
        <v>0</v>
      </c>
      <c r="DH80" s="74"/>
      <c r="DJ80" s="67"/>
      <c r="DL80" s="67"/>
    </row>
    <row r="81" spans="1:117">
      <c r="A81" s="23" t="s">
        <v>313</v>
      </c>
      <c r="B81" s="19" t="s">
        <v>314</v>
      </c>
      <c r="C81" s="19" t="s">
        <v>196</v>
      </c>
      <c r="D81" s="20">
        <f t="shared" si="1"/>
        <v>261598.89999999985</v>
      </c>
      <c r="E81" s="21">
        <v>61745.27</v>
      </c>
      <c r="F81" s="21">
        <v>41993.99</v>
      </c>
      <c r="G81" s="21">
        <v>12810.83</v>
      </c>
      <c r="H81" s="21">
        <v>1946.19</v>
      </c>
      <c r="I81" s="21">
        <v>21286.52</v>
      </c>
      <c r="J81" s="21">
        <v>4754.18</v>
      </c>
      <c r="K81" s="21">
        <v>964.2</v>
      </c>
      <c r="L81" s="21">
        <v>922</v>
      </c>
      <c r="M81" s="21">
        <v>1331.93</v>
      </c>
      <c r="N81" s="21">
        <v>137.57</v>
      </c>
      <c r="O81" s="21">
        <v>145.99</v>
      </c>
      <c r="P81" s="21">
        <v>865.67</v>
      </c>
      <c r="Q81" s="21">
        <v>1568.18</v>
      </c>
      <c r="R81" s="21">
        <v>262.02</v>
      </c>
      <c r="S81" s="21">
        <v>6645.92</v>
      </c>
      <c r="T81" s="21">
        <v>2184.73</v>
      </c>
      <c r="U81" s="21">
        <v>3130.18</v>
      </c>
      <c r="V81" s="21">
        <v>728.58</v>
      </c>
      <c r="W81" s="21">
        <v>2961.79</v>
      </c>
      <c r="X81" s="21">
        <v>493.01</v>
      </c>
      <c r="Y81" s="21">
        <v>268.39999999999998</v>
      </c>
      <c r="Z81" s="21">
        <v>686.77</v>
      </c>
      <c r="AA81" s="21">
        <v>2279.9299999999998</v>
      </c>
      <c r="AB81" s="21">
        <v>105.37</v>
      </c>
      <c r="AC81" s="21">
        <v>1588.26</v>
      </c>
      <c r="AD81" s="21">
        <v>2689.07</v>
      </c>
      <c r="AE81" s="21">
        <v>2474.44</v>
      </c>
      <c r="AF81" s="21">
        <v>77.400000000000006</v>
      </c>
      <c r="AG81" s="21">
        <v>458.61</v>
      </c>
      <c r="AH81" s="21">
        <v>3099.97</v>
      </c>
      <c r="AI81" s="21">
        <v>314.10000000000002</v>
      </c>
      <c r="AJ81" s="21">
        <v>608.04999999999995</v>
      </c>
      <c r="AK81" s="21">
        <v>606.03</v>
      </c>
      <c r="AL81" s="21">
        <v>425.13</v>
      </c>
      <c r="AM81" s="21">
        <v>1051.21</v>
      </c>
      <c r="AN81" s="21">
        <v>816.84</v>
      </c>
      <c r="AO81" s="21">
        <v>172.74</v>
      </c>
      <c r="AP81" s="21">
        <v>93.81</v>
      </c>
      <c r="AQ81" s="21">
        <v>53.36</v>
      </c>
      <c r="AR81" s="21">
        <v>98.49</v>
      </c>
      <c r="AS81" s="21">
        <v>99.02</v>
      </c>
      <c r="AT81" s="21">
        <v>169.27</v>
      </c>
      <c r="AU81" s="21">
        <v>163.82</v>
      </c>
      <c r="AV81" s="21">
        <v>209.84</v>
      </c>
      <c r="AW81" s="21">
        <v>96.84</v>
      </c>
      <c r="AX81" s="21">
        <v>2322.71</v>
      </c>
      <c r="AY81" s="21">
        <v>2962.92</v>
      </c>
      <c r="AZ81" s="21">
        <v>173.36</v>
      </c>
      <c r="BA81" s="21">
        <v>131.68</v>
      </c>
      <c r="BB81" s="21">
        <v>2485.13</v>
      </c>
      <c r="BC81" s="21">
        <v>1594.3</v>
      </c>
      <c r="BD81" s="21">
        <v>461.14</v>
      </c>
      <c r="BE81" s="21">
        <v>1885.64</v>
      </c>
      <c r="BF81" s="21">
        <v>1217.1099999999999</v>
      </c>
      <c r="BG81" s="21">
        <v>121.98</v>
      </c>
      <c r="BH81" s="21">
        <v>156.68</v>
      </c>
      <c r="BI81" s="21">
        <v>112.89</v>
      </c>
      <c r="BJ81" s="21">
        <v>536.12</v>
      </c>
      <c r="BK81" s="21">
        <v>912.63</v>
      </c>
      <c r="BL81" s="21">
        <v>945.37</v>
      </c>
      <c r="BM81" s="21">
        <v>104.7</v>
      </c>
      <c r="BN81" s="21">
        <v>674.54</v>
      </c>
      <c r="BO81" s="21">
        <v>1037.24</v>
      </c>
      <c r="BP81" s="21">
        <v>120.44</v>
      </c>
      <c r="BQ81" s="21">
        <v>1823.99</v>
      </c>
      <c r="BR81" s="21">
        <v>80.25</v>
      </c>
      <c r="BS81" s="21">
        <v>147.77000000000001</v>
      </c>
      <c r="BT81" s="21">
        <v>1540.68</v>
      </c>
      <c r="BU81" s="21">
        <v>471.52</v>
      </c>
      <c r="BV81" s="21">
        <v>467.37</v>
      </c>
      <c r="BW81" s="21">
        <v>3532.04</v>
      </c>
      <c r="BX81" s="21">
        <v>457.61</v>
      </c>
      <c r="BY81" s="21">
        <v>562.27</v>
      </c>
      <c r="BZ81" s="21">
        <v>72.22</v>
      </c>
      <c r="CA81" s="21">
        <v>216.36</v>
      </c>
      <c r="CB81" s="21">
        <v>413.42</v>
      </c>
      <c r="CC81" s="21">
        <v>82.56</v>
      </c>
      <c r="CD81" s="21">
        <v>682.68</v>
      </c>
      <c r="CE81" s="21">
        <v>453.08</v>
      </c>
      <c r="CF81" s="21">
        <v>3457.93</v>
      </c>
      <c r="CG81" s="21">
        <v>1024.81</v>
      </c>
      <c r="CH81" s="21">
        <v>422.62</v>
      </c>
      <c r="CI81" s="21">
        <v>1148.4100000000001</v>
      </c>
      <c r="CJ81" s="21">
        <v>1303.3800000000001</v>
      </c>
      <c r="CK81" s="21">
        <v>9042.36</v>
      </c>
      <c r="CL81" s="21">
        <v>1492.69</v>
      </c>
      <c r="CM81" s="21">
        <v>2430.94</v>
      </c>
      <c r="CN81" s="21">
        <v>1686.34</v>
      </c>
      <c r="CO81" s="21">
        <v>1150.94</v>
      </c>
      <c r="CP81" s="21">
        <v>1386.26</v>
      </c>
      <c r="CQ81" s="21">
        <v>1385.41</v>
      </c>
      <c r="CR81" s="21">
        <v>1095.3399999999999</v>
      </c>
      <c r="CS81" s="21">
        <v>2239.36</v>
      </c>
      <c r="CT81" s="21">
        <v>3879</v>
      </c>
      <c r="CU81" s="21">
        <v>0</v>
      </c>
      <c r="CV81" s="21">
        <v>2296.94</v>
      </c>
      <c r="CW81" s="21">
        <v>586.67999999999995</v>
      </c>
      <c r="CX81" s="21">
        <v>1439.25</v>
      </c>
      <c r="CY81" s="21">
        <v>4029.35</v>
      </c>
      <c r="CZ81" s="21">
        <v>154.01</v>
      </c>
      <c r="DA81" s="21">
        <v>977.39</v>
      </c>
      <c r="DB81" s="21">
        <v>122.91</v>
      </c>
      <c r="DC81" s="21">
        <v>201.66</v>
      </c>
      <c r="DD81" s="21">
        <v>936.09</v>
      </c>
      <c r="DE81" s="21">
        <v>2638.26</v>
      </c>
      <c r="DF81" s="21">
        <v>524.65</v>
      </c>
      <c r="DG81" s="21">
        <v>0</v>
      </c>
      <c r="DH81" s="74"/>
      <c r="DJ81" s="67"/>
      <c r="DL81" s="67"/>
    </row>
    <row r="82" spans="1:117" s="52" customFormat="1" ht="32.1">
      <c r="A82" s="23" t="s">
        <v>315</v>
      </c>
      <c r="B82" s="19" t="s">
        <v>316</v>
      </c>
      <c r="C82" s="19" t="s">
        <v>317</v>
      </c>
      <c r="D82" s="20">
        <f t="shared" si="1"/>
        <v>14</v>
      </c>
      <c r="E82" s="21">
        <v>3</v>
      </c>
      <c r="F82" s="21">
        <v>2</v>
      </c>
      <c r="G82" s="21">
        <v>2</v>
      </c>
      <c r="H82" s="21">
        <v>1</v>
      </c>
      <c r="I82" s="21">
        <v>4</v>
      </c>
      <c r="J82" s="21">
        <v>2</v>
      </c>
      <c r="K82" s="21">
        <v>0</v>
      </c>
      <c r="L82" s="21">
        <v>0</v>
      </c>
      <c r="M82" s="21">
        <v>0</v>
      </c>
      <c r="N82" s="21">
        <v>0</v>
      </c>
      <c r="O82" s="21">
        <v>0</v>
      </c>
      <c r="P82" s="21">
        <v>0</v>
      </c>
      <c r="Q82" s="21">
        <v>0</v>
      </c>
      <c r="R82" s="21">
        <v>0</v>
      </c>
      <c r="S82" s="21">
        <v>0</v>
      </c>
      <c r="T82" s="21">
        <v>0</v>
      </c>
      <c r="U82" s="21">
        <v>0</v>
      </c>
      <c r="V82" s="21">
        <v>0</v>
      </c>
      <c r="W82" s="21">
        <v>0</v>
      </c>
      <c r="X82" s="21">
        <v>0</v>
      </c>
      <c r="Y82" s="21">
        <v>0</v>
      </c>
      <c r="Z82" s="21">
        <v>0</v>
      </c>
      <c r="AA82" s="21">
        <v>0</v>
      </c>
      <c r="AB82" s="21">
        <v>0</v>
      </c>
      <c r="AC82" s="21">
        <v>0</v>
      </c>
      <c r="AD82" s="21">
        <v>0</v>
      </c>
      <c r="AE82" s="21">
        <v>0</v>
      </c>
      <c r="AF82" s="21">
        <v>0</v>
      </c>
      <c r="AG82" s="21">
        <v>0</v>
      </c>
      <c r="AH82" s="21">
        <v>0</v>
      </c>
      <c r="AI82" s="21">
        <v>0</v>
      </c>
      <c r="AJ82" s="21">
        <v>0</v>
      </c>
      <c r="AK82" s="21">
        <v>0</v>
      </c>
      <c r="AL82" s="21">
        <v>0</v>
      </c>
      <c r="AM82" s="21">
        <v>0</v>
      </c>
      <c r="AN82" s="21">
        <v>0</v>
      </c>
      <c r="AO82" s="21">
        <v>0</v>
      </c>
      <c r="AP82" s="21">
        <v>0</v>
      </c>
      <c r="AQ82" s="21">
        <v>0</v>
      </c>
      <c r="AR82" s="21">
        <v>0</v>
      </c>
      <c r="AS82" s="21">
        <v>0</v>
      </c>
      <c r="AT82" s="21">
        <v>0</v>
      </c>
      <c r="AU82" s="21">
        <v>0</v>
      </c>
      <c r="AV82" s="21">
        <v>0</v>
      </c>
      <c r="AW82" s="21">
        <v>0</v>
      </c>
      <c r="AX82" s="21">
        <v>0</v>
      </c>
      <c r="AY82" s="21">
        <v>0</v>
      </c>
      <c r="AZ82" s="21">
        <v>0</v>
      </c>
      <c r="BA82" s="21">
        <v>0</v>
      </c>
      <c r="BB82" s="21">
        <v>0</v>
      </c>
      <c r="BC82" s="21">
        <v>0</v>
      </c>
      <c r="BD82" s="21">
        <v>0</v>
      </c>
      <c r="BE82" s="21">
        <v>0</v>
      </c>
      <c r="BF82" s="21">
        <v>0</v>
      </c>
      <c r="BG82" s="21">
        <v>0</v>
      </c>
      <c r="BH82" s="21">
        <v>0</v>
      </c>
      <c r="BI82" s="21">
        <v>0</v>
      </c>
      <c r="BJ82" s="21">
        <v>0</v>
      </c>
      <c r="BK82" s="21">
        <v>0</v>
      </c>
      <c r="BL82" s="21">
        <v>0</v>
      </c>
      <c r="BM82" s="21">
        <v>0</v>
      </c>
      <c r="BN82" s="21">
        <v>0</v>
      </c>
      <c r="BO82" s="21">
        <v>0</v>
      </c>
      <c r="BP82" s="21">
        <v>0</v>
      </c>
      <c r="BQ82" s="21">
        <v>0</v>
      </c>
      <c r="BR82" s="21">
        <v>0</v>
      </c>
      <c r="BS82" s="21">
        <v>0</v>
      </c>
      <c r="BT82" s="21">
        <v>0</v>
      </c>
      <c r="BU82" s="21">
        <v>0</v>
      </c>
      <c r="BV82" s="21">
        <v>0</v>
      </c>
      <c r="BW82" s="21">
        <v>0</v>
      </c>
      <c r="BX82" s="21">
        <v>0</v>
      </c>
      <c r="BY82" s="21">
        <v>0</v>
      </c>
      <c r="BZ82" s="21">
        <v>0</v>
      </c>
      <c r="CA82" s="21">
        <v>0</v>
      </c>
      <c r="CB82" s="21">
        <v>0</v>
      </c>
      <c r="CC82" s="21">
        <v>0</v>
      </c>
      <c r="CD82" s="21">
        <v>0</v>
      </c>
      <c r="CE82" s="21">
        <v>0</v>
      </c>
      <c r="CF82" s="21">
        <v>0</v>
      </c>
      <c r="CG82" s="21">
        <v>0</v>
      </c>
      <c r="CH82" s="21">
        <v>0</v>
      </c>
      <c r="CI82" s="21">
        <v>0</v>
      </c>
      <c r="CJ82" s="21">
        <v>0</v>
      </c>
      <c r="CK82" s="21">
        <v>0</v>
      </c>
      <c r="CL82" s="21">
        <v>0</v>
      </c>
      <c r="CM82" s="21">
        <v>0</v>
      </c>
      <c r="CN82" s="21">
        <v>0</v>
      </c>
      <c r="CO82" s="21">
        <v>0</v>
      </c>
      <c r="CP82" s="21">
        <v>0</v>
      </c>
      <c r="CQ82" s="21">
        <v>0</v>
      </c>
      <c r="CR82" s="21">
        <v>0</v>
      </c>
      <c r="CS82" s="21">
        <v>0</v>
      </c>
      <c r="CT82" s="21">
        <v>0</v>
      </c>
      <c r="CU82" s="21">
        <v>0</v>
      </c>
      <c r="CV82" s="21">
        <v>0</v>
      </c>
      <c r="CW82" s="21">
        <v>0</v>
      </c>
      <c r="CX82" s="21">
        <v>0</v>
      </c>
      <c r="CY82" s="21">
        <v>0</v>
      </c>
      <c r="CZ82" s="21">
        <v>0</v>
      </c>
      <c r="DA82" s="21">
        <v>0</v>
      </c>
      <c r="DB82" s="21">
        <v>0</v>
      </c>
      <c r="DC82" s="21">
        <v>0</v>
      </c>
      <c r="DD82" s="21">
        <v>0</v>
      </c>
      <c r="DE82" s="21">
        <v>0</v>
      </c>
      <c r="DF82" s="21">
        <v>0</v>
      </c>
      <c r="DG82" s="21">
        <v>0</v>
      </c>
      <c r="DH82" s="75"/>
      <c r="DI82" s="67"/>
      <c r="DJ82" s="67"/>
      <c r="DK82" s="50"/>
      <c r="DL82" s="67"/>
      <c r="DM82" s="50"/>
    </row>
    <row r="83" spans="1:117" s="52" customFormat="1">
      <c r="A83" s="23" t="s">
        <v>318</v>
      </c>
      <c r="B83" s="19" t="s">
        <v>319</v>
      </c>
      <c r="C83" s="19" t="s">
        <v>320</v>
      </c>
      <c r="D83" s="20">
        <f t="shared" si="1"/>
        <v>36</v>
      </c>
      <c r="E83" s="21">
        <v>6</v>
      </c>
      <c r="F83" s="21">
        <v>6</v>
      </c>
      <c r="G83" s="21">
        <v>6</v>
      </c>
      <c r="H83" s="21">
        <v>6</v>
      </c>
      <c r="I83" s="21">
        <v>6</v>
      </c>
      <c r="J83" s="21">
        <v>6</v>
      </c>
      <c r="K83" s="21">
        <v>0</v>
      </c>
      <c r="L83" s="21">
        <v>0</v>
      </c>
      <c r="M83" s="21">
        <v>0</v>
      </c>
      <c r="N83" s="21">
        <v>0</v>
      </c>
      <c r="O83" s="21">
        <v>0</v>
      </c>
      <c r="P83" s="21">
        <v>0</v>
      </c>
      <c r="Q83" s="21">
        <v>0</v>
      </c>
      <c r="R83" s="21">
        <v>0</v>
      </c>
      <c r="S83" s="21">
        <v>0</v>
      </c>
      <c r="T83" s="21">
        <v>0</v>
      </c>
      <c r="U83" s="21">
        <v>0</v>
      </c>
      <c r="V83" s="21">
        <v>0</v>
      </c>
      <c r="W83" s="21">
        <v>0</v>
      </c>
      <c r="X83" s="21">
        <v>0</v>
      </c>
      <c r="Y83" s="21">
        <v>0</v>
      </c>
      <c r="Z83" s="21">
        <v>0</v>
      </c>
      <c r="AA83" s="21">
        <v>0</v>
      </c>
      <c r="AB83" s="21">
        <v>0</v>
      </c>
      <c r="AC83" s="21">
        <v>0</v>
      </c>
      <c r="AD83" s="21">
        <v>0</v>
      </c>
      <c r="AE83" s="21">
        <v>0</v>
      </c>
      <c r="AF83" s="21">
        <v>0</v>
      </c>
      <c r="AG83" s="21">
        <v>0</v>
      </c>
      <c r="AH83" s="21">
        <v>0</v>
      </c>
      <c r="AI83" s="21">
        <v>0</v>
      </c>
      <c r="AJ83" s="21">
        <v>0</v>
      </c>
      <c r="AK83" s="21">
        <v>0</v>
      </c>
      <c r="AL83" s="21">
        <v>0</v>
      </c>
      <c r="AM83" s="21">
        <v>0</v>
      </c>
      <c r="AN83" s="21">
        <v>0</v>
      </c>
      <c r="AO83" s="21">
        <v>0</v>
      </c>
      <c r="AP83" s="21">
        <v>0</v>
      </c>
      <c r="AQ83" s="21">
        <v>0</v>
      </c>
      <c r="AR83" s="21">
        <v>0</v>
      </c>
      <c r="AS83" s="21">
        <v>0</v>
      </c>
      <c r="AT83" s="21">
        <v>0</v>
      </c>
      <c r="AU83" s="21">
        <v>0</v>
      </c>
      <c r="AV83" s="21">
        <v>0</v>
      </c>
      <c r="AW83" s="21">
        <v>0</v>
      </c>
      <c r="AX83" s="21">
        <v>0</v>
      </c>
      <c r="AY83" s="21">
        <v>0</v>
      </c>
      <c r="AZ83" s="21">
        <v>0</v>
      </c>
      <c r="BA83" s="21">
        <v>0</v>
      </c>
      <c r="BB83" s="21">
        <v>0</v>
      </c>
      <c r="BC83" s="21">
        <v>0</v>
      </c>
      <c r="BD83" s="21">
        <v>0</v>
      </c>
      <c r="BE83" s="21">
        <v>0</v>
      </c>
      <c r="BF83" s="21">
        <v>0</v>
      </c>
      <c r="BG83" s="21">
        <v>0</v>
      </c>
      <c r="BH83" s="21">
        <v>0</v>
      </c>
      <c r="BI83" s="21">
        <v>0</v>
      </c>
      <c r="BJ83" s="21">
        <v>0</v>
      </c>
      <c r="BK83" s="21">
        <v>0</v>
      </c>
      <c r="BL83" s="21">
        <v>0</v>
      </c>
      <c r="BM83" s="21">
        <v>0</v>
      </c>
      <c r="BN83" s="21">
        <v>0</v>
      </c>
      <c r="BO83" s="21">
        <v>0</v>
      </c>
      <c r="BP83" s="21">
        <v>0</v>
      </c>
      <c r="BQ83" s="21">
        <v>0</v>
      </c>
      <c r="BR83" s="21">
        <v>0</v>
      </c>
      <c r="BS83" s="21">
        <v>0</v>
      </c>
      <c r="BT83" s="21">
        <v>0</v>
      </c>
      <c r="BU83" s="21">
        <v>0</v>
      </c>
      <c r="BV83" s="21">
        <v>0</v>
      </c>
      <c r="BW83" s="21">
        <v>0</v>
      </c>
      <c r="BX83" s="21">
        <v>0</v>
      </c>
      <c r="BY83" s="21">
        <v>0</v>
      </c>
      <c r="BZ83" s="21">
        <v>0</v>
      </c>
      <c r="CA83" s="21">
        <v>0</v>
      </c>
      <c r="CB83" s="21">
        <v>0</v>
      </c>
      <c r="CC83" s="21">
        <v>0</v>
      </c>
      <c r="CD83" s="21">
        <v>0</v>
      </c>
      <c r="CE83" s="21">
        <v>0</v>
      </c>
      <c r="CF83" s="21">
        <v>0</v>
      </c>
      <c r="CG83" s="21">
        <v>0</v>
      </c>
      <c r="CH83" s="21">
        <v>0</v>
      </c>
      <c r="CI83" s="21">
        <v>0</v>
      </c>
      <c r="CJ83" s="21">
        <v>0</v>
      </c>
      <c r="CK83" s="21">
        <v>0</v>
      </c>
      <c r="CL83" s="21">
        <v>0</v>
      </c>
      <c r="CM83" s="21">
        <v>0</v>
      </c>
      <c r="CN83" s="21">
        <v>0</v>
      </c>
      <c r="CO83" s="21">
        <v>0</v>
      </c>
      <c r="CP83" s="21">
        <v>0</v>
      </c>
      <c r="CQ83" s="21">
        <v>0</v>
      </c>
      <c r="CR83" s="21">
        <v>0</v>
      </c>
      <c r="CS83" s="21">
        <v>0</v>
      </c>
      <c r="CT83" s="21">
        <v>0</v>
      </c>
      <c r="CU83" s="21">
        <v>0</v>
      </c>
      <c r="CV83" s="21">
        <v>0</v>
      </c>
      <c r="CW83" s="21">
        <v>0</v>
      </c>
      <c r="CX83" s="21">
        <v>0</v>
      </c>
      <c r="CY83" s="21">
        <v>0</v>
      </c>
      <c r="CZ83" s="21">
        <v>0</v>
      </c>
      <c r="DA83" s="21">
        <v>0</v>
      </c>
      <c r="DB83" s="21">
        <v>0</v>
      </c>
      <c r="DC83" s="21">
        <v>0</v>
      </c>
      <c r="DD83" s="21">
        <v>0</v>
      </c>
      <c r="DE83" s="21">
        <v>0</v>
      </c>
      <c r="DF83" s="21">
        <v>0</v>
      </c>
      <c r="DG83" s="21">
        <v>0</v>
      </c>
      <c r="DH83" s="75"/>
      <c r="DI83" s="67"/>
      <c r="DJ83" s="67"/>
      <c r="DK83" s="50"/>
      <c r="DL83" s="67"/>
      <c r="DM83" s="50"/>
    </row>
    <row r="84" spans="1:117" s="52" customFormat="1">
      <c r="A84" s="23" t="s">
        <v>321</v>
      </c>
      <c r="B84" s="19" t="s">
        <v>322</v>
      </c>
      <c r="C84" s="19" t="s">
        <v>323</v>
      </c>
      <c r="D84" s="20">
        <f t="shared" si="1"/>
        <v>1</v>
      </c>
      <c r="E84" s="21">
        <v>0</v>
      </c>
      <c r="F84" s="21">
        <v>1</v>
      </c>
      <c r="G84" s="21">
        <v>0</v>
      </c>
      <c r="H84" s="21">
        <v>0</v>
      </c>
      <c r="I84" s="21">
        <v>0</v>
      </c>
      <c r="J84" s="21">
        <v>0</v>
      </c>
      <c r="K84" s="21">
        <v>0</v>
      </c>
      <c r="L84" s="21">
        <v>0</v>
      </c>
      <c r="M84" s="21">
        <v>0</v>
      </c>
      <c r="N84" s="21">
        <v>0</v>
      </c>
      <c r="O84" s="21">
        <v>0</v>
      </c>
      <c r="P84" s="21">
        <v>0</v>
      </c>
      <c r="Q84" s="21">
        <v>0</v>
      </c>
      <c r="R84" s="21">
        <v>0</v>
      </c>
      <c r="S84" s="21">
        <v>0</v>
      </c>
      <c r="T84" s="21">
        <v>0</v>
      </c>
      <c r="U84" s="21">
        <v>0</v>
      </c>
      <c r="V84" s="21">
        <v>0</v>
      </c>
      <c r="W84" s="21">
        <v>0</v>
      </c>
      <c r="X84" s="21">
        <v>0</v>
      </c>
      <c r="Y84" s="21">
        <v>0</v>
      </c>
      <c r="Z84" s="21">
        <v>0</v>
      </c>
      <c r="AA84" s="21">
        <v>0</v>
      </c>
      <c r="AB84" s="21">
        <v>0</v>
      </c>
      <c r="AC84" s="21">
        <v>0</v>
      </c>
      <c r="AD84" s="21">
        <v>0</v>
      </c>
      <c r="AE84" s="21">
        <v>0</v>
      </c>
      <c r="AF84" s="21">
        <v>0</v>
      </c>
      <c r="AG84" s="21">
        <v>0</v>
      </c>
      <c r="AH84" s="21">
        <v>0</v>
      </c>
      <c r="AI84" s="21">
        <v>0</v>
      </c>
      <c r="AJ84" s="21">
        <v>0</v>
      </c>
      <c r="AK84" s="21">
        <v>0</v>
      </c>
      <c r="AL84" s="21">
        <v>0</v>
      </c>
      <c r="AM84" s="21">
        <v>0</v>
      </c>
      <c r="AN84" s="21">
        <v>0</v>
      </c>
      <c r="AO84" s="21">
        <v>0</v>
      </c>
      <c r="AP84" s="21">
        <v>0</v>
      </c>
      <c r="AQ84" s="21">
        <v>0</v>
      </c>
      <c r="AR84" s="21">
        <v>0</v>
      </c>
      <c r="AS84" s="21">
        <v>0</v>
      </c>
      <c r="AT84" s="21">
        <v>0</v>
      </c>
      <c r="AU84" s="21">
        <v>0</v>
      </c>
      <c r="AV84" s="21">
        <v>0</v>
      </c>
      <c r="AW84" s="21">
        <v>0</v>
      </c>
      <c r="AX84" s="21">
        <v>0</v>
      </c>
      <c r="AY84" s="21">
        <v>0</v>
      </c>
      <c r="AZ84" s="21">
        <v>0</v>
      </c>
      <c r="BA84" s="21">
        <v>0</v>
      </c>
      <c r="BB84" s="21">
        <v>0</v>
      </c>
      <c r="BC84" s="21">
        <v>0</v>
      </c>
      <c r="BD84" s="21">
        <v>0</v>
      </c>
      <c r="BE84" s="21">
        <v>0</v>
      </c>
      <c r="BF84" s="21">
        <v>0</v>
      </c>
      <c r="BG84" s="21">
        <v>0</v>
      </c>
      <c r="BH84" s="21">
        <v>0</v>
      </c>
      <c r="BI84" s="21">
        <v>0</v>
      </c>
      <c r="BJ84" s="21">
        <v>0</v>
      </c>
      <c r="BK84" s="21">
        <v>0</v>
      </c>
      <c r="BL84" s="21">
        <v>0</v>
      </c>
      <c r="BM84" s="21">
        <v>0</v>
      </c>
      <c r="BN84" s="21">
        <v>0</v>
      </c>
      <c r="BO84" s="21">
        <v>0</v>
      </c>
      <c r="BP84" s="21">
        <v>0</v>
      </c>
      <c r="BQ84" s="21">
        <v>0</v>
      </c>
      <c r="BR84" s="21">
        <v>0</v>
      </c>
      <c r="BS84" s="21">
        <v>0</v>
      </c>
      <c r="BT84" s="21">
        <v>0</v>
      </c>
      <c r="BU84" s="21">
        <v>0</v>
      </c>
      <c r="BV84" s="21">
        <v>0</v>
      </c>
      <c r="BW84" s="21">
        <v>0</v>
      </c>
      <c r="BX84" s="21">
        <v>0</v>
      </c>
      <c r="BY84" s="21">
        <v>0</v>
      </c>
      <c r="BZ84" s="21">
        <v>0</v>
      </c>
      <c r="CA84" s="21">
        <v>0</v>
      </c>
      <c r="CB84" s="21">
        <v>0</v>
      </c>
      <c r="CC84" s="21">
        <v>0</v>
      </c>
      <c r="CD84" s="21">
        <v>0</v>
      </c>
      <c r="CE84" s="21">
        <v>0</v>
      </c>
      <c r="CF84" s="21">
        <v>0</v>
      </c>
      <c r="CG84" s="21">
        <v>0</v>
      </c>
      <c r="CH84" s="21">
        <v>0</v>
      </c>
      <c r="CI84" s="21">
        <v>0</v>
      </c>
      <c r="CJ84" s="21">
        <v>0</v>
      </c>
      <c r="CK84" s="21">
        <v>0</v>
      </c>
      <c r="CL84" s="21">
        <v>0</v>
      </c>
      <c r="CM84" s="21">
        <v>0</v>
      </c>
      <c r="CN84" s="21">
        <v>0</v>
      </c>
      <c r="CO84" s="21">
        <v>0</v>
      </c>
      <c r="CP84" s="21">
        <v>0</v>
      </c>
      <c r="CQ84" s="21">
        <v>0</v>
      </c>
      <c r="CR84" s="21">
        <v>0</v>
      </c>
      <c r="CS84" s="21">
        <v>0</v>
      </c>
      <c r="CT84" s="21">
        <v>0</v>
      </c>
      <c r="CU84" s="21">
        <v>0</v>
      </c>
      <c r="CV84" s="21">
        <v>0</v>
      </c>
      <c r="CW84" s="21">
        <v>0</v>
      </c>
      <c r="CX84" s="21">
        <v>0</v>
      </c>
      <c r="CY84" s="21">
        <v>0</v>
      </c>
      <c r="CZ84" s="21">
        <v>0</v>
      </c>
      <c r="DA84" s="21">
        <v>0</v>
      </c>
      <c r="DB84" s="21">
        <v>0</v>
      </c>
      <c r="DC84" s="21">
        <v>0</v>
      </c>
      <c r="DD84" s="21">
        <v>0</v>
      </c>
      <c r="DE84" s="21">
        <v>0</v>
      </c>
      <c r="DF84" s="21">
        <v>0</v>
      </c>
      <c r="DG84" s="21">
        <v>0</v>
      </c>
      <c r="DH84" s="75"/>
      <c r="DI84" s="67"/>
      <c r="DJ84" s="67"/>
      <c r="DK84" s="50"/>
      <c r="DL84" s="67"/>
      <c r="DM84" s="50"/>
    </row>
    <row r="85" spans="1:117" s="52" customFormat="1">
      <c r="A85" s="23" t="s">
        <v>324</v>
      </c>
      <c r="B85" s="19" t="s">
        <v>325</v>
      </c>
      <c r="C85" s="19" t="s">
        <v>326</v>
      </c>
      <c r="D85" s="20">
        <f t="shared" si="1"/>
        <v>119</v>
      </c>
      <c r="E85" s="21">
        <v>50</v>
      </c>
      <c r="F85" s="21">
        <v>50</v>
      </c>
      <c r="G85" s="21">
        <v>10</v>
      </c>
      <c r="H85" s="21">
        <v>1</v>
      </c>
      <c r="I85" s="21">
        <v>3</v>
      </c>
      <c r="J85" s="21">
        <v>5</v>
      </c>
      <c r="K85" s="21">
        <v>0</v>
      </c>
      <c r="L85" s="21">
        <v>0</v>
      </c>
      <c r="M85" s="21">
        <v>0</v>
      </c>
      <c r="N85" s="21">
        <v>0</v>
      </c>
      <c r="O85" s="21">
        <v>0</v>
      </c>
      <c r="P85" s="21">
        <v>0</v>
      </c>
      <c r="Q85" s="21">
        <v>0</v>
      </c>
      <c r="R85" s="21">
        <v>0</v>
      </c>
      <c r="S85" s="21">
        <v>0</v>
      </c>
      <c r="T85" s="21">
        <v>0</v>
      </c>
      <c r="U85" s="21">
        <v>0</v>
      </c>
      <c r="V85" s="21">
        <v>0</v>
      </c>
      <c r="W85" s="21">
        <v>0</v>
      </c>
      <c r="X85" s="21">
        <v>0</v>
      </c>
      <c r="Y85" s="21">
        <v>0</v>
      </c>
      <c r="Z85" s="21">
        <v>0</v>
      </c>
      <c r="AA85" s="21">
        <v>0</v>
      </c>
      <c r="AB85" s="21">
        <v>0</v>
      </c>
      <c r="AC85" s="21">
        <v>0</v>
      </c>
      <c r="AD85" s="21">
        <v>0</v>
      </c>
      <c r="AE85" s="21">
        <v>0</v>
      </c>
      <c r="AF85" s="21">
        <v>0</v>
      </c>
      <c r="AG85" s="21">
        <v>0</v>
      </c>
      <c r="AH85" s="21">
        <v>0</v>
      </c>
      <c r="AI85" s="21">
        <v>0</v>
      </c>
      <c r="AJ85" s="21">
        <v>0</v>
      </c>
      <c r="AK85" s="21">
        <v>0</v>
      </c>
      <c r="AL85" s="21">
        <v>0</v>
      </c>
      <c r="AM85" s="21">
        <v>0</v>
      </c>
      <c r="AN85" s="21">
        <v>0</v>
      </c>
      <c r="AO85" s="21">
        <v>0</v>
      </c>
      <c r="AP85" s="21">
        <v>0</v>
      </c>
      <c r="AQ85" s="21">
        <v>0</v>
      </c>
      <c r="AR85" s="21">
        <v>0</v>
      </c>
      <c r="AS85" s="21">
        <v>0</v>
      </c>
      <c r="AT85" s="21">
        <v>0</v>
      </c>
      <c r="AU85" s="21">
        <v>0</v>
      </c>
      <c r="AV85" s="21">
        <v>0</v>
      </c>
      <c r="AW85" s="21">
        <v>0</v>
      </c>
      <c r="AX85" s="21">
        <v>0</v>
      </c>
      <c r="AY85" s="21">
        <v>0</v>
      </c>
      <c r="AZ85" s="21">
        <v>0</v>
      </c>
      <c r="BA85" s="21">
        <v>0</v>
      </c>
      <c r="BB85" s="21">
        <v>0</v>
      </c>
      <c r="BC85" s="21">
        <v>0</v>
      </c>
      <c r="BD85" s="21">
        <v>0</v>
      </c>
      <c r="BE85" s="21">
        <v>0</v>
      </c>
      <c r="BF85" s="21">
        <v>0</v>
      </c>
      <c r="BG85" s="21">
        <v>0</v>
      </c>
      <c r="BH85" s="21">
        <v>0</v>
      </c>
      <c r="BI85" s="21">
        <v>0</v>
      </c>
      <c r="BJ85" s="21">
        <v>0</v>
      </c>
      <c r="BK85" s="21">
        <v>0</v>
      </c>
      <c r="BL85" s="21">
        <v>0</v>
      </c>
      <c r="BM85" s="21">
        <v>0</v>
      </c>
      <c r="BN85" s="21">
        <v>0</v>
      </c>
      <c r="BO85" s="21">
        <v>0</v>
      </c>
      <c r="BP85" s="21">
        <v>0</v>
      </c>
      <c r="BQ85" s="21">
        <v>0</v>
      </c>
      <c r="BR85" s="21">
        <v>0</v>
      </c>
      <c r="BS85" s="21">
        <v>0</v>
      </c>
      <c r="BT85" s="21">
        <v>0</v>
      </c>
      <c r="BU85" s="21">
        <v>0</v>
      </c>
      <c r="BV85" s="21">
        <v>0</v>
      </c>
      <c r="BW85" s="21">
        <v>0</v>
      </c>
      <c r="BX85" s="21">
        <v>0</v>
      </c>
      <c r="BY85" s="21">
        <v>0</v>
      </c>
      <c r="BZ85" s="21">
        <v>0</v>
      </c>
      <c r="CA85" s="21">
        <v>0</v>
      </c>
      <c r="CB85" s="21">
        <v>0</v>
      </c>
      <c r="CC85" s="21">
        <v>0</v>
      </c>
      <c r="CD85" s="21">
        <v>0</v>
      </c>
      <c r="CE85" s="21">
        <v>0</v>
      </c>
      <c r="CF85" s="21">
        <v>0</v>
      </c>
      <c r="CG85" s="21">
        <v>0</v>
      </c>
      <c r="CH85" s="21">
        <v>0</v>
      </c>
      <c r="CI85" s="21">
        <v>0</v>
      </c>
      <c r="CJ85" s="21">
        <v>0</v>
      </c>
      <c r="CK85" s="21">
        <v>0</v>
      </c>
      <c r="CL85" s="21">
        <v>0</v>
      </c>
      <c r="CM85" s="21">
        <v>0</v>
      </c>
      <c r="CN85" s="21">
        <v>0</v>
      </c>
      <c r="CO85" s="21">
        <v>0</v>
      </c>
      <c r="CP85" s="21">
        <v>0</v>
      </c>
      <c r="CQ85" s="21">
        <v>0</v>
      </c>
      <c r="CR85" s="21">
        <v>0</v>
      </c>
      <c r="CS85" s="21">
        <v>0</v>
      </c>
      <c r="CT85" s="21">
        <v>0</v>
      </c>
      <c r="CU85" s="21">
        <v>0</v>
      </c>
      <c r="CV85" s="21">
        <v>0</v>
      </c>
      <c r="CW85" s="21">
        <v>0</v>
      </c>
      <c r="CX85" s="21">
        <v>0</v>
      </c>
      <c r="CY85" s="21">
        <v>0</v>
      </c>
      <c r="CZ85" s="21">
        <v>0</v>
      </c>
      <c r="DA85" s="21">
        <v>0</v>
      </c>
      <c r="DB85" s="21">
        <v>0</v>
      </c>
      <c r="DC85" s="21">
        <v>0</v>
      </c>
      <c r="DD85" s="21">
        <v>0</v>
      </c>
      <c r="DE85" s="21">
        <v>0</v>
      </c>
      <c r="DF85" s="21">
        <v>0</v>
      </c>
      <c r="DG85" s="21">
        <v>0</v>
      </c>
      <c r="DH85" s="75"/>
      <c r="DI85" s="67"/>
      <c r="DJ85" s="67"/>
      <c r="DK85" s="50"/>
      <c r="DL85" s="67"/>
      <c r="DM85" s="50"/>
    </row>
    <row r="86" spans="1:117" s="52" customFormat="1">
      <c r="A86" s="23" t="s">
        <v>327</v>
      </c>
      <c r="B86" s="19" t="s">
        <v>328</v>
      </c>
      <c r="C86" s="19" t="s">
        <v>329</v>
      </c>
      <c r="D86" s="20">
        <f t="shared" si="1"/>
        <v>0</v>
      </c>
      <c r="E86" s="21">
        <v>0</v>
      </c>
      <c r="F86" s="21">
        <v>0</v>
      </c>
      <c r="G86" s="21">
        <v>0</v>
      </c>
      <c r="H86" s="21">
        <v>0</v>
      </c>
      <c r="I86" s="21">
        <v>0</v>
      </c>
      <c r="J86" s="21">
        <v>0</v>
      </c>
      <c r="K86" s="21">
        <v>0</v>
      </c>
      <c r="L86" s="21">
        <v>0</v>
      </c>
      <c r="M86" s="21">
        <v>0</v>
      </c>
      <c r="N86" s="21">
        <v>0</v>
      </c>
      <c r="O86" s="21">
        <v>0</v>
      </c>
      <c r="P86" s="21">
        <v>0</v>
      </c>
      <c r="Q86" s="21">
        <v>0</v>
      </c>
      <c r="R86" s="21">
        <v>0</v>
      </c>
      <c r="S86" s="21">
        <v>0</v>
      </c>
      <c r="T86" s="21">
        <v>0</v>
      </c>
      <c r="U86" s="21">
        <v>0</v>
      </c>
      <c r="V86" s="21">
        <v>0</v>
      </c>
      <c r="W86" s="21">
        <v>0</v>
      </c>
      <c r="X86" s="21">
        <v>0</v>
      </c>
      <c r="Y86" s="21">
        <v>0</v>
      </c>
      <c r="Z86" s="21">
        <v>0</v>
      </c>
      <c r="AA86" s="21">
        <v>0</v>
      </c>
      <c r="AB86" s="21">
        <v>0</v>
      </c>
      <c r="AC86" s="21">
        <v>0</v>
      </c>
      <c r="AD86" s="21">
        <v>0</v>
      </c>
      <c r="AE86" s="21">
        <v>0</v>
      </c>
      <c r="AF86" s="21">
        <v>0</v>
      </c>
      <c r="AG86" s="21">
        <v>0</v>
      </c>
      <c r="AH86" s="21">
        <v>0</v>
      </c>
      <c r="AI86" s="21">
        <v>0</v>
      </c>
      <c r="AJ86" s="21">
        <v>0</v>
      </c>
      <c r="AK86" s="21">
        <v>0</v>
      </c>
      <c r="AL86" s="21">
        <v>0</v>
      </c>
      <c r="AM86" s="21">
        <v>0</v>
      </c>
      <c r="AN86" s="21">
        <v>0</v>
      </c>
      <c r="AO86" s="21">
        <v>0</v>
      </c>
      <c r="AP86" s="21">
        <v>0</v>
      </c>
      <c r="AQ86" s="21">
        <v>0</v>
      </c>
      <c r="AR86" s="21">
        <v>0</v>
      </c>
      <c r="AS86" s="21">
        <v>0</v>
      </c>
      <c r="AT86" s="21">
        <v>0</v>
      </c>
      <c r="AU86" s="21">
        <v>0</v>
      </c>
      <c r="AV86" s="21">
        <v>0</v>
      </c>
      <c r="AW86" s="21">
        <v>0</v>
      </c>
      <c r="AX86" s="21">
        <v>0</v>
      </c>
      <c r="AY86" s="21">
        <v>0</v>
      </c>
      <c r="AZ86" s="21">
        <v>0</v>
      </c>
      <c r="BA86" s="21">
        <v>0</v>
      </c>
      <c r="BB86" s="21">
        <v>0</v>
      </c>
      <c r="BC86" s="21">
        <v>0</v>
      </c>
      <c r="BD86" s="21">
        <v>0</v>
      </c>
      <c r="BE86" s="21">
        <v>0</v>
      </c>
      <c r="BF86" s="21">
        <v>0</v>
      </c>
      <c r="BG86" s="21">
        <v>0</v>
      </c>
      <c r="BH86" s="21">
        <v>0</v>
      </c>
      <c r="BI86" s="21">
        <v>0</v>
      </c>
      <c r="BJ86" s="21">
        <v>0</v>
      </c>
      <c r="BK86" s="21">
        <v>0</v>
      </c>
      <c r="BL86" s="21">
        <v>0</v>
      </c>
      <c r="BM86" s="21">
        <v>0</v>
      </c>
      <c r="BN86" s="21">
        <v>0</v>
      </c>
      <c r="BO86" s="21">
        <v>0</v>
      </c>
      <c r="BP86" s="21">
        <v>0</v>
      </c>
      <c r="BQ86" s="21">
        <v>0</v>
      </c>
      <c r="BR86" s="21">
        <v>0</v>
      </c>
      <c r="BS86" s="21">
        <v>0</v>
      </c>
      <c r="BT86" s="21">
        <v>0</v>
      </c>
      <c r="BU86" s="21">
        <v>0</v>
      </c>
      <c r="BV86" s="21">
        <v>0</v>
      </c>
      <c r="BW86" s="21">
        <v>0</v>
      </c>
      <c r="BX86" s="21">
        <v>0</v>
      </c>
      <c r="BY86" s="21">
        <v>0</v>
      </c>
      <c r="BZ86" s="21">
        <v>0</v>
      </c>
      <c r="CA86" s="21">
        <v>0</v>
      </c>
      <c r="CB86" s="21">
        <v>0</v>
      </c>
      <c r="CC86" s="21">
        <v>0</v>
      </c>
      <c r="CD86" s="21">
        <v>0</v>
      </c>
      <c r="CE86" s="21">
        <v>0</v>
      </c>
      <c r="CF86" s="21">
        <v>0</v>
      </c>
      <c r="CG86" s="21">
        <v>0</v>
      </c>
      <c r="CH86" s="21">
        <v>0</v>
      </c>
      <c r="CI86" s="21">
        <v>0</v>
      </c>
      <c r="CJ86" s="21">
        <v>0</v>
      </c>
      <c r="CK86" s="21">
        <v>0</v>
      </c>
      <c r="CL86" s="21">
        <v>0</v>
      </c>
      <c r="CM86" s="21">
        <v>0</v>
      </c>
      <c r="CN86" s="21">
        <v>0</v>
      </c>
      <c r="CO86" s="21">
        <v>0</v>
      </c>
      <c r="CP86" s="21">
        <v>0</v>
      </c>
      <c r="CQ86" s="21">
        <v>0</v>
      </c>
      <c r="CR86" s="21">
        <v>0</v>
      </c>
      <c r="CS86" s="21">
        <v>0</v>
      </c>
      <c r="CT86" s="21">
        <v>0</v>
      </c>
      <c r="CU86" s="21">
        <v>0</v>
      </c>
      <c r="CV86" s="21">
        <v>0</v>
      </c>
      <c r="CW86" s="21">
        <v>0</v>
      </c>
      <c r="CX86" s="21">
        <v>0</v>
      </c>
      <c r="CY86" s="21">
        <v>0</v>
      </c>
      <c r="CZ86" s="21">
        <v>0</v>
      </c>
      <c r="DA86" s="21">
        <v>0</v>
      </c>
      <c r="DB86" s="21">
        <v>0</v>
      </c>
      <c r="DC86" s="21">
        <v>0</v>
      </c>
      <c r="DD86" s="21">
        <v>0</v>
      </c>
      <c r="DE86" s="21">
        <v>0</v>
      </c>
      <c r="DF86" s="21">
        <v>0</v>
      </c>
      <c r="DG86" s="21">
        <v>0</v>
      </c>
      <c r="DH86" s="75"/>
      <c r="DI86" s="67"/>
      <c r="DJ86" s="67"/>
      <c r="DK86" s="50"/>
      <c r="DL86" s="67"/>
      <c r="DM86" s="50"/>
    </row>
    <row r="87" spans="1:117" s="52" customFormat="1">
      <c r="A87" s="23" t="s">
        <v>330</v>
      </c>
      <c r="B87" s="19" t="s">
        <v>331</v>
      </c>
      <c r="C87" s="19" t="s">
        <v>332</v>
      </c>
      <c r="D87" s="20">
        <f t="shared" si="1"/>
        <v>2</v>
      </c>
      <c r="E87" s="21">
        <v>0</v>
      </c>
      <c r="F87" s="21">
        <v>0</v>
      </c>
      <c r="G87" s="21">
        <v>0</v>
      </c>
      <c r="H87" s="21">
        <v>0</v>
      </c>
      <c r="I87" s="21">
        <v>0</v>
      </c>
      <c r="J87" s="21">
        <v>0</v>
      </c>
      <c r="K87" s="21">
        <v>0</v>
      </c>
      <c r="L87" s="21">
        <v>0</v>
      </c>
      <c r="M87" s="21">
        <v>0</v>
      </c>
      <c r="N87" s="21">
        <v>0</v>
      </c>
      <c r="O87" s="21">
        <v>0</v>
      </c>
      <c r="P87" s="21">
        <v>0</v>
      </c>
      <c r="Q87" s="21">
        <v>0</v>
      </c>
      <c r="R87" s="21">
        <v>0</v>
      </c>
      <c r="S87" s="21">
        <v>0</v>
      </c>
      <c r="T87" s="21">
        <v>0</v>
      </c>
      <c r="U87" s="21">
        <v>0</v>
      </c>
      <c r="V87" s="21">
        <v>0</v>
      </c>
      <c r="W87" s="21">
        <v>0</v>
      </c>
      <c r="X87" s="21">
        <v>0</v>
      </c>
      <c r="Y87" s="21">
        <v>0</v>
      </c>
      <c r="Z87" s="21">
        <v>0</v>
      </c>
      <c r="AA87" s="21">
        <v>0</v>
      </c>
      <c r="AB87" s="21">
        <v>0</v>
      </c>
      <c r="AC87" s="21">
        <v>0</v>
      </c>
      <c r="AD87" s="21">
        <v>0</v>
      </c>
      <c r="AE87" s="21">
        <v>0</v>
      </c>
      <c r="AF87" s="21">
        <v>0</v>
      </c>
      <c r="AG87" s="21">
        <v>0</v>
      </c>
      <c r="AH87" s="21">
        <v>0</v>
      </c>
      <c r="AI87" s="21">
        <v>0</v>
      </c>
      <c r="AJ87" s="21">
        <v>0</v>
      </c>
      <c r="AK87" s="21">
        <v>0</v>
      </c>
      <c r="AL87" s="21">
        <v>0</v>
      </c>
      <c r="AM87" s="21">
        <v>0</v>
      </c>
      <c r="AN87" s="21">
        <v>0</v>
      </c>
      <c r="AO87" s="21">
        <v>0</v>
      </c>
      <c r="AP87" s="21">
        <v>0</v>
      </c>
      <c r="AQ87" s="21">
        <v>0</v>
      </c>
      <c r="AR87" s="21">
        <v>0</v>
      </c>
      <c r="AS87" s="21">
        <v>0</v>
      </c>
      <c r="AT87" s="21">
        <v>0</v>
      </c>
      <c r="AU87" s="21">
        <v>0</v>
      </c>
      <c r="AV87" s="21">
        <v>0</v>
      </c>
      <c r="AW87" s="21">
        <v>0</v>
      </c>
      <c r="AX87" s="21">
        <v>0</v>
      </c>
      <c r="AY87" s="21">
        <v>0</v>
      </c>
      <c r="AZ87" s="21">
        <v>0</v>
      </c>
      <c r="BA87" s="21">
        <v>0</v>
      </c>
      <c r="BB87" s="21">
        <v>0</v>
      </c>
      <c r="BC87" s="21">
        <v>0</v>
      </c>
      <c r="BD87" s="21">
        <v>0</v>
      </c>
      <c r="BE87" s="21">
        <v>0</v>
      </c>
      <c r="BF87" s="21">
        <v>0</v>
      </c>
      <c r="BG87" s="21">
        <v>0</v>
      </c>
      <c r="BH87" s="21">
        <v>0</v>
      </c>
      <c r="BI87" s="21">
        <v>0</v>
      </c>
      <c r="BJ87" s="21">
        <v>0</v>
      </c>
      <c r="BK87" s="21">
        <v>0</v>
      </c>
      <c r="BL87" s="21">
        <v>0</v>
      </c>
      <c r="BM87" s="21">
        <v>0</v>
      </c>
      <c r="BN87" s="21">
        <v>0</v>
      </c>
      <c r="BO87" s="21">
        <v>0</v>
      </c>
      <c r="BP87" s="21">
        <v>0</v>
      </c>
      <c r="BQ87" s="21">
        <v>0</v>
      </c>
      <c r="BR87" s="21">
        <v>0</v>
      </c>
      <c r="BS87" s="21">
        <v>0</v>
      </c>
      <c r="BT87" s="21">
        <v>0</v>
      </c>
      <c r="BU87" s="21">
        <v>0</v>
      </c>
      <c r="BV87" s="21">
        <v>0</v>
      </c>
      <c r="BW87" s="21">
        <v>0</v>
      </c>
      <c r="BX87" s="21">
        <v>0</v>
      </c>
      <c r="BY87" s="21">
        <v>0</v>
      </c>
      <c r="BZ87" s="21">
        <v>0</v>
      </c>
      <c r="CA87" s="21">
        <v>0</v>
      </c>
      <c r="CB87" s="21">
        <v>0</v>
      </c>
      <c r="CC87" s="21">
        <v>0</v>
      </c>
      <c r="CD87" s="21">
        <v>0</v>
      </c>
      <c r="CE87" s="21">
        <v>0</v>
      </c>
      <c r="CF87" s="21">
        <v>0</v>
      </c>
      <c r="CG87" s="21">
        <v>0</v>
      </c>
      <c r="CH87" s="21">
        <v>0</v>
      </c>
      <c r="CI87" s="21">
        <v>0</v>
      </c>
      <c r="CJ87" s="21">
        <v>0</v>
      </c>
      <c r="CK87" s="21">
        <v>0</v>
      </c>
      <c r="CL87" s="21">
        <v>0</v>
      </c>
      <c r="CM87" s="21">
        <v>0</v>
      </c>
      <c r="CN87" s="21">
        <v>0</v>
      </c>
      <c r="CO87" s="21">
        <v>0</v>
      </c>
      <c r="CP87" s="21">
        <v>0</v>
      </c>
      <c r="CQ87" s="21">
        <v>0</v>
      </c>
      <c r="CR87" s="21">
        <v>1</v>
      </c>
      <c r="CS87" s="21">
        <v>0</v>
      </c>
      <c r="CT87" s="21">
        <v>0</v>
      </c>
      <c r="CU87" s="21">
        <v>1</v>
      </c>
      <c r="CV87" s="21">
        <v>0</v>
      </c>
      <c r="CW87" s="21">
        <v>0</v>
      </c>
      <c r="CX87" s="21">
        <v>0</v>
      </c>
      <c r="CY87" s="21">
        <v>0</v>
      </c>
      <c r="CZ87" s="21">
        <v>0</v>
      </c>
      <c r="DA87" s="21">
        <v>0</v>
      </c>
      <c r="DB87" s="21">
        <v>0</v>
      </c>
      <c r="DC87" s="21">
        <v>0</v>
      </c>
      <c r="DD87" s="21">
        <v>0</v>
      </c>
      <c r="DE87" s="21">
        <v>0</v>
      </c>
      <c r="DF87" s="21">
        <v>0</v>
      </c>
      <c r="DG87" s="21">
        <v>0</v>
      </c>
      <c r="DH87" s="75"/>
      <c r="DI87" s="67"/>
      <c r="DJ87" s="67"/>
      <c r="DK87" s="50"/>
      <c r="DL87" s="67"/>
      <c r="DM87" s="50"/>
    </row>
    <row r="88" spans="1:117">
      <c r="A88" s="24" t="s">
        <v>333</v>
      </c>
      <c r="B88" s="25"/>
      <c r="C88" s="25"/>
      <c r="D88" s="16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  <c r="BM88" s="28"/>
      <c r="BN88" s="28"/>
      <c r="BO88" s="28"/>
      <c r="BP88" s="28"/>
      <c r="BQ88" s="28"/>
      <c r="BR88" s="28"/>
      <c r="BS88" s="28"/>
      <c r="BT88" s="28"/>
      <c r="BU88" s="28"/>
      <c r="BV88" s="28"/>
      <c r="BW88" s="28"/>
      <c r="BX88" s="28"/>
      <c r="BY88" s="28"/>
      <c r="BZ88" s="28"/>
      <c r="CA88" s="28"/>
      <c r="CB88" s="28"/>
      <c r="CC88" s="28"/>
      <c r="CD88" s="28"/>
      <c r="CE88" s="28"/>
      <c r="CF88" s="28"/>
      <c r="CG88" s="28"/>
      <c r="CH88" s="28"/>
      <c r="CI88" s="28"/>
      <c r="CJ88" s="28"/>
      <c r="CK88" s="28"/>
      <c r="CL88" s="28"/>
      <c r="CM88" s="28"/>
      <c r="CN88" s="28"/>
      <c r="CO88" s="28"/>
      <c r="CP88" s="28"/>
      <c r="CQ88" s="28"/>
      <c r="CR88" s="28"/>
      <c r="CS88" s="28"/>
      <c r="CT88" s="28"/>
      <c r="CU88" s="64"/>
      <c r="CV88" s="64"/>
      <c r="CW88" s="64"/>
      <c r="CX88" s="64"/>
      <c r="CY88" s="64"/>
      <c r="CZ88" s="64"/>
      <c r="DA88" s="64"/>
      <c r="DB88" s="64"/>
      <c r="DC88" s="64"/>
      <c r="DD88" s="64"/>
      <c r="DE88" s="64"/>
      <c r="DF88" s="64"/>
      <c r="DG88" s="64"/>
      <c r="DH88" s="74"/>
      <c r="DJ88" s="67"/>
      <c r="DL88" s="67"/>
    </row>
    <row r="89" spans="1:117">
      <c r="A89" s="19" t="s">
        <v>334</v>
      </c>
      <c r="B89" s="19" t="s">
        <v>335</v>
      </c>
      <c r="C89" s="19" t="s">
        <v>336</v>
      </c>
      <c r="D89" s="20">
        <f t="shared" si="1"/>
        <v>58917.740000000005</v>
      </c>
      <c r="E89" s="22">
        <v>25829.37</v>
      </c>
      <c r="F89" s="22">
        <v>11253</v>
      </c>
      <c r="G89" s="22">
        <v>5412.82</v>
      </c>
      <c r="H89" s="22">
        <v>843.55</v>
      </c>
      <c r="I89" s="22">
        <v>2649.1</v>
      </c>
      <c r="J89" s="22">
        <v>1183.3</v>
      </c>
      <c r="K89" s="22">
        <v>215.43</v>
      </c>
      <c r="L89" s="22">
        <v>0</v>
      </c>
      <c r="M89" s="22">
        <v>14.9</v>
      </c>
      <c r="N89" s="22">
        <v>0</v>
      </c>
      <c r="O89" s="22">
        <v>0</v>
      </c>
      <c r="P89" s="22">
        <v>0</v>
      </c>
      <c r="Q89" s="22">
        <v>0</v>
      </c>
      <c r="R89" s="22">
        <v>0</v>
      </c>
      <c r="S89" s="22">
        <v>406.56</v>
      </c>
      <c r="T89" s="22">
        <v>0</v>
      </c>
      <c r="U89" s="22">
        <v>663.99</v>
      </c>
      <c r="V89" s="22">
        <v>89.22</v>
      </c>
      <c r="W89" s="22">
        <v>12.58</v>
      </c>
      <c r="X89" s="22">
        <v>2.91</v>
      </c>
      <c r="Y89" s="22">
        <v>0</v>
      </c>
      <c r="Z89" s="22">
        <v>288.10000000000002</v>
      </c>
      <c r="AA89" s="22">
        <v>236.86</v>
      </c>
      <c r="AB89" s="22">
        <v>0</v>
      </c>
      <c r="AC89" s="22">
        <v>0</v>
      </c>
      <c r="AD89" s="22">
        <v>287.93</v>
      </c>
      <c r="AE89" s="22">
        <v>0</v>
      </c>
      <c r="AF89" s="22">
        <v>0</v>
      </c>
      <c r="AG89" s="22">
        <v>0</v>
      </c>
      <c r="AH89" s="22">
        <v>426.76</v>
      </c>
      <c r="AI89" s="22">
        <v>0</v>
      </c>
      <c r="AJ89" s="22">
        <v>0</v>
      </c>
      <c r="AK89" s="22">
        <v>0</v>
      </c>
      <c r="AL89" s="22">
        <v>0</v>
      </c>
      <c r="AM89" s="22">
        <v>0</v>
      </c>
      <c r="AN89" s="22">
        <v>0</v>
      </c>
      <c r="AO89" s="22">
        <v>2.96</v>
      </c>
      <c r="AP89" s="22">
        <v>0</v>
      </c>
      <c r="AQ89" s="22">
        <v>0</v>
      </c>
      <c r="AR89" s="22">
        <v>0</v>
      </c>
      <c r="AS89" s="22">
        <v>0</v>
      </c>
      <c r="AT89" s="22">
        <v>2.4300000000000002</v>
      </c>
      <c r="AU89" s="22">
        <v>6.75</v>
      </c>
      <c r="AV89" s="22">
        <v>0</v>
      </c>
      <c r="AW89" s="22">
        <v>0</v>
      </c>
      <c r="AX89" s="22">
        <v>122.38</v>
      </c>
      <c r="AY89" s="22">
        <v>633.4</v>
      </c>
      <c r="AZ89" s="22">
        <v>3.65</v>
      </c>
      <c r="BA89" s="22">
        <v>0</v>
      </c>
      <c r="BB89" s="22">
        <v>572.53</v>
      </c>
      <c r="BC89" s="22">
        <v>570.44000000000005</v>
      </c>
      <c r="BD89" s="22">
        <v>0</v>
      </c>
      <c r="BE89" s="22">
        <v>78.319999999999993</v>
      </c>
      <c r="BF89" s="22">
        <v>148.97999999999999</v>
      </c>
      <c r="BG89" s="22">
        <v>0</v>
      </c>
      <c r="BH89" s="22">
        <v>0</v>
      </c>
      <c r="BI89" s="22">
        <v>0</v>
      </c>
      <c r="BJ89" s="22">
        <v>0</v>
      </c>
      <c r="BK89" s="22">
        <v>77.94</v>
      </c>
      <c r="BL89" s="22">
        <v>196.27</v>
      </c>
      <c r="BM89" s="22">
        <v>0</v>
      </c>
      <c r="BN89" s="22">
        <v>0</v>
      </c>
      <c r="BO89" s="22">
        <v>0</v>
      </c>
      <c r="BP89" s="22">
        <v>106.59</v>
      </c>
      <c r="BQ89" s="22">
        <v>0</v>
      </c>
      <c r="BR89" s="22">
        <v>0</v>
      </c>
      <c r="BS89" s="22">
        <v>0</v>
      </c>
      <c r="BT89" s="22">
        <v>186.44</v>
      </c>
      <c r="BU89" s="22">
        <v>0</v>
      </c>
      <c r="BV89" s="22">
        <v>0</v>
      </c>
      <c r="BW89" s="22">
        <v>83.52</v>
      </c>
      <c r="BX89" s="22">
        <v>0</v>
      </c>
      <c r="BY89" s="22">
        <v>0</v>
      </c>
      <c r="BZ89" s="22">
        <v>0</v>
      </c>
      <c r="CA89" s="22">
        <v>0</v>
      </c>
      <c r="CB89" s="22">
        <v>0</v>
      </c>
      <c r="CC89" s="22">
        <v>0</v>
      </c>
      <c r="CD89" s="22">
        <v>589.48</v>
      </c>
      <c r="CE89" s="22">
        <v>102.89</v>
      </c>
      <c r="CF89" s="22">
        <v>340.29</v>
      </c>
      <c r="CG89" s="22">
        <v>35.15</v>
      </c>
      <c r="CH89" s="22">
        <v>319.33</v>
      </c>
      <c r="CI89" s="22">
        <v>930.73</v>
      </c>
      <c r="CJ89" s="22">
        <v>104.46</v>
      </c>
      <c r="CK89" s="22">
        <v>407.99</v>
      </c>
      <c r="CL89" s="22">
        <v>69</v>
      </c>
      <c r="CM89" s="22">
        <v>0</v>
      </c>
      <c r="CN89" s="22">
        <v>143.97</v>
      </c>
      <c r="CO89" s="22">
        <v>49.08</v>
      </c>
      <c r="CP89" s="22">
        <v>22.14</v>
      </c>
      <c r="CQ89" s="22">
        <v>40.799999999999997</v>
      </c>
      <c r="CR89" s="22">
        <v>980.06</v>
      </c>
      <c r="CS89" s="22">
        <v>50.77</v>
      </c>
      <c r="CT89" s="22">
        <v>1940.28</v>
      </c>
      <c r="CU89" s="21">
        <v>0</v>
      </c>
      <c r="CV89" s="21">
        <v>175.56</v>
      </c>
      <c r="CW89" s="21">
        <v>0</v>
      </c>
      <c r="CX89" s="21">
        <v>0</v>
      </c>
      <c r="CY89" s="21">
        <v>6.78</v>
      </c>
      <c r="CZ89" s="21">
        <v>0</v>
      </c>
      <c r="DA89" s="21">
        <v>0</v>
      </c>
      <c r="DB89" s="21">
        <v>0</v>
      </c>
      <c r="DC89" s="21">
        <v>0</v>
      </c>
      <c r="DD89" s="21">
        <v>0</v>
      </c>
      <c r="DE89" s="21">
        <v>0</v>
      </c>
      <c r="DF89" s="21">
        <v>0</v>
      </c>
      <c r="DG89" s="21">
        <v>0</v>
      </c>
      <c r="DH89" s="74"/>
      <c r="DJ89" s="67"/>
      <c r="DL89" s="67"/>
    </row>
    <row r="90" spans="1:117">
      <c r="A90" s="19" t="s">
        <v>337</v>
      </c>
      <c r="B90" s="19" t="s">
        <v>338</v>
      </c>
      <c r="C90" s="19" t="s">
        <v>336</v>
      </c>
      <c r="D90" s="20">
        <f t="shared" si="1"/>
        <v>172047.79</v>
      </c>
      <c r="E90" s="22">
        <v>52476.85</v>
      </c>
      <c r="F90" s="22">
        <v>38267.040000000001</v>
      </c>
      <c r="G90" s="22">
        <v>9689.77</v>
      </c>
      <c r="H90" s="22">
        <v>1321.23</v>
      </c>
      <c r="I90" s="22">
        <v>1575.38</v>
      </c>
      <c r="J90" s="22">
        <v>3108.96</v>
      </c>
      <c r="K90" s="22">
        <v>706.52</v>
      </c>
      <c r="L90" s="22">
        <v>0</v>
      </c>
      <c r="M90" s="22">
        <v>797.25</v>
      </c>
      <c r="N90" s="22">
        <v>0</v>
      </c>
      <c r="O90" s="22">
        <v>0</v>
      </c>
      <c r="P90" s="22">
        <v>403.71</v>
      </c>
      <c r="Q90" s="22">
        <v>1182.74</v>
      </c>
      <c r="R90" s="22">
        <v>217.1</v>
      </c>
      <c r="S90" s="22">
        <v>5438.07</v>
      </c>
      <c r="T90" s="22">
        <v>475.3</v>
      </c>
      <c r="U90" s="22">
        <v>2701.15</v>
      </c>
      <c r="V90" s="22">
        <v>531.19000000000005</v>
      </c>
      <c r="W90" s="22">
        <v>2384.0700000000002</v>
      </c>
      <c r="X90" s="22">
        <v>0</v>
      </c>
      <c r="Y90" s="22">
        <v>0</v>
      </c>
      <c r="Z90" s="22">
        <v>327.19</v>
      </c>
      <c r="AA90" s="22">
        <v>1247.8599999999999</v>
      </c>
      <c r="AB90" s="22">
        <v>0</v>
      </c>
      <c r="AC90" s="22">
        <v>738.86</v>
      </c>
      <c r="AD90" s="22">
        <v>1156.3900000000001</v>
      </c>
      <c r="AE90" s="22">
        <v>1807.29</v>
      </c>
      <c r="AF90" s="22">
        <v>0</v>
      </c>
      <c r="AG90" s="22">
        <v>0</v>
      </c>
      <c r="AH90" s="22">
        <v>1206.3499999999999</v>
      </c>
      <c r="AI90" s="22">
        <v>0</v>
      </c>
      <c r="AJ90" s="22">
        <v>0</v>
      </c>
      <c r="AK90" s="22">
        <v>71.13</v>
      </c>
      <c r="AL90" s="22">
        <v>0</v>
      </c>
      <c r="AM90" s="22">
        <v>32.58</v>
      </c>
      <c r="AN90" s="22">
        <v>440.7</v>
      </c>
      <c r="AO90" s="22">
        <v>0</v>
      </c>
      <c r="AP90" s="22">
        <v>0</v>
      </c>
      <c r="AQ90" s="22">
        <v>0</v>
      </c>
      <c r="AR90" s="22">
        <v>0</v>
      </c>
      <c r="AS90" s="22">
        <v>0</v>
      </c>
      <c r="AT90" s="22">
        <v>0</v>
      </c>
      <c r="AU90" s="22">
        <v>0</v>
      </c>
      <c r="AV90" s="22">
        <v>0</v>
      </c>
      <c r="AW90" s="22">
        <v>0</v>
      </c>
      <c r="AX90" s="22">
        <v>1778.07</v>
      </c>
      <c r="AY90" s="22">
        <v>1246.81</v>
      </c>
      <c r="AZ90" s="22">
        <v>0</v>
      </c>
      <c r="BA90" s="22">
        <v>0</v>
      </c>
      <c r="BB90" s="22">
        <v>1979.69</v>
      </c>
      <c r="BC90" s="22">
        <v>1034.22</v>
      </c>
      <c r="BD90" s="22">
        <v>0</v>
      </c>
      <c r="BE90" s="22">
        <v>0</v>
      </c>
      <c r="BF90" s="22">
        <v>1094.3800000000001</v>
      </c>
      <c r="BG90" s="22">
        <v>0</v>
      </c>
      <c r="BH90" s="22">
        <v>0</v>
      </c>
      <c r="BI90" s="22">
        <v>0</v>
      </c>
      <c r="BJ90" s="22">
        <v>0</v>
      </c>
      <c r="BK90" s="22">
        <v>711.94</v>
      </c>
      <c r="BL90" s="22">
        <v>298.35000000000002</v>
      </c>
      <c r="BM90" s="22">
        <v>0</v>
      </c>
      <c r="BN90" s="22">
        <v>440.8</v>
      </c>
      <c r="BO90" s="22">
        <v>1014.55</v>
      </c>
      <c r="BP90" s="22">
        <v>0</v>
      </c>
      <c r="BQ90" s="22">
        <v>0</v>
      </c>
      <c r="BR90" s="22">
        <v>0</v>
      </c>
      <c r="BS90" s="22">
        <v>0</v>
      </c>
      <c r="BT90" s="22">
        <v>972.79</v>
      </c>
      <c r="BU90" s="22">
        <v>471.52</v>
      </c>
      <c r="BV90" s="22">
        <v>467.37</v>
      </c>
      <c r="BW90" s="22">
        <v>2796.39</v>
      </c>
      <c r="BX90" s="22">
        <v>0</v>
      </c>
      <c r="BY90" s="22">
        <v>490.88</v>
      </c>
      <c r="BZ90" s="22">
        <v>0</v>
      </c>
      <c r="CA90" s="22">
        <v>0</v>
      </c>
      <c r="CB90" s="22">
        <v>164.27</v>
      </c>
      <c r="CC90" s="22">
        <v>0</v>
      </c>
      <c r="CD90" s="22">
        <v>0</v>
      </c>
      <c r="CE90" s="22">
        <v>436.08</v>
      </c>
      <c r="CF90" s="22">
        <v>2950.74</v>
      </c>
      <c r="CG90" s="22">
        <v>915.31</v>
      </c>
      <c r="CH90" s="22">
        <v>422.62</v>
      </c>
      <c r="CI90" s="22">
        <v>1148.4100000000001</v>
      </c>
      <c r="CJ90" s="22">
        <v>0</v>
      </c>
      <c r="CK90" s="22">
        <v>4296.5</v>
      </c>
      <c r="CL90" s="22">
        <v>608.58000000000004</v>
      </c>
      <c r="CM90" s="22">
        <v>569.08000000000004</v>
      </c>
      <c r="CN90" s="22">
        <v>1327.47</v>
      </c>
      <c r="CO90" s="22">
        <v>0</v>
      </c>
      <c r="CP90" s="22">
        <v>0</v>
      </c>
      <c r="CQ90" s="22">
        <v>1291.23</v>
      </c>
      <c r="CR90" s="22">
        <v>1095.3399999999999</v>
      </c>
      <c r="CS90" s="22">
        <v>1971.32</v>
      </c>
      <c r="CT90" s="22">
        <v>2908.67</v>
      </c>
      <c r="CU90" s="21">
        <v>0</v>
      </c>
      <c r="CV90" s="21">
        <v>1916.33</v>
      </c>
      <c r="CW90" s="21">
        <v>576.24</v>
      </c>
      <c r="CX90" s="21">
        <v>726.29</v>
      </c>
      <c r="CY90" s="21">
        <v>3909.08</v>
      </c>
      <c r="CZ90" s="21">
        <v>0</v>
      </c>
      <c r="DA90" s="21">
        <v>0</v>
      </c>
      <c r="DB90" s="21">
        <v>0</v>
      </c>
      <c r="DC90" s="21">
        <v>0</v>
      </c>
      <c r="DD90" s="21">
        <v>0</v>
      </c>
      <c r="DE90" s="21">
        <v>1711.79</v>
      </c>
      <c r="DF90" s="21">
        <v>0</v>
      </c>
      <c r="DG90" s="21">
        <v>0</v>
      </c>
      <c r="DH90" s="74"/>
      <c r="DJ90" s="67"/>
      <c r="DL90" s="67"/>
    </row>
    <row r="91" spans="1:117">
      <c r="A91" s="23" t="s">
        <v>339</v>
      </c>
      <c r="B91" s="19" t="s">
        <v>340</v>
      </c>
      <c r="C91" s="19" t="s">
        <v>196</v>
      </c>
      <c r="D91" s="20">
        <f t="shared" si="1"/>
        <v>261426.88999999984</v>
      </c>
      <c r="E91" s="22">
        <v>61745.27</v>
      </c>
      <c r="F91" s="22">
        <v>41993.99</v>
      </c>
      <c r="G91" s="22">
        <v>12810.83</v>
      </c>
      <c r="H91" s="22">
        <v>1946.1899999999998</v>
      </c>
      <c r="I91" s="22">
        <v>21286.519999999997</v>
      </c>
      <c r="J91" s="22">
        <v>4754.18</v>
      </c>
      <c r="K91" s="22">
        <v>964.19999999999982</v>
      </c>
      <c r="L91" s="22">
        <v>922</v>
      </c>
      <c r="M91" s="22">
        <v>1331.93</v>
      </c>
      <c r="N91" s="22">
        <v>137.57</v>
      </c>
      <c r="O91" s="22">
        <v>145.99</v>
      </c>
      <c r="P91" s="22">
        <v>865.67000000000007</v>
      </c>
      <c r="Q91" s="22">
        <v>1568.18</v>
      </c>
      <c r="R91" s="22">
        <v>262.02</v>
      </c>
      <c r="S91" s="22">
        <v>6645.9199999999992</v>
      </c>
      <c r="T91" s="22">
        <v>2184.73</v>
      </c>
      <c r="U91" s="22">
        <v>3130.18</v>
      </c>
      <c r="V91" s="22">
        <v>728.57999999999993</v>
      </c>
      <c r="W91" s="22">
        <v>2961.7899999999991</v>
      </c>
      <c r="X91" s="22">
        <v>493.01</v>
      </c>
      <c r="Y91" s="22">
        <v>268.39999999999998</v>
      </c>
      <c r="Z91" s="22">
        <v>686.77</v>
      </c>
      <c r="AA91" s="22">
        <v>2279.9299999999998</v>
      </c>
      <c r="AB91" s="22">
        <v>105.37</v>
      </c>
      <c r="AC91" s="22">
        <v>1588.26</v>
      </c>
      <c r="AD91" s="22">
        <v>2689.0699999999997</v>
      </c>
      <c r="AE91" s="22">
        <v>2474.44</v>
      </c>
      <c r="AF91" s="22">
        <v>77.400000000000006</v>
      </c>
      <c r="AG91" s="22">
        <v>458.61</v>
      </c>
      <c r="AH91" s="22">
        <v>3099.97</v>
      </c>
      <c r="AI91" s="22">
        <v>314.10000000000002</v>
      </c>
      <c r="AJ91" s="22">
        <v>608.04999999999995</v>
      </c>
      <c r="AK91" s="22">
        <v>606.03</v>
      </c>
      <c r="AL91" s="22">
        <v>425.13</v>
      </c>
      <c r="AM91" s="22">
        <v>1051.21</v>
      </c>
      <c r="AN91" s="22">
        <v>816.84</v>
      </c>
      <c r="AO91" s="22">
        <v>172.74</v>
      </c>
      <c r="AP91" s="22">
        <v>93.81</v>
      </c>
      <c r="AQ91" s="22">
        <v>53.36</v>
      </c>
      <c r="AR91" s="22">
        <v>98.49</v>
      </c>
      <c r="AS91" s="22">
        <v>99.02</v>
      </c>
      <c r="AT91" s="22">
        <v>169.27</v>
      </c>
      <c r="AU91" s="22">
        <v>163.82</v>
      </c>
      <c r="AV91" s="22">
        <v>209.84</v>
      </c>
      <c r="AW91" s="22">
        <v>96.84</v>
      </c>
      <c r="AX91" s="22">
        <v>2322.71</v>
      </c>
      <c r="AY91" s="22">
        <v>2962.92</v>
      </c>
      <c r="AZ91" s="22">
        <v>173.35999999999999</v>
      </c>
      <c r="BA91" s="22">
        <v>131.68</v>
      </c>
      <c r="BB91" s="22">
        <v>2485.1299999999997</v>
      </c>
      <c r="BC91" s="22">
        <v>1594.3000000000002</v>
      </c>
      <c r="BD91" s="22">
        <v>461.14</v>
      </c>
      <c r="BE91" s="22">
        <v>1885.6399999999999</v>
      </c>
      <c r="BF91" s="22">
        <v>1217.1099999999997</v>
      </c>
      <c r="BG91" s="22">
        <v>121.98</v>
      </c>
      <c r="BH91" s="22">
        <v>156.68</v>
      </c>
      <c r="BI91" s="22">
        <v>112.89</v>
      </c>
      <c r="BJ91" s="22">
        <v>536.12</v>
      </c>
      <c r="BK91" s="22">
        <v>912.63</v>
      </c>
      <c r="BL91" s="22">
        <v>945.37</v>
      </c>
      <c r="BM91" s="22">
        <v>104.7</v>
      </c>
      <c r="BN91" s="22">
        <v>674.54</v>
      </c>
      <c r="BO91" s="22">
        <v>1037.24</v>
      </c>
      <c r="BP91" s="22">
        <v>120.43999999999998</v>
      </c>
      <c r="BQ91" s="22">
        <v>1823.9900000000005</v>
      </c>
      <c r="BR91" s="22">
        <v>80.25</v>
      </c>
      <c r="BS91" s="22">
        <v>147.77000000000001</v>
      </c>
      <c r="BT91" s="22">
        <v>1540.6799999999994</v>
      </c>
      <c r="BU91" s="22">
        <v>471.52000000000004</v>
      </c>
      <c r="BV91" s="22">
        <v>467.37</v>
      </c>
      <c r="BW91" s="22">
        <v>3532.0399999999995</v>
      </c>
      <c r="BX91" s="22">
        <v>457.61</v>
      </c>
      <c r="BY91" s="22">
        <v>562.27</v>
      </c>
      <c r="BZ91" s="22">
        <v>72.22</v>
      </c>
      <c r="CA91" s="22">
        <v>216.36</v>
      </c>
      <c r="CB91" s="22">
        <v>413.42</v>
      </c>
      <c r="CC91" s="22">
        <v>82.56</v>
      </c>
      <c r="CD91" s="22">
        <v>682.67999999999984</v>
      </c>
      <c r="CE91" s="22">
        <v>453.0800000000001</v>
      </c>
      <c r="CF91" s="22">
        <v>3457.93</v>
      </c>
      <c r="CG91" s="22">
        <v>1024.8099999999997</v>
      </c>
      <c r="CH91" s="22">
        <v>422.62</v>
      </c>
      <c r="CI91" s="22">
        <v>1148.4099999999996</v>
      </c>
      <c r="CJ91" s="22">
        <v>1303.3800000000001</v>
      </c>
      <c r="CK91" s="22">
        <v>9042.36</v>
      </c>
      <c r="CL91" s="22">
        <v>1492.69</v>
      </c>
      <c r="CM91" s="22">
        <v>2430.94</v>
      </c>
      <c r="CN91" s="22">
        <v>1686.34</v>
      </c>
      <c r="CO91" s="22">
        <v>1150.94</v>
      </c>
      <c r="CP91" s="22">
        <v>1368.26</v>
      </c>
      <c r="CQ91" s="22">
        <v>1385.41</v>
      </c>
      <c r="CR91" s="22">
        <v>1095.3399999999999</v>
      </c>
      <c r="CS91" s="22">
        <v>2239.36</v>
      </c>
      <c r="CT91" s="22">
        <v>3879</v>
      </c>
      <c r="CU91" s="21">
        <v>0</v>
      </c>
      <c r="CV91" s="21">
        <v>2296.94</v>
      </c>
      <c r="CW91" s="21">
        <v>586.67999999999995</v>
      </c>
      <c r="CX91" s="21">
        <v>1439.25</v>
      </c>
      <c r="CY91" s="21">
        <v>4029.35</v>
      </c>
      <c r="CZ91" s="21">
        <v>0</v>
      </c>
      <c r="DA91" s="21">
        <v>977.39</v>
      </c>
      <c r="DB91" s="21">
        <v>122.91</v>
      </c>
      <c r="DC91" s="21">
        <v>201.66</v>
      </c>
      <c r="DD91" s="21">
        <v>936.09</v>
      </c>
      <c r="DE91" s="21">
        <v>2638.26</v>
      </c>
      <c r="DF91" s="21">
        <v>524.65</v>
      </c>
      <c r="DG91" s="21">
        <v>0</v>
      </c>
      <c r="DH91" s="74"/>
      <c r="DJ91" s="67"/>
      <c r="DL91" s="67"/>
    </row>
    <row r="92" spans="1:117">
      <c r="A92" s="23" t="s">
        <v>341</v>
      </c>
      <c r="B92" s="19" t="s">
        <v>342</v>
      </c>
      <c r="C92" s="19" t="s">
        <v>196</v>
      </c>
      <c r="D92" s="20">
        <f t="shared" si="1"/>
        <v>261426.88999999984</v>
      </c>
      <c r="E92" s="22">
        <v>61745.27</v>
      </c>
      <c r="F92" s="22">
        <v>41993.99</v>
      </c>
      <c r="G92" s="22">
        <v>12810.83</v>
      </c>
      <c r="H92" s="22">
        <v>1946.1899999999998</v>
      </c>
      <c r="I92" s="22">
        <v>21286.519999999997</v>
      </c>
      <c r="J92" s="22">
        <v>4754.18</v>
      </c>
      <c r="K92" s="22">
        <v>964.19999999999982</v>
      </c>
      <c r="L92" s="22">
        <v>922</v>
      </c>
      <c r="M92" s="22">
        <v>1331.93</v>
      </c>
      <c r="N92" s="22">
        <v>137.57</v>
      </c>
      <c r="O92" s="22">
        <v>145.99</v>
      </c>
      <c r="P92" s="22">
        <v>865.67000000000007</v>
      </c>
      <c r="Q92" s="22">
        <v>1568.18</v>
      </c>
      <c r="R92" s="22">
        <v>262.02</v>
      </c>
      <c r="S92" s="22">
        <v>6645.9199999999992</v>
      </c>
      <c r="T92" s="22">
        <v>2184.73</v>
      </c>
      <c r="U92" s="22">
        <v>3130.18</v>
      </c>
      <c r="V92" s="22">
        <v>728.57999999999993</v>
      </c>
      <c r="W92" s="22">
        <v>2961.7899999999991</v>
      </c>
      <c r="X92" s="22">
        <v>493.01</v>
      </c>
      <c r="Y92" s="22">
        <v>268.39999999999998</v>
      </c>
      <c r="Z92" s="22">
        <v>686.77</v>
      </c>
      <c r="AA92" s="22">
        <v>2279.9299999999998</v>
      </c>
      <c r="AB92" s="22">
        <v>105.37</v>
      </c>
      <c r="AC92" s="22">
        <v>1588.26</v>
      </c>
      <c r="AD92" s="22">
        <v>2689.0699999999997</v>
      </c>
      <c r="AE92" s="22">
        <v>2474.44</v>
      </c>
      <c r="AF92" s="22">
        <v>77.400000000000006</v>
      </c>
      <c r="AG92" s="22">
        <v>458.61</v>
      </c>
      <c r="AH92" s="22">
        <v>3099.97</v>
      </c>
      <c r="AI92" s="22">
        <v>314.10000000000002</v>
      </c>
      <c r="AJ92" s="22">
        <v>608.04999999999995</v>
      </c>
      <c r="AK92" s="22">
        <v>606.03</v>
      </c>
      <c r="AL92" s="22">
        <v>425.13</v>
      </c>
      <c r="AM92" s="22">
        <v>1051.21</v>
      </c>
      <c r="AN92" s="22">
        <v>816.84</v>
      </c>
      <c r="AO92" s="22">
        <v>172.74</v>
      </c>
      <c r="AP92" s="22">
        <v>93.81</v>
      </c>
      <c r="AQ92" s="22">
        <v>53.36</v>
      </c>
      <c r="AR92" s="22">
        <v>98.49</v>
      </c>
      <c r="AS92" s="22">
        <v>99.02</v>
      </c>
      <c r="AT92" s="22">
        <v>169.27</v>
      </c>
      <c r="AU92" s="22">
        <v>163.82</v>
      </c>
      <c r="AV92" s="22">
        <v>209.84</v>
      </c>
      <c r="AW92" s="22">
        <v>96.84</v>
      </c>
      <c r="AX92" s="22">
        <v>2322.71</v>
      </c>
      <c r="AY92" s="22">
        <v>2962.92</v>
      </c>
      <c r="AZ92" s="22">
        <v>173.35999999999999</v>
      </c>
      <c r="BA92" s="22">
        <v>131.68</v>
      </c>
      <c r="BB92" s="22">
        <v>2485.1299999999997</v>
      </c>
      <c r="BC92" s="22">
        <v>1594.3000000000002</v>
      </c>
      <c r="BD92" s="22">
        <v>461.14</v>
      </c>
      <c r="BE92" s="22">
        <v>1885.6399999999999</v>
      </c>
      <c r="BF92" s="22">
        <v>1217.1099999999997</v>
      </c>
      <c r="BG92" s="22">
        <v>121.98</v>
      </c>
      <c r="BH92" s="22">
        <v>156.68</v>
      </c>
      <c r="BI92" s="22">
        <v>112.89</v>
      </c>
      <c r="BJ92" s="22">
        <v>536.12</v>
      </c>
      <c r="BK92" s="22">
        <v>912.63</v>
      </c>
      <c r="BL92" s="22">
        <v>945.37</v>
      </c>
      <c r="BM92" s="22">
        <v>104.7</v>
      </c>
      <c r="BN92" s="22">
        <v>674.54</v>
      </c>
      <c r="BO92" s="22">
        <v>1037.24</v>
      </c>
      <c r="BP92" s="22">
        <v>120.43999999999998</v>
      </c>
      <c r="BQ92" s="22">
        <v>1823.9900000000005</v>
      </c>
      <c r="BR92" s="22">
        <v>80.25</v>
      </c>
      <c r="BS92" s="22">
        <v>147.77000000000001</v>
      </c>
      <c r="BT92" s="22">
        <v>1540.6799999999994</v>
      </c>
      <c r="BU92" s="22">
        <v>471.52000000000004</v>
      </c>
      <c r="BV92" s="22">
        <v>467.37</v>
      </c>
      <c r="BW92" s="22">
        <v>3532.0399999999995</v>
      </c>
      <c r="BX92" s="22">
        <v>457.61</v>
      </c>
      <c r="BY92" s="22">
        <v>562.27</v>
      </c>
      <c r="BZ92" s="22">
        <v>72.22</v>
      </c>
      <c r="CA92" s="22">
        <v>216.36</v>
      </c>
      <c r="CB92" s="22">
        <v>413.42</v>
      </c>
      <c r="CC92" s="22">
        <v>82.56</v>
      </c>
      <c r="CD92" s="22">
        <v>682.67999999999984</v>
      </c>
      <c r="CE92" s="22">
        <v>453.0800000000001</v>
      </c>
      <c r="CF92" s="22">
        <v>3457.93</v>
      </c>
      <c r="CG92" s="22">
        <v>1024.8099999999997</v>
      </c>
      <c r="CH92" s="22">
        <v>422.62</v>
      </c>
      <c r="CI92" s="22">
        <v>1148.4099999999996</v>
      </c>
      <c r="CJ92" s="22">
        <v>1303.3800000000001</v>
      </c>
      <c r="CK92" s="22">
        <v>9042.36</v>
      </c>
      <c r="CL92" s="22">
        <v>1492.69</v>
      </c>
      <c r="CM92" s="22">
        <v>2430.94</v>
      </c>
      <c r="CN92" s="22">
        <v>1686.34</v>
      </c>
      <c r="CO92" s="22">
        <v>1150.94</v>
      </c>
      <c r="CP92" s="22">
        <v>1368.26</v>
      </c>
      <c r="CQ92" s="22">
        <v>1385.41</v>
      </c>
      <c r="CR92" s="22">
        <v>1095.3399999999999</v>
      </c>
      <c r="CS92" s="22">
        <v>2239.36</v>
      </c>
      <c r="CT92" s="22">
        <v>3879</v>
      </c>
      <c r="CU92" s="21">
        <v>0</v>
      </c>
      <c r="CV92" s="21">
        <v>2296.94</v>
      </c>
      <c r="CW92" s="21">
        <v>586.67999999999995</v>
      </c>
      <c r="CX92" s="21">
        <v>1439.25</v>
      </c>
      <c r="CY92" s="21">
        <v>4029.35</v>
      </c>
      <c r="CZ92" s="21">
        <v>0</v>
      </c>
      <c r="DA92" s="21">
        <v>977.39</v>
      </c>
      <c r="DB92" s="21">
        <v>122.91</v>
      </c>
      <c r="DC92" s="21">
        <v>201.66</v>
      </c>
      <c r="DD92" s="21">
        <v>936.09</v>
      </c>
      <c r="DE92" s="21">
        <v>2638.26</v>
      </c>
      <c r="DF92" s="21">
        <v>524.65</v>
      </c>
      <c r="DG92" s="21">
        <v>0</v>
      </c>
      <c r="DH92" s="74"/>
      <c r="DJ92" s="67"/>
      <c r="DL92" s="67"/>
    </row>
    <row r="93" spans="1:117">
      <c r="A93" s="23" t="s">
        <v>343</v>
      </c>
      <c r="B93" s="19" t="s">
        <v>344</v>
      </c>
      <c r="C93" s="19" t="s">
        <v>345</v>
      </c>
      <c r="D93" s="20">
        <f t="shared" si="1"/>
        <v>1394</v>
      </c>
      <c r="E93" s="22">
        <v>695</v>
      </c>
      <c r="F93" s="22">
        <v>140</v>
      </c>
      <c r="G93" s="22">
        <v>122</v>
      </c>
      <c r="H93" s="22">
        <v>7</v>
      </c>
      <c r="I93" s="22">
        <v>35</v>
      </c>
      <c r="J93" s="22">
        <v>23</v>
      </c>
      <c r="K93" s="22">
        <v>1</v>
      </c>
      <c r="L93" s="22">
        <v>0</v>
      </c>
      <c r="M93" s="22">
        <v>0</v>
      </c>
      <c r="N93" s="22">
        <v>0</v>
      </c>
      <c r="O93" s="22">
        <v>0</v>
      </c>
      <c r="P93" s="22">
        <v>3</v>
      </c>
      <c r="Q93" s="22">
        <v>12</v>
      </c>
      <c r="R93" s="22">
        <v>0</v>
      </c>
      <c r="S93" s="22">
        <v>15</v>
      </c>
      <c r="T93" s="22">
        <v>0</v>
      </c>
      <c r="U93" s="22">
        <v>21</v>
      </c>
      <c r="V93" s="22">
        <v>11</v>
      </c>
      <c r="W93" s="22">
        <v>28</v>
      </c>
      <c r="X93" s="22">
        <v>0</v>
      </c>
      <c r="Y93" s="22">
        <v>0</v>
      </c>
      <c r="Z93" s="22">
        <v>0</v>
      </c>
      <c r="AA93" s="22">
        <v>32</v>
      </c>
      <c r="AB93" s="22">
        <v>0</v>
      </c>
      <c r="AC93" s="22">
        <v>0</v>
      </c>
      <c r="AD93" s="22">
        <v>0</v>
      </c>
      <c r="AE93" s="22">
        <v>14</v>
      </c>
      <c r="AF93" s="22">
        <v>0</v>
      </c>
      <c r="AG93" s="22">
        <v>0</v>
      </c>
      <c r="AH93" s="22">
        <v>18</v>
      </c>
      <c r="AI93" s="22">
        <v>0</v>
      </c>
      <c r="AJ93" s="22">
        <v>0</v>
      </c>
      <c r="AK93" s="22">
        <v>0</v>
      </c>
      <c r="AL93" s="22">
        <v>0</v>
      </c>
      <c r="AM93" s="22">
        <v>3</v>
      </c>
      <c r="AN93" s="22">
        <v>0</v>
      </c>
      <c r="AO93" s="22">
        <v>0</v>
      </c>
      <c r="AP93" s="22">
        <v>0</v>
      </c>
      <c r="AQ93" s="22">
        <v>0</v>
      </c>
      <c r="AR93" s="22">
        <v>0</v>
      </c>
      <c r="AS93" s="22">
        <v>0</v>
      </c>
      <c r="AT93" s="22">
        <v>0</v>
      </c>
      <c r="AU93" s="22">
        <v>0</v>
      </c>
      <c r="AV93" s="22">
        <v>0</v>
      </c>
      <c r="AW93" s="22">
        <v>0</v>
      </c>
      <c r="AX93" s="22">
        <v>20</v>
      </c>
      <c r="AY93" s="22">
        <v>0</v>
      </c>
      <c r="AZ93" s="22">
        <v>0</v>
      </c>
      <c r="BA93" s="22">
        <v>0</v>
      </c>
      <c r="BB93" s="22">
        <v>13</v>
      </c>
      <c r="BC93" s="22">
        <v>7</v>
      </c>
      <c r="BD93" s="22">
        <v>1</v>
      </c>
      <c r="BE93" s="22">
        <v>0</v>
      </c>
      <c r="BF93" s="22">
        <v>0</v>
      </c>
      <c r="BG93" s="22">
        <v>0</v>
      </c>
      <c r="BH93" s="22">
        <v>0</v>
      </c>
      <c r="BI93" s="22">
        <v>0</v>
      </c>
      <c r="BJ93" s="22">
        <v>0</v>
      </c>
      <c r="BK93" s="22">
        <v>1</v>
      </c>
      <c r="BL93" s="22">
        <v>0</v>
      </c>
      <c r="BM93" s="22">
        <v>0</v>
      </c>
      <c r="BN93" s="22">
        <v>6</v>
      </c>
      <c r="BO93" s="22">
        <v>0</v>
      </c>
      <c r="BP93" s="22">
        <v>0</v>
      </c>
      <c r="BQ93" s="22">
        <v>0</v>
      </c>
      <c r="BR93" s="22">
        <v>0</v>
      </c>
      <c r="BS93" s="22">
        <v>0</v>
      </c>
      <c r="BT93" s="22">
        <v>2</v>
      </c>
      <c r="BU93" s="22">
        <v>0</v>
      </c>
      <c r="BV93" s="22">
        <v>0</v>
      </c>
      <c r="BW93" s="22">
        <v>14</v>
      </c>
      <c r="BX93" s="22">
        <v>0</v>
      </c>
      <c r="BY93" s="22">
        <v>0</v>
      </c>
      <c r="BZ93" s="22">
        <v>0</v>
      </c>
      <c r="CA93" s="22">
        <v>0</v>
      </c>
      <c r="CB93" s="22">
        <v>0</v>
      </c>
      <c r="CC93" s="22">
        <v>0</v>
      </c>
      <c r="CD93" s="22">
        <v>0</v>
      </c>
      <c r="CE93" s="22">
        <v>0</v>
      </c>
      <c r="CF93" s="22">
        <v>0</v>
      </c>
      <c r="CG93" s="22">
        <v>16</v>
      </c>
      <c r="CH93" s="22">
        <v>3</v>
      </c>
      <c r="CI93" s="22">
        <v>0</v>
      </c>
      <c r="CJ93" s="22">
        <v>0</v>
      </c>
      <c r="CK93" s="22">
        <v>3</v>
      </c>
      <c r="CL93" s="22">
        <v>4</v>
      </c>
      <c r="CM93" s="22">
        <v>4</v>
      </c>
      <c r="CN93" s="22">
        <v>14</v>
      </c>
      <c r="CO93" s="22">
        <v>0</v>
      </c>
      <c r="CP93" s="22">
        <v>0</v>
      </c>
      <c r="CQ93" s="22">
        <v>12</v>
      </c>
      <c r="CR93" s="22">
        <v>7</v>
      </c>
      <c r="CS93" s="22">
        <v>0</v>
      </c>
      <c r="CT93" s="22">
        <v>35</v>
      </c>
      <c r="CU93" s="21">
        <v>0</v>
      </c>
      <c r="CV93" s="21">
        <v>17</v>
      </c>
      <c r="CW93" s="21">
        <v>0</v>
      </c>
      <c r="CX93" s="21">
        <v>1</v>
      </c>
      <c r="CY93" s="21">
        <v>34</v>
      </c>
      <c r="CZ93" s="21">
        <v>0</v>
      </c>
      <c r="DA93" s="21">
        <v>0</v>
      </c>
      <c r="DB93" s="21">
        <v>0</v>
      </c>
      <c r="DC93" s="21">
        <v>0</v>
      </c>
      <c r="DD93" s="21">
        <v>0</v>
      </c>
      <c r="DE93" s="21">
        <v>0</v>
      </c>
      <c r="DF93" s="21">
        <v>0</v>
      </c>
      <c r="DG93" s="21">
        <v>0</v>
      </c>
      <c r="DH93" s="74"/>
      <c r="DJ93" s="67"/>
      <c r="DL93" s="67"/>
    </row>
    <row r="94" spans="1:117">
      <c r="A94" s="23" t="s">
        <v>346</v>
      </c>
      <c r="B94" s="19" t="s">
        <v>347</v>
      </c>
      <c r="C94" s="19" t="s">
        <v>348</v>
      </c>
      <c r="D94" s="20">
        <f t="shared" si="1"/>
        <v>2717</v>
      </c>
      <c r="E94" s="22">
        <v>654</v>
      </c>
      <c r="F94" s="22">
        <v>413</v>
      </c>
      <c r="G94" s="22">
        <v>87</v>
      </c>
      <c r="H94" s="22">
        <v>15</v>
      </c>
      <c r="I94" s="22">
        <v>207</v>
      </c>
      <c r="J94" s="22">
        <v>43</v>
      </c>
      <c r="K94" s="22">
        <v>8</v>
      </c>
      <c r="L94" s="22">
        <v>12</v>
      </c>
      <c r="M94" s="22">
        <v>10</v>
      </c>
      <c r="N94" s="22">
        <v>0</v>
      </c>
      <c r="O94" s="22">
        <v>0</v>
      </c>
      <c r="P94" s="22">
        <v>13</v>
      </c>
      <c r="Q94" s="22">
        <v>18</v>
      </c>
      <c r="R94" s="22">
        <v>3</v>
      </c>
      <c r="S94" s="22">
        <v>68</v>
      </c>
      <c r="T94" s="22">
        <v>18</v>
      </c>
      <c r="U94" s="22">
        <v>54</v>
      </c>
      <c r="V94" s="22">
        <v>10</v>
      </c>
      <c r="W94" s="22">
        <v>65</v>
      </c>
      <c r="X94" s="22">
        <v>5</v>
      </c>
      <c r="Y94" s="22">
        <v>0</v>
      </c>
      <c r="Z94" s="22">
        <v>3</v>
      </c>
      <c r="AA94" s="22">
        <v>0</v>
      </c>
      <c r="AB94" s="22">
        <v>1</v>
      </c>
      <c r="AC94" s="22">
        <v>14</v>
      </c>
      <c r="AD94" s="22">
        <v>46</v>
      </c>
      <c r="AE94" s="22">
        <v>28</v>
      </c>
      <c r="AF94" s="22">
        <v>0</v>
      </c>
      <c r="AG94" s="22">
        <v>10</v>
      </c>
      <c r="AH94" s="22">
        <v>27</v>
      </c>
      <c r="AI94" s="22">
        <v>3</v>
      </c>
      <c r="AJ94" s="22">
        <v>5</v>
      </c>
      <c r="AK94" s="22">
        <v>8</v>
      </c>
      <c r="AL94" s="22">
        <v>5</v>
      </c>
      <c r="AM94" s="22">
        <v>8</v>
      </c>
      <c r="AN94" s="22">
        <v>0</v>
      </c>
      <c r="AO94" s="22">
        <v>2</v>
      </c>
      <c r="AP94" s="22">
        <v>1</v>
      </c>
      <c r="AQ94" s="22">
        <v>1</v>
      </c>
      <c r="AR94" s="22">
        <v>1</v>
      </c>
      <c r="AS94" s="22">
        <v>1</v>
      </c>
      <c r="AT94" s="22">
        <v>6</v>
      </c>
      <c r="AU94" s="22">
        <v>2</v>
      </c>
      <c r="AV94" s="22">
        <v>2</v>
      </c>
      <c r="AW94" s="22">
        <v>1</v>
      </c>
      <c r="AX94" s="22">
        <v>25</v>
      </c>
      <c r="AY94" s="22">
        <v>23</v>
      </c>
      <c r="AZ94" s="22">
        <v>2</v>
      </c>
      <c r="BA94" s="22">
        <v>0</v>
      </c>
      <c r="BB94" s="22">
        <v>39</v>
      </c>
      <c r="BC94" s="22">
        <v>17</v>
      </c>
      <c r="BD94" s="22">
        <v>7</v>
      </c>
      <c r="BE94" s="22">
        <v>10</v>
      </c>
      <c r="BF94" s="22">
        <v>12</v>
      </c>
      <c r="BG94" s="22">
        <v>3</v>
      </c>
      <c r="BH94" s="22">
        <v>2</v>
      </c>
      <c r="BI94" s="22">
        <v>1</v>
      </c>
      <c r="BJ94" s="22">
        <v>2</v>
      </c>
      <c r="BK94" s="22">
        <v>14</v>
      </c>
      <c r="BL94" s="22">
        <v>6</v>
      </c>
      <c r="BM94" s="22">
        <v>1</v>
      </c>
      <c r="BN94" s="22">
        <v>8</v>
      </c>
      <c r="BO94" s="22">
        <v>19</v>
      </c>
      <c r="BP94" s="22">
        <v>3</v>
      </c>
      <c r="BQ94" s="22">
        <v>12</v>
      </c>
      <c r="BR94" s="22">
        <v>1</v>
      </c>
      <c r="BS94" s="22">
        <v>1</v>
      </c>
      <c r="BT94" s="22">
        <v>51</v>
      </c>
      <c r="BU94" s="22">
        <v>18</v>
      </c>
      <c r="BV94" s="22">
        <v>0</v>
      </c>
      <c r="BW94" s="22">
        <v>59</v>
      </c>
      <c r="BX94" s="22">
        <v>5</v>
      </c>
      <c r="BY94" s="22">
        <v>8</v>
      </c>
      <c r="BZ94" s="22">
        <v>3</v>
      </c>
      <c r="CA94" s="22">
        <v>4</v>
      </c>
      <c r="CB94" s="22">
        <v>2</v>
      </c>
      <c r="CC94" s="22">
        <v>1</v>
      </c>
      <c r="CD94" s="22">
        <v>9</v>
      </c>
      <c r="CE94" s="22">
        <v>6</v>
      </c>
      <c r="CF94" s="22">
        <v>0</v>
      </c>
      <c r="CG94" s="22">
        <v>17</v>
      </c>
      <c r="CH94" s="22">
        <v>5</v>
      </c>
      <c r="CI94" s="22">
        <v>18</v>
      </c>
      <c r="CJ94" s="22">
        <v>13</v>
      </c>
      <c r="CK94" s="22">
        <v>99</v>
      </c>
      <c r="CL94" s="22">
        <v>27</v>
      </c>
      <c r="CM94" s="22">
        <v>30</v>
      </c>
      <c r="CN94" s="22">
        <v>14</v>
      </c>
      <c r="CO94" s="22">
        <v>10</v>
      </c>
      <c r="CP94" s="22">
        <v>11</v>
      </c>
      <c r="CQ94" s="22">
        <v>15</v>
      </c>
      <c r="CR94" s="22">
        <v>22</v>
      </c>
      <c r="CS94" s="22">
        <v>22</v>
      </c>
      <c r="CT94" s="22">
        <v>34</v>
      </c>
      <c r="CU94" s="21">
        <v>9</v>
      </c>
      <c r="CV94" s="21">
        <v>19</v>
      </c>
      <c r="CW94" s="21">
        <v>0</v>
      </c>
      <c r="CX94" s="21">
        <v>8</v>
      </c>
      <c r="CY94" s="21">
        <v>39</v>
      </c>
      <c r="CZ94" s="21">
        <v>0</v>
      </c>
      <c r="DA94" s="21">
        <v>0</v>
      </c>
      <c r="DB94" s="21">
        <v>2</v>
      </c>
      <c r="DC94" s="21">
        <v>3</v>
      </c>
      <c r="DD94" s="21">
        <v>0</v>
      </c>
      <c r="DE94" s="21">
        <v>42</v>
      </c>
      <c r="DF94" s="21">
        <v>6</v>
      </c>
      <c r="DG94" s="21">
        <v>0</v>
      </c>
      <c r="DH94" s="74"/>
      <c r="DJ94" s="67"/>
      <c r="DL94" s="67"/>
    </row>
    <row r="95" spans="1:117">
      <c r="A95" s="23" t="s">
        <v>349</v>
      </c>
      <c r="B95" s="19" t="s">
        <v>350</v>
      </c>
      <c r="C95" s="19" t="s">
        <v>351</v>
      </c>
      <c r="D95" s="20">
        <f t="shared" si="1"/>
        <v>21</v>
      </c>
      <c r="E95" s="22">
        <v>14</v>
      </c>
      <c r="F95" s="22">
        <v>7</v>
      </c>
      <c r="G95" s="22">
        <v>0</v>
      </c>
      <c r="H95" s="22">
        <v>0</v>
      </c>
      <c r="I95" s="22">
        <v>0</v>
      </c>
      <c r="J95" s="22">
        <v>0</v>
      </c>
      <c r="K95" s="22">
        <v>0</v>
      </c>
      <c r="L95" s="22">
        <v>0</v>
      </c>
      <c r="M95" s="22">
        <v>0</v>
      </c>
      <c r="N95" s="22">
        <v>0</v>
      </c>
      <c r="O95" s="22">
        <v>0</v>
      </c>
      <c r="P95" s="22">
        <v>0</v>
      </c>
      <c r="Q95" s="22">
        <v>0</v>
      </c>
      <c r="R95" s="22">
        <v>0</v>
      </c>
      <c r="S95" s="22">
        <v>0</v>
      </c>
      <c r="T95" s="22">
        <v>0</v>
      </c>
      <c r="U95" s="22">
        <v>0</v>
      </c>
      <c r="V95" s="22">
        <v>0</v>
      </c>
      <c r="W95" s="22">
        <v>0</v>
      </c>
      <c r="X95" s="22">
        <v>0</v>
      </c>
      <c r="Y95" s="22">
        <v>0</v>
      </c>
      <c r="Z95" s="22">
        <v>0</v>
      </c>
      <c r="AA95" s="22">
        <v>0</v>
      </c>
      <c r="AB95" s="22">
        <v>0</v>
      </c>
      <c r="AC95" s="22">
        <v>0</v>
      </c>
      <c r="AD95" s="22">
        <v>0</v>
      </c>
      <c r="AE95" s="22">
        <v>0</v>
      </c>
      <c r="AF95" s="22">
        <v>0</v>
      </c>
      <c r="AG95" s="22">
        <v>0</v>
      </c>
      <c r="AH95" s="22">
        <v>0</v>
      </c>
      <c r="AI95" s="22">
        <v>0</v>
      </c>
      <c r="AJ95" s="22">
        <v>0</v>
      </c>
      <c r="AK95" s="22">
        <v>0</v>
      </c>
      <c r="AL95" s="22">
        <v>0</v>
      </c>
      <c r="AM95" s="22">
        <v>0</v>
      </c>
      <c r="AN95" s="22">
        <v>0</v>
      </c>
      <c r="AO95" s="22">
        <v>0</v>
      </c>
      <c r="AP95" s="22">
        <v>0</v>
      </c>
      <c r="AQ95" s="22">
        <v>0</v>
      </c>
      <c r="AR95" s="22">
        <v>0</v>
      </c>
      <c r="AS95" s="22">
        <v>0</v>
      </c>
      <c r="AT95" s="22">
        <v>0</v>
      </c>
      <c r="AU95" s="22">
        <v>0</v>
      </c>
      <c r="AV95" s="22">
        <v>0</v>
      </c>
      <c r="AW95" s="22">
        <v>0</v>
      </c>
      <c r="AX95" s="22">
        <v>0</v>
      </c>
      <c r="AY95" s="22">
        <v>0</v>
      </c>
      <c r="AZ95" s="22">
        <v>0</v>
      </c>
      <c r="BA95" s="22">
        <v>0</v>
      </c>
      <c r="BB95" s="22">
        <v>0</v>
      </c>
      <c r="BC95" s="22">
        <v>0</v>
      </c>
      <c r="BD95" s="22">
        <v>0</v>
      </c>
      <c r="BE95" s="22">
        <v>0</v>
      </c>
      <c r="BF95" s="22">
        <v>0</v>
      </c>
      <c r="BG95" s="22">
        <v>0</v>
      </c>
      <c r="BH95" s="22">
        <v>0</v>
      </c>
      <c r="BI95" s="22">
        <v>0</v>
      </c>
      <c r="BJ95" s="22">
        <v>0</v>
      </c>
      <c r="BK95" s="22">
        <v>0</v>
      </c>
      <c r="BL95" s="22">
        <v>0</v>
      </c>
      <c r="BM95" s="22">
        <v>0</v>
      </c>
      <c r="BN95" s="22">
        <v>0</v>
      </c>
      <c r="BO95" s="22">
        <v>0</v>
      </c>
      <c r="BP95" s="22">
        <v>0</v>
      </c>
      <c r="BQ95" s="22">
        <v>0</v>
      </c>
      <c r="BR95" s="22">
        <v>0</v>
      </c>
      <c r="BS95" s="22">
        <v>0</v>
      </c>
      <c r="BT95" s="22">
        <v>0</v>
      </c>
      <c r="BU95" s="22">
        <v>0</v>
      </c>
      <c r="BV95" s="22">
        <v>0</v>
      </c>
      <c r="BW95" s="22">
        <v>0</v>
      </c>
      <c r="BX95" s="22">
        <v>0</v>
      </c>
      <c r="BY95" s="22">
        <v>0</v>
      </c>
      <c r="BZ95" s="22">
        <v>0</v>
      </c>
      <c r="CA95" s="22">
        <v>0</v>
      </c>
      <c r="CB95" s="22">
        <v>0</v>
      </c>
      <c r="CC95" s="22">
        <v>0</v>
      </c>
      <c r="CD95" s="22">
        <v>0</v>
      </c>
      <c r="CE95" s="22">
        <v>0</v>
      </c>
      <c r="CF95" s="22">
        <v>0</v>
      </c>
      <c r="CG95" s="22">
        <v>0</v>
      </c>
      <c r="CH95" s="22">
        <v>0</v>
      </c>
      <c r="CI95" s="22">
        <v>0</v>
      </c>
      <c r="CJ95" s="22">
        <v>0</v>
      </c>
      <c r="CK95" s="22">
        <v>0</v>
      </c>
      <c r="CL95" s="22">
        <v>0</v>
      </c>
      <c r="CM95" s="22">
        <v>0</v>
      </c>
      <c r="CN95" s="22">
        <v>0</v>
      </c>
      <c r="CO95" s="22">
        <v>0</v>
      </c>
      <c r="CP95" s="22">
        <v>0</v>
      </c>
      <c r="CQ95" s="22">
        <v>0</v>
      </c>
      <c r="CR95" s="22">
        <v>0</v>
      </c>
      <c r="CS95" s="22">
        <v>0</v>
      </c>
      <c r="CT95" s="22">
        <v>0</v>
      </c>
      <c r="CU95" s="21">
        <v>0</v>
      </c>
      <c r="CV95" s="21">
        <v>0</v>
      </c>
      <c r="CW95" s="21">
        <v>0</v>
      </c>
      <c r="CX95" s="21">
        <v>0</v>
      </c>
      <c r="CY95" s="21">
        <v>0</v>
      </c>
      <c r="CZ95" s="21">
        <v>0</v>
      </c>
      <c r="DA95" s="21">
        <v>0</v>
      </c>
      <c r="DB95" s="21">
        <v>0</v>
      </c>
      <c r="DC95" s="21">
        <v>0</v>
      </c>
      <c r="DD95" s="21">
        <v>0</v>
      </c>
      <c r="DE95" s="21">
        <v>0</v>
      </c>
      <c r="DF95" s="21">
        <v>0</v>
      </c>
      <c r="DG95" s="21">
        <v>0</v>
      </c>
      <c r="DH95" s="74"/>
      <c r="DJ95" s="67"/>
      <c r="DL95" s="67"/>
    </row>
    <row r="96" spans="1:117">
      <c r="A96" s="23" t="s">
        <v>352</v>
      </c>
      <c r="B96" s="19" t="s">
        <v>353</v>
      </c>
      <c r="C96" s="19" t="s">
        <v>242</v>
      </c>
      <c r="D96" s="20">
        <f t="shared" si="1"/>
        <v>4</v>
      </c>
      <c r="E96" s="22">
        <v>1</v>
      </c>
      <c r="F96" s="22">
        <v>1</v>
      </c>
      <c r="G96" s="22">
        <v>1</v>
      </c>
      <c r="H96" s="22">
        <v>0</v>
      </c>
      <c r="I96" s="22">
        <v>1</v>
      </c>
      <c r="J96" s="22">
        <v>0</v>
      </c>
      <c r="K96" s="22">
        <v>0</v>
      </c>
      <c r="L96" s="22">
        <v>0</v>
      </c>
      <c r="M96" s="22">
        <v>0</v>
      </c>
      <c r="N96" s="22">
        <v>0</v>
      </c>
      <c r="O96" s="22">
        <v>0</v>
      </c>
      <c r="P96" s="22">
        <v>0</v>
      </c>
      <c r="Q96" s="22">
        <v>0</v>
      </c>
      <c r="R96" s="22">
        <v>0</v>
      </c>
      <c r="S96" s="22">
        <v>0</v>
      </c>
      <c r="T96" s="22">
        <v>0</v>
      </c>
      <c r="U96" s="22">
        <v>0</v>
      </c>
      <c r="V96" s="22">
        <v>0</v>
      </c>
      <c r="W96" s="22">
        <v>0</v>
      </c>
      <c r="X96" s="22">
        <v>0</v>
      </c>
      <c r="Y96" s="22">
        <v>0</v>
      </c>
      <c r="Z96" s="22">
        <v>0</v>
      </c>
      <c r="AA96" s="22">
        <v>0</v>
      </c>
      <c r="AB96" s="22">
        <v>0</v>
      </c>
      <c r="AC96" s="22">
        <v>0</v>
      </c>
      <c r="AD96" s="22">
        <v>0</v>
      </c>
      <c r="AE96" s="22">
        <v>0</v>
      </c>
      <c r="AF96" s="22">
        <v>0</v>
      </c>
      <c r="AG96" s="22">
        <v>0</v>
      </c>
      <c r="AH96" s="22">
        <v>0</v>
      </c>
      <c r="AI96" s="22">
        <v>0</v>
      </c>
      <c r="AJ96" s="22">
        <v>0</v>
      </c>
      <c r="AK96" s="22">
        <v>0</v>
      </c>
      <c r="AL96" s="22">
        <v>0</v>
      </c>
      <c r="AM96" s="22">
        <v>0</v>
      </c>
      <c r="AN96" s="22">
        <v>0</v>
      </c>
      <c r="AO96" s="22">
        <v>0</v>
      </c>
      <c r="AP96" s="22">
        <v>0</v>
      </c>
      <c r="AQ96" s="22">
        <v>0</v>
      </c>
      <c r="AR96" s="22">
        <v>0</v>
      </c>
      <c r="AS96" s="22">
        <v>0</v>
      </c>
      <c r="AT96" s="22">
        <v>0</v>
      </c>
      <c r="AU96" s="22">
        <v>0</v>
      </c>
      <c r="AV96" s="22">
        <v>0</v>
      </c>
      <c r="AW96" s="22">
        <v>0</v>
      </c>
      <c r="AX96" s="22">
        <v>0</v>
      </c>
      <c r="AY96" s="22">
        <v>0</v>
      </c>
      <c r="AZ96" s="22">
        <v>0</v>
      </c>
      <c r="BA96" s="22">
        <v>0</v>
      </c>
      <c r="BB96" s="22">
        <v>0</v>
      </c>
      <c r="BC96" s="22">
        <v>0</v>
      </c>
      <c r="BD96" s="22">
        <v>0</v>
      </c>
      <c r="BE96" s="22">
        <v>0</v>
      </c>
      <c r="BF96" s="22">
        <v>0</v>
      </c>
      <c r="BG96" s="22">
        <v>0</v>
      </c>
      <c r="BH96" s="22">
        <v>0</v>
      </c>
      <c r="BI96" s="22">
        <v>0</v>
      </c>
      <c r="BJ96" s="22">
        <v>0</v>
      </c>
      <c r="BK96" s="22">
        <v>0</v>
      </c>
      <c r="BL96" s="22">
        <v>0</v>
      </c>
      <c r="BM96" s="22">
        <v>0</v>
      </c>
      <c r="BN96" s="22">
        <v>0</v>
      </c>
      <c r="BO96" s="22">
        <v>0</v>
      </c>
      <c r="BP96" s="22">
        <v>0</v>
      </c>
      <c r="BQ96" s="22">
        <v>0</v>
      </c>
      <c r="BR96" s="22">
        <v>0</v>
      </c>
      <c r="BS96" s="22">
        <v>0</v>
      </c>
      <c r="BT96" s="22">
        <v>0</v>
      </c>
      <c r="BU96" s="22">
        <v>0</v>
      </c>
      <c r="BV96" s="22">
        <v>0</v>
      </c>
      <c r="BW96" s="22">
        <v>0</v>
      </c>
      <c r="BX96" s="22">
        <v>0</v>
      </c>
      <c r="BY96" s="22">
        <v>0</v>
      </c>
      <c r="BZ96" s="22">
        <v>0</v>
      </c>
      <c r="CA96" s="22">
        <v>0</v>
      </c>
      <c r="CB96" s="22">
        <v>0</v>
      </c>
      <c r="CC96" s="22">
        <v>0</v>
      </c>
      <c r="CD96" s="22">
        <v>0</v>
      </c>
      <c r="CE96" s="22">
        <v>0</v>
      </c>
      <c r="CF96" s="22">
        <v>0</v>
      </c>
      <c r="CG96" s="22">
        <v>0</v>
      </c>
      <c r="CH96" s="22">
        <v>0</v>
      </c>
      <c r="CI96" s="22">
        <v>0</v>
      </c>
      <c r="CJ96" s="22">
        <v>0</v>
      </c>
      <c r="CK96" s="22">
        <v>0</v>
      </c>
      <c r="CL96" s="22">
        <v>0</v>
      </c>
      <c r="CM96" s="22">
        <v>0</v>
      </c>
      <c r="CN96" s="22">
        <v>0</v>
      </c>
      <c r="CO96" s="22">
        <v>0</v>
      </c>
      <c r="CP96" s="22">
        <v>0</v>
      </c>
      <c r="CQ96" s="22">
        <v>0</v>
      </c>
      <c r="CR96" s="22">
        <v>0</v>
      </c>
      <c r="CS96" s="22">
        <v>0</v>
      </c>
      <c r="CT96" s="22">
        <v>0</v>
      </c>
      <c r="CU96" s="21">
        <v>0</v>
      </c>
      <c r="CV96" s="21">
        <v>0</v>
      </c>
      <c r="CW96" s="21">
        <v>0</v>
      </c>
      <c r="CX96" s="21">
        <v>0</v>
      </c>
      <c r="CY96" s="21">
        <v>0</v>
      </c>
      <c r="CZ96" s="21">
        <v>0</v>
      </c>
      <c r="DA96" s="21">
        <v>0</v>
      </c>
      <c r="DB96" s="21">
        <v>0</v>
      </c>
      <c r="DC96" s="21">
        <v>0</v>
      </c>
      <c r="DD96" s="21">
        <v>0</v>
      </c>
      <c r="DE96" s="21">
        <v>0</v>
      </c>
      <c r="DF96" s="21">
        <v>0</v>
      </c>
      <c r="DG96" s="21">
        <v>0</v>
      </c>
      <c r="DH96" s="74"/>
      <c r="DJ96" s="67"/>
      <c r="DL96" s="67"/>
    </row>
    <row r="97" spans="1:117">
      <c r="A97" s="23" t="s">
        <v>354</v>
      </c>
      <c r="B97" s="19" t="s">
        <v>355</v>
      </c>
      <c r="C97" s="19" t="s">
        <v>356</v>
      </c>
      <c r="D97" s="20">
        <f t="shared" si="1"/>
        <v>648</v>
      </c>
      <c r="E97" s="22">
        <v>261</v>
      </c>
      <c r="F97" s="22">
        <v>56</v>
      </c>
      <c r="G97" s="22">
        <v>34</v>
      </c>
      <c r="H97" s="22">
        <v>6</v>
      </c>
      <c r="I97" s="22">
        <v>60</v>
      </c>
      <c r="J97" s="22">
        <v>15</v>
      </c>
      <c r="K97" s="22">
        <v>0</v>
      </c>
      <c r="L97" s="22">
        <v>0</v>
      </c>
      <c r="M97" s="22">
        <v>6</v>
      </c>
      <c r="N97" s="22">
        <v>0</v>
      </c>
      <c r="O97" s="22">
        <v>0</v>
      </c>
      <c r="P97" s="22">
        <v>0</v>
      </c>
      <c r="Q97" s="22">
        <v>5</v>
      </c>
      <c r="R97" s="22">
        <v>0</v>
      </c>
      <c r="S97" s="22">
        <v>19</v>
      </c>
      <c r="T97" s="22">
        <v>3</v>
      </c>
      <c r="U97" s="22">
        <v>8</v>
      </c>
      <c r="V97" s="22">
        <v>4</v>
      </c>
      <c r="W97" s="22">
        <v>9</v>
      </c>
      <c r="X97" s="22">
        <v>0</v>
      </c>
      <c r="Y97" s="22">
        <v>0</v>
      </c>
      <c r="Z97" s="22">
        <v>0</v>
      </c>
      <c r="AA97" s="22">
        <v>5</v>
      </c>
      <c r="AB97" s="22">
        <v>0</v>
      </c>
      <c r="AC97" s="22">
        <v>5</v>
      </c>
      <c r="AD97" s="22">
        <v>0</v>
      </c>
      <c r="AE97" s="22">
        <v>7</v>
      </c>
      <c r="AF97" s="22">
        <v>0</v>
      </c>
      <c r="AG97" s="22">
        <v>2</v>
      </c>
      <c r="AH97" s="22">
        <v>12</v>
      </c>
      <c r="AI97" s="22">
        <v>0</v>
      </c>
      <c r="AJ97" s="22">
        <v>0</v>
      </c>
      <c r="AK97" s="22">
        <v>2</v>
      </c>
      <c r="AL97" s="22">
        <v>0</v>
      </c>
      <c r="AM97" s="22">
        <v>0</v>
      </c>
      <c r="AN97" s="22">
        <v>0</v>
      </c>
      <c r="AO97" s="22">
        <v>0</v>
      </c>
      <c r="AP97" s="22">
        <v>0</v>
      </c>
      <c r="AQ97" s="22">
        <v>0</v>
      </c>
      <c r="AR97" s="22">
        <v>0</v>
      </c>
      <c r="AS97" s="22">
        <v>0</v>
      </c>
      <c r="AT97" s="22">
        <v>0</v>
      </c>
      <c r="AU97" s="22">
        <v>0</v>
      </c>
      <c r="AV97" s="22">
        <v>0</v>
      </c>
      <c r="AW97" s="22">
        <v>0</v>
      </c>
      <c r="AX97" s="22">
        <v>11</v>
      </c>
      <c r="AY97" s="22">
        <v>0</v>
      </c>
      <c r="AZ97" s="22">
        <v>0</v>
      </c>
      <c r="BA97" s="22">
        <v>0</v>
      </c>
      <c r="BB97" s="22">
        <v>11</v>
      </c>
      <c r="BC97" s="22">
        <v>0</v>
      </c>
      <c r="BD97" s="22">
        <v>0</v>
      </c>
      <c r="BE97" s="22">
        <v>0</v>
      </c>
      <c r="BF97" s="22">
        <v>0</v>
      </c>
      <c r="BG97" s="22">
        <v>0</v>
      </c>
      <c r="BH97" s="22">
        <v>0</v>
      </c>
      <c r="BI97" s="22">
        <v>0</v>
      </c>
      <c r="BJ97" s="22">
        <v>0</v>
      </c>
      <c r="BK97" s="22">
        <v>0</v>
      </c>
      <c r="BL97" s="22">
        <v>0</v>
      </c>
      <c r="BM97" s="22">
        <v>0</v>
      </c>
      <c r="BN97" s="22">
        <v>0</v>
      </c>
      <c r="BO97" s="22">
        <v>0</v>
      </c>
      <c r="BP97" s="22">
        <v>0</v>
      </c>
      <c r="BQ97" s="22">
        <v>0</v>
      </c>
      <c r="BR97" s="22">
        <v>0</v>
      </c>
      <c r="BS97" s="22">
        <v>0</v>
      </c>
      <c r="BT97" s="22">
        <v>0</v>
      </c>
      <c r="BU97" s="22">
        <v>0</v>
      </c>
      <c r="BV97" s="22">
        <v>0</v>
      </c>
      <c r="BW97" s="22">
        <v>4</v>
      </c>
      <c r="BX97" s="22">
        <v>0</v>
      </c>
      <c r="BY97" s="22">
        <v>0</v>
      </c>
      <c r="BZ97" s="22">
        <v>0</v>
      </c>
      <c r="CA97" s="22">
        <v>0</v>
      </c>
      <c r="CB97" s="22">
        <v>0</v>
      </c>
      <c r="CC97" s="22">
        <v>0</v>
      </c>
      <c r="CD97" s="22">
        <v>0</v>
      </c>
      <c r="CE97" s="22">
        <v>0</v>
      </c>
      <c r="CF97" s="22">
        <v>0</v>
      </c>
      <c r="CG97" s="22">
        <v>0</v>
      </c>
      <c r="CH97" s="22">
        <v>0</v>
      </c>
      <c r="CI97" s="22">
        <v>2</v>
      </c>
      <c r="CJ97" s="22">
        <v>0</v>
      </c>
      <c r="CK97" s="22">
        <v>12</v>
      </c>
      <c r="CL97" s="22">
        <v>2</v>
      </c>
      <c r="CM97" s="22">
        <v>0</v>
      </c>
      <c r="CN97" s="22">
        <v>6</v>
      </c>
      <c r="CO97" s="22">
        <v>1</v>
      </c>
      <c r="CP97" s="22">
        <v>0</v>
      </c>
      <c r="CQ97" s="22">
        <v>4</v>
      </c>
      <c r="CR97" s="22">
        <v>0</v>
      </c>
      <c r="CS97" s="22">
        <v>0</v>
      </c>
      <c r="CT97" s="22">
        <v>9</v>
      </c>
      <c r="CU97" s="21">
        <v>2</v>
      </c>
      <c r="CV97" s="21">
        <v>6</v>
      </c>
      <c r="CW97" s="21">
        <v>0</v>
      </c>
      <c r="CX97" s="21">
        <v>0</v>
      </c>
      <c r="CY97" s="21">
        <v>10</v>
      </c>
      <c r="CZ97" s="21">
        <v>0</v>
      </c>
      <c r="DA97" s="21">
        <v>0</v>
      </c>
      <c r="DB97" s="21">
        <v>7</v>
      </c>
      <c r="DC97" s="21">
        <v>0</v>
      </c>
      <c r="DD97" s="21">
        <v>0</v>
      </c>
      <c r="DE97" s="21">
        <v>11</v>
      </c>
      <c r="DF97" s="21">
        <v>1</v>
      </c>
      <c r="DG97" s="21">
        <v>30</v>
      </c>
      <c r="DH97" s="74"/>
      <c r="DJ97" s="67"/>
      <c r="DL97" s="67"/>
    </row>
    <row r="98" spans="1:117">
      <c r="A98" s="23" t="s">
        <v>357</v>
      </c>
      <c r="B98" s="19" t="s">
        <v>358</v>
      </c>
      <c r="C98" s="19" t="s">
        <v>359</v>
      </c>
      <c r="D98" s="20">
        <f t="shared" si="1"/>
        <v>6</v>
      </c>
      <c r="E98" s="21">
        <v>0</v>
      </c>
      <c r="F98" s="21">
        <v>6</v>
      </c>
      <c r="G98" s="21">
        <v>0</v>
      </c>
      <c r="H98" s="21">
        <v>0</v>
      </c>
      <c r="I98" s="21">
        <v>0</v>
      </c>
      <c r="J98" s="21">
        <v>0</v>
      </c>
      <c r="K98" s="21">
        <v>0</v>
      </c>
      <c r="L98" s="21">
        <v>0</v>
      </c>
      <c r="M98" s="21">
        <v>0</v>
      </c>
      <c r="N98" s="21">
        <v>0</v>
      </c>
      <c r="O98" s="21">
        <v>0</v>
      </c>
      <c r="P98" s="21">
        <v>0</v>
      </c>
      <c r="Q98" s="21">
        <v>0</v>
      </c>
      <c r="R98" s="21">
        <v>0</v>
      </c>
      <c r="S98" s="21">
        <v>0</v>
      </c>
      <c r="T98" s="21">
        <v>0</v>
      </c>
      <c r="U98" s="21">
        <v>0</v>
      </c>
      <c r="V98" s="21">
        <v>0</v>
      </c>
      <c r="W98" s="21">
        <v>0</v>
      </c>
      <c r="X98" s="21">
        <v>0</v>
      </c>
      <c r="Y98" s="21">
        <v>0</v>
      </c>
      <c r="Z98" s="21">
        <v>0</v>
      </c>
      <c r="AA98" s="21">
        <v>0</v>
      </c>
      <c r="AB98" s="21">
        <v>0</v>
      </c>
      <c r="AC98" s="21">
        <v>0</v>
      </c>
      <c r="AD98" s="21">
        <v>0</v>
      </c>
      <c r="AE98" s="21">
        <v>0</v>
      </c>
      <c r="AF98" s="21">
        <v>0</v>
      </c>
      <c r="AG98" s="21">
        <v>0</v>
      </c>
      <c r="AH98" s="21">
        <v>0</v>
      </c>
      <c r="AI98" s="21">
        <v>0</v>
      </c>
      <c r="AJ98" s="21">
        <v>0</v>
      </c>
      <c r="AK98" s="21">
        <v>0</v>
      </c>
      <c r="AL98" s="21">
        <v>0</v>
      </c>
      <c r="AM98" s="21">
        <v>0</v>
      </c>
      <c r="AN98" s="21">
        <v>0</v>
      </c>
      <c r="AO98" s="21">
        <v>0</v>
      </c>
      <c r="AP98" s="21">
        <v>0</v>
      </c>
      <c r="AQ98" s="21">
        <v>0</v>
      </c>
      <c r="AR98" s="21">
        <v>0</v>
      </c>
      <c r="AS98" s="21">
        <v>0</v>
      </c>
      <c r="AT98" s="21">
        <v>0</v>
      </c>
      <c r="AU98" s="21">
        <v>0</v>
      </c>
      <c r="AV98" s="21">
        <v>0</v>
      </c>
      <c r="AW98" s="21">
        <v>0</v>
      </c>
      <c r="AX98" s="21">
        <v>0</v>
      </c>
      <c r="AY98" s="21">
        <v>0</v>
      </c>
      <c r="AZ98" s="21">
        <v>0</v>
      </c>
      <c r="BA98" s="21">
        <v>0</v>
      </c>
      <c r="BB98" s="21">
        <v>0</v>
      </c>
      <c r="BC98" s="21">
        <v>0</v>
      </c>
      <c r="BD98" s="21">
        <v>0</v>
      </c>
      <c r="BE98" s="21">
        <v>0</v>
      </c>
      <c r="BF98" s="21">
        <v>0</v>
      </c>
      <c r="BG98" s="21">
        <v>0</v>
      </c>
      <c r="BH98" s="21">
        <v>0</v>
      </c>
      <c r="BI98" s="21">
        <v>0</v>
      </c>
      <c r="BJ98" s="21">
        <v>0</v>
      </c>
      <c r="BK98" s="21">
        <v>0</v>
      </c>
      <c r="BL98" s="21">
        <v>0</v>
      </c>
      <c r="BM98" s="21">
        <v>0</v>
      </c>
      <c r="BN98" s="21">
        <v>0</v>
      </c>
      <c r="BO98" s="21">
        <v>0</v>
      </c>
      <c r="BP98" s="21">
        <v>0</v>
      </c>
      <c r="BQ98" s="21">
        <v>0</v>
      </c>
      <c r="BR98" s="21">
        <v>0</v>
      </c>
      <c r="BS98" s="21">
        <v>0</v>
      </c>
      <c r="BT98" s="21">
        <v>0</v>
      </c>
      <c r="BU98" s="21">
        <v>0</v>
      </c>
      <c r="BV98" s="21">
        <v>0</v>
      </c>
      <c r="BW98" s="21">
        <v>0</v>
      </c>
      <c r="BX98" s="21">
        <v>0</v>
      </c>
      <c r="BY98" s="21">
        <v>0</v>
      </c>
      <c r="BZ98" s="21">
        <v>0</v>
      </c>
      <c r="CA98" s="21">
        <v>0</v>
      </c>
      <c r="CB98" s="21">
        <v>0</v>
      </c>
      <c r="CC98" s="21">
        <v>0</v>
      </c>
      <c r="CD98" s="21">
        <v>0</v>
      </c>
      <c r="CE98" s="21">
        <v>0</v>
      </c>
      <c r="CF98" s="21">
        <v>0</v>
      </c>
      <c r="CG98" s="21">
        <v>0</v>
      </c>
      <c r="CH98" s="21">
        <v>0</v>
      </c>
      <c r="CI98" s="21">
        <v>0</v>
      </c>
      <c r="CJ98" s="21">
        <v>0</v>
      </c>
      <c r="CK98" s="21">
        <v>0</v>
      </c>
      <c r="CL98" s="21">
        <v>0</v>
      </c>
      <c r="CM98" s="21">
        <v>0</v>
      </c>
      <c r="CN98" s="21">
        <v>0</v>
      </c>
      <c r="CO98" s="21">
        <v>0</v>
      </c>
      <c r="CP98" s="21">
        <v>0</v>
      </c>
      <c r="CQ98" s="21">
        <v>0</v>
      </c>
      <c r="CR98" s="21">
        <v>0</v>
      </c>
      <c r="CS98" s="21">
        <v>0</v>
      </c>
      <c r="CT98" s="21">
        <v>0</v>
      </c>
      <c r="CU98" s="21">
        <v>0</v>
      </c>
      <c r="CV98" s="21">
        <v>0</v>
      </c>
      <c r="CW98" s="21">
        <v>0</v>
      </c>
      <c r="CX98" s="21">
        <v>0</v>
      </c>
      <c r="CY98" s="21">
        <v>0</v>
      </c>
      <c r="CZ98" s="21">
        <v>0</v>
      </c>
      <c r="DA98" s="21">
        <v>0</v>
      </c>
      <c r="DB98" s="21">
        <v>0</v>
      </c>
      <c r="DC98" s="21">
        <v>0</v>
      </c>
      <c r="DD98" s="21">
        <v>0</v>
      </c>
      <c r="DE98" s="21">
        <v>0</v>
      </c>
      <c r="DF98" s="21">
        <v>0</v>
      </c>
      <c r="DG98" s="21">
        <v>0</v>
      </c>
      <c r="DH98" s="74"/>
      <c r="DJ98" s="67"/>
      <c r="DL98" s="67"/>
    </row>
    <row r="99" spans="1:117" ht="32.1">
      <c r="A99" s="23" t="s">
        <v>360</v>
      </c>
      <c r="B99" s="19" t="s">
        <v>361</v>
      </c>
      <c r="C99" s="19" t="s">
        <v>362</v>
      </c>
      <c r="D99" s="20">
        <f t="shared" si="1"/>
        <v>0</v>
      </c>
      <c r="E99" s="21">
        <v>0</v>
      </c>
      <c r="F99" s="21">
        <v>0</v>
      </c>
      <c r="G99" s="21">
        <v>0</v>
      </c>
      <c r="H99" s="21">
        <v>0</v>
      </c>
      <c r="I99" s="21">
        <v>0</v>
      </c>
      <c r="J99" s="21">
        <v>0</v>
      </c>
      <c r="K99" s="21">
        <v>0</v>
      </c>
      <c r="L99" s="21">
        <v>0</v>
      </c>
      <c r="M99" s="21">
        <v>0</v>
      </c>
      <c r="N99" s="21">
        <v>0</v>
      </c>
      <c r="O99" s="21">
        <v>0</v>
      </c>
      <c r="P99" s="21">
        <v>0</v>
      </c>
      <c r="Q99" s="21">
        <v>0</v>
      </c>
      <c r="R99" s="21">
        <v>0</v>
      </c>
      <c r="S99" s="21">
        <v>0</v>
      </c>
      <c r="T99" s="21">
        <v>0</v>
      </c>
      <c r="U99" s="21">
        <v>0</v>
      </c>
      <c r="V99" s="21">
        <v>0</v>
      </c>
      <c r="W99" s="21">
        <v>0</v>
      </c>
      <c r="X99" s="21">
        <v>0</v>
      </c>
      <c r="Y99" s="21">
        <v>0</v>
      </c>
      <c r="Z99" s="21">
        <v>0</v>
      </c>
      <c r="AA99" s="21">
        <v>0</v>
      </c>
      <c r="AB99" s="21">
        <v>0</v>
      </c>
      <c r="AC99" s="21">
        <v>0</v>
      </c>
      <c r="AD99" s="21">
        <v>0</v>
      </c>
      <c r="AE99" s="21">
        <v>0</v>
      </c>
      <c r="AF99" s="21">
        <v>0</v>
      </c>
      <c r="AG99" s="21">
        <v>0</v>
      </c>
      <c r="AH99" s="21">
        <v>0</v>
      </c>
      <c r="AI99" s="21">
        <v>0</v>
      </c>
      <c r="AJ99" s="21">
        <v>0</v>
      </c>
      <c r="AK99" s="21">
        <v>0</v>
      </c>
      <c r="AL99" s="21">
        <v>0</v>
      </c>
      <c r="AM99" s="21">
        <v>0</v>
      </c>
      <c r="AN99" s="21">
        <v>0</v>
      </c>
      <c r="AO99" s="21">
        <v>0</v>
      </c>
      <c r="AP99" s="21">
        <v>0</v>
      </c>
      <c r="AQ99" s="21">
        <v>0</v>
      </c>
      <c r="AR99" s="21">
        <v>0</v>
      </c>
      <c r="AS99" s="21">
        <v>0</v>
      </c>
      <c r="AT99" s="21">
        <v>0</v>
      </c>
      <c r="AU99" s="21">
        <v>0</v>
      </c>
      <c r="AV99" s="21">
        <v>0</v>
      </c>
      <c r="AW99" s="21">
        <v>0</v>
      </c>
      <c r="AX99" s="21">
        <v>0</v>
      </c>
      <c r="AY99" s="21">
        <v>0</v>
      </c>
      <c r="AZ99" s="21">
        <v>0</v>
      </c>
      <c r="BA99" s="21">
        <v>0</v>
      </c>
      <c r="BB99" s="21">
        <v>0</v>
      </c>
      <c r="BC99" s="21">
        <v>0</v>
      </c>
      <c r="BD99" s="21">
        <v>0</v>
      </c>
      <c r="BE99" s="21">
        <v>0</v>
      </c>
      <c r="BF99" s="21">
        <v>0</v>
      </c>
      <c r="BG99" s="21">
        <v>0</v>
      </c>
      <c r="BH99" s="21">
        <v>0</v>
      </c>
      <c r="BI99" s="21">
        <v>0</v>
      </c>
      <c r="BJ99" s="21">
        <v>0</v>
      </c>
      <c r="BK99" s="21">
        <v>0</v>
      </c>
      <c r="BL99" s="21">
        <v>0</v>
      </c>
      <c r="BM99" s="21">
        <v>0</v>
      </c>
      <c r="BN99" s="21">
        <v>0</v>
      </c>
      <c r="BO99" s="21">
        <v>0</v>
      </c>
      <c r="BP99" s="21">
        <v>0</v>
      </c>
      <c r="BQ99" s="21">
        <v>0</v>
      </c>
      <c r="BR99" s="21">
        <v>0</v>
      </c>
      <c r="BS99" s="21">
        <v>0</v>
      </c>
      <c r="BT99" s="21">
        <v>0</v>
      </c>
      <c r="BU99" s="21">
        <v>0</v>
      </c>
      <c r="BV99" s="21">
        <v>0</v>
      </c>
      <c r="BW99" s="21">
        <v>0</v>
      </c>
      <c r="BX99" s="21">
        <v>0</v>
      </c>
      <c r="BY99" s="21">
        <v>0</v>
      </c>
      <c r="BZ99" s="21">
        <v>0</v>
      </c>
      <c r="CA99" s="21">
        <v>0</v>
      </c>
      <c r="CB99" s="21">
        <v>0</v>
      </c>
      <c r="CC99" s="21">
        <v>0</v>
      </c>
      <c r="CD99" s="21">
        <v>0</v>
      </c>
      <c r="CE99" s="21">
        <v>0</v>
      </c>
      <c r="CF99" s="21">
        <v>0</v>
      </c>
      <c r="CG99" s="21">
        <v>0</v>
      </c>
      <c r="CH99" s="21">
        <v>0</v>
      </c>
      <c r="CI99" s="21">
        <v>0</v>
      </c>
      <c r="CJ99" s="21">
        <v>0</v>
      </c>
      <c r="CK99" s="21">
        <v>0</v>
      </c>
      <c r="CL99" s="21">
        <v>0</v>
      </c>
      <c r="CM99" s="21">
        <v>0</v>
      </c>
      <c r="CN99" s="21">
        <v>0</v>
      </c>
      <c r="CO99" s="21">
        <v>0</v>
      </c>
      <c r="CP99" s="21">
        <v>0</v>
      </c>
      <c r="CQ99" s="21">
        <v>0</v>
      </c>
      <c r="CR99" s="21">
        <v>0</v>
      </c>
      <c r="CS99" s="21">
        <v>0</v>
      </c>
      <c r="CT99" s="21">
        <v>0</v>
      </c>
      <c r="CU99" s="21">
        <v>0</v>
      </c>
      <c r="CV99" s="21">
        <v>0</v>
      </c>
      <c r="CW99" s="21">
        <v>0</v>
      </c>
      <c r="CX99" s="21">
        <v>0</v>
      </c>
      <c r="CY99" s="21">
        <v>0</v>
      </c>
      <c r="CZ99" s="21">
        <v>0</v>
      </c>
      <c r="DA99" s="21">
        <v>0</v>
      </c>
      <c r="DB99" s="21">
        <v>0</v>
      </c>
      <c r="DC99" s="21">
        <v>0</v>
      </c>
      <c r="DD99" s="21">
        <v>0</v>
      </c>
      <c r="DE99" s="21">
        <v>0</v>
      </c>
      <c r="DF99" s="21">
        <v>0</v>
      </c>
      <c r="DG99" s="21">
        <v>0</v>
      </c>
      <c r="DH99" s="74"/>
      <c r="DJ99" s="67"/>
      <c r="DL99" s="67"/>
    </row>
    <row r="100" spans="1:117">
      <c r="A100" s="23" t="s">
        <v>363</v>
      </c>
      <c r="B100" s="19" t="s">
        <v>364</v>
      </c>
      <c r="C100" s="19" t="s">
        <v>365</v>
      </c>
      <c r="D100" s="20">
        <f t="shared" si="1"/>
        <v>0</v>
      </c>
      <c r="E100" s="21">
        <v>0</v>
      </c>
      <c r="F100" s="21">
        <v>0</v>
      </c>
      <c r="G100" s="21">
        <v>0</v>
      </c>
      <c r="H100" s="21">
        <v>0</v>
      </c>
      <c r="I100" s="21">
        <v>0</v>
      </c>
      <c r="J100" s="21">
        <v>0</v>
      </c>
      <c r="K100" s="21">
        <v>0</v>
      </c>
      <c r="L100" s="21">
        <v>0</v>
      </c>
      <c r="M100" s="21">
        <v>0</v>
      </c>
      <c r="N100" s="21">
        <v>0</v>
      </c>
      <c r="O100" s="21">
        <v>0</v>
      </c>
      <c r="P100" s="21">
        <v>0</v>
      </c>
      <c r="Q100" s="21">
        <v>0</v>
      </c>
      <c r="R100" s="21">
        <v>0</v>
      </c>
      <c r="S100" s="21">
        <v>0</v>
      </c>
      <c r="T100" s="21">
        <v>0</v>
      </c>
      <c r="U100" s="21">
        <v>0</v>
      </c>
      <c r="V100" s="21">
        <v>0</v>
      </c>
      <c r="W100" s="21">
        <v>0</v>
      </c>
      <c r="X100" s="21">
        <v>0</v>
      </c>
      <c r="Y100" s="21">
        <v>0</v>
      </c>
      <c r="Z100" s="21">
        <v>0</v>
      </c>
      <c r="AA100" s="21">
        <v>0</v>
      </c>
      <c r="AB100" s="21">
        <v>0</v>
      </c>
      <c r="AC100" s="21">
        <v>0</v>
      </c>
      <c r="AD100" s="21">
        <v>0</v>
      </c>
      <c r="AE100" s="21">
        <v>0</v>
      </c>
      <c r="AF100" s="21">
        <v>0</v>
      </c>
      <c r="AG100" s="21">
        <v>0</v>
      </c>
      <c r="AH100" s="21">
        <v>0</v>
      </c>
      <c r="AI100" s="21">
        <v>0</v>
      </c>
      <c r="AJ100" s="21">
        <v>0</v>
      </c>
      <c r="AK100" s="21">
        <v>0</v>
      </c>
      <c r="AL100" s="21">
        <v>0</v>
      </c>
      <c r="AM100" s="21">
        <v>0</v>
      </c>
      <c r="AN100" s="21">
        <v>0</v>
      </c>
      <c r="AO100" s="21">
        <v>0</v>
      </c>
      <c r="AP100" s="21">
        <v>0</v>
      </c>
      <c r="AQ100" s="21">
        <v>0</v>
      </c>
      <c r="AR100" s="21">
        <v>0</v>
      </c>
      <c r="AS100" s="21">
        <v>0</v>
      </c>
      <c r="AT100" s="21">
        <v>0</v>
      </c>
      <c r="AU100" s="21">
        <v>0</v>
      </c>
      <c r="AV100" s="21">
        <v>0</v>
      </c>
      <c r="AW100" s="21">
        <v>0</v>
      </c>
      <c r="AX100" s="21">
        <v>0</v>
      </c>
      <c r="AY100" s="21">
        <v>0</v>
      </c>
      <c r="AZ100" s="21">
        <v>0</v>
      </c>
      <c r="BA100" s="21">
        <v>0</v>
      </c>
      <c r="BB100" s="21">
        <v>0</v>
      </c>
      <c r="BC100" s="21">
        <v>0</v>
      </c>
      <c r="BD100" s="21">
        <v>0</v>
      </c>
      <c r="BE100" s="21">
        <v>0</v>
      </c>
      <c r="BF100" s="21">
        <v>0</v>
      </c>
      <c r="BG100" s="21">
        <v>0</v>
      </c>
      <c r="BH100" s="21">
        <v>0</v>
      </c>
      <c r="BI100" s="21">
        <v>0</v>
      </c>
      <c r="BJ100" s="21">
        <v>0</v>
      </c>
      <c r="BK100" s="21">
        <v>0</v>
      </c>
      <c r="BL100" s="21">
        <v>0</v>
      </c>
      <c r="BM100" s="21">
        <v>0</v>
      </c>
      <c r="BN100" s="21">
        <v>0</v>
      </c>
      <c r="BO100" s="21">
        <v>0</v>
      </c>
      <c r="BP100" s="21">
        <v>0</v>
      </c>
      <c r="BQ100" s="21">
        <v>0</v>
      </c>
      <c r="BR100" s="21">
        <v>0</v>
      </c>
      <c r="BS100" s="21">
        <v>0</v>
      </c>
      <c r="BT100" s="21">
        <v>0</v>
      </c>
      <c r="BU100" s="21">
        <v>0</v>
      </c>
      <c r="BV100" s="21">
        <v>0</v>
      </c>
      <c r="BW100" s="21">
        <v>0</v>
      </c>
      <c r="BX100" s="21">
        <v>0</v>
      </c>
      <c r="BY100" s="21">
        <v>0</v>
      </c>
      <c r="BZ100" s="21">
        <v>0</v>
      </c>
      <c r="CA100" s="21">
        <v>0</v>
      </c>
      <c r="CB100" s="21">
        <v>0</v>
      </c>
      <c r="CC100" s="21">
        <v>0</v>
      </c>
      <c r="CD100" s="21">
        <v>0</v>
      </c>
      <c r="CE100" s="21">
        <v>0</v>
      </c>
      <c r="CF100" s="21">
        <v>0</v>
      </c>
      <c r="CG100" s="21">
        <v>0</v>
      </c>
      <c r="CH100" s="21">
        <v>0</v>
      </c>
      <c r="CI100" s="21">
        <v>0</v>
      </c>
      <c r="CJ100" s="21">
        <v>0</v>
      </c>
      <c r="CK100" s="21">
        <v>0</v>
      </c>
      <c r="CL100" s="21">
        <v>0</v>
      </c>
      <c r="CM100" s="21">
        <v>0</v>
      </c>
      <c r="CN100" s="21">
        <v>0</v>
      </c>
      <c r="CO100" s="21">
        <v>0</v>
      </c>
      <c r="CP100" s="21">
        <v>0</v>
      </c>
      <c r="CQ100" s="21">
        <v>0</v>
      </c>
      <c r="CR100" s="21">
        <v>0</v>
      </c>
      <c r="CS100" s="21">
        <v>0</v>
      </c>
      <c r="CT100" s="21">
        <v>0</v>
      </c>
      <c r="CU100" s="21">
        <v>0</v>
      </c>
      <c r="CV100" s="21">
        <v>0</v>
      </c>
      <c r="CW100" s="21">
        <v>0</v>
      </c>
      <c r="CX100" s="21">
        <v>0</v>
      </c>
      <c r="CY100" s="21">
        <v>0</v>
      </c>
      <c r="CZ100" s="21">
        <v>0</v>
      </c>
      <c r="DA100" s="21">
        <v>0</v>
      </c>
      <c r="DB100" s="21">
        <v>0</v>
      </c>
      <c r="DC100" s="21">
        <v>0</v>
      </c>
      <c r="DD100" s="21">
        <v>0</v>
      </c>
      <c r="DE100" s="21">
        <v>0</v>
      </c>
      <c r="DF100" s="21">
        <v>0</v>
      </c>
      <c r="DG100" s="21">
        <v>0</v>
      </c>
      <c r="DH100" s="74"/>
      <c r="DJ100" s="67"/>
      <c r="DL100" s="67"/>
    </row>
    <row r="101" spans="1:117" s="52" customFormat="1">
      <c r="A101" s="23" t="s">
        <v>366</v>
      </c>
      <c r="B101" s="19" t="s">
        <v>367</v>
      </c>
      <c r="C101" s="19" t="s">
        <v>368</v>
      </c>
      <c r="D101" s="20">
        <f t="shared" si="1"/>
        <v>0</v>
      </c>
      <c r="E101" s="21">
        <v>0</v>
      </c>
      <c r="F101" s="21">
        <v>0</v>
      </c>
      <c r="G101" s="21">
        <v>0</v>
      </c>
      <c r="H101" s="21">
        <v>0</v>
      </c>
      <c r="I101" s="21">
        <v>0</v>
      </c>
      <c r="J101" s="21">
        <v>0</v>
      </c>
      <c r="K101" s="21">
        <v>0</v>
      </c>
      <c r="L101" s="21">
        <v>0</v>
      </c>
      <c r="M101" s="21">
        <v>0</v>
      </c>
      <c r="N101" s="21">
        <v>0</v>
      </c>
      <c r="O101" s="21">
        <v>0</v>
      </c>
      <c r="P101" s="21">
        <v>0</v>
      </c>
      <c r="Q101" s="21">
        <v>0</v>
      </c>
      <c r="R101" s="21">
        <v>0</v>
      </c>
      <c r="S101" s="21">
        <v>0</v>
      </c>
      <c r="T101" s="21">
        <v>0</v>
      </c>
      <c r="U101" s="21">
        <v>0</v>
      </c>
      <c r="V101" s="21">
        <v>0</v>
      </c>
      <c r="W101" s="21">
        <v>0</v>
      </c>
      <c r="X101" s="21">
        <v>0</v>
      </c>
      <c r="Y101" s="21">
        <v>0</v>
      </c>
      <c r="Z101" s="21">
        <v>0</v>
      </c>
      <c r="AA101" s="21">
        <v>0</v>
      </c>
      <c r="AB101" s="21">
        <v>0</v>
      </c>
      <c r="AC101" s="21">
        <v>0</v>
      </c>
      <c r="AD101" s="21">
        <v>0</v>
      </c>
      <c r="AE101" s="21">
        <v>0</v>
      </c>
      <c r="AF101" s="21">
        <v>0</v>
      </c>
      <c r="AG101" s="21">
        <v>0</v>
      </c>
      <c r="AH101" s="21">
        <v>0</v>
      </c>
      <c r="AI101" s="21">
        <v>0</v>
      </c>
      <c r="AJ101" s="21">
        <v>0</v>
      </c>
      <c r="AK101" s="21">
        <v>0</v>
      </c>
      <c r="AL101" s="21">
        <v>0</v>
      </c>
      <c r="AM101" s="21">
        <v>0</v>
      </c>
      <c r="AN101" s="21">
        <v>0</v>
      </c>
      <c r="AO101" s="21">
        <v>0</v>
      </c>
      <c r="AP101" s="21">
        <v>0</v>
      </c>
      <c r="AQ101" s="21">
        <v>0</v>
      </c>
      <c r="AR101" s="21">
        <v>0</v>
      </c>
      <c r="AS101" s="21">
        <v>0</v>
      </c>
      <c r="AT101" s="21">
        <v>0</v>
      </c>
      <c r="AU101" s="21">
        <v>0</v>
      </c>
      <c r="AV101" s="21">
        <v>0</v>
      </c>
      <c r="AW101" s="21">
        <v>0</v>
      </c>
      <c r="AX101" s="21">
        <v>0</v>
      </c>
      <c r="AY101" s="21">
        <v>0</v>
      </c>
      <c r="AZ101" s="21">
        <v>0</v>
      </c>
      <c r="BA101" s="21">
        <v>0</v>
      </c>
      <c r="BB101" s="21">
        <v>0</v>
      </c>
      <c r="BC101" s="21">
        <v>0</v>
      </c>
      <c r="BD101" s="21">
        <v>0</v>
      </c>
      <c r="BE101" s="21">
        <v>0</v>
      </c>
      <c r="BF101" s="21">
        <v>0</v>
      </c>
      <c r="BG101" s="21">
        <v>0</v>
      </c>
      <c r="BH101" s="21">
        <v>0</v>
      </c>
      <c r="BI101" s="21">
        <v>0</v>
      </c>
      <c r="BJ101" s="21">
        <v>0</v>
      </c>
      <c r="BK101" s="21">
        <v>0</v>
      </c>
      <c r="BL101" s="21">
        <v>0</v>
      </c>
      <c r="BM101" s="21">
        <v>0</v>
      </c>
      <c r="BN101" s="21">
        <v>0</v>
      </c>
      <c r="BO101" s="21">
        <v>0</v>
      </c>
      <c r="BP101" s="21">
        <v>0</v>
      </c>
      <c r="BQ101" s="21">
        <v>0</v>
      </c>
      <c r="BR101" s="21">
        <v>0</v>
      </c>
      <c r="BS101" s="21">
        <v>0</v>
      </c>
      <c r="BT101" s="21">
        <v>0</v>
      </c>
      <c r="BU101" s="21">
        <v>0</v>
      </c>
      <c r="BV101" s="21">
        <v>0</v>
      </c>
      <c r="BW101" s="21">
        <v>0</v>
      </c>
      <c r="BX101" s="21">
        <v>0</v>
      </c>
      <c r="BY101" s="21">
        <v>0</v>
      </c>
      <c r="BZ101" s="21">
        <v>0</v>
      </c>
      <c r="CA101" s="21">
        <v>0</v>
      </c>
      <c r="CB101" s="21">
        <v>0</v>
      </c>
      <c r="CC101" s="21">
        <v>0</v>
      </c>
      <c r="CD101" s="21">
        <v>0</v>
      </c>
      <c r="CE101" s="21">
        <v>0</v>
      </c>
      <c r="CF101" s="21">
        <v>0</v>
      </c>
      <c r="CG101" s="21">
        <v>0</v>
      </c>
      <c r="CH101" s="21">
        <v>0</v>
      </c>
      <c r="CI101" s="21">
        <v>0</v>
      </c>
      <c r="CJ101" s="21">
        <v>0</v>
      </c>
      <c r="CK101" s="21">
        <v>0</v>
      </c>
      <c r="CL101" s="21">
        <v>0</v>
      </c>
      <c r="CM101" s="21">
        <v>0</v>
      </c>
      <c r="CN101" s="21">
        <v>0</v>
      </c>
      <c r="CO101" s="21">
        <v>0</v>
      </c>
      <c r="CP101" s="21">
        <v>0</v>
      </c>
      <c r="CQ101" s="21">
        <v>0</v>
      </c>
      <c r="CR101" s="21">
        <v>0</v>
      </c>
      <c r="CS101" s="21">
        <v>0</v>
      </c>
      <c r="CT101" s="21">
        <v>0</v>
      </c>
      <c r="CU101" s="21">
        <v>0</v>
      </c>
      <c r="CV101" s="21">
        <v>0</v>
      </c>
      <c r="CW101" s="21">
        <v>0</v>
      </c>
      <c r="CX101" s="21">
        <v>0</v>
      </c>
      <c r="CY101" s="21">
        <v>0</v>
      </c>
      <c r="CZ101" s="21">
        <v>0</v>
      </c>
      <c r="DA101" s="21">
        <v>0</v>
      </c>
      <c r="DB101" s="21">
        <v>0</v>
      </c>
      <c r="DC101" s="21">
        <v>0</v>
      </c>
      <c r="DD101" s="21">
        <v>0</v>
      </c>
      <c r="DE101" s="21">
        <v>0</v>
      </c>
      <c r="DF101" s="21">
        <v>0</v>
      </c>
      <c r="DG101" s="21">
        <v>0</v>
      </c>
      <c r="DH101" s="75"/>
      <c r="DI101" s="67"/>
      <c r="DJ101" s="67"/>
      <c r="DK101" s="50"/>
      <c r="DL101" s="67"/>
      <c r="DM101" s="50"/>
    </row>
    <row r="102" spans="1:117" ht="32.1">
      <c r="A102" s="23" t="s">
        <v>357</v>
      </c>
      <c r="B102" s="19" t="s">
        <v>369</v>
      </c>
      <c r="C102" s="19" t="s">
        <v>370</v>
      </c>
      <c r="D102" s="20">
        <f t="shared" si="1"/>
        <v>0</v>
      </c>
      <c r="E102" s="21">
        <v>0</v>
      </c>
      <c r="F102" s="21">
        <v>0</v>
      </c>
      <c r="G102" s="21">
        <v>0</v>
      </c>
      <c r="H102" s="21">
        <v>0</v>
      </c>
      <c r="I102" s="21">
        <v>0</v>
      </c>
      <c r="J102" s="21">
        <v>0</v>
      </c>
      <c r="K102" s="21">
        <v>0</v>
      </c>
      <c r="L102" s="21">
        <v>0</v>
      </c>
      <c r="M102" s="21">
        <v>0</v>
      </c>
      <c r="N102" s="21">
        <v>0</v>
      </c>
      <c r="O102" s="21">
        <v>0</v>
      </c>
      <c r="P102" s="21">
        <v>0</v>
      </c>
      <c r="Q102" s="21">
        <v>0</v>
      </c>
      <c r="R102" s="21">
        <v>0</v>
      </c>
      <c r="S102" s="21">
        <v>0</v>
      </c>
      <c r="T102" s="21">
        <v>0</v>
      </c>
      <c r="U102" s="21">
        <v>0</v>
      </c>
      <c r="V102" s="21">
        <v>0</v>
      </c>
      <c r="W102" s="21">
        <v>0</v>
      </c>
      <c r="X102" s="21">
        <v>0</v>
      </c>
      <c r="Y102" s="21">
        <v>0</v>
      </c>
      <c r="Z102" s="21">
        <v>0</v>
      </c>
      <c r="AA102" s="21">
        <v>0</v>
      </c>
      <c r="AB102" s="21">
        <v>0</v>
      </c>
      <c r="AC102" s="21">
        <v>0</v>
      </c>
      <c r="AD102" s="21">
        <v>0</v>
      </c>
      <c r="AE102" s="21">
        <v>0</v>
      </c>
      <c r="AF102" s="21">
        <v>0</v>
      </c>
      <c r="AG102" s="21">
        <v>0</v>
      </c>
      <c r="AH102" s="21">
        <v>0</v>
      </c>
      <c r="AI102" s="21">
        <v>0</v>
      </c>
      <c r="AJ102" s="21">
        <v>0</v>
      </c>
      <c r="AK102" s="21">
        <v>0</v>
      </c>
      <c r="AL102" s="21">
        <v>0</v>
      </c>
      <c r="AM102" s="21">
        <v>0</v>
      </c>
      <c r="AN102" s="21">
        <v>0</v>
      </c>
      <c r="AO102" s="21">
        <v>0</v>
      </c>
      <c r="AP102" s="21">
        <v>0</v>
      </c>
      <c r="AQ102" s="21">
        <v>0</v>
      </c>
      <c r="AR102" s="21">
        <v>0</v>
      </c>
      <c r="AS102" s="21">
        <v>0</v>
      </c>
      <c r="AT102" s="21">
        <v>0</v>
      </c>
      <c r="AU102" s="21">
        <v>0</v>
      </c>
      <c r="AV102" s="21">
        <v>0</v>
      </c>
      <c r="AW102" s="21">
        <v>0</v>
      </c>
      <c r="AX102" s="21">
        <v>0</v>
      </c>
      <c r="AY102" s="21">
        <v>0</v>
      </c>
      <c r="AZ102" s="21">
        <v>0</v>
      </c>
      <c r="BA102" s="21">
        <v>0</v>
      </c>
      <c r="BB102" s="21">
        <v>0</v>
      </c>
      <c r="BC102" s="21">
        <v>0</v>
      </c>
      <c r="BD102" s="21">
        <v>0</v>
      </c>
      <c r="BE102" s="21">
        <v>0</v>
      </c>
      <c r="BF102" s="21">
        <v>0</v>
      </c>
      <c r="BG102" s="21">
        <v>0</v>
      </c>
      <c r="BH102" s="21">
        <v>0</v>
      </c>
      <c r="BI102" s="21">
        <v>0</v>
      </c>
      <c r="BJ102" s="21">
        <v>0</v>
      </c>
      <c r="BK102" s="21">
        <v>0</v>
      </c>
      <c r="BL102" s="21">
        <v>0</v>
      </c>
      <c r="BM102" s="21">
        <v>0</v>
      </c>
      <c r="BN102" s="21">
        <v>0</v>
      </c>
      <c r="BO102" s="21">
        <v>0</v>
      </c>
      <c r="BP102" s="21">
        <v>0</v>
      </c>
      <c r="BQ102" s="21">
        <v>0</v>
      </c>
      <c r="BR102" s="21">
        <v>0</v>
      </c>
      <c r="BS102" s="21">
        <v>0</v>
      </c>
      <c r="BT102" s="21">
        <v>0</v>
      </c>
      <c r="BU102" s="21">
        <v>0</v>
      </c>
      <c r="BV102" s="21">
        <v>0</v>
      </c>
      <c r="BW102" s="21">
        <v>0</v>
      </c>
      <c r="BX102" s="21">
        <v>0</v>
      </c>
      <c r="BY102" s="21">
        <v>0</v>
      </c>
      <c r="BZ102" s="21">
        <v>0</v>
      </c>
      <c r="CA102" s="21">
        <v>0</v>
      </c>
      <c r="CB102" s="21">
        <v>0</v>
      </c>
      <c r="CC102" s="21">
        <v>0</v>
      </c>
      <c r="CD102" s="21">
        <v>0</v>
      </c>
      <c r="CE102" s="21">
        <v>0</v>
      </c>
      <c r="CF102" s="21">
        <v>0</v>
      </c>
      <c r="CG102" s="21">
        <v>0</v>
      </c>
      <c r="CH102" s="21">
        <v>0</v>
      </c>
      <c r="CI102" s="21">
        <v>0</v>
      </c>
      <c r="CJ102" s="21">
        <v>0</v>
      </c>
      <c r="CK102" s="21">
        <v>0</v>
      </c>
      <c r="CL102" s="21">
        <v>0</v>
      </c>
      <c r="CM102" s="21">
        <v>0</v>
      </c>
      <c r="CN102" s="21">
        <v>0</v>
      </c>
      <c r="CO102" s="21">
        <v>0</v>
      </c>
      <c r="CP102" s="21">
        <v>0</v>
      </c>
      <c r="CQ102" s="21">
        <v>0</v>
      </c>
      <c r="CR102" s="21">
        <v>0</v>
      </c>
      <c r="CS102" s="21">
        <v>0</v>
      </c>
      <c r="CT102" s="21">
        <v>0</v>
      </c>
      <c r="CU102" s="21">
        <v>0</v>
      </c>
      <c r="CV102" s="21">
        <v>0</v>
      </c>
      <c r="CW102" s="21">
        <v>0</v>
      </c>
      <c r="CX102" s="21">
        <v>0</v>
      </c>
      <c r="CY102" s="21">
        <v>0</v>
      </c>
      <c r="CZ102" s="21">
        <v>0</v>
      </c>
      <c r="DA102" s="21">
        <v>0</v>
      </c>
      <c r="DB102" s="21">
        <v>0</v>
      </c>
      <c r="DC102" s="21">
        <v>0</v>
      </c>
      <c r="DD102" s="21">
        <v>0</v>
      </c>
      <c r="DE102" s="21">
        <v>0</v>
      </c>
      <c r="DF102" s="21">
        <v>0</v>
      </c>
      <c r="DG102" s="21">
        <v>0</v>
      </c>
      <c r="DH102" s="74"/>
      <c r="DJ102" s="67"/>
      <c r="DL102" s="67"/>
    </row>
    <row r="103" spans="1:117">
      <c r="A103" s="24" t="s">
        <v>371</v>
      </c>
      <c r="B103" s="25"/>
      <c r="C103" s="25"/>
      <c r="D103" s="16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  <c r="BM103" s="28"/>
      <c r="BN103" s="28"/>
      <c r="BO103" s="28"/>
      <c r="BP103" s="28"/>
      <c r="BQ103" s="28"/>
      <c r="BR103" s="28"/>
      <c r="BS103" s="28"/>
      <c r="BT103" s="28"/>
      <c r="BU103" s="28"/>
      <c r="BV103" s="28"/>
      <c r="BW103" s="28"/>
      <c r="BX103" s="28"/>
      <c r="BY103" s="28"/>
      <c r="BZ103" s="28"/>
      <c r="CA103" s="28"/>
      <c r="CB103" s="28"/>
      <c r="CC103" s="28"/>
      <c r="CD103" s="28"/>
      <c r="CE103" s="28"/>
      <c r="CF103" s="28"/>
      <c r="CG103" s="28"/>
      <c r="CH103" s="28"/>
      <c r="CI103" s="28"/>
      <c r="CJ103" s="28"/>
      <c r="CK103" s="28"/>
      <c r="CL103" s="28"/>
      <c r="CM103" s="28"/>
      <c r="CN103" s="28"/>
      <c r="CO103" s="28"/>
      <c r="CP103" s="28"/>
      <c r="CQ103" s="28"/>
      <c r="CR103" s="28"/>
      <c r="CS103" s="28"/>
      <c r="CT103" s="28"/>
      <c r="CU103" s="64"/>
      <c r="CV103" s="64"/>
      <c r="CW103" s="64"/>
      <c r="CX103" s="64"/>
      <c r="CY103" s="64"/>
      <c r="CZ103" s="64"/>
      <c r="DA103" s="64"/>
      <c r="DB103" s="64"/>
      <c r="DC103" s="64"/>
      <c r="DD103" s="64"/>
      <c r="DE103" s="64"/>
      <c r="DF103" s="64"/>
      <c r="DG103" s="64"/>
      <c r="DH103" s="74"/>
      <c r="DJ103" s="67"/>
      <c r="DL103" s="67"/>
    </row>
    <row r="104" spans="1:117">
      <c r="A104" s="23" t="s">
        <v>372</v>
      </c>
      <c r="B104" s="19" t="s">
        <v>373</v>
      </c>
      <c r="C104" s="19" t="s">
        <v>374</v>
      </c>
      <c r="D104" s="20">
        <f t="shared" si="1"/>
        <v>71</v>
      </c>
      <c r="E104" s="22">
        <v>2</v>
      </c>
      <c r="F104" s="22">
        <v>18</v>
      </c>
      <c r="G104" s="22">
        <v>3</v>
      </c>
      <c r="H104" s="22">
        <v>1</v>
      </c>
      <c r="I104" s="22">
        <v>6</v>
      </c>
      <c r="J104" s="22">
        <v>3</v>
      </c>
      <c r="K104" s="22">
        <v>1</v>
      </c>
      <c r="L104" s="22">
        <v>1</v>
      </c>
      <c r="M104" s="22">
        <v>1</v>
      </c>
      <c r="N104" s="22">
        <v>0</v>
      </c>
      <c r="O104" s="22">
        <v>0</v>
      </c>
      <c r="P104" s="22">
        <v>0</v>
      </c>
      <c r="Q104" s="22">
        <v>0</v>
      </c>
      <c r="R104" s="22">
        <v>1</v>
      </c>
      <c r="S104" s="22">
        <v>0</v>
      </c>
      <c r="T104" s="22">
        <v>0</v>
      </c>
      <c r="U104" s="22">
        <v>1</v>
      </c>
      <c r="V104" s="22">
        <v>1</v>
      </c>
      <c r="W104" s="22">
        <v>0</v>
      </c>
      <c r="X104" s="22">
        <v>0</v>
      </c>
      <c r="Y104" s="22">
        <v>0</v>
      </c>
      <c r="Z104" s="22">
        <v>0</v>
      </c>
      <c r="AA104" s="22">
        <v>1</v>
      </c>
      <c r="AB104" s="22">
        <v>0</v>
      </c>
      <c r="AC104" s="22">
        <v>0</v>
      </c>
      <c r="AD104" s="22">
        <v>1</v>
      </c>
      <c r="AE104" s="22">
        <v>0</v>
      </c>
      <c r="AF104" s="22">
        <v>0</v>
      </c>
      <c r="AG104" s="22">
        <v>0</v>
      </c>
      <c r="AH104" s="22">
        <v>1</v>
      </c>
      <c r="AI104" s="22">
        <v>0</v>
      </c>
      <c r="AJ104" s="22">
        <v>0</v>
      </c>
      <c r="AK104" s="22">
        <v>0</v>
      </c>
      <c r="AL104" s="22">
        <v>0</v>
      </c>
      <c r="AM104" s="22">
        <v>1</v>
      </c>
      <c r="AN104" s="22">
        <v>1</v>
      </c>
      <c r="AO104" s="22">
        <v>0</v>
      </c>
      <c r="AP104" s="22">
        <v>0</v>
      </c>
      <c r="AQ104" s="22">
        <v>0</v>
      </c>
      <c r="AR104" s="22">
        <v>0</v>
      </c>
      <c r="AS104" s="22">
        <v>0</v>
      </c>
      <c r="AT104" s="22">
        <v>0</v>
      </c>
      <c r="AU104" s="22">
        <v>0</v>
      </c>
      <c r="AV104" s="22">
        <v>0</v>
      </c>
      <c r="AW104" s="22">
        <v>0</v>
      </c>
      <c r="AX104" s="22">
        <v>3</v>
      </c>
      <c r="AY104" s="22">
        <v>0</v>
      </c>
      <c r="AZ104" s="22">
        <v>0</v>
      </c>
      <c r="BA104" s="22">
        <v>0</v>
      </c>
      <c r="BB104" s="22">
        <v>0</v>
      </c>
      <c r="BC104" s="22">
        <v>1</v>
      </c>
      <c r="BD104" s="22">
        <v>1</v>
      </c>
      <c r="BE104" s="22">
        <v>0</v>
      </c>
      <c r="BF104" s="22">
        <v>0</v>
      </c>
      <c r="BG104" s="22">
        <v>0</v>
      </c>
      <c r="BH104" s="22">
        <v>0</v>
      </c>
      <c r="BI104" s="22">
        <v>0</v>
      </c>
      <c r="BJ104" s="22">
        <v>0</v>
      </c>
      <c r="BK104" s="22">
        <v>1</v>
      </c>
      <c r="BL104" s="22">
        <v>0</v>
      </c>
      <c r="BM104" s="22">
        <v>0</v>
      </c>
      <c r="BN104" s="22">
        <v>0</v>
      </c>
      <c r="BO104" s="22">
        <v>0</v>
      </c>
      <c r="BP104" s="22">
        <v>0</v>
      </c>
      <c r="BQ104" s="22">
        <v>1</v>
      </c>
      <c r="BR104" s="22">
        <v>0</v>
      </c>
      <c r="BS104" s="22">
        <v>0</v>
      </c>
      <c r="BT104" s="22">
        <v>1</v>
      </c>
      <c r="BU104" s="22">
        <v>0</v>
      </c>
      <c r="BV104" s="22">
        <v>0</v>
      </c>
      <c r="BW104" s="22">
        <v>1</v>
      </c>
      <c r="BX104" s="22">
        <v>0</v>
      </c>
      <c r="BY104" s="22">
        <v>0</v>
      </c>
      <c r="BZ104" s="22">
        <v>0</v>
      </c>
      <c r="CA104" s="22">
        <v>0</v>
      </c>
      <c r="CB104" s="22">
        <v>0</v>
      </c>
      <c r="CC104" s="22">
        <v>0</v>
      </c>
      <c r="CD104" s="22">
        <v>0</v>
      </c>
      <c r="CE104" s="22">
        <v>0</v>
      </c>
      <c r="CF104" s="22">
        <v>0</v>
      </c>
      <c r="CG104" s="22">
        <v>1</v>
      </c>
      <c r="CH104" s="22">
        <v>0</v>
      </c>
      <c r="CI104" s="22">
        <v>0</v>
      </c>
      <c r="CJ104" s="22">
        <v>0</v>
      </c>
      <c r="CK104" s="22">
        <v>0</v>
      </c>
      <c r="CL104" s="22">
        <v>1</v>
      </c>
      <c r="CM104" s="22">
        <v>1</v>
      </c>
      <c r="CN104" s="22">
        <v>1</v>
      </c>
      <c r="CO104" s="22">
        <v>0</v>
      </c>
      <c r="CP104" s="22">
        <v>1</v>
      </c>
      <c r="CQ104" s="22">
        <v>1</v>
      </c>
      <c r="CR104" s="22">
        <v>2</v>
      </c>
      <c r="CS104" s="22">
        <v>1</v>
      </c>
      <c r="CT104" s="22">
        <v>6</v>
      </c>
      <c r="CU104" s="21">
        <v>0</v>
      </c>
      <c r="CV104" s="21">
        <v>1</v>
      </c>
      <c r="CW104" s="21">
        <v>0</v>
      </c>
      <c r="CX104" s="21">
        <v>0</v>
      </c>
      <c r="CY104" s="21">
        <v>1</v>
      </c>
      <c r="CZ104" s="21">
        <v>0</v>
      </c>
      <c r="DA104" s="21">
        <v>0</v>
      </c>
      <c r="DB104" s="21">
        <v>0</v>
      </c>
      <c r="DC104" s="21">
        <v>0</v>
      </c>
      <c r="DD104" s="21">
        <v>0</v>
      </c>
      <c r="DE104" s="21">
        <v>1</v>
      </c>
      <c r="DF104" s="21">
        <v>0</v>
      </c>
      <c r="DG104" s="21">
        <v>0</v>
      </c>
      <c r="DH104" s="74"/>
      <c r="DJ104" s="67"/>
      <c r="DL104" s="67"/>
    </row>
    <row r="105" spans="1:117">
      <c r="A105" s="23" t="s">
        <v>372</v>
      </c>
      <c r="B105" s="19" t="s">
        <v>375</v>
      </c>
      <c r="C105" s="19" t="s">
        <v>374</v>
      </c>
      <c r="D105" s="20">
        <f t="shared" si="1"/>
        <v>56</v>
      </c>
      <c r="E105" s="22">
        <v>30</v>
      </c>
      <c r="F105" s="22">
        <v>4</v>
      </c>
      <c r="G105" s="22">
        <v>4</v>
      </c>
      <c r="H105" s="22">
        <v>0</v>
      </c>
      <c r="I105" s="22">
        <v>4</v>
      </c>
      <c r="J105" s="22">
        <v>0</v>
      </c>
      <c r="K105" s="22">
        <v>0</v>
      </c>
      <c r="L105" s="22">
        <v>0</v>
      </c>
      <c r="M105" s="22">
        <v>0</v>
      </c>
      <c r="N105" s="22">
        <v>0</v>
      </c>
      <c r="O105" s="22">
        <v>0</v>
      </c>
      <c r="P105" s="22">
        <v>0</v>
      </c>
      <c r="Q105" s="22">
        <v>1</v>
      </c>
      <c r="R105" s="22">
        <v>0</v>
      </c>
      <c r="S105" s="22">
        <v>3</v>
      </c>
      <c r="T105" s="22">
        <v>0</v>
      </c>
      <c r="U105" s="22">
        <v>1</v>
      </c>
      <c r="V105" s="22">
        <v>0</v>
      </c>
      <c r="W105" s="22">
        <v>2</v>
      </c>
      <c r="X105" s="22">
        <v>0</v>
      </c>
      <c r="Y105" s="22">
        <v>0</v>
      </c>
      <c r="Z105" s="22">
        <v>0</v>
      </c>
      <c r="AA105" s="22">
        <v>0</v>
      </c>
      <c r="AB105" s="22">
        <v>0</v>
      </c>
      <c r="AC105" s="22">
        <v>0</v>
      </c>
      <c r="AD105" s="22">
        <v>1</v>
      </c>
      <c r="AE105" s="22">
        <v>1</v>
      </c>
      <c r="AF105" s="22">
        <v>0</v>
      </c>
      <c r="AG105" s="22">
        <v>0</v>
      </c>
      <c r="AH105" s="22">
        <v>1</v>
      </c>
      <c r="AI105" s="22">
        <v>0</v>
      </c>
      <c r="AJ105" s="22">
        <v>1</v>
      </c>
      <c r="AK105" s="22">
        <v>0</v>
      </c>
      <c r="AL105" s="22">
        <v>0</v>
      </c>
      <c r="AM105" s="22">
        <v>0</v>
      </c>
      <c r="AN105" s="22">
        <v>0</v>
      </c>
      <c r="AO105" s="22">
        <v>0</v>
      </c>
      <c r="AP105" s="22">
        <v>0</v>
      </c>
      <c r="AQ105" s="22">
        <v>0</v>
      </c>
      <c r="AR105" s="22">
        <v>0</v>
      </c>
      <c r="AS105" s="22">
        <v>0</v>
      </c>
      <c r="AT105" s="22">
        <v>0</v>
      </c>
      <c r="AU105" s="22">
        <v>0</v>
      </c>
      <c r="AV105" s="22">
        <v>0</v>
      </c>
      <c r="AW105" s="22">
        <v>0</v>
      </c>
      <c r="AX105" s="22">
        <v>0</v>
      </c>
      <c r="AY105" s="22">
        <v>0</v>
      </c>
      <c r="AZ105" s="22">
        <v>0</v>
      </c>
      <c r="BA105" s="22">
        <v>0</v>
      </c>
      <c r="BB105" s="22">
        <v>1</v>
      </c>
      <c r="BC105" s="22">
        <v>0</v>
      </c>
      <c r="BD105" s="22">
        <v>0</v>
      </c>
      <c r="BE105" s="22">
        <v>0</v>
      </c>
      <c r="BF105" s="22">
        <v>0</v>
      </c>
      <c r="BG105" s="22">
        <v>0</v>
      </c>
      <c r="BH105" s="22">
        <v>0</v>
      </c>
      <c r="BI105" s="22">
        <v>0</v>
      </c>
      <c r="BJ105" s="22">
        <v>0</v>
      </c>
      <c r="BK105" s="22">
        <v>0</v>
      </c>
      <c r="BL105" s="22">
        <v>0</v>
      </c>
      <c r="BM105" s="22">
        <v>0</v>
      </c>
      <c r="BN105" s="22">
        <v>0</v>
      </c>
      <c r="BO105" s="22">
        <v>0</v>
      </c>
      <c r="BP105" s="22">
        <v>0</v>
      </c>
      <c r="BQ105" s="22">
        <v>0</v>
      </c>
      <c r="BR105" s="22">
        <v>0</v>
      </c>
      <c r="BS105" s="22">
        <v>0</v>
      </c>
      <c r="BT105" s="22">
        <v>0</v>
      </c>
      <c r="BU105" s="22">
        <v>0</v>
      </c>
      <c r="BV105" s="22">
        <v>0</v>
      </c>
      <c r="BW105" s="22">
        <v>0</v>
      </c>
      <c r="BX105" s="22">
        <v>0</v>
      </c>
      <c r="BY105" s="22">
        <v>0</v>
      </c>
      <c r="BZ105" s="22">
        <v>0</v>
      </c>
      <c r="CA105" s="22">
        <v>0</v>
      </c>
      <c r="CB105" s="22">
        <v>0</v>
      </c>
      <c r="CC105" s="22">
        <v>0</v>
      </c>
      <c r="CD105" s="22">
        <v>0</v>
      </c>
      <c r="CE105" s="22">
        <v>0</v>
      </c>
      <c r="CF105" s="22">
        <v>2</v>
      </c>
      <c r="CG105" s="22">
        <v>0</v>
      </c>
      <c r="CH105" s="22">
        <v>0</v>
      </c>
      <c r="CI105" s="22">
        <v>0</v>
      </c>
      <c r="CJ105" s="22">
        <v>0</v>
      </c>
      <c r="CK105" s="22">
        <v>0</v>
      </c>
      <c r="CL105" s="22">
        <v>0</v>
      </c>
      <c r="CM105" s="22">
        <v>0</v>
      </c>
      <c r="CN105" s="22">
        <v>0</v>
      </c>
      <c r="CO105" s="22">
        <v>0</v>
      </c>
      <c r="CP105" s="22">
        <v>0</v>
      </c>
      <c r="CQ105" s="22">
        <v>0</v>
      </c>
      <c r="CR105" s="22">
        <v>0</v>
      </c>
      <c r="CS105" s="22">
        <v>0</v>
      </c>
      <c r="CT105" s="22">
        <v>0</v>
      </c>
      <c r="CU105" s="21">
        <v>0</v>
      </c>
      <c r="CV105" s="21">
        <v>0</v>
      </c>
      <c r="CW105" s="21">
        <v>0</v>
      </c>
      <c r="CX105" s="21">
        <v>0</v>
      </c>
      <c r="CY105" s="21">
        <v>0</v>
      </c>
      <c r="CZ105" s="21">
        <v>0</v>
      </c>
      <c r="DA105" s="21">
        <v>0</v>
      </c>
      <c r="DB105" s="21">
        <v>0</v>
      </c>
      <c r="DC105" s="21">
        <v>0</v>
      </c>
      <c r="DD105" s="21">
        <v>0</v>
      </c>
      <c r="DE105" s="21">
        <v>0</v>
      </c>
      <c r="DF105" s="21">
        <v>0</v>
      </c>
      <c r="DG105" s="21">
        <v>0</v>
      </c>
      <c r="DH105" s="74"/>
      <c r="DJ105" s="67"/>
      <c r="DL105" s="67"/>
    </row>
    <row r="106" spans="1:117">
      <c r="A106" s="23" t="s">
        <v>372</v>
      </c>
      <c r="B106" s="19" t="s">
        <v>376</v>
      </c>
      <c r="C106" s="19" t="s">
        <v>374</v>
      </c>
      <c r="D106" s="20">
        <f t="shared" si="1"/>
        <v>0</v>
      </c>
      <c r="E106" s="22">
        <v>0</v>
      </c>
      <c r="F106" s="22">
        <v>0</v>
      </c>
      <c r="G106" s="22">
        <v>0</v>
      </c>
      <c r="H106" s="22">
        <v>0</v>
      </c>
      <c r="I106" s="22">
        <v>0</v>
      </c>
      <c r="J106" s="22">
        <v>0</v>
      </c>
      <c r="K106" s="22">
        <v>0</v>
      </c>
      <c r="L106" s="22">
        <v>0</v>
      </c>
      <c r="M106" s="22">
        <v>0</v>
      </c>
      <c r="N106" s="22">
        <v>0</v>
      </c>
      <c r="O106" s="22">
        <v>0</v>
      </c>
      <c r="P106" s="22">
        <v>0</v>
      </c>
      <c r="Q106" s="22">
        <v>0</v>
      </c>
      <c r="R106" s="22">
        <v>0</v>
      </c>
      <c r="S106" s="22">
        <v>0</v>
      </c>
      <c r="T106" s="22">
        <v>0</v>
      </c>
      <c r="U106" s="22">
        <v>0</v>
      </c>
      <c r="V106" s="22">
        <v>0</v>
      </c>
      <c r="W106" s="22">
        <v>0</v>
      </c>
      <c r="X106" s="22">
        <v>0</v>
      </c>
      <c r="Y106" s="22">
        <v>0</v>
      </c>
      <c r="Z106" s="22">
        <v>0</v>
      </c>
      <c r="AA106" s="22">
        <v>0</v>
      </c>
      <c r="AB106" s="22">
        <v>0</v>
      </c>
      <c r="AC106" s="22">
        <v>0</v>
      </c>
      <c r="AD106" s="22">
        <v>0</v>
      </c>
      <c r="AE106" s="22">
        <v>0</v>
      </c>
      <c r="AF106" s="22">
        <v>0</v>
      </c>
      <c r="AG106" s="22">
        <v>0</v>
      </c>
      <c r="AH106" s="22">
        <v>0</v>
      </c>
      <c r="AI106" s="22">
        <v>0</v>
      </c>
      <c r="AJ106" s="22">
        <v>0</v>
      </c>
      <c r="AK106" s="22">
        <v>0</v>
      </c>
      <c r="AL106" s="22">
        <v>0</v>
      </c>
      <c r="AM106" s="22">
        <v>0</v>
      </c>
      <c r="AN106" s="22">
        <v>0</v>
      </c>
      <c r="AO106" s="22">
        <v>0</v>
      </c>
      <c r="AP106" s="22">
        <v>0</v>
      </c>
      <c r="AQ106" s="22">
        <v>0</v>
      </c>
      <c r="AR106" s="22">
        <v>0</v>
      </c>
      <c r="AS106" s="22">
        <v>0</v>
      </c>
      <c r="AT106" s="22">
        <v>0</v>
      </c>
      <c r="AU106" s="22">
        <v>0</v>
      </c>
      <c r="AV106" s="22">
        <v>0</v>
      </c>
      <c r="AW106" s="22">
        <v>0</v>
      </c>
      <c r="AX106" s="22">
        <v>0</v>
      </c>
      <c r="AY106" s="22">
        <v>0</v>
      </c>
      <c r="AZ106" s="22">
        <v>0</v>
      </c>
      <c r="BA106" s="22">
        <v>0</v>
      </c>
      <c r="BB106" s="22">
        <v>0</v>
      </c>
      <c r="BC106" s="22">
        <v>0</v>
      </c>
      <c r="BD106" s="22">
        <v>0</v>
      </c>
      <c r="BE106" s="22">
        <v>0</v>
      </c>
      <c r="BF106" s="22">
        <v>0</v>
      </c>
      <c r="BG106" s="22">
        <v>0</v>
      </c>
      <c r="BH106" s="22">
        <v>0</v>
      </c>
      <c r="BI106" s="22">
        <v>0</v>
      </c>
      <c r="BJ106" s="22">
        <v>0</v>
      </c>
      <c r="BK106" s="22">
        <v>0</v>
      </c>
      <c r="BL106" s="22">
        <v>0</v>
      </c>
      <c r="BM106" s="22">
        <v>0</v>
      </c>
      <c r="BN106" s="22">
        <v>0</v>
      </c>
      <c r="BO106" s="22">
        <v>0</v>
      </c>
      <c r="BP106" s="22">
        <v>0</v>
      </c>
      <c r="BQ106" s="22">
        <v>0</v>
      </c>
      <c r="BR106" s="22">
        <v>0</v>
      </c>
      <c r="BS106" s="22">
        <v>0</v>
      </c>
      <c r="BT106" s="22">
        <v>0</v>
      </c>
      <c r="BU106" s="22">
        <v>0</v>
      </c>
      <c r="BV106" s="22">
        <v>0</v>
      </c>
      <c r="BW106" s="22">
        <v>0</v>
      </c>
      <c r="BX106" s="22">
        <v>0</v>
      </c>
      <c r="BY106" s="22">
        <v>0</v>
      </c>
      <c r="BZ106" s="22">
        <v>0</v>
      </c>
      <c r="CA106" s="22">
        <v>0</v>
      </c>
      <c r="CB106" s="22">
        <v>0</v>
      </c>
      <c r="CC106" s="22">
        <v>0</v>
      </c>
      <c r="CD106" s="22">
        <v>0</v>
      </c>
      <c r="CE106" s="22">
        <v>0</v>
      </c>
      <c r="CF106" s="22">
        <v>0</v>
      </c>
      <c r="CG106" s="22">
        <v>0</v>
      </c>
      <c r="CH106" s="22">
        <v>0</v>
      </c>
      <c r="CI106" s="22">
        <v>0</v>
      </c>
      <c r="CJ106" s="22">
        <v>0</v>
      </c>
      <c r="CK106" s="22">
        <v>0</v>
      </c>
      <c r="CL106" s="22">
        <v>0</v>
      </c>
      <c r="CM106" s="22">
        <v>0</v>
      </c>
      <c r="CN106" s="22">
        <v>0</v>
      </c>
      <c r="CO106" s="22">
        <v>0</v>
      </c>
      <c r="CP106" s="22">
        <v>0</v>
      </c>
      <c r="CQ106" s="22">
        <v>0</v>
      </c>
      <c r="CR106" s="22">
        <v>0</v>
      </c>
      <c r="CS106" s="22">
        <v>0</v>
      </c>
      <c r="CT106" s="22">
        <v>0</v>
      </c>
      <c r="CU106" s="21">
        <v>0</v>
      </c>
      <c r="CV106" s="21">
        <v>0</v>
      </c>
      <c r="CW106" s="21">
        <v>0</v>
      </c>
      <c r="CX106" s="21">
        <v>0</v>
      </c>
      <c r="CY106" s="21">
        <v>0</v>
      </c>
      <c r="CZ106" s="21">
        <v>0</v>
      </c>
      <c r="DA106" s="21">
        <v>0</v>
      </c>
      <c r="DB106" s="21">
        <v>0</v>
      </c>
      <c r="DC106" s="21">
        <v>0</v>
      </c>
      <c r="DD106" s="21">
        <v>0</v>
      </c>
      <c r="DE106" s="21">
        <v>0</v>
      </c>
      <c r="DF106" s="21">
        <v>0</v>
      </c>
      <c r="DG106" s="21">
        <v>0</v>
      </c>
      <c r="DH106" s="74"/>
      <c r="DJ106" s="67"/>
      <c r="DL106" s="67"/>
    </row>
    <row r="107" spans="1:117">
      <c r="A107" s="23" t="s">
        <v>377</v>
      </c>
      <c r="B107" s="19" t="s">
        <v>378</v>
      </c>
      <c r="C107" s="19" t="s">
        <v>379</v>
      </c>
      <c r="D107" s="20">
        <f t="shared" si="1"/>
        <v>6</v>
      </c>
      <c r="E107" s="22">
        <v>1</v>
      </c>
      <c r="F107" s="22">
        <v>1</v>
      </c>
      <c r="G107" s="22">
        <v>0</v>
      </c>
      <c r="H107" s="22">
        <v>0</v>
      </c>
      <c r="I107" s="22">
        <v>0</v>
      </c>
      <c r="J107" s="22">
        <v>0</v>
      </c>
      <c r="K107" s="22">
        <v>0</v>
      </c>
      <c r="L107" s="22">
        <v>1</v>
      </c>
      <c r="M107" s="22">
        <v>0</v>
      </c>
      <c r="N107" s="22">
        <v>0</v>
      </c>
      <c r="O107" s="22">
        <v>0</v>
      </c>
      <c r="P107" s="22">
        <v>0</v>
      </c>
      <c r="Q107" s="22">
        <v>0</v>
      </c>
      <c r="R107" s="22">
        <v>0</v>
      </c>
      <c r="S107" s="22">
        <v>0</v>
      </c>
      <c r="T107" s="22">
        <v>0</v>
      </c>
      <c r="U107" s="22">
        <v>0</v>
      </c>
      <c r="V107" s="22">
        <v>1</v>
      </c>
      <c r="W107" s="22">
        <v>0</v>
      </c>
      <c r="X107" s="22">
        <v>0</v>
      </c>
      <c r="Y107" s="22">
        <v>0</v>
      </c>
      <c r="Z107" s="22">
        <v>0</v>
      </c>
      <c r="AA107" s="22">
        <v>0</v>
      </c>
      <c r="AB107" s="22">
        <v>0</v>
      </c>
      <c r="AC107" s="22">
        <v>0</v>
      </c>
      <c r="AD107" s="22">
        <v>0</v>
      </c>
      <c r="AE107" s="22">
        <v>0</v>
      </c>
      <c r="AF107" s="22">
        <v>0</v>
      </c>
      <c r="AG107" s="22">
        <v>1</v>
      </c>
      <c r="AH107" s="22">
        <v>0</v>
      </c>
      <c r="AI107" s="22">
        <v>0</v>
      </c>
      <c r="AJ107" s="22">
        <v>0</v>
      </c>
      <c r="AK107" s="22">
        <v>0</v>
      </c>
      <c r="AL107" s="22">
        <v>0</v>
      </c>
      <c r="AM107" s="22">
        <v>0</v>
      </c>
      <c r="AN107" s="22">
        <v>0</v>
      </c>
      <c r="AO107" s="22">
        <v>0</v>
      </c>
      <c r="AP107" s="22">
        <v>0</v>
      </c>
      <c r="AQ107" s="22">
        <v>0</v>
      </c>
      <c r="AR107" s="22">
        <v>0</v>
      </c>
      <c r="AS107" s="22">
        <v>0</v>
      </c>
      <c r="AT107" s="22">
        <v>0</v>
      </c>
      <c r="AU107" s="22">
        <v>0</v>
      </c>
      <c r="AV107" s="22">
        <v>0</v>
      </c>
      <c r="AW107" s="22">
        <v>0</v>
      </c>
      <c r="AX107" s="22">
        <v>0</v>
      </c>
      <c r="AY107" s="22">
        <v>0</v>
      </c>
      <c r="AZ107" s="22">
        <v>0</v>
      </c>
      <c r="BA107" s="22">
        <v>0</v>
      </c>
      <c r="BB107" s="22">
        <v>0</v>
      </c>
      <c r="BC107" s="22">
        <v>0</v>
      </c>
      <c r="BD107" s="22">
        <v>0</v>
      </c>
      <c r="BE107" s="22">
        <v>0</v>
      </c>
      <c r="BF107" s="22">
        <v>0</v>
      </c>
      <c r="BG107" s="22">
        <v>0</v>
      </c>
      <c r="BH107" s="22">
        <v>0</v>
      </c>
      <c r="BI107" s="22">
        <v>0</v>
      </c>
      <c r="BJ107" s="22">
        <v>0</v>
      </c>
      <c r="BK107" s="22">
        <v>0</v>
      </c>
      <c r="BL107" s="22">
        <v>0</v>
      </c>
      <c r="BM107" s="22">
        <v>0</v>
      </c>
      <c r="BN107" s="22">
        <v>0</v>
      </c>
      <c r="BO107" s="22">
        <v>0</v>
      </c>
      <c r="BP107" s="22">
        <v>0</v>
      </c>
      <c r="BQ107" s="22">
        <v>0</v>
      </c>
      <c r="BR107" s="22">
        <v>0</v>
      </c>
      <c r="BS107" s="22">
        <v>0</v>
      </c>
      <c r="BT107" s="22">
        <v>1</v>
      </c>
      <c r="BU107" s="22">
        <v>0</v>
      </c>
      <c r="BV107" s="22">
        <v>0</v>
      </c>
      <c r="BW107" s="22">
        <v>0</v>
      </c>
      <c r="BX107" s="22">
        <v>0</v>
      </c>
      <c r="BY107" s="22">
        <v>0</v>
      </c>
      <c r="BZ107" s="22">
        <v>0</v>
      </c>
      <c r="CA107" s="22">
        <v>0</v>
      </c>
      <c r="CB107" s="22">
        <v>0</v>
      </c>
      <c r="CC107" s="22">
        <v>0</v>
      </c>
      <c r="CD107" s="22">
        <v>0</v>
      </c>
      <c r="CE107" s="22">
        <v>0</v>
      </c>
      <c r="CF107" s="22">
        <v>0</v>
      </c>
      <c r="CG107" s="22">
        <v>0</v>
      </c>
      <c r="CH107" s="22">
        <v>0</v>
      </c>
      <c r="CI107" s="22">
        <v>0</v>
      </c>
      <c r="CJ107" s="22">
        <v>0</v>
      </c>
      <c r="CK107" s="22">
        <v>0</v>
      </c>
      <c r="CL107" s="22">
        <v>0</v>
      </c>
      <c r="CM107" s="22">
        <v>0</v>
      </c>
      <c r="CN107" s="22">
        <v>0</v>
      </c>
      <c r="CO107" s="22">
        <v>0</v>
      </c>
      <c r="CP107" s="22">
        <v>0</v>
      </c>
      <c r="CQ107" s="22">
        <v>0</v>
      </c>
      <c r="CR107" s="22">
        <v>0</v>
      </c>
      <c r="CS107" s="22">
        <v>0</v>
      </c>
      <c r="CT107" s="22">
        <v>0</v>
      </c>
      <c r="CU107" s="21">
        <v>0</v>
      </c>
      <c r="CV107" s="21">
        <v>0</v>
      </c>
      <c r="CW107" s="21">
        <v>0</v>
      </c>
      <c r="CX107" s="21">
        <v>0</v>
      </c>
      <c r="CY107" s="21">
        <v>0</v>
      </c>
      <c r="CZ107" s="21">
        <v>0</v>
      </c>
      <c r="DA107" s="21">
        <v>0</v>
      </c>
      <c r="DB107" s="21">
        <v>0</v>
      </c>
      <c r="DC107" s="21">
        <v>0</v>
      </c>
      <c r="DD107" s="21">
        <v>0</v>
      </c>
      <c r="DE107" s="21">
        <v>0</v>
      </c>
      <c r="DF107" s="21">
        <v>0</v>
      </c>
      <c r="DG107" s="21">
        <v>0</v>
      </c>
      <c r="DH107" s="74"/>
      <c r="DJ107" s="67"/>
      <c r="DL107" s="67"/>
    </row>
    <row r="108" spans="1:117">
      <c r="A108" s="23" t="s">
        <v>380</v>
      </c>
      <c r="B108" s="19" t="s">
        <v>381</v>
      </c>
      <c r="C108" s="19" t="s">
        <v>382</v>
      </c>
      <c r="D108" s="20">
        <f t="shared" si="1"/>
        <v>3</v>
      </c>
      <c r="E108" s="22">
        <v>2</v>
      </c>
      <c r="F108" s="22">
        <v>0</v>
      </c>
      <c r="G108" s="22">
        <v>1</v>
      </c>
      <c r="H108" s="22">
        <v>0</v>
      </c>
      <c r="I108" s="22">
        <v>0</v>
      </c>
      <c r="J108" s="22">
        <v>0</v>
      </c>
      <c r="K108" s="22">
        <v>0</v>
      </c>
      <c r="L108" s="22">
        <v>0</v>
      </c>
      <c r="M108" s="22">
        <v>0</v>
      </c>
      <c r="N108" s="22">
        <v>0</v>
      </c>
      <c r="O108" s="22">
        <v>0</v>
      </c>
      <c r="P108" s="22">
        <v>0</v>
      </c>
      <c r="Q108" s="22">
        <v>0</v>
      </c>
      <c r="R108" s="22">
        <v>0</v>
      </c>
      <c r="S108" s="22">
        <v>0</v>
      </c>
      <c r="T108" s="22">
        <v>0</v>
      </c>
      <c r="U108" s="22">
        <v>0</v>
      </c>
      <c r="V108" s="22">
        <v>0</v>
      </c>
      <c r="W108" s="22">
        <v>0</v>
      </c>
      <c r="X108" s="22">
        <v>0</v>
      </c>
      <c r="Y108" s="22">
        <v>0</v>
      </c>
      <c r="Z108" s="22">
        <v>0</v>
      </c>
      <c r="AA108" s="22">
        <v>0</v>
      </c>
      <c r="AB108" s="22">
        <v>0</v>
      </c>
      <c r="AC108" s="22">
        <v>0</v>
      </c>
      <c r="AD108" s="22">
        <v>0</v>
      </c>
      <c r="AE108" s="22">
        <v>0</v>
      </c>
      <c r="AF108" s="22">
        <v>0</v>
      </c>
      <c r="AG108" s="22">
        <v>0</v>
      </c>
      <c r="AH108" s="22">
        <v>0</v>
      </c>
      <c r="AI108" s="22">
        <v>0</v>
      </c>
      <c r="AJ108" s="22">
        <v>0</v>
      </c>
      <c r="AK108" s="22">
        <v>0</v>
      </c>
      <c r="AL108" s="22">
        <v>0</v>
      </c>
      <c r="AM108" s="22">
        <v>0</v>
      </c>
      <c r="AN108" s="22">
        <v>0</v>
      </c>
      <c r="AO108" s="22">
        <v>0</v>
      </c>
      <c r="AP108" s="22">
        <v>0</v>
      </c>
      <c r="AQ108" s="22">
        <v>0</v>
      </c>
      <c r="AR108" s="22">
        <v>0</v>
      </c>
      <c r="AS108" s="22">
        <v>0</v>
      </c>
      <c r="AT108" s="22">
        <v>0</v>
      </c>
      <c r="AU108" s="22">
        <v>0</v>
      </c>
      <c r="AV108" s="22">
        <v>0</v>
      </c>
      <c r="AW108" s="22">
        <v>0</v>
      </c>
      <c r="AX108" s="22">
        <v>0</v>
      </c>
      <c r="AY108" s="22">
        <v>0</v>
      </c>
      <c r="AZ108" s="22">
        <v>0</v>
      </c>
      <c r="BA108" s="22">
        <v>0</v>
      </c>
      <c r="BB108" s="22">
        <v>0</v>
      </c>
      <c r="BC108" s="22">
        <v>0</v>
      </c>
      <c r="BD108" s="22">
        <v>0</v>
      </c>
      <c r="BE108" s="22">
        <v>0</v>
      </c>
      <c r="BF108" s="22">
        <v>0</v>
      </c>
      <c r="BG108" s="22">
        <v>0</v>
      </c>
      <c r="BH108" s="22">
        <v>0</v>
      </c>
      <c r="BI108" s="22">
        <v>0</v>
      </c>
      <c r="BJ108" s="22">
        <v>0</v>
      </c>
      <c r="BK108" s="22">
        <v>0</v>
      </c>
      <c r="BL108" s="22">
        <v>0</v>
      </c>
      <c r="BM108" s="22">
        <v>0</v>
      </c>
      <c r="BN108" s="22">
        <v>0</v>
      </c>
      <c r="BO108" s="22">
        <v>0</v>
      </c>
      <c r="BP108" s="22">
        <v>0</v>
      </c>
      <c r="BQ108" s="22">
        <v>0</v>
      </c>
      <c r="BR108" s="22">
        <v>0</v>
      </c>
      <c r="BS108" s="22">
        <v>0</v>
      </c>
      <c r="BT108" s="22">
        <v>0</v>
      </c>
      <c r="BU108" s="22">
        <v>0</v>
      </c>
      <c r="BV108" s="22">
        <v>0</v>
      </c>
      <c r="BW108" s="22">
        <v>0</v>
      </c>
      <c r="BX108" s="22">
        <v>0</v>
      </c>
      <c r="BY108" s="22">
        <v>0</v>
      </c>
      <c r="BZ108" s="22">
        <v>0</v>
      </c>
      <c r="CA108" s="22">
        <v>0</v>
      </c>
      <c r="CB108" s="22">
        <v>0</v>
      </c>
      <c r="CC108" s="22">
        <v>0</v>
      </c>
      <c r="CD108" s="22">
        <v>0</v>
      </c>
      <c r="CE108" s="22">
        <v>0</v>
      </c>
      <c r="CF108" s="22">
        <v>0</v>
      </c>
      <c r="CG108" s="22">
        <v>0</v>
      </c>
      <c r="CH108" s="22">
        <v>0</v>
      </c>
      <c r="CI108" s="22">
        <v>0</v>
      </c>
      <c r="CJ108" s="22">
        <v>0</v>
      </c>
      <c r="CK108" s="22">
        <v>0</v>
      </c>
      <c r="CL108" s="22">
        <v>0</v>
      </c>
      <c r="CM108" s="22">
        <v>0</v>
      </c>
      <c r="CN108" s="22">
        <v>0</v>
      </c>
      <c r="CO108" s="22">
        <v>0</v>
      </c>
      <c r="CP108" s="22">
        <v>0</v>
      </c>
      <c r="CQ108" s="22">
        <v>0</v>
      </c>
      <c r="CR108" s="22">
        <v>0</v>
      </c>
      <c r="CS108" s="22">
        <v>0</v>
      </c>
      <c r="CT108" s="22">
        <v>0</v>
      </c>
      <c r="CU108" s="21">
        <v>0</v>
      </c>
      <c r="CV108" s="21">
        <v>0</v>
      </c>
      <c r="CW108" s="21">
        <v>0</v>
      </c>
      <c r="CX108" s="21">
        <v>0</v>
      </c>
      <c r="CY108" s="21">
        <v>0</v>
      </c>
      <c r="CZ108" s="21">
        <v>0</v>
      </c>
      <c r="DA108" s="21">
        <v>0</v>
      </c>
      <c r="DB108" s="21">
        <v>0</v>
      </c>
      <c r="DC108" s="21">
        <v>0</v>
      </c>
      <c r="DD108" s="21">
        <v>0</v>
      </c>
      <c r="DE108" s="21">
        <v>0</v>
      </c>
      <c r="DF108" s="21">
        <v>0</v>
      </c>
      <c r="DG108" s="21">
        <v>0</v>
      </c>
      <c r="DH108" s="74"/>
      <c r="DJ108" s="67"/>
      <c r="DL108" s="67"/>
    </row>
    <row r="109" spans="1:117" s="52" customFormat="1">
      <c r="A109" s="23"/>
      <c r="B109" s="19" t="s">
        <v>383</v>
      </c>
      <c r="C109" s="19" t="s">
        <v>384</v>
      </c>
      <c r="D109" s="20">
        <f t="shared" si="1"/>
        <v>2</v>
      </c>
      <c r="E109" s="22">
        <v>1</v>
      </c>
      <c r="F109" s="22">
        <v>1</v>
      </c>
      <c r="G109" s="22">
        <v>0</v>
      </c>
      <c r="H109" s="22">
        <v>0</v>
      </c>
      <c r="I109" s="22">
        <v>0</v>
      </c>
      <c r="J109" s="22">
        <v>0</v>
      </c>
      <c r="K109" s="22">
        <v>0</v>
      </c>
      <c r="L109" s="22">
        <v>0</v>
      </c>
      <c r="M109" s="22">
        <v>0</v>
      </c>
      <c r="N109" s="22">
        <v>0</v>
      </c>
      <c r="O109" s="22">
        <v>0</v>
      </c>
      <c r="P109" s="22">
        <v>0</v>
      </c>
      <c r="Q109" s="22">
        <v>0</v>
      </c>
      <c r="R109" s="22">
        <v>0</v>
      </c>
      <c r="S109" s="22">
        <v>0</v>
      </c>
      <c r="T109" s="22">
        <v>0</v>
      </c>
      <c r="U109" s="22">
        <v>0</v>
      </c>
      <c r="V109" s="22">
        <v>0</v>
      </c>
      <c r="W109" s="22">
        <v>0</v>
      </c>
      <c r="X109" s="22">
        <v>0</v>
      </c>
      <c r="Y109" s="22">
        <v>0</v>
      </c>
      <c r="Z109" s="22">
        <v>0</v>
      </c>
      <c r="AA109" s="22">
        <v>0</v>
      </c>
      <c r="AB109" s="22">
        <v>0</v>
      </c>
      <c r="AC109" s="22">
        <v>0</v>
      </c>
      <c r="AD109" s="22">
        <v>0</v>
      </c>
      <c r="AE109" s="22">
        <v>0</v>
      </c>
      <c r="AF109" s="22">
        <v>0</v>
      </c>
      <c r="AG109" s="22">
        <v>0</v>
      </c>
      <c r="AH109" s="22">
        <v>0</v>
      </c>
      <c r="AI109" s="22">
        <v>0</v>
      </c>
      <c r="AJ109" s="22">
        <v>0</v>
      </c>
      <c r="AK109" s="22">
        <v>0</v>
      </c>
      <c r="AL109" s="22">
        <v>0</v>
      </c>
      <c r="AM109" s="22">
        <v>0</v>
      </c>
      <c r="AN109" s="22">
        <v>0</v>
      </c>
      <c r="AO109" s="22">
        <v>0</v>
      </c>
      <c r="AP109" s="22">
        <v>0</v>
      </c>
      <c r="AQ109" s="22">
        <v>0</v>
      </c>
      <c r="AR109" s="22">
        <v>0</v>
      </c>
      <c r="AS109" s="22">
        <v>0</v>
      </c>
      <c r="AT109" s="22">
        <v>0</v>
      </c>
      <c r="AU109" s="22">
        <v>0</v>
      </c>
      <c r="AV109" s="22">
        <v>0</v>
      </c>
      <c r="AW109" s="22">
        <v>0</v>
      </c>
      <c r="AX109" s="22">
        <v>0</v>
      </c>
      <c r="AY109" s="22">
        <v>0</v>
      </c>
      <c r="AZ109" s="22">
        <v>0</v>
      </c>
      <c r="BA109" s="22">
        <v>0</v>
      </c>
      <c r="BB109" s="22">
        <v>0</v>
      </c>
      <c r="BC109" s="22">
        <v>0</v>
      </c>
      <c r="BD109" s="22">
        <v>0</v>
      </c>
      <c r="BE109" s="22">
        <v>0</v>
      </c>
      <c r="BF109" s="22">
        <v>0</v>
      </c>
      <c r="BG109" s="22">
        <v>0</v>
      </c>
      <c r="BH109" s="22">
        <v>0</v>
      </c>
      <c r="BI109" s="22">
        <v>0</v>
      </c>
      <c r="BJ109" s="22">
        <v>0</v>
      </c>
      <c r="BK109" s="22">
        <v>0</v>
      </c>
      <c r="BL109" s="22">
        <v>0</v>
      </c>
      <c r="BM109" s="22">
        <v>0</v>
      </c>
      <c r="BN109" s="22">
        <v>0</v>
      </c>
      <c r="BO109" s="22">
        <v>0</v>
      </c>
      <c r="BP109" s="22">
        <v>0</v>
      </c>
      <c r="BQ109" s="22">
        <v>0</v>
      </c>
      <c r="BR109" s="22">
        <v>0</v>
      </c>
      <c r="BS109" s="22">
        <v>0</v>
      </c>
      <c r="BT109" s="22">
        <v>0</v>
      </c>
      <c r="BU109" s="22">
        <v>0</v>
      </c>
      <c r="BV109" s="22">
        <v>0</v>
      </c>
      <c r="BW109" s="22">
        <v>0</v>
      </c>
      <c r="BX109" s="22">
        <v>0</v>
      </c>
      <c r="BY109" s="22">
        <v>0</v>
      </c>
      <c r="BZ109" s="22">
        <v>0</v>
      </c>
      <c r="CA109" s="22">
        <v>0</v>
      </c>
      <c r="CB109" s="22">
        <v>0</v>
      </c>
      <c r="CC109" s="22">
        <v>0</v>
      </c>
      <c r="CD109" s="22">
        <v>0</v>
      </c>
      <c r="CE109" s="22">
        <v>0</v>
      </c>
      <c r="CF109" s="22">
        <v>0</v>
      </c>
      <c r="CG109" s="22">
        <v>0</v>
      </c>
      <c r="CH109" s="22">
        <v>0</v>
      </c>
      <c r="CI109" s="22">
        <v>0</v>
      </c>
      <c r="CJ109" s="22">
        <v>0</v>
      </c>
      <c r="CK109" s="22">
        <v>0</v>
      </c>
      <c r="CL109" s="22">
        <v>0</v>
      </c>
      <c r="CM109" s="22">
        <v>0</v>
      </c>
      <c r="CN109" s="22">
        <v>0</v>
      </c>
      <c r="CO109" s="22">
        <v>0</v>
      </c>
      <c r="CP109" s="22">
        <v>0</v>
      </c>
      <c r="CQ109" s="22">
        <v>0</v>
      </c>
      <c r="CR109" s="22">
        <v>0</v>
      </c>
      <c r="CS109" s="22">
        <v>0</v>
      </c>
      <c r="CT109" s="22">
        <v>0</v>
      </c>
      <c r="CU109" s="21">
        <v>0</v>
      </c>
      <c r="CV109" s="21">
        <v>0</v>
      </c>
      <c r="CW109" s="21">
        <v>0</v>
      </c>
      <c r="CX109" s="21">
        <v>0</v>
      </c>
      <c r="CY109" s="21">
        <v>0</v>
      </c>
      <c r="CZ109" s="21">
        <v>0</v>
      </c>
      <c r="DA109" s="21">
        <v>0</v>
      </c>
      <c r="DB109" s="21">
        <v>0</v>
      </c>
      <c r="DC109" s="21">
        <v>0</v>
      </c>
      <c r="DD109" s="21">
        <v>0</v>
      </c>
      <c r="DE109" s="21">
        <v>0</v>
      </c>
      <c r="DF109" s="21">
        <v>0</v>
      </c>
      <c r="DG109" s="21">
        <v>0</v>
      </c>
      <c r="DH109" s="75"/>
      <c r="DI109" s="67"/>
      <c r="DJ109" s="67"/>
      <c r="DK109" s="50"/>
      <c r="DL109" s="67"/>
      <c r="DM109" s="50"/>
    </row>
    <row r="110" spans="1:117" s="52" customFormat="1">
      <c r="A110" s="23"/>
      <c r="B110" s="19" t="s">
        <v>385</v>
      </c>
      <c r="C110" s="19" t="s">
        <v>287</v>
      </c>
      <c r="D110" s="20">
        <f t="shared" si="1"/>
        <v>0</v>
      </c>
      <c r="E110" s="22">
        <v>0</v>
      </c>
      <c r="F110" s="22">
        <v>0</v>
      </c>
      <c r="G110" s="22">
        <v>0</v>
      </c>
      <c r="H110" s="22">
        <v>0</v>
      </c>
      <c r="I110" s="22">
        <v>0</v>
      </c>
      <c r="J110" s="22">
        <v>0</v>
      </c>
      <c r="K110" s="22">
        <v>0</v>
      </c>
      <c r="L110" s="22">
        <v>0</v>
      </c>
      <c r="M110" s="22">
        <v>0</v>
      </c>
      <c r="N110" s="22">
        <v>0</v>
      </c>
      <c r="O110" s="22">
        <v>0</v>
      </c>
      <c r="P110" s="22">
        <v>0</v>
      </c>
      <c r="Q110" s="22">
        <v>0</v>
      </c>
      <c r="R110" s="22">
        <v>0</v>
      </c>
      <c r="S110" s="22">
        <v>0</v>
      </c>
      <c r="T110" s="22">
        <v>0</v>
      </c>
      <c r="U110" s="22">
        <v>0</v>
      </c>
      <c r="V110" s="22">
        <v>0</v>
      </c>
      <c r="W110" s="22">
        <v>0</v>
      </c>
      <c r="X110" s="22">
        <v>0</v>
      </c>
      <c r="Y110" s="22">
        <v>0</v>
      </c>
      <c r="Z110" s="22">
        <v>0</v>
      </c>
      <c r="AA110" s="22">
        <v>0</v>
      </c>
      <c r="AB110" s="22">
        <v>0</v>
      </c>
      <c r="AC110" s="22">
        <v>0</v>
      </c>
      <c r="AD110" s="22">
        <v>0</v>
      </c>
      <c r="AE110" s="22">
        <v>0</v>
      </c>
      <c r="AF110" s="22">
        <v>0</v>
      </c>
      <c r="AG110" s="22">
        <v>0</v>
      </c>
      <c r="AH110" s="22">
        <v>0</v>
      </c>
      <c r="AI110" s="22">
        <v>0</v>
      </c>
      <c r="AJ110" s="22">
        <v>0</v>
      </c>
      <c r="AK110" s="22">
        <v>0</v>
      </c>
      <c r="AL110" s="22">
        <v>0</v>
      </c>
      <c r="AM110" s="22">
        <v>0</v>
      </c>
      <c r="AN110" s="22">
        <v>0</v>
      </c>
      <c r="AO110" s="22">
        <v>0</v>
      </c>
      <c r="AP110" s="22">
        <v>0</v>
      </c>
      <c r="AQ110" s="22">
        <v>0</v>
      </c>
      <c r="AR110" s="22">
        <v>0</v>
      </c>
      <c r="AS110" s="22">
        <v>0</v>
      </c>
      <c r="AT110" s="22">
        <v>0</v>
      </c>
      <c r="AU110" s="22">
        <v>0</v>
      </c>
      <c r="AV110" s="22">
        <v>0</v>
      </c>
      <c r="AW110" s="22">
        <v>0</v>
      </c>
      <c r="AX110" s="22">
        <v>0</v>
      </c>
      <c r="AY110" s="22">
        <v>0</v>
      </c>
      <c r="AZ110" s="22">
        <v>0</v>
      </c>
      <c r="BA110" s="22">
        <v>0</v>
      </c>
      <c r="BB110" s="22">
        <v>0</v>
      </c>
      <c r="BC110" s="22">
        <v>0</v>
      </c>
      <c r="BD110" s="22">
        <v>0</v>
      </c>
      <c r="BE110" s="22">
        <v>0</v>
      </c>
      <c r="BF110" s="22">
        <v>0</v>
      </c>
      <c r="BG110" s="22">
        <v>0</v>
      </c>
      <c r="BH110" s="22">
        <v>0</v>
      </c>
      <c r="BI110" s="22">
        <v>0</v>
      </c>
      <c r="BJ110" s="22">
        <v>0</v>
      </c>
      <c r="BK110" s="22">
        <v>0</v>
      </c>
      <c r="BL110" s="22">
        <v>0</v>
      </c>
      <c r="BM110" s="22">
        <v>0</v>
      </c>
      <c r="BN110" s="22">
        <v>0</v>
      </c>
      <c r="BO110" s="22">
        <v>0</v>
      </c>
      <c r="BP110" s="22">
        <v>0</v>
      </c>
      <c r="BQ110" s="22">
        <v>0</v>
      </c>
      <c r="BR110" s="22">
        <v>0</v>
      </c>
      <c r="BS110" s="22">
        <v>0</v>
      </c>
      <c r="BT110" s="22">
        <v>0</v>
      </c>
      <c r="BU110" s="22">
        <v>0</v>
      </c>
      <c r="BV110" s="22">
        <v>0</v>
      </c>
      <c r="BW110" s="22">
        <v>0</v>
      </c>
      <c r="BX110" s="22">
        <v>0</v>
      </c>
      <c r="BY110" s="22">
        <v>0</v>
      </c>
      <c r="BZ110" s="22">
        <v>0</v>
      </c>
      <c r="CA110" s="22">
        <v>0</v>
      </c>
      <c r="CB110" s="22">
        <v>0</v>
      </c>
      <c r="CC110" s="22">
        <v>0</v>
      </c>
      <c r="CD110" s="22">
        <v>0</v>
      </c>
      <c r="CE110" s="22">
        <v>0</v>
      </c>
      <c r="CF110" s="22">
        <v>0</v>
      </c>
      <c r="CG110" s="22">
        <v>0</v>
      </c>
      <c r="CH110" s="22">
        <v>0</v>
      </c>
      <c r="CI110" s="22">
        <v>0</v>
      </c>
      <c r="CJ110" s="22">
        <v>0</v>
      </c>
      <c r="CK110" s="22">
        <v>0</v>
      </c>
      <c r="CL110" s="22">
        <v>0</v>
      </c>
      <c r="CM110" s="22">
        <v>0</v>
      </c>
      <c r="CN110" s="22">
        <v>0</v>
      </c>
      <c r="CO110" s="22">
        <v>0</v>
      </c>
      <c r="CP110" s="22">
        <v>0</v>
      </c>
      <c r="CQ110" s="22">
        <v>0</v>
      </c>
      <c r="CR110" s="22">
        <v>0</v>
      </c>
      <c r="CS110" s="22">
        <v>0</v>
      </c>
      <c r="CT110" s="22">
        <v>0</v>
      </c>
      <c r="CU110" s="22">
        <v>0</v>
      </c>
      <c r="CV110" s="22">
        <v>0</v>
      </c>
      <c r="CW110" s="22">
        <v>0</v>
      </c>
      <c r="CX110" s="22">
        <v>0</v>
      </c>
      <c r="CY110" s="22">
        <v>0</v>
      </c>
      <c r="CZ110" s="22">
        <v>0</v>
      </c>
      <c r="DA110" s="22">
        <v>0</v>
      </c>
      <c r="DB110" s="22">
        <v>0</v>
      </c>
      <c r="DC110" s="22">
        <v>0</v>
      </c>
      <c r="DD110" s="22">
        <v>0</v>
      </c>
      <c r="DE110" s="22">
        <v>0</v>
      </c>
      <c r="DF110" s="22">
        <v>0</v>
      </c>
      <c r="DG110" s="22">
        <v>0</v>
      </c>
      <c r="DH110" s="75"/>
      <c r="DI110" s="67"/>
      <c r="DJ110" s="67"/>
      <c r="DK110" s="50"/>
      <c r="DL110" s="67"/>
      <c r="DM110" s="50"/>
    </row>
    <row r="111" spans="1:117">
      <c r="A111" s="24" t="s">
        <v>386</v>
      </c>
      <c r="B111" s="25"/>
      <c r="C111" s="25"/>
      <c r="D111" s="16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28"/>
      <c r="AJ111" s="28"/>
      <c r="AK111" s="28"/>
      <c r="AL111" s="28"/>
      <c r="AM111" s="28"/>
      <c r="AN111" s="28"/>
      <c r="AO111" s="28"/>
      <c r="AP111" s="28"/>
      <c r="AQ111" s="28"/>
      <c r="AR111" s="28"/>
      <c r="AS111" s="28"/>
      <c r="AT111" s="28"/>
      <c r="AU111" s="28"/>
      <c r="AV111" s="28"/>
      <c r="AW111" s="28"/>
      <c r="AX111" s="28"/>
      <c r="AY111" s="28"/>
      <c r="AZ111" s="28"/>
      <c r="BA111" s="28"/>
      <c r="BB111" s="28"/>
      <c r="BC111" s="28"/>
      <c r="BD111" s="28"/>
      <c r="BE111" s="28"/>
      <c r="BF111" s="28"/>
      <c r="BG111" s="28"/>
      <c r="BH111" s="28"/>
      <c r="BI111" s="28"/>
      <c r="BJ111" s="28"/>
      <c r="BK111" s="28"/>
      <c r="BL111" s="28"/>
      <c r="BM111" s="28"/>
      <c r="BN111" s="28"/>
      <c r="BO111" s="28"/>
      <c r="BP111" s="28"/>
      <c r="BQ111" s="28"/>
      <c r="BR111" s="28"/>
      <c r="BS111" s="28"/>
      <c r="BT111" s="28"/>
      <c r="BU111" s="28"/>
      <c r="BV111" s="28"/>
      <c r="BW111" s="28"/>
      <c r="BX111" s="28"/>
      <c r="BY111" s="28"/>
      <c r="BZ111" s="28"/>
      <c r="CA111" s="28"/>
      <c r="CB111" s="28"/>
      <c r="CC111" s="28"/>
      <c r="CD111" s="28"/>
      <c r="CE111" s="28"/>
      <c r="CF111" s="28"/>
      <c r="CG111" s="28"/>
      <c r="CH111" s="28"/>
      <c r="CI111" s="28"/>
      <c r="CJ111" s="28"/>
      <c r="CK111" s="28"/>
      <c r="CL111" s="28"/>
      <c r="CM111" s="28"/>
      <c r="CN111" s="28"/>
      <c r="CO111" s="28"/>
      <c r="CP111" s="28"/>
      <c r="CQ111" s="28"/>
      <c r="CR111" s="28"/>
      <c r="CS111" s="28"/>
      <c r="CT111" s="28"/>
      <c r="CU111" s="64"/>
      <c r="CV111" s="64"/>
      <c r="CW111" s="64"/>
      <c r="CX111" s="64"/>
      <c r="CY111" s="64"/>
      <c r="CZ111" s="64"/>
      <c r="DA111" s="64"/>
      <c r="DB111" s="64"/>
      <c r="DC111" s="64"/>
      <c r="DD111" s="64"/>
      <c r="DE111" s="64"/>
      <c r="DF111" s="64"/>
      <c r="DG111" s="64"/>
      <c r="DH111" s="74"/>
      <c r="DJ111" s="67"/>
      <c r="DL111" s="67"/>
    </row>
    <row r="112" spans="1:117">
      <c r="A112" s="83" t="s">
        <v>387</v>
      </c>
      <c r="B112" s="19" t="s">
        <v>388</v>
      </c>
      <c r="C112" s="19" t="s">
        <v>389</v>
      </c>
      <c r="D112" s="20">
        <f t="shared" ref="D112:D127" si="2">SUM(E112:DG112)</f>
        <v>7</v>
      </c>
      <c r="E112" s="22">
        <v>5</v>
      </c>
      <c r="F112" s="22">
        <v>0</v>
      </c>
      <c r="G112" s="22">
        <v>0</v>
      </c>
      <c r="H112" s="22">
        <v>0</v>
      </c>
      <c r="I112" s="22">
        <v>0</v>
      </c>
      <c r="J112" s="22">
        <v>0</v>
      </c>
      <c r="K112" s="22">
        <v>0</v>
      </c>
      <c r="L112" s="22">
        <v>0</v>
      </c>
      <c r="M112" s="22">
        <v>0</v>
      </c>
      <c r="N112" s="22">
        <v>0</v>
      </c>
      <c r="O112" s="22">
        <v>0</v>
      </c>
      <c r="P112" s="22">
        <v>0</v>
      </c>
      <c r="Q112" s="22">
        <v>0</v>
      </c>
      <c r="R112" s="22">
        <v>0</v>
      </c>
      <c r="S112" s="22">
        <v>0</v>
      </c>
      <c r="T112" s="22">
        <v>0</v>
      </c>
      <c r="U112" s="22">
        <v>0</v>
      </c>
      <c r="V112" s="22">
        <v>0</v>
      </c>
      <c r="W112" s="22">
        <v>0</v>
      </c>
      <c r="X112" s="22">
        <v>0</v>
      </c>
      <c r="Y112" s="22">
        <v>0</v>
      </c>
      <c r="Z112" s="22">
        <v>0</v>
      </c>
      <c r="AA112" s="22">
        <v>0</v>
      </c>
      <c r="AB112" s="22">
        <v>0</v>
      </c>
      <c r="AC112" s="22">
        <v>0</v>
      </c>
      <c r="AD112" s="22">
        <v>0</v>
      </c>
      <c r="AE112" s="22">
        <v>0</v>
      </c>
      <c r="AF112" s="22">
        <v>0</v>
      </c>
      <c r="AG112" s="22">
        <v>0</v>
      </c>
      <c r="AH112" s="22">
        <v>0</v>
      </c>
      <c r="AI112" s="22">
        <v>0</v>
      </c>
      <c r="AJ112" s="22">
        <v>0</v>
      </c>
      <c r="AK112" s="22">
        <v>0</v>
      </c>
      <c r="AL112" s="22">
        <v>0</v>
      </c>
      <c r="AM112" s="22">
        <v>0</v>
      </c>
      <c r="AN112" s="22">
        <v>2</v>
      </c>
      <c r="AO112" s="22">
        <v>0</v>
      </c>
      <c r="AP112" s="22">
        <v>0</v>
      </c>
      <c r="AQ112" s="22">
        <v>0</v>
      </c>
      <c r="AR112" s="22">
        <v>0</v>
      </c>
      <c r="AS112" s="22">
        <v>0</v>
      </c>
      <c r="AT112" s="22">
        <v>0</v>
      </c>
      <c r="AU112" s="22">
        <v>0</v>
      </c>
      <c r="AV112" s="22">
        <v>0</v>
      </c>
      <c r="AW112" s="22">
        <v>0</v>
      </c>
      <c r="AX112" s="22">
        <v>0</v>
      </c>
      <c r="AY112" s="22">
        <v>0</v>
      </c>
      <c r="AZ112" s="22">
        <v>0</v>
      </c>
      <c r="BA112" s="22">
        <v>0</v>
      </c>
      <c r="BB112" s="22">
        <v>0</v>
      </c>
      <c r="BC112" s="22">
        <v>0</v>
      </c>
      <c r="BD112" s="22">
        <v>0</v>
      </c>
      <c r="BE112" s="22">
        <v>0</v>
      </c>
      <c r="BF112" s="22">
        <v>0</v>
      </c>
      <c r="BG112" s="22">
        <v>0</v>
      </c>
      <c r="BH112" s="22">
        <v>0</v>
      </c>
      <c r="BI112" s="22">
        <v>0</v>
      </c>
      <c r="BJ112" s="22">
        <v>0</v>
      </c>
      <c r="BK112" s="22">
        <v>0</v>
      </c>
      <c r="BL112" s="22">
        <v>0</v>
      </c>
      <c r="BM112" s="22">
        <v>0</v>
      </c>
      <c r="BN112" s="22">
        <v>0</v>
      </c>
      <c r="BO112" s="22">
        <v>0</v>
      </c>
      <c r="BP112" s="22">
        <v>0</v>
      </c>
      <c r="BQ112" s="22">
        <v>0</v>
      </c>
      <c r="BR112" s="22">
        <v>0</v>
      </c>
      <c r="BS112" s="22">
        <v>0</v>
      </c>
      <c r="BT112" s="22">
        <v>0</v>
      </c>
      <c r="BU112" s="22">
        <v>0</v>
      </c>
      <c r="BV112" s="22">
        <v>0</v>
      </c>
      <c r="BW112" s="22">
        <v>0</v>
      </c>
      <c r="BX112" s="22">
        <v>0</v>
      </c>
      <c r="BY112" s="22">
        <v>0</v>
      </c>
      <c r="BZ112" s="22">
        <v>0</v>
      </c>
      <c r="CA112" s="22">
        <v>0</v>
      </c>
      <c r="CB112" s="22">
        <v>0</v>
      </c>
      <c r="CC112" s="22">
        <v>0</v>
      </c>
      <c r="CD112" s="22">
        <v>0</v>
      </c>
      <c r="CE112" s="22">
        <v>0</v>
      </c>
      <c r="CF112" s="22">
        <v>0</v>
      </c>
      <c r="CG112" s="22">
        <v>0</v>
      </c>
      <c r="CH112" s="22">
        <v>0</v>
      </c>
      <c r="CI112" s="22">
        <v>0</v>
      </c>
      <c r="CJ112" s="22">
        <v>0</v>
      </c>
      <c r="CK112" s="22">
        <v>0</v>
      </c>
      <c r="CL112" s="22">
        <v>0</v>
      </c>
      <c r="CM112" s="22">
        <v>0</v>
      </c>
      <c r="CN112" s="22">
        <v>0</v>
      </c>
      <c r="CO112" s="22">
        <v>0</v>
      </c>
      <c r="CP112" s="22">
        <v>0</v>
      </c>
      <c r="CQ112" s="22">
        <v>0</v>
      </c>
      <c r="CR112" s="22">
        <v>0</v>
      </c>
      <c r="CS112" s="22">
        <v>0</v>
      </c>
      <c r="CT112" s="22">
        <v>0</v>
      </c>
      <c r="CU112" s="21">
        <v>0</v>
      </c>
      <c r="CV112" s="21">
        <v>0</v>
      </c>
      <c r="CW112" s="21">
        <v>0</v>
      </c>
      <c r="CX112" s="21">
        <v>0</v>
      </c>
      <c r="CY112" s="21">
        <v>0</v>
      </c>
      <c r="CZ112" s="21">
        <v>0</v>
      </c>
      <c r="DA112" s="21">
        <v>0</v>
      </c>
      <c r="DB112" s="21">
        <v>0</v>
      </c>
      <c r="DC112" s="21">
        <v>0</v>
      </c>
      <c r="DD112" s="21">
        <v>0</v>
      </c>
      <c r="DE112" s="21">
        <v>0</v>
      </c>
      <c r="DF112" s="21">
        <v>0</v>
      </c>
      <c r="DG112" s="21">
        <v>0</v>
      </c>
      <c r="DH112" s="74"/>
      <c r="DJ112" s="67"/>
      <c r="DL112" s="67"/>
    </row>
    <row r="113" spans="1:117" s="52" customFormat="1">
      <c r="A113" s="84" t="s">
        <v>390</v>
      </c>
      <c r="B113" s="19" t="s">
        <v>391</v>
      </c>
      <c r="C113" s="19" t="s">
        <v>392</v>
      </c>
      <c r="D113" s="20">
        <f>SUM(E113:DG113)</f>
        <v>0</v>
      </c>
      <c r="E113" s="22">
        <v>0</v>
      </c>
      <c r="F113" s="22">
        <v>0</v>
      </c>
      <c r="G113" s="22">
        <v>0</v>
      </c>
      <c r="H113" s="22">
        <v>0</v>
      </c>
      <c r="I113" s="22">
        <v>0</v>
      </c>
      <c r="J113" s="22">
        <v>0</v>
      </c>
      <c r="K113" s="22">
        <v>0</v>
      </c>
      <c r="L113" s="22">
        <v>0</v>
      </c>
      <c r="M113" s="22">
        <v>0</v>
      </c>
      <c r="N113" s="22">
        <v>0</v>
      </c>
      <c r="O113" s="22">
        <v>0</v>
      </c>
      <c r="P113" s="22">
        <v>0</v>
      </c>
      <c r="Q113" s="22">
        <v>0</v>
      </c>
      <c r="R113" s="22">
        <v>0</v>
      </c>
      <c r="S113" s="22">
        <v>0</v>
      </c>
      <c r="T113" s="22">
        <v>0</v>
      </c>
      <c r="U113" s="22">
        <v>0</v>
      </c>
      <c r="V113" s="22">
        <v>0</v>
      </c>
      <c r="W113" s="22">
        <v>0</v>
      </c>
      <c r="X113" s="22">
        <v>0</v>
      </c>
      <c r="Y113" s="22">
        <v>0</v>
      </c>
      <c r="Z113" s="22">
        <v>0</v>
      </c>
      <c r="AA113" s="22">
        <v>0</v>
      </c>
      <c r="AB113" s="22">
        <v>0</v>
      </c>
      <c r="AC113" s="22">
        <v>0</v>
      </c>
      <c r="AD113" s="22">
        <v>0</v>
      </c>
      <c r="AE113" s="22">
        <v>0</v>
      </c>
      <c r="AF113" s="22">
        <v>0</v>
      </c>
      <c r="AG113" s="22">
        <v>0</v>
      </c>
      <c r="AH113" s="22">
        <v>0</v>
      </c>
      <c r="AI113" s="22">
        <v>0</v>
      </c>
      <c r="AJ113" s="22">
        <v>0</v>
      </c>
      <c r="AK113" s="22">
        <v>0</v>
      </c>
      <c r="AL113" s="22">
        <v>0</v>
      </c>
      <c r="AM113" s="22">
        <v>0</v>
      </c>
      <c r="AN113" s="22">
        <v>0</v>
      </c>
      <c r="AO113" s="22">
        <v>0</v>
      </c>
      <c r="AP113" s="22">
        <v>0</v>
      </c>
      <c r="AQ113" s="22">
        <v>0</v>
      </c>
      <c r="AR113" s="22">
        <v>0</v>
      </c>
      <c r="AS113" s="22">
        <v>0</v>
      </c>
      <c r="AT113" s="22">
        <v>0</v>
      </c>
      <c r="AU113" s="22">
        <v>0</v>
      </c>
      <c r="AV113" s="22">
        <v>0</v>
      </c>
      <c r="AW113" s="22">
        <v>0</v>
      </c>
      <c r="AX113" s="22">
        <v>0</v>
      </c>
      <c r="AY113" s="22">
        <v>0</v>
      </c>
      <c r="AZ113" s="22">
        <v>0</v>
      </c>
      <c r="BA113" s="22">
        <v>0</v>
      </c>
      <c r="BB113" s="22">
        <v>0</v>
      </c>
      <c r="BC113" s="22">
        <v>0</v>
      </c>
      <c r="BD113" s="22">
        <v>0</v>
      </c>
      <c r="BE113" s="22">
        <v>0</v>
      </c>
      <c r="BF113" s="22">
        <v>0</v>
      </c>
      <c r="BG113" s="22">
        <v>0</v>
      </c>
      <c r="BH113" s="22">
        <v>0</v>
      </c>
      <c r="BI113" s="22">
        <v>0</v>
      </c>
      <c r="BJ113" s="22">
        <v>0</v>
      </c>
      <c r="BK113" s="22">
        <v>0</v>
      </c>
      <c r="BL113" s="22">
        <v>0</v>
      </c>
      <c r="BM113" s="22">
        <v>0</v>
      </c>
      <c r="BN113" s="22">
        <v>0</v>
      </c>
      <c r="BO113" s="22">
        <v>0</v>
      </c>
      <c r="BP113" s="22">
        <v>0</v>
      </c>
      <c r="BQ113" s="22">
        <v>0</v>
      </c>
      <c r="BR113" s="22">
        <v>0</v>
      </c>
      <c r="BS113" s="22">
        <v>0</v>
      </c>
      <c r="BT113" s="22">
        <v>0</v>
      </c>
      <c r="BU113" s="22">
        <v>0</v>
      </c>
      <c r="BV113" s="22">
        <v>0</v>
      </c>
      <c r="BW113" s="22">
        <v>0</v>
      </c>
      <c r="BX113" s="22">
        <v>0</v>
      </c>
      <c r="BY113" s="22">
        <v>0</v>
      </c>
      <c r="BZ113" s="22">
        <v>0</v>
      </c>
      <c r="CA113" s="22">
        <v>0</v>
      </c>
      <c r="CB113" s="22">
        <v>0</v>
      </c>
      <c r="CC113" s="22">
        <v>0</v>
      </c>
      <c r="CD113" s="22">
        <v>0</v>
      </c>
      <c r="CE113" s="22">
        <v>0</v>
      </c>
      <c r="CF113" s="22">
        <v>0</v>
      </c>
      <c r="CG113" s="22">
        <v>0</v>
      </c>
      <c r="CH113" s="22">
        <v>0</v>
      </c>
      <c r="CI113" s="22">
        <v>0</v>
      </c>
      <c r="CJ113" s="22">
        <v>0</v>
      </c>
      <c r="CK113" s="22">
        <v>0</v>
      </c>
      <c r="CL113" s="22">
        <v>0</v>
      </c>
      <c r="CM113" s="22">
        <v>0</v>
      </c>
      <c r="CN113" s="22">
        <v>0</v>
      </c>
      <c r="CO113" s="22">
        <v>0</v>
      </c>
      <c r="CP113" s="22">
        <v>0</v>
      </c>
      <c r="CQ113" s="22">
        <v>0</v>
      </c>
      <c r="CR113" s="22">
        <v>0</v>
      </c>
      <c r="CS113" s="22">
        <v>0</v>
      </c>
      <c r="CT113" s="22">
        <v>0</v>
      </c>
      <c r="CU113" s="21">
        <v>0</v>
      </c>
      <c r="CV113" s="21">
        <v>0</v>
      </c>
      <c r="CW113" s="21">
        <v>0</v>
      </c>
      <c r="CX113" s="21">
        <v>0</v>
      </c>
      <c r="CY113" s="21">
        <v>0</v>
      </c>
      <c r="CZ113" s="21">
        <v>0</v>
      </c>
      <c r="DA113" s="21">
        <v>0</v>
      </c>
      <c r="DB113" s="21">
        <v>0</v>
      </c>
      <c r="DC113" s="21">
        <v>0</v>
      </c>
      <c r="DD113" s="21">
        <v>0</v>
      </c>
      <c r="DE113" s="21">
        <v>0</v>
      </c>
      <c r="DF113" s="21">
        <v>0</v>
      </c>
      <c r="DG113" s="21">
        <v>0</v>
      </c>
      <c r="DH113" s="75"/>
      <c r="DI113" s="67"/>
      <c r="DJ113" s="67"/>
      <c r="DK113" s="50"/>
      <c r="DL113" s="67"/>
      <c r="DM113" s="50"/>
    </row>
    <row r="114" spans="1:117" s="52" customFormat="1">
      <c r="A114" s="23" t="s">
        <v>393</v>
      </c>
      <c r="B114" s="19" t="s">
        <v>394</v>
      </c>
      <c r="C114" s="19" t="s">
        <v>392</v>
      </c>
      <c r="D114" s="20">
        <f t="shared" si="2"/>
        <v>0</v>
      </c>
      <c r="E114" s="22">
        <v>0</v>
      </c>
      <c r="F114" s="22">
        <v>0</v>
      </c>
      <c r="G114" s="22">
        <v>0</v>
      </c>
      <c r="H114" s="22">
        <v>0</v>
      </c>
      <c r="I114" s="22">
        <v>0</v>
      </c>
      <c r="J114" s="22">
        <v>0</v>
      </c>
      <c r="K114" s="22">
        <v>0</v>
      </c>
      <c r="L114" s="22">
        <v>0</v>
      </c>
      <c r="M114" s="22">
        <v>0</v>
      </c>
      <c r="N114" s="22">
        <v>0</v>
      </c>
      <c r="O114" s="22">
        <v>0</v>
      </c>
      <c r="P114" s="22">
        <v>0</v>
      </c>
      <c r="Q114" s="22">
        <v>0</v>
      </c>
      <c r="R114" s="22">
        <v>0</v>
      </c>
      <c r="S114" s="22">
        <v>0</v>
      </c>
      <c r="T114" s="22">
        <v>0</v>
      </c>
      <c r="U114" s="22">
        <v>0</v>
      </c>
      <c r="V114" s="22">
        <v>0</v>
      </c>
      <c r="W114" s="22">
        <v>0</v>
      </c>
      <c r="X114" s="22">
        <v>0</v>
      </c>
      <c r="Y114" s="22">
        <v>0</v>
      </c>
      <c r="Z114" s="22">
        <v>0</v>
      </c>
      <c r="AA114" s="22">
        <v>0</v>
      </c>
      <c r="AB114" s="22">
        <v>0</v>
      </c>
      <c r="AC114" s="22">
        <v>0</v>
      </c>
      <c r="AD114" s="22">
        <v>0</v>
      </c>
      <c r="AE114" s="22">
        <v>0</v>
      </c>
      <c r="AF114" s="22">
        <v>0</v>
      </c>
      <c r="AG114" s="22">
        <v>0</v>
      </c>
      <c r="AH114" s="22">
        <v>0</v>
      </c>
      <c r="AI114" s="22">
        <v>0</v>
      </c>
      <c r="AJ114" s="22">
        <v>0</v>
      </c>
      <c r="AK114" s="22">
        <v>0</v>
      </c>
      <c r="AL114" s="22">
        <v>0</v>
      </c>
      <c r="AM114" s="22">
        <v>0</v>
      </c>
      <c r="AN114" s="22">
        <v>0</v>
      </c>
      <c r="AO114" s="22">
        <v>0</v>
      </c>
      <c r="AP114" s="22">
        <v>0</v>
      </c>
      <c r="AQ114" s="22">
        <v>0</v>
      </c>
      <c r="AR114" s="22">
        <v>0</v>
      </c>
      <c r="AS114" s="22">
        <v>0</v>
      </c>
      <c r="AT114" s="22">
        <v>0</v>
      </c>
      <c r="AU114" s="22">
        <v>0</v>
      </c>
      <c r="AV114" s="22">
        <v>0</v>
      </c>
      <c r="AW114" s="22">
        <v>0</v>
      </c>
      <c r="AX114" s="22">
        <v>0</v>
      </c>
      <c r="AY114" s="22">
        <v>0</v>
      </c>
      <c r="AZ114" s="22">
        <v>0</v>
      </c>
      <c r="BA114" s="22">
        <v>0</v>
      </c>
      <c r="BB114" s="22">
        <v>0</v>
      </c>
      <c r="BC114" s="22">
        <v>0</v>
      </c>
      <c r="BD114" s="22">
        <v>0</v>
      </c>
      <c r="BE114" s="22">
        <v>0</v>
      </c>
      <c r="BF114" s="22">
        <v>0</v>
      </c>
      <c r="BG114" s="22">
        <v>0</v>
      </c>
      <c r="BH114" s="22">
        <v>0</v>
      </c>
      <c r="BI114" s="22">
        <v>0</v>
      </c>
      <c r="BJ114" s="22">
        <v>0</v>
      </c>
      <c r="BK114" s="22">
        <v>0</v>
      </c>
      <c r="BL114" s="22">
        <v>0</v>
      </c>
      <c r="BM114" s="22">
        <v>0</v>
      </c>
      <c r="BN114" s="22">
        <v>0</v>
      </c>
      <c r="BO114" s="22">
        <v>0</v>
      </c>
      <c r="BP114" s="22">
        <v>0</v>
      </c>
      <c r="BQ114" s="22">
        <v>0</v>
      </c>
      <c r="BR114" s="22">
        <v>0</v>
      </c>
      <c r="BS114" s="22">
        <v>0</v>
      </c>
      <c r="BT114" s="22">
        <v>0</v>
      </c>
      <c r="BU114" s="22">
        <v>0</v>
      </c>
      <c r="BV114" s="22">
        <v>0</v>
      </c>
      <c r="BW114" s="22">
        <v>0</v>
      </c>
      <c r="BX114" s="22">
        <v>0</v>
      </c>
      <c r="BY114" s="22">
        <v>0</v>
      </c>
      <c r="BZ114" s="22">
        <v>0</v>
      </c>
      <c r="CA114" s="22">
        <v>0</v>
      </c>
      <c r="CB114" s="22">
        <v>0</v>
      </c>
      <c r="CC114" s="22">
        <v>0</v>
      </c>
      <c r="CD114" s="22">
        <v>0</v>
      </c>
      <c r="CE114" s="22">
        <v>0</v>
      </c>
      <c r="CF114" s="22">
        <v>0</v>
      </c>
      <c r="CG114" s="22">
        <v>0</v>
      </c>
      <c r="CH114" s="22">
        <v>0</v>
      </c>
      <c r="CI114" s="22">
        <v>0</v>
      </c>
      <c r="CJ114" s="22">
        <v>0</v>
      </c>
      <c r="CK114" s="22">
        <v>0</v>
      </c>
      <c r="CL114" s="22">
        <v>0</v>
      </c>
      <c r="CM114" s="22">
        <v>0</v>
      </c>
      <c r="CN114" s="22">
        <v>0</v>
      </c>
      <c r="CO114" s="22">
        <v>0</v>
      </c>
      <c r="CP114" s="22">
        <v>0</v>
      </c>
      <c r="CQ114" s="22">
        <v>0</v>
      </c>
      <c r="CR114" s="22">
        <v>0</v>
      </c>
      <c r="CS114" s="22">
        <v>0</v>
      </c>
      <c r="CT114" s="22">
        <v>0</v>
      </c>
      <c r="CU114" s="21">
        <v>0</v>
      </c>
      <c r="CV114" s="21">
        <v>0</v>
      </c>
      <c r="CW114" s="21">
        <v>0</v>
      </c>
      <c r="CX114" s="21">
        <v>0</v>
      </c>
      <c r="CY114" s="21">
        <v>0</v>
      </c>
      <c r="CZ114" s="21">
        <v>0</v>
      </c>
      <c r="DA114" s="21">
        <v>0</v>
      </c>
      <c r="DB114" s="21">
        <v>0</v>
      </c>
      <c r="DC114" s="21">
        <v>0</v>
      </c>
      <c r="DD114" s="21">
        <v>0</v>
      </c>
      <c r="DE114" s="21">
        <v>0</v>
      </c>
      <c r="DF114" s="21">
        <v>0</v>
      </c>
      <c r="DG114" s="21">
        <v>0</v>
      </c>
      <c r="DH114" s="75"/>
      <c r="DI114" s="67"/>
      <c r="DJ114" s="67"/>
      <c r="DK114" s="50"/>
      <c r="DL114" s="67"/>
      <c r="DM114" s="50"/>
    </row>
    <row r="115" spans="1:117" s="52" customFormat="1">
      <c r="A115" s="23" t="s">
        <v>395</v>
      </c>
      <c r="B115" s="19" t="s">
        <v>396</v>
      </c>
      <c r="C115" s="19" t="s">
        <v>392</v>
      </c>
      <c r="D115" s="20">
        <f t="shared" si="2"/>
        <v>0</v>
      </c>
      <c r="E115" s="22">
        <v>0</v>
      </c>
      <c r="F115" s="22">
        <v>0</v>
      </c>
      <c r="G115" s="22">
        <v>0</v>
      </c>
      <c r="H115" s="22">
        <v>0</v>
      </c>
      <c r="I115" s="22">
        <v>0</v>
      </c>
      <c r="J115" s="22">
        <v>0</v>
      </c>
      <c r="K115" s="22">
        <v>0</v>
      </c>
      <c r="L115" s="22">
        <v>0</v>
      </c>
      <c r="M115" s="22">
        <v>0</v>
      </c>
      <c r="N115" s="22">
        <v>0</v>
      </c>
      <c r="O115" s="22">
        <v>0</v>
      </c>
      <c r="P115" s="22">
        <v>0</v>
      </c>
      <c r="Q115" s="22">
        <v>0</v>
      </c>
      <c r="R115" s="22">
        <v>0</v>
      </c>
      <c r="S115" s="22">
        <v>0</v>
      </c>
      <c r="T115" s="22">
        <v>0</v>
      </c>
      <c r="U115" s="22">
        <v>0</v>
      </c>
      <c r="V115" s="22">
        <v>0</v>
      </c>
      <c r="W115" s="22">
        <v>0</v>
      </c>
      <c r="X115" s="22">
        <v>0</v>
      </c>
      <c r="Y115" s="22">
        <v>0</v>
      </c>
      <c r="Z115" s="22">
        <v>0</v>
      </c>
      <c r="AA115" s="22">
        <v>0</v>
      </c>
      <c r="AB115" s="22">
        <v>0</v>
      </c>
      <c r="AC115" s="22">
        <v>0</v>
      </c>
      <c r="AD115" s="22">
        <v>0</v>
      </c>
      <c r="AE115" s="22">
        <v>0</v>
      </c>
      <c r="AF115" s="22">
        <v>0</v>
      </c>
      <c r="AG115" s="22">
        <v>0</v>
      </c>
      <c r="AH115" s="22">
        <v>0</v>
      </c>
      <c r="AI115" s="22">
        <v>0</v>
      </c>
      <c r="AJ115" s="22">
        <v>0</v>
      </c>
      <c r="AK115" s="22">
        <v>0</v>
      </c>
      <c r="AL115" s="22">
        <v>0</v>
      </c>
      <c r="AM115" s="22">
        <v>0</v>
      </c>
      <c r="AN115" s="22">
        <v>0</v>
      </c>
      <c r="AO115" s="22">
        <v>0</v>
      </c>
      <c r="AP115" s="22">
        <v>0</v>
      </c>
      <c r="AQ115" s="22">
        <v>0</v>
      </c>
      <c r="AR115" s="22">
        <v>0</v>
      </c>
      <c r="AS115" s="22">
        <v>0</v>
      </c>
      <c r="AT115" s="22">
        <v>0</v>
      </c>
      <c r="AU115" s="22">
        <v>0</v>
      </c>
      <c r="AV115" s="22">
        <v>0</v>
      </c>
      <c r="AW115" s="22">
        <v>0</v>
      </c>
      <c r="AX115" s="22">
        <v>0</v>
      </c>
      <c r="AY115" s="22">
        <v>0</v>
      </c>
      <c r="AZ115" s="22">
        <v>0</v>
      </c>
      <c r="BA115" s="22">
        <v>0</v>
      </c>
      <c r="BB115" s="22">
        <v>0</v>
      </c>
      <c r="BC115" s="22">
        <v>0</v>
      </c>
      <c r="BD115" s="22">
        <v>0</v>
      </c>
      <c r="BE115" s="22">
        <v>0</v>
      </c>
      <c r="BF115" s="22">
        <v>0</v>
      </c>
      <c r="BG115" s="22">
        <v>0</v>
      </c>
      <c r="BH115" s="22">
        <v>0</v>
      </c>
      <c r="BI115" s="22">
        <v>0</v>
      </c>
      <c r="BJ115" s="22">
        <v>0</v>
      </c>
      <c r="BK115" s="22">
        <v>0</v>
      </c>
      <c r="BL115" s="22">
        <v>0</v>
      </c>
      <c r="BM115" s="22">
        <v>0</v>
      </c>
      <c r="BN115" s="22">
        <v>0</v>
      </c>
      <c r="BO115" s="22">
        <v>0</v>
      </c>
      <c r="BP115" s="22">
        <v>0</v>
      </c>
      <c r="BQ115" s="22">
        <v>0</v>
      </c>
      <c r="BR115" s="22">
        <v>0</v>
      </c>
      <c r="BS115" s="22">
        <v>0</v>
      </c>
      <c r="BT115" s="22">
        <v>0</v>
      </c>
      <c r="BU115" s="22">
        <v>0</v>
      </c>
      <c r="BV115" s="22">
        <v>0</v>
      </c>
      <c r="BW115" s="22">
        <v>0</v>
      </c>
      <c r="BX115" s="22">
        <v>0</v>
      </c>
      <c r="BY115" s="22">
        <v>0</v>
      </c>
      <c r="BZ115" s="22">
        <v>0</v>
      </c>
      <c r="CA115" s="22">
        <v>0</v>
      </c>
      <c r="CB115" s="22">
        <v>0</v>
      </c>
      <c r="CC115" s="22">
        <v>0</v>
      </c>
      <c r="CD115" s="22">
        <v>0</v>
      </c>
      <c r="CE115" s="22">
        <v>0</v>
      </c>
      <c r="CF115" s="22">
        <v>0</v>
      </c>
      <c r="CG115" s="22">
        <v>0</v>
      </c>
      <c r="CH115" s="22">
        <v>0</v>
      </c>
      <c r="CI115" s="22">
        <v>0</v>
      </c>
      <c r="CJ115" s="22">
        <v>0</v>
      </c>
      <c r="CK115" s="22">
        <v>0</v>
      </c>
      <c r="CL115" s="22">
        <v>0</v>
      </c>
      <c r="CM115" s="22">
        <v>0</v>
      </c>
      <c r="CN115" s="22">
        <v>0</v>
      </c>
      <c r="CO115" s="22">
        <v>0</v>
      </c>
      <c r="CP115" s="22">
        <v>0</v>
      </c>
      <c r="CQ115" s="22">
        <v>0</v>
      </c>
      <c r="CR115" s="22">
        <v>0</v>
      </c>
      <c r="CS115" s="22">
        <v>0</v>
      </c>
      <c r="CT115" s="22">
        <v>0</v>
      </c>
      <c r="CU115" s="21">
        <v>0</v>
      </c>
      <c r="CV115" s="21">
        <v>0</v>
      </c>
      <c r="CW115" s="21">
        <v>0</v>
      </c>
      <c r="CX115" s="21">
        <v>0</v>
      </c>
      <c r="CY115" s="21">
        <v>0</v>
      </c>
      <c r="CZ115" s="21">
        <v>0</v>
      </c>
      <c r="DA115" s="21">
        <v>0</v>
      </c>
      <c r="DB115" s="21">
        <v>0</v>
      </c>
      <c r="DC115" s="21">
        <v>0</v>
      </c>
      <c r="DD115" s="21">
        <v>0</v>
      </c>
      <c r="DE115" s="21">
        <v>0</v>
      </c>
      <c r="DF115" s="21">
        <v>0</v>
      </c>
      <c r="DG115" s="21">
        <v>0</v>
      </c>
      <c r="DH115" s="75"/>
      <c r="DI115" s="67"/>
      <c r="DJ115" s="67"/>
      <c r="DK115" s="50"/>
      <c r="DL115" s="67"/>
      <c r="DM115" s="50"/>
    </row>
    <row r="116" spans="1:117" s="52" customFormat="1" ht="32.1">
      <c r="A116" s="23" t="s">
        <v>397</v>
      </c>
      <c r="B116" s="19" t="s">
        <v>398</v>
      </c>
      <c r="C116" s="19" t="s">
        <v>399</v>
      </c>
      <c r="D116" s="20">
        <f t="shared" si="2"/>
        <v>46</v>
      </c>
      <c r="E116" s="21">
        <v>22</v>
      </c>
      <c r="F116" s="21">
        <v>7</v>
      </c>
      <c r="G116" s="21">
        <v>5</v>
      </c>
      <c r="H116" s="21">
        <v>1</v>
      </c>
      <c r="I116" s="21">
        <v>0</v>
      </c>
      <c r="J116" s="21">
        <v>0</v>
      </c>
      <c r="K116" s="21">
        <v>0</v>
      </c>
      <c r="L116" s="21">
        <v>0</v>
      </c>
      <c r="M116" s="21">
        <v>0</v>
      </c>
      <c r="N116" s="21">
        <v>0</v>
      </c>
      <c r="O116" s="21">
        <v>0</v>
      </c>
      <c r="P116" s="21">
        <v>0</v>
      </c>
      <c r="Q116" s="21">
        <v>0</v>
      </c>
      <c r="R116" s="21">
        <v>0</v>
      </c>
      <c r="S116" s="21">
        <v>1</v>
      </c>
      <c r="T116" s="21">
        <v>0</v>
      </c>
      <c r="U116" s="21">
        <v>2</v>
      </c>
      <c r="V116" s="21">
        <v>0</v>
      </c>
      <c r="W116" s="21">
        <v>0</v>
      </c>
      <c r="X116" s="21">
        <v>0</v>
      </c>
      <c r="Y116" s="21">
        <v>0</v>
      </c>
      <c r="Z116" s="21">
        <v>0</v>
      </c>
      <c r="AA116" s="21">
        <v>0</v>
      </c>
      <c r="AB116" s="21">
        <v>0</v>
      </c>
      <c r="AC116" s="21">
        <v>0</v>
      </c>
      <c r="AD116" s="21">
        <v>0</v>
      </c>
      <c r="AE116" s="21">
        <v>0</v>
      </c>
      <c r="AF116" s="21">
        <v>0</v>
      </c>
      <c r="AG116" s="21">
        <v>0</v>
      </c>
      <c r="AH116" s="21">
        <v>0</v>
      </c>
      <c r="AI116" s="21">
        <v>0</v>
      </c>
      <c r="AJ116" s="21">
        <v>2</v>
      </c>
      <c r="AK116" s="21">
        <v>0</v>
      </c>
      <c r="AL116" s="21">
        <v>0</v>
      </c>
      <c r="AM116" s="21">
        <v>0</v>
      </c>
      <c r="AN116" s="21">
        <v>1</v>
      </c>
      <c r="AO116" s="21">
        <v>0</v>
      </c>
      <c r="AP116" s="21">
        <v>0</v>
      </c>
      <c r="AQ116" s="21">
        <v>0</v>
      </c>
      <c r="AR116" s="21">
        <v>0</v>
      </c>
      <c r="AS116" s="21">
        <v>0</v>
      </c>
      <c r="AT116" s="21">
        <v>0</v>
      </c>
      <c r="AU116" s="21">
        <v>0</v>
      </c>
      <c r="AV116" s="21">
        <v>0</v>
      </c>
      <c r="AW116" s="21">
        <v>0</v>
      </c>
      <c r="AX116" s="21">
        <v>0</v>
      </c>
      <c r="AY116" s="21">
        <v>0</v>
      </c>
      <c r="AZ116" s="21">
        <v>0</v>
      </c>
      <c r="BA116" s="21">
        <v>0</v>
      </c>
      <c r="BB116" s="21">
        <v>3</v>
      </c>
      <c r="BC116" s="21">
        <v>0</v>
      </c>
      <c r="BD116" s="21">
        <v>0</v>
      </c>
      <c r="BE116" s="21">
        <v>0</v>
      </c>
      <c r="BF116" s="21">
        <v>0</v>
      </c>
      <c r="BG116" s="21">
        <v>0</v>
      </c>
      <c r="BH116" s="21">
        <v>0</v>
      </c>
      <c r="BI116" s="21">
        <v>0</v>
      </c>
      <c r="BJ116" s="21">
        <v>0</v>
      </c>
      <c r="BK116" s="21">
        <v>1</v>
      </c>
      <c r="BL116" s="21">
        <v>0</v>
      </c>
      <c r="BM116" s="21">
        <v>0</v>
      </c>
      <c r="BN116" s="21">
        <v>0</v>
      </c>
      <c r="BO116" s="21">
        <v>0</v>
      </c>
      <c r="BP116" s="21">
        <v>0</v>
      </c>
      <c r="BQ116" s="21">
        <v>0</v>
      </c>
      <c r="BR116" s="21">
        <v>0</v>
      </c>
      <c r="BS116" s="21">
        <v>0</v>
      </c>
      <c r="BT116" s="21">
        <v>0</v>
      </c>
      <c r="BU116" s="21">
        <v>0</v>
      </c>
      <c r="BV116" s="21">
        <v>0</v>
      </c>
      <c r="BW116" s="21">
        <v>0</v>
      </c>
      <c r="BX116" s="21">
        <v>0</v>
      </c>
      <c r="BY116" s="21">
        <v>0</v>
      </c>
      <c r="BZ116" s="21">
        <v>0</v>
      </c>
      <c r="CA116" s="21">
        <v>0</v>
      </c>
      <c r="CB116" s="21">
        <v>1</v>
      </c>
      <c r="CC116" s="21">
        <v>0</v>
      </c>
      <c r="CD116" s="21">
        <v>0</v>
      </c>
      <c r="CE116" s="21">
        <v>0</v>
      </c>
      <c r="CF116" s="21">
        <v>0</v>
      </c>
      <c r="CG116" s="21">
        <v>0</v>
      </c>
      <c r="CH116" s="21">
        <v>0</v>
      </c>
      <c r="CI116" s="21">
        <v>0</v>
      </c>
      <c r="CJ116" s="21">
        <v>0</v>
      </c>
      <c r="CK116" s="21">
        <v>0</v>
      </c>
      <c r="CL116" s="21">
        <v>0</v>
      </c>
      <c r="CM116" s="21">
        <v>0</v>
      </c>
      <c r="CN116" s="21">
        <v>0</v>
      </c>
      <c r="CO116" s="21">
        <v>0</v>
      </c>
      <c r="CP116" s="21">
        <v>0</v>
      </c>
      <c r="CQ116" s="21">
        <v>0</v>
      </c>
      <c r="CR116" s="21">
        <v>0</v>
      </c>
      <c r="CS116" s="21">
        <v>0</v>
      </c>
      <c r="CT116" s="21">
        <v>0</v>
      </c>
      <c r="CU116" s="21">
        <v>0</v>
      </c>
      <c r="CV116" s="21">
        <v>0</v>
      </c>
      <c r="CW116" s="21">
        <v>0</v>
      </c>
      <c r="CX116" s="21">
        <v>0</v>
      </c>
      <c r="CY116" s="21">
        <v>0</v>
      </c>
      <c r="CZ116" s="21">
        <v>0</v>
      </c>
      <c r="DA116" s="21">
        <v>0</v>
      </c>
      <c r="DB116" s="21">
        <v>0</v>
      </c>
      <c r="DC116" s="21">
        <v>0</v>
      </c>
      <c r="DD116" s="21">
        <v>0</v>
      </c>
      <c r="DE116" s="21">
        <v>0</v>
      </c>
      <c r="DF116" s="21">
        <v>0</v>
      </c>
      <c r="DG116" s="21">
        <v>0</v>
      </c>
      <c r="DH116" s="75"/>
      <c r="DI116" s="67"/>
      <c r="DJ116" s="67"/>
      <c r="DK116" s="50"/>
      <c r="DL116" s="67"/>
      <c r="DM116" s="50"/>
    </row>
    <row r="117" spans="1:117">
      <c r="A117" s="23" t="s">
        <v>400</v>
      </c>
      <c r="B117" s="19" t="s">
        <v>401</v>
      </c>
      <c r="C117" s="19" t="s">
        <v>402</v>
      </c>
      <c r="D117" s="20">
        <f t="shared" si="2"/>
        <v>36</v>
      </c>
      <c r="E117" s="21">
        <v>5</v>
      </c>
      <c r="F117" s="21">
        <v>6</v>
      </c>
      <c r="G117" s="21">
        <v>0</v>
      </c>
      <c r="H117" s="21">
        <v>2</v>
      </c>
      <c r="I117" s="21">
        <v>4</v>
      </c>
      <c r="J117" s="21">
        <v>1</v>
      </c>
      <c r="K117" s="21">
        <v>0</v>
      </c>
      <c r="L117" s="21">
        <v>0</v>
      </c>
      <c r="M117" s="21">
        <v>0</v>
      </c>
      <c r="N117" s="21">
        <v>0</v>
      </c>
      <c r="O117" s="21">
        <v>0</v>
      </c>
      <c r="P117" s="21">
        <v>0</v>
      </c>
      <c r="Q117" s="21">
        <v>0</v>
      </c>
      <c r="R117" s="21">
        <v>0</v>
      </c>
      <c r="S117" s="21">
        <v>0</v>
      </c>
      <c r="T117" s="21">
        <v>0</v>
      </c>
      <c r="U117" s="21">
        <v>0</v>
      </c>
      <c r="V117" s="21">
        <v>0</v>
      </c>
      <c r="W117" s="21">
        <v>0</v>
      </c>
      <c r="X117" s="21">
        <v>0</v>
      </c>
      <c r="Y117" s="21">
        <v>0</v>
      </c>
      <c r="Z117" s="21">
        <v>1</v>
      </c>
      <c r="AA117" s="21">
        <v>0</v>
      </c>
      <c r="AB117" s="21">
        <v>0</v>
      </c>
      <c r="AC117" s="21">
        <v>1</v>
      </c>
      <c r="AD117" s="21">
        <v>0</v>
      </c>
      <c r="AE117" s="21">
        <v>0</v>
      </c>
      <c r="AF117" s="21">
        <v>0</v>
      </c>
      <c r="AG117" s="21">
        <v>0</v>
      </c>
      <c r="AH117" s="21">
        <v>0</v>
      </c>
      <c r="AI117" s="21">
        <v>0</v>
      </c>
      <c r="AJ117" s="21">
        <v>0</v>
      </c>
      <c r="AK117" s="21">
        <v>0</v>
      </c>
      <c r="AL117" s="21">
        <v>0</v>
      </c>
      <c r="AM117" s="21">
        <v>0</v>
      </c>
      <c r="AN117" s="21">
        <v>0</v>
      </c>
      <c r="AO117" s="21">
        <v>0</v>
      </c>
      <c r="AP117" s="21">
        <v>0</v>
      </c>
      <c r="AQ117" s="21">
        <v>0</v>
      </c>
      <c r="AR117" s="21">
        <v>0</v>
      </c>
      <c r="AS117" s="21">
        <v>0</v>
      </c>
      <c r="AT117" s="21">
        <v>0</v>
      </c>
      <c r="AU117" s="21">
        <v>0</v>
      </c>
      <c r="AV117" s="21">
        <v>0</v>
      </c>
      <c r="AW117" s="21">
        <v>0</v>
      </c>
      <c r="AX117" s="21">
        <v>1</v>
      </c>
      <c r="AY117" s="21">
        <v>0</v>
      </c>
      <c r="AZ117" s="21">
        <v>0</v>
      </c>
      <c r="BA117" s="21">
        <v>0</v>
      </c>
      <c r="BB117" s="21">
        <v>0</v>
      </c>
      <c r="BC117" s="21">
        <v>0</v>
      </c>
      <c r="BD117" s="21">
        <v>0</v>
      </c>
      <c r="BE117" s="21">
        <v>0</v>
      </c>
      <c r="BF117" s="21">
        <v>1</v>
      </c>
      <c r="BG117" s="21">
        <v>0</v>
      </c>
      <c r="BH117" s="21">
        <v>0</v>
      </c>
      <c r="BI117" s="21">
        <v>0</v>
      </c>
      <c r="BJ117" s="21">
        <v>0</v>
      </c>
      <c r="BK117" s="21">
        <v>1</v>
      </c>
      <c r="BL117" s="21">
        <v>0</v>
      </c>
      <c r="BM117" s="21">
        <v>0</v>
      </c>
      <c r="BN117" s="21">
        <v>0</v>
      </c>
      <c r="BO117" s="21">
        <v>0</v>
      </c>
      <c r="BP117" s="21">
        <v>0</v>
      </c>
      <c r="BQ117" s="21">
        <v>0</v>
      </c>
      <c r="BR117" s="21">
        <v>0</v>
      </c>
      <c r="BS117" s="21">
        <v>0</v>
      </c>
      <c r="BT117" s="21">
        <v>0</v>
      </c>
      <c r="BU117" s="21">
        <v>1</v>
      </c>
      <c r="BV117" s="21">
        <v>0</v>
      </c>
      <c r="BW117" s="21">
        <v>1</v>
      </c>
      <c r="BX117" s="21">
        <v>0</v>
      </c>
      <c r="BY117" s="21">
        <v>0</v>
      </c>
      <c r="BZ117" s="21">
        <v>0</v>
      </c>
      <c r="CA117" s="21">
        <v>1</v>
      </c>
      <c r="CB117" s="21">
        <v>1</v>
      </c>
      <c r="CC117" s="21">
        <v>0</v>
      </c>
      <c r="CD117" s="21">
        <v>0</v>
      </c>
      <c r="CE117" s="21">
        <v>0</v>
      </c>
      <c r="CF117" s="21">
        <v>0</v>
      </c>
      <c r="CG117" s="21">
        <v>0</v>
      </c>
      <c r="CH117" s="21">
        <v>0</v>
      </c>
      <c r="CI117" s="21">
        <v>0</v>
      </c>
      <c r="CJ117" s="21">
        <v>0</v>
      </c>
      <c r="CK117" s="21">
        <v>5</v>
      </c>
      <c r="CL117" s="21">
        <v>0</v>
      </c>
      <c r="CM117" s="21">
        <v>0</v>
      </c>
      <c r="CN117" s="21">
        <v>0</v>
      </c>
      <c r="CO117" s="21">
        <v>0</v>
      </c>
      <c r="CP117" s="21">
        <v>0</v>
      </c>
      <c r="CQ117" s="21">
        <v>0</v>
      </c>
      <c r="CR117" s="21">
        <v>0</v>
      </c>
      <c r="CS117" s="21">
        <v>0</v>
      </c>
      <c r="CT117" s="21">
        <v>0</v>
      </c>
      <c r="CU117" s="21">
        <v>0</v>
      </c>
      <c r="CV117" s="21">
        <v>0</v>
      </c>
      <c r="CW117" s="21">
        <v>0</v>
      </c>
      <c r="CX117" s="21">
        <v>0</v>
      </c>
      <c r="CY117" s="21">
        <v>0</v>
      </c>
      <c r="CZ117" s="21">
        <v>0</v>
      </c>
      <c r="DA117" s="21">
        <v>0</v>
      </c>
      <c r="DB117" s="21">
        <v>0</v>
      </c>
      <c r="DC117" s="21">
        <v>0</v>
      </c>
      <c r="DD117" s="21">
        <v>0</v>
      </c>
      <c r="DE117" s="21">
        <v>0</v>
      </c>
      <c r="DF117" s="21">
        <v>0</v>
      </c>
      <c r="DG117" s="21">
        <v>4</v>
      </c>
      <c r="DH117" s="74"/>
      <c r="DJ117" s="67"/>
      <c r="DL117" s="67"/>
    </row>
    <row r="118" spans="1:117">
      <c r="A118" s="23" t="s">
        <v>403</v>
      </c>
      <c r="B118" s="19" t="s">
        <v>404</v>
      </c>
      <c r="C118" s="19" t="s">
        <v>405</v>
      </c>
      <c r="D118" s="20">
        <f t="shared" si="2"/>
        <v>145</v>
      </c>
      <c r="E118" s="21">
        <v>94</v>
      </c>
      <c r="F118" s="21">
        <v>30</v>
      </c>
      <c r="G118" s="21">
        <v>3</v>
      </c>
      <c r="H118" s="21">
        <v>0</v>
      </c>
      <c r="I118" s="21">
        <v>0</v>
      </c>
      <c r="J118" s="21">
        <v>8</v>
      </c>
      <c r="K118" s="21">
        <v>0</v>
      </c>
      <c r="L118" s="21">
        <v>0</v>
      </c>
      <c r="M118" s="21">
        <v>0</v>
      </c>
      <c r="N118" s="21">
        <v>0</v>
      </c>
      <c r="O118" s="21">
        <v>0</v>
      </c>
      <c r="P118" s="21">
        <v>0</v>
      </c>
      <c r="Q118" s="21">
        <v>1</v>
      </c>
      <c r="R118" s="21">
        <v>0</v>
      </c>
      <c r="S118" s="21">
        <v>2</v>
      </c>
      <c r="T118" s="21">
        <v>0</v>
      </c>
      <c r="U118" s="21">
        <v>1</v>
      </c>
      <c r="V118" s="21">
        <v>0</v>
      </c>
      <c r="W118" s="21">
        <v>0</v>
      </c>
      <c r="X118" s="21">
        <v>0</v>
      </c>
      <c r="Y118" s="21">
        <v>0</v>
      </c>
      <c r="Z118" s="21">
        <v>1</v>
      </c>
      <c r="AA118" s="21">
        <v>0</v>
      </c>
      <c r="AB118" s="21">
        <v>0</v>
      </c>
      <c r="AC118" s="21">
        <v>0</v>
      </c>
      <c r="AD118" s="21">
        <v>1</v>
      </c>
      <c r="AE118" s="21">
        <v>0</v>
      </c>
      <c r="AF118" s="21">
        <v>0</v>
      </c>
      <c r="AG118" s="21">
        <v>0</v>
      </c>
      <c r="AH118" s="21">
        <v>0</v>
      </c>
      <c r="AI118" s="21">
        <v>0</v>
      </c>
      <c r="AJ118" s="21">
        <v>0</v>
      </c>
      <c r="AK118" s="21">
        <v>0</v>
      </c>
      <c r="AL118" s="21">
        <v>0</v>
      </c>
      <c r="AM118" s="21">
        <v>0</v>
      </c>
      <c r="AN118" s="21">
        <v>0</v>
      </c>
      <c r="AO118" s="21">
        <v>0</v>
      </c>
      <c r="AP118" s="21">
        <v>0</v>
      </c>
      <c r="AQ118" s="21">
        <v>0</v>
      </c>
      <c r="AR118" s="21">
        <v>0</v>
      </c>
      <c r="AS118" s="21">
        <v>0</v>
      </c>
      <c r="AT118" s="21">
        <v>0</v>
      </c>
      <c r="AU118" s="21">
        <v>0</v>
      </c>
      <c r="AV118" s="21">
        <v>0</v>
      </c>
      <c r="AW118" s="21">
        <v>0</v>
      </c>
      <c r="AX118" s="21">
        <v>0</v>
      </c>
      <c r="AY118" s="21">
        <v>0</v>
      </c>
      <c r="AZ118" s="21">
        <v>0</v>
      </c>
      <c r="BA118" s="21">
        <v>0</v>
      </c>
      <c r="BB118" s="21">
        <v>0</v>
      </c>
      <c r="BC118" s="21">
        <v>0</v>
      </c>
      <c r="BD118" s="21">
        <v>0</v>
      </c>
      <c r="BE118" s="21">
        <v>0</v>
      </c>
      <c r="BF118" s="21">
        <v>0</v>
      </c>
      <c r="BG118" s="21">
        <v>0</v>
      </c>
      <c r="BH118" s="21">
        <v>0</v>
      </c>
      <c r="BI118" s="21">
        <v>0</v>
      </c>
      <c r="BJ118" s="21">
        <v>0</v>
      </c>
      <c r="BK118" s="21">
        <v>0</v>
      </c>
      <c r="BL118" s="21">
        <v>0</v>
      </c>
      <c r="BM118" s="21">
        <v>0</v>
      </c>
      <c r="BN118" s="21">
        <v>0</v>
      </c>
      <c r="BO118" s="21">
        <v>0</v>
      </c>
      <c r="BP118" s="21">
        <v>0</v>
      </c>
      <c r="BQ118" s="21">
        <v>0</v>
      </c>
      <c r="BR118" s="21">
        <v>0</v>
      </c>
      <c r="BS118" s="21">
        <v>0</v>
      </c>
      <c r="BT118" s="21">
        <v>0</v>
      </c>
      <c r="BU118" s="21">
        <v>0</v>
      </c>
      <c r="BV118" s="21">
        <v>0</v>
      </c>
      <c r="BW118" s="21">
        <v>0</v>
      </c>
      <c r="BX118" s="21">
        <v>0</v>
      </c>
      <c r="BY118" s="21">
        <v>0</v>
      </c>
      <c r="BZ118" s="21">
        <v>0</v>
      </c>
      <c r="CA118" s="21">
        <v>1</v>
      </c>
      <c r="CB118" s="21">
        <v>0</v>
      </c>
      <c r="CC118" s="21">
        <v>0</v>
      </c>
      <c r="CD118" s="21">
        <v>0</v>
      </c>
      <c r="CE118" s="21">
        <v>0</v>
      </c>
      <c r="CF118" s="21">
        <v>0</v>
      </c>
      <c r="CG118" s="21">
        <v>0</v>
      </c>
      <c r="CH118" s="21">
        <v>0</v>
      </c>
      <c r="CI118" s="21">
        <v>0</v>
      </c>
      <c r="CJ118" s="21">
        <v>0</v>
      </c>
      <c r="CK118" s="21">
        <v>0</v>
      </c>
      <c r="CL118" s="21">
        <v>0</v>
      </c>
      <c r="CM118" s="21">
        <v>0</v>
      </c>
      <c r="CN118" s="21">
        <v>0</v>
      </c>
      <c r="CO118" s="21">
        <v>0</v>
      </c>
      <c r="CP118" s="21">
        <v>0</v>
      </c>
      <c r="CQ118" s="21">
        <v>0</v>
      </c>
      <c r="CR118" s="21">
        <v>2</v>
      </c>
      <c r="CS118" s="21">
        <v>0</v>
      </c>
      <c r="CT118" s="21">
        <v>1</v>
      </c>
      <c r="CU118" s="21">
        <v>0</v>
      </c>
      <c r="CV118" s="21">
        <v>0</v>
      </c>
      <c r="CW118" s="21">
        <v>0</v>
      </c>
      <c r="CX118" s="21">
        <v>0</v>
      </c>
      <c r="CY118" s="21">
        <v>0</v>
      </c>
      <c r="CZ118" s="21">
        <v>0</v>
      </c>
      <c r="DA118" s="21">
        <v>0</v>
      </c>
      <c r="DB118" s="21">
        <v>0</v>
      </c>
      <c r="DC118" s="21">
        <v>0</v>
      </c>
      <c r="DD118" s="21">
        <v>0</v>
      </c>
      <c r="DE118" s="21">
        <v>0</v>
      </c>
      <c r="DF118" s="21">
        <v>0</v>
      </c>
      <c r="DG118" s="21">
        <v>0</v>
      </c>
      <c r="DH118" s="74"/>
      <c r="DJ118" s="67"/>
      <c r="DL118" s="67"/>
    </row>
    <row r="119" spans="1:117" s="52" customFormat="1" ht="32.1">
      <c r="A119" s="23" t="s">
        <v>406</v>
      </c>
      <c r="B119" s="19" t="s">
        <v>407</v>
      </c>
      <c r="C119" s="19" t="s">
        <v>408</v>
      </c>
      <c r="D119" s="20">
        <f t="shared" si="2"/>
        <v>2</v>
      </c>
      <c r="E119" s="22">
        <v>2</v>
      </c>
      <c r="F119" s="22">
        <v>0</v>
      </c>
      <c r="G119" s="22">
        <v>0</v>
      </c>
      <c r="H119" s="22">
        <v>0</v>
      </c>
      <c r="I119" s="22">
        <v>0</v>
      </c>
      <c r="J119" s="22">
        <v>0</v>
      </c>
      <c r="K119" s="22">
        <v>0</v>
      </c>
      <c r="L119" s="22">
        <v>0</v>
      </c>
      <c r="M119" s="22">
        <v>0</v>
      </c>
      <c r="N119" s="22">
        <v>0</v>
      </c>
      <c r="O119" s="22">
        <v>0</v>
      </c>
      <c r="P119" s="22">
        <v>0</v>
      </c>
      <c r="Q119" s="22">
        <v>0</v>
      </c>
      <c r="R119" s="22">
        <v>0</v>
      </c>
      <c r="S119" s="22">
        <v>0</v>
      </c>
      <c r="T119" s="22">
        <v>0</v>
      </c>
      <c r="U119" s="22">
        <v>0</v>
      </c>
      <c r="V119" s="22">
        <v>0</v>
      </c>
      <c r="W119" s="22">
        <v>0</v>
      </c>
      <c r="X119" s="22">
        <v>0</v>
      </c>
      <c r="Y119" s="22">
        <v>0</v>
      </c>
      <c r="Z119" s="22">
        <v>0</v>
      </c>
      <c r="AA119" s="22">
        <v>0</v>
      </c>
      <c r="AB119" s="22">
        <v>0</v>
      </c>
      <c r="AC119" s="22">
        <v>0</v>
      </c>
      <c r="AD119" s="22">
        <v>0</v>
      </c>
      <c r="AE119" s="22">
        <v>0</v>
      </c>
      <c r="AF119" s="22">
        <v>0</v>
      </c>
      <c r="AG119" s="22">
        <v>0</v>
      </c>
      <c r="AH119" s="22">
        <v>0</v>
      </c>
      <c r="AI119" s="22">
        <v>0</v>
      </c>
      <c r="AJ119" s="22">
        <v>0</v>
      </c>
      <c r="AK119" s="22">
        <v>0</v>
      </c>
      <c r="AL119" s="22">
        <v>0</v>
      </c>
      <c r="AM119" s="22">
        <v>0</v>
      </c>
      <c r="AN119" s="22">
        <v>0</v>
      </c>
      <c r="AO119" s="22">
        <v>0</v>
      </c>
      <c r="AP119" s="22">
        <v>0</v>
      </c>
      <c r="AQ119" s="22">
        <v>0</v>
      </c>
      <c r="AR119" s="22">
        <v>0</v>
      </c>
      <c r="AS119" s="22">
        <v>0</v>
      </c>
      <c r="AT119" s="22">
        <v>0</v>
      </c>
      <c r="AU119" s="22">
        <v>0</v>
      </c>
      <c r="AV119" s="22">
        <v>0</v>
      </c>
      <c r="AW119" s="22">
        <v>0</v>
      </c>
      <c r="AX119" s="22">
        <v>0</v>
      </c>
      <c r="AY119" s="22">
        <v>0</v>
      </c>
      <c r="AZ119" s="22">
        <v>0</v>
      </c>
      <c r="BA119" s="22">
        <v>0</v>
      </c>
      <c r="BB119" s="22">
        <v>0</v>
      </c>
      <c r="BC119" s="22">
        <v>0</v>
      </c>
      <c r="BD119" s="22">
        <v>0</v>
      </c>
      <c r="BE119" s="22">
        <v>0</v>
      </c>
      <c r="BF119" s="22">
        <v>0</v>
      </c>
      <c r="BG119" s="22">
        <v>0</v>
      </c>
      <c r="BH119" s="22">
        <v>0</v>
      </c>
      <c r="BI119" s="22">
        <v>0</v>
      </c>
      <c r="BJ119" s="22">
        <v>0</v>
      </c>
      <c r="BK119" s="22">
        <v>0</v>
      </c>
      <c r="BL119" s="22">
        <v>0</v>
      </c>
      <c r="BM119" s="22">
        <v>0</v>
      </c>
      <c r="BN119" s="22">
        <v>0</v>
      </c>
      <c r="BO119" s="22">
        <v>0</v>
      </c>
      <c r="BP119" s="22">
        <v>0</v>
      </c>
      <c r="BQ119" s="22">
        <v>0</v>
      </c>
      <c r="BR119" s="22">
        <v>0</v>
      </c>
      <c r="BS119" s="22">
        <v>0</v>
      </c>
      <c r="BT119" s="22">
        <v>0</v>
      </c>
      <c r="BU119" s="22">
        <v>0</v>
      </c>
      <c r="BV119" s="22">
        <v>0</v>
      </c>
      <c r="BW119" s="22">
        <v>0</v>
      </c>
      <c r="BX119" s="22">
        <v>0</v>
      </c>
      <c r="BY119" s="22">
        <v>0</v>
      </c>
      <c r="BZ119" s="22">
        <v>0</v>
      </c>
      <c r="CA119" s="22">
        <v>0</v>
      </c>
      <c r="CB119" s="22">
        <v>0</v>
      </c>
      <c r="CC119" s="22">
        <v>0</v>
      </c>
      <c r="CD119" s="22">
        <v>0</v>
      </c>
      <c r="CE119" s="22">
        <v>0</v>
      </c>
      <c r="CF119" s="22">
        <v>0</v>
      </c>
      <c r="CG119" s="22">
        <v>0</v>
      </c>
      <c r="CH119" s="22">
        <v>0</v>
      </c>
      <c r="CI119" s="22">
        <v>0</v>
      </c>
      <c r="CJ119" s="22">
        <v>0</v>
      </c>
      <c r="CK119" s="22">
        <v>0</v>
      </c>
      <c r="CL119" s="22">
        <v>0</v>
      </c>
      <c r="CM119" s="22">
        <v>0</v>
      </c>
      <c r="CN119" s="22">
        <v>0</v>
      </c>
      <c r="CO119" s="22">
        <v>0</v>
      </c>
      <c r="CP119" s="22">
        <v>0</v>
      </c>
      <c r="CQ119" s="22">
        <v>0</v>
      </c>
      <c r="CR119" s="22">
        <v>0</v>
      </c>
      <c r="CS119" s="22">
        <v>0</v>
      </c>
      <c r="CT119" s="22">
        <v>0</v>
      </c>
      <c r="CU119" s="21">
        <v>0</v>
      </c>
      <c r="CV119" s="21">
        <v>0</v>
      </c>
      <c r="CW119" s="21">
        <v>0</v>
      </c>
      <c r="CX119" s="21">
        <v>0</v>
      </c>
      <c r="CY119" s="21">
        <v>0</v>
      </c>
      <c r="CZ119" s="21">
        <v>0</v>
      </c>
      <c r="DA119" s="21">
        <v>0</v>
      </c>
      <c r="DB119" s="21">
        <v>0</v>
      </c>
      <c r="DC119" s="21">
        <v>0</v>
      </c>
      <c r="DD119" s="21">
        <v>0</v>
      </c>
      <c r="DE119" s="21">
        <v>0</v>
      </c>
      <c r="DF119" s="21">
        <v>0</v>
      </c>
      <c r="DG119" s="21">
        <v>0</v>
      </c>
      <c r="DH119" s="75"/>
      <c r="DI119" s="67"/>
      <c r="DJ119" s="67"/>
      <c r="DK119" s="50"/>
      <c r="DL119" s="67"/>
      <c r="DM119" s="50"/>
    </row>
    <row r="120" spans="1:117" s="52" customFormat="1">
      <c r="A120" s="23" t="s">
        <v>409</v>
      </c>
      <c r="B120" s="19" t="s">
        <v>410</v>
      </c>
      <c r="C120" s="19" t="s">
        <v>411</v>
      </c>
      <c r="D120" s="20">
        <f t="shared" si="2"/>
        <v>3</v>
      </c>
      <c r="E120" s="22">
        <v>1</v>
      </c>
      <c r="F120" s="22">
        <v>2</v>
      </c>
      <c r="G120" s="22">
        <v>0</v>
      </c>
      <c r="H120" s="22">
        <v>0</v>
      </c>
      <c r="I120" s="22">
        <v>0</v>
      </c>
      <c r="J120" s="22">
        <v>0</v>
      </c>
      <c r="K120" s="22">
        <v>0</v>
      </c>
      <c r="L120" s="22">
        <v>0</v>
      </c>
      <c r="M120" s="22">
        <v>0</v>
      </c>
      <c r="N120" s="22">
        <v>0</v>
      </c>
      <c r="O120" s="22">
        <v>0</v>
      </c>
      <c r="P120" s="22">
        <v>0</v>
      </c>
      <c r="Q120" s="22">
        <v>0</v>
      </c>
      <c r="R120" s="22">
        <v>0</v>
      </c>
      <c r="S120" s="22">
        <v>0</v>
      </c>
      <c r="T120" s="22">
        <v>0</v>
      </c>
      <c r="U120" s="22">
        <v>0</v>
      </c>
      <c r="V120" s="22">
        <v>0</v>
      </c>
      <c r="W120" s="22">
        <v>0</v>
      </c>
      <c r="X120" s="22">
        <v>0</v>
      </c>
      <c r="Y120" s="22">
        <v>0</v>
      </c>
      <c r="Z120" s="22">
        <v>0</v>
      </c>
      <c r="AA120" s="22">
        <v>0</v>
      </c>
      <c r="AB120" s="22">
        <v>0</v>
      </c>
      <c r="AC120" s="22">
        <v>0</v>
      </c>
      <c r="AD120" s="22">
        <v>0</v>
      </c>
      <c r="AE120" s="22">
        <v>0</v>
      </c>
      <c r="AF120" s="22">
        <v>0</v>
      </c>
      <c r="AG120" s="22">
        <v>0</v>
      </c>
      <c r="AH120" s="22">
        <v>0</v>
      </c>
      <c r="AI120" s="22">
        <v>0</v>
      </c>
      <c r="AJ120" s="22">
        <v>0</v>
      </c>
      <c r="AK120" s="22">
        <v>0</v>
      </c>
      <c r="AL120" s="22">
        <v>0</v>
      </c>
      <c r="AM120" s="22">
        <v>0</v>
      </c>
      <c r="AN120" s="22">
        <v>0</v>
      </c>
      <c r="AO120" s="22">
        <v>0</v>
      </c>
      <c r="AP120" s="22">
        <v>0</v>
      </c>
      <c r="AQ120" s="22">
        <v>0</v>
      </c>
      <c r="AR120" s="22">
        <v>0</v>
      </c>
      <c r="AS120" s="22">
        <v>0</v>
      </c>
      <c r="AT120" s="22">
        <v>0</v>
      </c>
      <c r="AU120" s="22">
        <v>0</v>
      </c>
      <c r="AV120" s="22">
        <v>0</v>
      </c>
      <c r="AW120" s="22">
        <v>0</v>
      </c>
      <c r="AX120" s="22">
        <v>0</v>
      </c>
      <c r="AY120" s="22">
        <v>0</v>
      </c>
      <c r="AZ120" s="22">
        <v>0</v>
      </c>
      <c r="BA120" s="22">
        <v>0</v>
      </c>
      <c r="BB120" s="22">
        <v>0</v>
      </c>
      <c r="BC120" s="22">
        <v>0</v>
      </c>
      <c r="BD120" s="22">
        <v>0</v>
      </c>
      <c r="BE120" s="22">
        <v>0</v>
      </c>
      <c r="BF120" s="22">
        <v>0</v>
      </c>
      <c r="BG120" s="22">
        <v>0</v>
      </c>
      <c r="BH120" s="22">
        <v>0</v>
      </c>
      <c r="BI120" s="22">
        <v>0</v>
      </c>
      <c r="BJ120" s="22">
        <v>0</v>
      </c>
      <c r="BK120" s="22">
        <v>0</v>
      </c>
      <c r="BL120" s="22">
        <v>0</v>
      </c>
      <c r="BM120" s="22">
        <v>0</v>
      </c>
      <c r="BN120" s="22">
        <v>0</v>
      </c>
      <c r="BO120" s="22">
        <v>0</v>
      </c>
      <c r="BP120" s="22">
        <v>0</v>
      </c>
      <c r="BQ120" s="22">
        <v>0</v>
      </c>
      <c r="BR120" s="22">
        <v>0</v>
      </c>
      <c r="BS120" s="22">
        <v>0</v>
      </c>
      <c r="BT120" s="22">
        <v>0</v>
      </c>
      <c r="BU120" s="22">
        <v>0</v>
      </c>
      <c r="BV120" s="22">
        <v>0</v>
      </c>
      <c r="BW120" s="22">
        <v>0</v>
      </c>
      <c r="BX120" s="22">
        <v>0</v>
      </c>
      <c r="BY120" s="22">
        <v>0</v>
      </c>
      <c r="BZ120" s="22">
        <v>0</v>
      </c>
      <c r="CA120" s="22">
        <v>0</v>
      </c>
      <c r="CB120" s="22">
        <v>0</v>
      </c>
      <c r="CC120" s="22">
        <v>0</v>
      </c>
      <c r="CD120" s="22">
        <v>0</v>
      </c>
      <c r="CE120" s="22">
        <v>0</v>
      </c>
      <c r="CF120" s="22">
        <v>0</v>
      </c>
      <c r="CG120" s="22">
        <v>0</v>
      </c>
      <c r="CH120" s="22">
        <v>0</v>
      </c>
      <c r="CI120" s="22">
        <v>0</v>
      </c>
      <c r="CJ120" s="22">
        <v>0</v>
      </c>
      <c r="CK120" s="22">
        <v>0</v>
      </c>
      <c r="CL120" s="22">
        <v>0</v>
      </c>
      <c r="CM120" s="22">
        <v>0</v>
      </c>
      <c r="CN120" s="22">
        <v>0</v>
      </c>
      <c r="CO120" s="22">
        <v>0</v>
      </c>
      <c r="CP120" s="22">
        <v>0</v>
      </c>
      <c r="CQ120" s="22">
        <v>0</v>
      </c>
      <c r="CR120" s="22">
        <v>0</v>
      </c>
      <c r="CS120" s="22">
        <v>0</v>
      </c>
      <c r="CT120" s="22">
        <v>0</v>
      </c>
      <c r="CU120" s="21">
        <v>0</v>
      </c>
      <c r="CV120" s="21">
        <v>0</v>
      </c>
      <c r="CW120" s="21">
        <v>0</v>
      </c>
      <c r="CX120" s="21">
        <v>0</v>
      </c>
      <c r="CY120" s="21">
        <v>0</v>
      </c>
      <c r="CZ120" s="21">
        <v>0</v>
      </c>
      <c r="DA120" s="21">
        <v>0</v>
      </c>
      <c r="DB120" s="21">
        <v>0</v>
      </c>
      <c r="DC120" s="21">
        <v>0</v>
      </c>
      <c r="DD120" s="21">
        <v>0</v>
      </c>
      <c r="DE120" s="21">
        <v>0</v>
      </c>
      <c r="DF120" s="21">
        <v>0</v>
      </c>
      <c r="DG120" s="21">
        <v>0</v>
      </c>
      <c r="DH120" s="75"/>
      <c r="DI120" s="67"/>
      <c r="DJ120" s="67"/>
      <c r="DK120" s="50"/>
      <c r="DL120" s="67"/>
      <c r="DM120" s="50"/>
    </row>
    <row r="121" spans="1:117" s="52" customFormat="1">
      <c r="A121" s="23" t="s">
        <v>412</v>
      </c>
      <c r="B121" s="19" t="s">
        <v>413</v>
      </c>
      <c r="C121" s="19" t="s">
        <v>392</v>
      </c>
      <c r="D121" s="20">
        <f t="shared" si="2"/>
        <v>5</v>
      </c>
      <c r="E121" s="21">
        <v>1</v>
      </c>
      <c r="F121" s="21">
        <v>1</v>
      </c>
      <c r="G121" s="21">
        <v>1</v>
      </c>
      <c r="H121" s="21">
        <v>1</v>
      </c>
      <c r="I121" s="21">
        <v>1</v>
      </c>
      <c r="J121" s="21">
        <v>0</v>
      </c>
      <c r="K121" s="21">
        <v>0</v>
      </c>
      <c r="L121" s="21">
        <v>0</v>
      </c>
      <c r="M121" s="21">
        <v>0</v>
      </c>
      <c r="N121" s="21">
        <v>0</v>
      </c>
      <c r="O121" s="21">
        <v>0</v>
      </c>
      <c r="P121" s="21">
        <v>0</v>
      </c>
      <c r="Q121" s="21">
        <v>0</v>
      </c>
      <c r="R121" s="21">
        <v>0</v>
      </c>
      <c r="S121" s="21">
        <v>0</v>
      </c>
      <c r="T121" s="21">
        <v>0</v>
      </c>
      <c r="U121" s="21">
        <v>0</v>
      </c>
      <c r="V121" s="21">
        <v>0</v>
      </c>
      <c r="W121" s="21">
        <v>0</v>
      </c>
      <c r="X121" s="21">
        <v>0</v>
      </c>
      <c r="Y121" s="21">
        <v>0</v>
      </c>
      <c r="Z121" s="21">
        <v>0</v>
      </c>
      <c r="AA121" s="21">
        <v>0</v>
      </c>
      <c r="AB121" s="21">
        <v>0</v>
      </c>
      <c r="AC121" s="21">
        <v>0</v>
      </c>
      <c r="AD121" s="21">
        <v>0</v>
      </c>
      <c r="AE121" s="21">
        <v>0</v>
      </c>
      <c r="AF121" s="21">
        <v>0</v>
      </c>
      <c r="AG121" s="21">
        <v>0</v>
      </c>
      <c r="AH121" s="21">
        <v>0</v>
      </c>
      <c r="AI121" s="21">
        <v>0</v>
      </c>
      <c r="AJ121" s="21">
        <v>0</v>
      </c>
      <c r="AK121" s="21">
        <v>0</v>
      </c>
      <c r="AL121" s="21">
        <v>0</v>
      </c>
      <c r="AM121" s="21">
        <v>0</v>
      </c>
      <c r="AN121" s="21">
        <v>0</v>
      </c>
      <c r="AO121" s="21">
        <v>0</v>
      </c>
      <c r="AP121" s="21">
        <v>0</v>
      </c>
      <c r="AQ121" s="21">
        <v>0</v>
      </c>
      <c r="AR121" s="21">
        <v>0</v>
      </c>
      <c r="AS121" s="21">
        <v>0</v>
      </c>
      <c r="AT121" s="21">
        <v>0</v>
      </c>
      <c r="AU121" s="21">
        <v>0</v>
      </c>
      <c r="AV121" s="21">
        <v>0</v>
      </c>
      <c r="AW121" s="21">
        <v>0</v>
      </c>
      <c r="AX121" s="21">
        <v>0</v>
      </c>
      <c r="AY121" s="21">
        <v>0</v>
      </c>
      <c r="AZ121" s="21">
        <v>0</v>
      </c>
      <c r="BA121" s="21">
        <v>0</v>
      </c>
      <c r="BB121" s="21">
        <v>0</v>
      </c>
      <c r="BC121" s="21">
        <v>0</v>
      </c>
      <c r="BD121" s="21">
        <v>0</v>
      </c>
      <c r="BE121" s="21">
        <v>0</v>
      </c>
      <c r="BF121" s="21">
        <v>0</v>
      </c>
      <c r="BG121" s="21">
        <v>0</v>
      </c>
      <c r="BH121" s="21">
        <v>0</v>
      </c>
      <c r="BI121" s="21">
        <v>0</v>
      </c>
      <c r="BJ121" s="21">
        <v>0</v>
      </c>
      <c r="BK121" s="21">
        <v>0</v>
      </c>
      <c r="BL121" s="21">
        <v>0</v>
      </c>
      <c r="BM121" s="21">
        <v>0</v>
      </c>
      <c r="BN121" s="21">
        <v>0</v>
      </c>
      <c r="BO121" s="21">
        <v>0</v>
      </c>
      <c r="BP121" s="21">
        <v>0</v>
      </c>
      <c r="BQ121" s="21">
        <v>0</v>
      </c>
      <c r="BR121" s="21">
        <v>0</v>
      </c>
      <c r="BS121" s="21">
        <v>0</v>
      </c>
      <c r="BT121" s="21">
        <v>0</v>
      </c>
      <c r="BU121" s="21">
        <v>0</v>
      </c>
      <c r="BV121" s="21">
        <v>0</v>
      </c>
      <c r="BW121" s="21">
        <v>0</v>
      </c>
      <c r="BX121" s="21">
        <v>0</v>
      </c>
      <c r="BY121" s="21">
        <v>0</v>
      </c>
      <c r="BZ121" s="21">
        <v>0</v>
      </c>
      <c r="CA121" s="21">
        <v>0</v>
      </c>
      <c r="CB121" s="21">
        <v>0</v>
      </c>
      <c r="CC121" s="21">
        <v>0</v>
      </c>
      <c r="CD121" s="21">
        <v>0</v>
      </c>
      <c r="CE121" s="21">
        <v>0</v>
      </c>
      <c r="CF121" s="21">
        <v>0</v>
      </c>
      <c r="CG121" s="21">
        <v>0</v>
      </c>
      <c r="CH121" s="21">
        <v>0</v>
      </c>
      <c r="CI121" s="21">
        <v>0</v>
      </c>
      <c r="CJ121" s="21">
        <v>0</v>
      </c>
      <c r="CK121" s="21">
        <v>0</v>
      </c>
      <c r="CL121" s="21">
        <v>0</v>
      </c>
      <c r="CM121" s="21">
        <v>0</v>
      </c>
      <c r="CN121" s="21">
        <v>0</v>
      </c>
      <c r="CO121" s="21">
        <v>0</v>
      </c>
      <c r="CP121" s="21">
        <v>0</v>
      </c>
      <c r="CQ121" s="21">
        <v>0</v>
      </c>
      <c r="CR121" s="21">
        <v>0</v>
      </c>
      <c r="CS121" s="21">
        <v>0</v>
      </c>
      <c r="CT121" s="21">
        <v>0</v>
      </c>
      <c r="CU121" s="21">
        <v>0</v>
      </c>
      <c r="CV121" s="21">
        <v>0</v>
      </c>
      <c r="CW121" s="21">
        <v>0</v>
      </c>
      <c r="CX121" s="21">
        <v>0</v>
      </c>
      <c r="CY121" s="21">
        <v>0</v>
      </c>
      <c r="CZ121" s="21">
        <v>0</v>
      </c>
      <c r="DA121" s="21">
        <v>0</v>
      </c>
      <c r="DB121" s="21">
        <v>0</v>
      </c>
      <c r="DC121" s="21">
        <v>0</v>
      </c>
      <c r="DD121" s="21">
        <v>0</v>
      </c>
      <c r="DE121" s="21">
        <v>0</v>
      </c>
      <c r="DF121" s="21">
        <v>0</v>
      </c>
      <c r="DG121" s="21">
        <v>0</v>
      </c>
      <c r="DH121" s="75"/>
      <c r="DI121" s="67"/>
      <c r="DJ121" s="67"/>
      <c r="DK121" s="50"/>
      <c r="DL121" s="67"/>
      <c r="DM121" s="50"/>
    </row>
    <row r="122" spans="1:117" s="52" customFormat="1">
      <c r="A122" s="23" t="s">
        <v>414</v>
      </c>
      <c r="B122" s="19" t="s">
        <v>415</v>
      </c>
      <c r="C122" s="19" t="s">
        <v>392</v>
      </c>
      <c r="D122" s="20">
        <f t="shared" si="2"/>
        <v>1</v>
      </c>
      <c r="E122" s="22">
        <v>1</v>
      </c>
      <c r="F122" s="22">
        <v>0</v>
      </c>
      <c r="G122" s="22">
        <v>0</v>
      </c>
      <c r="H122" s="22">
        <v>0</v>
      </c>
      <c r="I122" s="22">
        <v>0</v>
      </c>
      <c r="J122" s="22">
        <v>0</v>
      </c>
      <c r="K122" s="22">
        <v>0</v>
      </c>
      <c r="L122" s="22">
        <v>0</v>
      </c>
      <c r="M122" s="22">
        <v>0</v>
      </c>
      <c r="N122" s="22">
        <v>0</v>
      </c>
      <c r="O122" s="22">
        <v>0</v>
      </c>
      <c r="P122" s="22">
        <v>0</v>
      </c>
      <c r="Q122" s="22">
        <v>0</v>
      </c>
      <c r="R122" s="22">
        <v>0</v>
      </c>
      <c r="S122" s="22">
        <v>0</v>
      </c>
      <c r="T122" s="22">
        <v>0</v>
      </c>
      <c r="U122" s="22">
        <v>0</v>
      </c>
      <c r="V122" s="22">
        <v>0</v>
      </c>
      <c r="W122" s="22">
        <v>0</v>
      </c>
      <c r="X122" s="22">
        <v>0</v>
      </c>
      <c r="Y122" s="22">
        <v>0</v>
      </c>
      <c r="Z122" s="22">
        <v>0</v>
      </c>
      <c r="AA122" s="22">
        <v>0</v>
      </c>
      <c r="AB122" s="22">
        <v>0</v>
      </c>
      <c r="AC122" s="22">
        <v>0</v>
      </c>
      <c r="AD122" s="22">
        <v>0</v>
      </c>
      <c r="AE122" s="22">
        <v>0</v>
      </c>
      <c r="AF122" s="22">
        <v>0</v>
      </c>
      <c r="AG122" s="22">
        <v>0</v>
      </c>
      <c r="AH122" s="22">
        <v>0</v>
      </c>
      <c r="AI122" s="22">
        <v>0</v>
      </c>
      <c r="AJ122" s="22">
        <v>0</v>
      </c>
      <c r="AK122" s="22">
        <v>0</v>
      </c>
      <c r="AL122" s="22">
        <v>0</v>
      </c>
      <c r="AM122" s="22">
        <v>0</v>
      </c>
      <c r="AN122" s="22">
        <v>0</v>
      </c>
      <c r="AO122" s="22">
        <v>0</v>
      </c>
      <c r="AP122" s="22">
        <v>0</v>
      </c>
      <c r="AQ122" s="22">
        <v>0</v>
      </c>
      <c r="AR122" s="22">
        <v>0</v>
      </c>
      <c r="AS122" s="22">
        <v>0</v>
      </c>
      <c r="AT122" s="22">
        <v>0</v>
      </c>
      <c r="AU122" s="22">
        <v>0</v>
      </c>
      <c r="AV122" s="22">
        <v>0</v>
      </c>
      <c r="AW122" s="22">
        <v>0</v>
      </c>
      <c r="AX122" s="22">
        <v>0</v>
      </c>
      <c r="AY122" s="22">
        <v>0</v>
      </c>
      <c r="AZ122" s="22">
        <v>0</v>
      </c>
      <c r="BA122" s="22">
        <v>0</v>
      </c>
      <c r="BB122" s="22">
        <v>0</v>
      </c>
      <c r="BC122" s="22">
        <v>0</v>
      </c>
      <c r="BD122" s="22">
        <v>0</v>
      </c>
      <c r="BE122" s="22">
        <v>0</v>
      </c>
      <c r="BF122" s="22">
        <v>0</v>
      </c>
      <c r="BG122" s="22">
        <v>0</v>
      </c>
      <c r="BH122" s="22">
        <v>0</v>
      </c>
      <c r="BI122" s="22">
        <v>0</v>
      </c>
      <c r="BJ122" s="22">
        <v>0</v>
      </c>
      <c r="BK122" s="22">
        <v>0</v>
      </c>
      <c r="BL122" s="22">
        <v>0</v>
      </c>
      <c r="BM122" s="22">
        <v>0</v>
      </c>
      <c r="BN122" s="22">
        <v>0</v>
      </c>
      <c r="BO122" s="22">
        <v>0</v>
      </c>
      <c r="BP122" s="22">
        <v>0</v>
      </c>
      <c r="BQ122" s="22">
        <v>0</v>
      </c>
      <c r="BR122" s="22">
        <v>0</v>
      </c>
      <c r="BS122" s="22">
        <v>0</v>
      </c>
      <c r="BT122" s="22">
        <v>0</v>
      </c>
      <c r="BU122" s="22">
        <v>0</v>
      </c>
      <c r="BV122" s="22">
        <v>0</v>
      </c>
      <c r="BW122" s="22">
        <v>0</v>
      </c>
      <c r="BX122" s="22">
        <v>0</v>
      </c>
      <c r="BY122" s="22">
        <v>0</v>
      </c>
      <c r="BZ122" s="22">
        <v>0</v>
      </c>
      <c r="CA122" s="22">
        <v>0</v>
      </c>
      <c r="CB122" s="22">
        <v>0</v>
      </c>
      <c r="CC122" s="22">
        <v>0</v>
      </c>
      <c r="CD122" s="22">
        <v>0</v>
      </c>
      <c r="CE122" s="22">
        <v>0</v>
      </c>
      <c r="CF122" s="22">
        <v>0</v>
      </c>
      <c r="CG122" s="22">
        <v>0</v>
      </c>
      <c r="CH122" s="22">
        <v>0</v>
      </c>
      <c r="CI122" s="22">
        <v>0</v>
      </c>
      <c r="CJ122" s="22">
        <v>0</v>
      </c>
      <c r="CK122" s="22">
        <v>0</v>
      </c>
      <c r="CL122" s="22">
        <v>0</v>
      </c>
      <c r="CM122" s="22">
        <v>0</v>
      </c>
      <c r="CN122" s="22">
        <v>0</v>
      </c>
      <c r="CO122" s="22">
        <v>0</v>
      </c>
      <c r="CP122" s="22">
        <v>0</v>
      </c>
      <c r="CQ122" s="22">
        <v>0</v>
      </c>
      <c r="CR122" s="22">
        <v>0</v>
      </c>
      <c r="CS122" s="22">
        <v>0</v>
      </c>
      <c r="CT122" s="22">
        <v>0</v>
      </c>
      <c r="CU122" s="21">
        <v>0</v>
      </c>
      <c r="CV122" s="21">
        <v>0</v>
      </c>
      <c r="CW122" s="21">
        <v>0</v>
      </c>
      <c r="CX122" s="21">
        <v>0</v>
      </c>
      <c r="CY122" s="21">
        <v>0</v>
      </c>
      <c r="CZ122" s="21">
        <v>0</v>
      </c>
      <c r="DA122" s="21">
        <v>0</v>
      </c>
      <c r="DB122" s="21">
        <v>0</v>
      </c>
      <c r="DC122" s="21">
        <v>0</v>
      </c>
      <c r="DD122" s="21">
        <v>0</v>
      </c>
      <c r="DE122" s="21">
        <v>0</v>
      </c>
      <c r="DF122" s="21">
        <v>0</v>
      </c>
      <c r="DG122" s="21">
        <v>0</v>
      </c>
      <c r="DH122" s="75"/>
      <c r="DI122" s="67"/>
      <c r="DJ122" s="67"/>
      <c r="DK122" s="50"/>
      <c r="DL122" s="67"/>
      <c r="DM122" s="50"/>
    </row>
    <row r="123" spans="1:117" s="52" customFormat="1">
      <c r="A123" s="23" t="s">
        <v>416</v>
      </c>
      <c r="B123" s="19" t="s">
        <v>417</v>
      </c>
      <c r="C123" s="19" t="s">
        <v>392</v>
      </c>
      <c r="D123" s="20">
        <f t="shared" si="2"/>
        <v>0</v>
      </c>
      <c r="E123" s="22">
        <v>0</v>
      </c>
      <c r="F123" s="22">
        <v>0</v>
      </c>
      <c r="G123" s="22">
        <v>0</v>
      </c>
      <c r="H123" s="22">
        <v>0</v>
      </c>
      <c r="I123" s="22">
        <v>0</v>
      </c>
      <c r="J123" s="22">
        <v>0</v>
      </c>
      <c r="K123" s="22">
        <v>0</v>
      </c>
      <c r="L123" s="22">
        <v>0</v>
      </c>
      <c r="M123" s="22">
        <v>0</v>
      </c>
      <c r="N123" s="22">
        <v>0</v>
      </c>
      <c r="O123" s="22">
        <v>0</v>
      </c>
      <c r="P123" s="22">
        <v>0</v>
      </c>
      <c r="Q123" s="22">
        <v>0</v>
      </c>
      <c r="R123" s="22">
        <v>0</v>
      </c>
      <c r="S123" s="22">
        <v>0</v>
      </c>
      <c r="T123" s="22">
        <v>0</v>
      </c>
      <c r="U123" s="22">
        <v>0</v>
      </c>
      <c r="V123" s="22">
        <v>0</v>
      </c>
      <c r="W123" s="22">
        <v>0</v>
      </c>
      <c r="X123" s="22">
        <v>0</v>
      </c>
      <c r="Y123" s="22">
        <v>0</v>
      </c>
      <c r="Z123" s="22">
        <v>0</v>
      </c>
      <c r="AA123" s="22">
        <v>0</v>
      </c>
      <c r="AB123" s="22">
        <v>0</v>
      </c>
      <c r="AC123" s="22">
        <v>0</v>
      </c>
      <c r="AD123" s="22">
        <v>0</v>
      </c>
      <c r="AE123" s="22">
        <v>0</v>
      </c>
      <c r="AF123" s="22">
        <v>0</v>
      </c>
      <c r="AG123" s="22">
        <v>0</v>
      </c>
      <c r="AH123" s="22">
        <v>0</v>
      </c>
      <c r="AI123" s="22">
        <v>0</v>
      </c>
      <c r="AJ123" s="22">
        <v>0</v>
      </c>
      <c r="AK123" s="22">
        <v>0</v>
      </c>
      <c r="AL123" s="22">
        <v>0</v>
      </c>
      <c r="AM123" s="22">
        <v>0</v>
      </c>
      <c r="AN123" s="22">
        <v>0</v>
      </c>
      <c r="AO123" s="22">
        <v>0</v>
      </c>
      <c r="AP123" s="22">
        <v>0</v>
      </c>
      <c r="AQ123" s="22">
        <v>0</v>
      </c>
      <c r="AR123" s="22">
        <v>0</v>
      </c>
      <c r="AS123" s="22">
        <v>0</v>
      </c>
      <c r="AT123" s="22">
        <v>0</v>
      </c>
      <c r="AU123" s="22">
        <v>0</v>
      </c>
      <c r="AV123" s="22">
        <v>0</v>
      </c>
      <c r="AW123" s="22">
        <v>0</v>
      </c>
      <c r="AX123" s="22">
        <v>0</v>
      </c>
      <c r="AY123" s="22">
        <v>0</v>
      </c>
      <c r="AZ123" s="22">
        <v>0</v>
      </c>
      <c r="BA123" s="22">
        <v>0</v>
      </c>
      <c r="BB123" s="22">
        <v>0</v>
      </c>
      <c r="BC123" s="22">
        <v>0</v>
      </c>
      <c r="BD123" s="22">
        <v>0</v>
      </c>
      <c r="BE123" s="22">
        <v>0</v>
      </c>
      <c r="BF123" s="22">
        <v>0</v>
      </c>
      <c r="BG123" s="22">
        <v>0</v>
      </c>
      <c r="BH123" s="22">
        <v>0</v>
      </c>
      <c r="BI123" s="22">
        <v>0</v>
      </c>
      <c r="BJ123" s="22">
        <v>0</v>
      </c>
      <c r="BK123" s="22">
        <v>0</v>
      </c>
      <c r="BL123" s="22">
        <v>0</v>
      </c>
      <c r="BM123" s="22">
        <v>0</v>
      </c>
      <c r="BN123" s="22">
        <v>0</v>
      </c>
      <c r="BO123" s="22">
        <v>0</v>
      </c>
      <c r="BP123" s="22">
        <v>0</v>
      </c>
      <c r="BQ123" s="22">
        <v>0</v>
      </c>
      <c r="BR123" s="22">
        <v>0</v>
      </c>
      <c r="BS123" s="22">
        <v>0</v>
      </c>
      <c r="BT123" s="22">
        <v>0</v>
      </c>
      <c r="BU123" s="22">
        <v>0</v>
      </c>
      <c r="BV123" s="22">
        <v>0</v>
      </c>
      <c r="BW123" s="22">
        <v>0</v>
      </c>
      <c r="BX123" s="22">
        <v>0</v>
      </c>
      <c r="BY123" s="22">
        <v>0</v>
      </c>
      <c r="BZ123" s="22">
        <v>0</v>
      </c>
      <c r="CA123" s="22">
        <v>0</v>
      </c>
      <c r="CB123" s="22">
        <v>0</v>
      </c>
      <c r="CC123" s="22">
        <v>0</v>
      </c>
      <c r="CD123" s="22">
        <v>0</v>
      </c>
      <c r="CE123" s="22">
        <v>0</v>
      </c>
      <c r="CF123" s="22">
        <v>0</v>
      </c>
      <c r="CG123" s="22">
        <v>0</v>
      </c>
      <c r="CH123" s="22">
        <v>0</v>
      </c>
      <c r="CI123" s="22">
        <v>0</v>
      </c>
      <c r="CJ123" s="22">
        <v>0</v>
      </c>
      <c r="CK123" s="22">
        <v>0</v>
      </c>
      <c r="CL123" s="22">
        <v>0</v>
      </c>
      <c r="CM123" s="22">
        <v>0</v>
      </c>
      <c r="CN123" s="22">
        <v>0</v>
      </c>
      <c r="CO123" s="22">
        <v>0</v>
      </c>
      <c r="CP123" s="22">
        <v>0</v>
      </c>
      <c r="CQ123" s="22">
        <v>0</v>
      </c>
      <c r="CR123" s="22">
        <v>0</v>
      </c>
      <c r="CS123" s="22">
        <v>0</v>
      </c>
      <c r="CT123" s="22">
        <v>0</v>
      </c>
      <c r="CU123" s="21">
        <v>0</v>
      </c>
      <c r="CV123" s="21">
        <v>0</v>
      </c>
      <c r="CW123" s="21">
        <v>0</v>
      </c>
      <c r="CX123" s="21">
        <v>0</v>
      </c>
      <c r="CY123" s="21">
        <v>0</v>
      </c>
      <c r="CZ123" s="21">
        <v>0</v>
      </c>
      <c r="DA123" s="21">
        <v>0</v>
      </c>
      <c r="DB123" s="21">
        <v>0</v>
      </c>
      <c r="DC123" s="21">
        <v>0</v>
      </c>
      <c r="DD123" s="21">
        <v>0</v>
      </c>
      <c r="DE123" s="21">
        <v>0</v>
      </c>
      <c r="DF123" s="21">
        <v>0</v>
      </c>
      <c r="DG123" s="21">
        <v>0</v>
      </c>
      <c r="DH123" s="75"/>
      <c r="DI123" s="67"/>
      <c r="DJ123" s="67"/>
      <c r="DK123" s="50"/>
      <c r="DL123" s="67"/>
      <c r="DM123" s="50"/>
    </row>
    <row r="124" spans="1:117" s="52" customFormat="1">
      <c r="A124" s="23" t="s">
        <v>418</v>
      </c>
      <c r="B124" s="19" t="s">
        <v>419</v>
      </c>
      <c r="C124" s="19" t="s">
        <v>392</v>
      </c>
      <c r="D124" s="20">
        <f t="shared" si="2"/>
        <v>0</v>
      </c>
      <c r="E124" s="22">
        <v>0</v>
      </c>
      <c r="F124" s="22">
        <v>0</v>
      </c>
      <c r="G124" s="22">
        <v>0</v>
      </c>
      <c r="H124" s="22">
        <v>0</v>
      </c>
      <c r="I124" s="22">
        <v>0</v>
      </c>
      <c r="J124" s="22">
        <v>0</v>
      </c>
      <c r="K124" s="22">
        <v>0</v>
      </c>
      <c r="L124" s="22">
        <v>0</v>
      </c>
      <c r="M124" s="22">
        <v>0</v>
      </c>
      <c r="N124" s="22">
        <v>0</v>
      </c>
      <c r="O124" s="22">
        <v>0</v>
      </c>
      <c r="P124" s="22">
        <v>0</v>
      </c>
      <c r="Q124" s="22">
        <v>0</v>
      </c>
      <c r="R124" s="22">
        <v>0</v>
      </c>
      <c r="S124" s="22">
        <v>0</v>
      </c>
      <c r="T124" s="22">
        <v>0</v>
      </c>
      <c r="U124" s="22">
        <v>0</v>
      </c>
      <c r="V124" s="22">
        <v>0</v>
      </c>
      <c r="W124" s="22">
        <v>0</v>
      </c>
      <c r="X124" s="22">
        <v>0</v>
      </c>
      <c r="Y124" s="22">
        <v>0</v>
      </c>
      <c r="Z124" s="22">
        <v>0</v>
      </c>
      <c r="AA124" s="22">
        <v>0</v>
      </c>
      <c r="AB124" s="22">
        <v>0</v>
      </c>
      <c r="AC124" s="22">
        <v>0</v>
      </c>
      <c r="AD124" s="22">
        <v>0</v>
      </c>
      <c r="AE124" s="22">
        <v>0</v>
      </c>
      <c r="AF124" s="22">
        <v>0</v>
      </c>
      <c r="AG124" s="22">
        <v>0</v>
      </c>
      <c r="AH124" s="22">
        <v>0</v>
      </c>
      <c r="AI124" s="22">
        <v>0</v>
      </c>
      <c r="AJ124" s="22">
        <v>0</v>
      </c>
      <c r="AK124" s="22">
        <v>0</v>
      </c>
      <c r="AL124" s="22">
        <v>0</v>
      </c>
      <c r="AM124" s="22">
        <v>0</v>
      </c>
      <c r="AN124" s="22">
        <v>0</v>
      </c>
      <c r="AO124" s="22">
        <v>0</v>
      </c>
      <c r="AP124" s="22">
        <v>0</v>
      </c>
      <c r="AQ124" s="22">
        <v>0</v>
      </c>
      <c r="AR124" s="22">
        <v>0</v>
      </c>
      <c r="AS124" s="22">
        <v>0</v>
      </c>
      <c r="AT124" s="22">
        <v>0</v>
      </c>
      <c r="AU124" s="22">
        <v>0</v>
      </c>
      <c r="AV124" s="22">
        <v>0</v>
      </c>
      <c r="AW124" s="22">
        <v>0</v>
      </c>
      <c r="AX124" s="22">
        <v>0</v>
      </c>
      <c r="AY124" s="22">
        <v>0</v>
      </c>
      <c r="AZ124" s="22">
        <v>0</v>
      </c>
      <c r="BA124" s="22">
        <v>0</v>
      </c>
      <c r="BB124" s="22">
        <v>0</v>
      </c>
      <c r="BC124" s="22">
        <v>0</v>
      </c>
      <c r="BD124" s="22">
        <v>0</v>
      </c>
      <c r="BE124" s="22">
        <v>0</v>
      </c>
      <c r="BF124" s="22">
        <v>0</v>
      </c>
      <c r="BG124" s="22">
        <v>0</v>
      </c>
      <c r="BH124" s="22">
        <v>0</v>
      </c>
      <c r="BI124" s="22">
        <v>0</v>
      </c>
      <c r="BJ124" s="22">
        <v>0</v>
      </c>
      <c r="BK124" s="22">
        <v>0</v>
      </c>
      <c r="BL124" s="22">
        <v>0</v>
      </c>
      <c r="BM124" s="22">
        <v>0</v>
      </c>
      <c r="BN124" s="22">
        <v>0</v>
      </c>
      <c r="BO124" s="22">
        <v>0</v>
      </c>
      <c r="BP124" s="22">
        <v>0</v>
      </c>
      <c r="BQ124" s="22">
        <v>0</v>
      </c>
      <c r="BR124" s="22">
        <v>0</v>
      </c>
      <c r="BS124" s="22">
        <v>0</v>
      </c>
      <c r="BT124" s="22">
        <v>0</v>
      </c>
      <c r="BU124" s="22">
        <v>0</v>
      </c>
      <c r="BV124" s="22">
        <v>0</v>
      </c>
      <c r="BW124" s="22">
        <v>0</v>
      </c>
      <c r="BX124" s="22">
        <v>0</v>
      </c>
      <c r="BY124" s="22">
        <v>0</v>
      </c>
      <c r="BZ124" s="22">
        <v>0</v>
      </c>
      <c r="CA124" s="22">
        <v>0</v>
      </c>
      <c r="CB124" s="22">
        <v>0</v>
      </c>
      <c r="CC124" s="22">
        <v>0</v>
      </c>
      <c r="CD124" s="22">
        <v>0</v>
      </c>
      <c r="CE124" s="22">
        <v>0</v>
      </c>
      <c r="CF124" s="22">
        <v>0</v>
      </c>
      <c r="CG124" s="22">
        <v>0</v>
      </c>
      <c r="CH124" s="22">
        <v>0</v>
      </c>
      <c r="CI124" s="22">
        <v>0</v>
      </c>
      <c r="CJ124" s="22">
        <v>0</v>
      </c>
      <c r="CK124" s="22">
        <v>0</v>
      </c>
      <c r="CL124" s="22">
        <v>0</v>
      </c>
      <c r="CM124" s="22">
        <v>0</v>
      </c>
      <c r="CN124" s="22">
        <v>0</v>
      </c>
      <c r="CO124" s="22">
        <v>0</v>
      </c>
      <c r="CP124" s="22">
        <v>0</v>
      </c>
      <c r="CQ124" s="22">
        <v>0</v>
      </c>
      <c r="CR124" s="22">
        <v>0</v>
      </c>
      <c r="CS124" s="22">
        <v>0</v>
      </c>
      <c r="CT124" s="22">
        <v>0</v>
      </c>
      <c r="CU124" s="21">
        <v>0</v>
      </c>
      <c r="CV124" s="21">
        <v>0</v>
      </c>
      <c r="CW124" s="21">
        <v>0</v>
      </c>
      <c r="CX124" s="21">
        <v>0</v>
      </c>
      <c r="CY124" s="21">
        <v>0</v>
      </c>
      <c r="CZ124" s="21">
        <v>0</v>
      </c>
      <c r="DA124" s="21">
        <v>0</v>
      </c>
      <c r="DB124" s="21">
        <v>0</v>
      </c>
      <c r="DC124" s="21">
        <v>0</v>
      </c>
      <c r="DD124" s="21">
        <v>0</v>
      </c>
      <c r="DE124" s="21">
        <v>0</v>
      </c>
      <c r="DF124" s="21">
        <v>0</v>
      </c>
      <c r="DG124" s="21">
        <v>0</v>
      </c>
      <c r="DH124" s="75"/>
      <c r="DI124" s="67"/>
      <c r="DJ124" s="67"/>
      <c r="DK124" s="50"/>
      <c r="DL124" s="67"/>
      <c r="DM124" s="50"/>
    </row>
    <row r="125" spans="1:117" s="52" customFormat="1">
      <c r="A125" s="23" t="s">
        <v>420</v>
      </c>
      <c r="B125" s="19" t="s">
        <v>421</v>
      </c>
      <c r="C125" s="19" t="s">
        <v>392</v>
      </c>
      <c r="D125" s="20">
        <f t="shared" si="2"/>
        <v>0</v>
      </c>
      <c r="E125" s="22">
        <v>0</v>
      </c>
      <c r="F125" s="22">
        <v>0</v>
      </c>
      <c r="G125" s="22">
        <v>0</v>
      </c>
      <c r="H125" s="22">
        <v>0</v>
      </c>
      <c r="I125" s="22">
        <v>0</v>
      </c>
      <c r="J125" s="22">
        <v>0</v>
      </c>
      <c r="K125" s="22">
        <v>0</v>
      </c>
      <c r="L125" s="22">
        <v>0</v>
      </c>
      <c r="M125" s="22">
        <v>0</v>
      </c>
      <c r="N125" s="22">
        <v>0</v>
      </c>
      <c r="O125" s="22">
        <v>0</v>
      </c>
      <c r="P125" s="22">
        <v>0</v>
      </c>
      <c r="Q125" s="22">
        <v>0</v>
      </c>
      <c r="R125" s="22">
        <v>0</v>
      </c>
      <c r="S125" s="22">
        <v>0</v>
      </c>
      <c r="T125" s="22">
        <v>0</v>
      </c>
      <c r="U125" s="22">
        <v>0</v>
      </c>
      <c r="V125" s="22">
        <v>0</v>
      </c>
      <c r="W125" s="22">
        <v>0</v>
      </c>
      <c r="X125" s="22">
        <v>0</v>
      </c>
      <c r="Y125" s="22">
        <v>0</v>
      </c>
      <c r="Z125" s="22">
        <v>0</v>
      </c>
      <c r="AA125" s="22">
        <v>0</v>
      </c>
      <c r="AB125" s="22">
        <v>0</v>
      </c>
      <c r="AC125" s="22">
        <v>0</v>
      </c>
      <c r="AD125" s="22">
        <v>0</v>
      </c>
      <c r="AE125" s="22">
        <v>0</v>
      </c>
      <c r="AF125" s="22">
        <v>0</v>
      </c>
      <c r="AG125" s="22">
        <v>0</v>
      </c>
      <c r="AH125" s="22">
        <v>0</v>
      </c>
      <c r="AI125" s="22">
        <v>0</v>
      </c>
      <c r="AJ125" s="22">
        <v>0</v>
      </c>
      <c r="AK125" s="22">
        <v>0</v>
      </c>
      <c r="AL125" s="22">
        <v>0</v>
      </c>
      <c r="AM125" s="22">
        <v>0</v>
      </c>
      <c r="AN125" s="22">
        <v>0</v>
      </c>
      <c r="AO125" s="22">
        <v>0</v>
      </c>
      <c r="AP125" s="22">
        <v>0</v>
      </c>
      <c r="AQ125" s="22">
        <v>0</v>
      </c>
      <c r="AR125" s="22">
        <v>0</v>
      </c>
      <c r="AS125" s="22">
        <v>0</v>
      </c>
      <c r="AT125" s="22">
        <v>0</v>
      </c>
      <c r="AU125" s="22">
        <v>0</v>
      </c>
      <c r="AV125" s="22">
        <v>0</v>
      </c>
      <c r="AW125" s="22">
        <v>0</v>
      </c>
      <c r="AX125" s="22">
        <v>0</v>
      </c>
      <c r="AY125" s="22">
        <v>0</v>
      </c>
      <c r="AZ125" s="22">
        <v>0</v>
      </c>
      <c r="BA125" s="22">
        <v>0</v>
      </c>
      <c r="BB125" s="22">
        <v>0</v>
      </c>
      <c r="BC125" s="22">
        <v>0</v>
      </c>
      <c r="BD125" s="22">
        <v>0</v>
      </c>
      <c r="BE125" s="22">
        <v>0</v>
      </c>
      <c r="BF125" s="22">
        <v>0</v>
      </c>
      <c r="BG125" s="22">
        <v>0</v>
      </c>
      <c r="BH125" s="22">
        <v>0</v>
      </c>
      <c r="BI125" s="22">
        <v>0</v>
      </c>
      <c r="BJ125" s="22">
        <v>0</v>
      </c>
      <c r="BK125" s="22">
        <v>0</v>
      </c>
      <c r="BL125" s="22">
        <v>0</v>
      </c>
      <c r="BM125" s="22">
        <v>0</v>
      </c>
      <c r="BN125" s="22">
        <v>0</v>
      </c>
      <c r="BO125" s="22">
        <v>0</v>
      </c>
      <c r="BP125" s="22">
        <v>0</v>
      </c>
      <c r="BQ125" s="22">
        <v>0</v>
      </c>
      <c r="BR125" s="22">
        <v>0</v>
      </c>
      <c r="BS125" s="22">
        <v>0</v>
      </c>
      <c r="BT125" s="22">
        <v>0</v>
      </c>
      <c r="BU125" s="22">
        <v>0</v>
      </c>
      <c r="BV125" s="22">
        <v>0</v>
      </c>
      <c r="BW125" s="22">
        <v>0</v>
      </c>
      <c r="BX125" s="22">
        <v>0</v>
      </c>
      <c r="BY125" s="22">
        <v>0</v>
      </c>
      <c r="BZ125" s="22">
        <v>0</v>
      </c>
      <c r="CA125" s="22">
        <v>0</v>
      </c>
      <c r="CB125" s="22">
        <v>0</v>
      </c>
      <c r="CC125" s="22">
        <v>0</v>
      </c>
      <c r="CD125" s="22">
        <v>0</v>
      </c>
      <c r="CE125" s="22">
        <v>0</v>
      </c>
      <c r="CF125" s="22">
        <v>0</v>
      </c>
      <c r="CG125" s="22">
        <v>0</v>
      </c>
      <c r="CH125" s="22">
        <v>0</v>
      </c>
      <c r="CI125" s="22">
        <v>0</v>
      </c>
      <c r="CJ125" s="22">
        <v>0</v>
      </c>
      <c r="CK125" s="22">
        <v>0</v>
      </c>
      <c r="CL125" s="22">
        <v>0</v>
      </c>
      <c r="CM125" s="22">
        <v>0</v>
      </c>
      <c r="CN125" s="22">
        <v>0</v>
      </c>
      <c r="CO125" s="22">
        <v>0</v>
      </c>
      <c r="CP125" s="22">
        <v>0</v>
      </c>
      <c r="CQ125" s="22">
        <v>0</v>
      </c>
      <c r="CR125" s="22">
        <v>0</v>
      </c>
      <c r="CS125" s="22">
        <v>0</v>
      </c>
      <c r="CT125" s="22">
        <v>0</v>
      </c>
      <c r="CU125" s="21">
        <v>0</v>
      </c>
      <c r="CV125" s="21">
        <v>0</v>
      </c>
      <c r="CW125" s="21">
        <v>0</v>
      </c>
      <c r="CX125" s="21">
        <v>0</v>
      </c>
      <c r="CY125" s="21">
        <v>0</v>
      </c>
      <c r="CZ125" s="21">
        <v>0</v>
      </c>
      <c r="DA125" s="21">
        <v>0</v>
      </c>
      <c r="DB125" s="21">
        <v>0</v>
      </c>
      <c r="DC125" s="21">
        <v>0</v>
      </c>
      <c r="DD125" s="21">
        <v>0</v>
      </c>
      <c r="DE125" s="21">
        <v>0</v>
      </c>
      <c r="DF125" s="21">
        <v>0</v>
      </c>
      <c r="DG125" s="21">
        <v>0</v>
      </c>
      <c r="DH125" s="75"/>
      <c r="DI125" s="67"/>
      <c r="DJ125" s="67"/>
      <c r="DK125" s="50"/>
      <c r="DL125" s="67"/>
      <c r="DM125" s="50"/>
    </row>
    <row r="126" spans="1:117" s="52" customFormat="1">
      <c r="A126" s="23" t="s">
        <v>422</v>
      </c>
      <c r="B126" s="19" t="s">
        <v>423</v>
      </c>
      <c r="C126" s="19" t="s">
        <v>392</v>
      </c>
      <c r="D126" s="20">
        <f t="shared" si="2"/>
        <v>0</v>
      </c>
      <c r="E126" s="22">
        <v>0</v>
      </c>
      <c r="F126" s="22">
        <v>0</v>
      </c>
      <c r="G126" s="22">
        <v>0</v>
      </c>
      <c r="H126" s="22">
        <v>0</v>
      </c>
      <c r="I126" s="22">
        <v>0</v>
      </c>
      <c r="J126" s="22">
        <v>0</v>
      </c>
      <c r="K126" s="22">
        <v>0</v>
      </c>
      <c r="L126" s="22">
        <v>0</v>
      </c>
      <c r="M126" s="22">
        <v>0</v>
      </c>
      <c r="N126" s="22">
        <v>0</v>
      </c>
      <c r="O126" s="22">
        <v>0</v>
      </c>
      <c r="P126" s="22">
        <v>0</v>
      </c>
      <c r="Q126" s="22">
        <v>0</v>
      </c>
      <c r="R126" s="22">
        <v>0</v>
      </c>
      <c r="S126" s="22">
        <v>0</v>
      </c>
      <c r="T126" s="22">
        <v>0</v>
      </c>
      <c r="U126" s="22">
        <v>0</v>
      </c>
      <c r="V126" s="22">
        <v>0</v>
      </c>
      <c r="W126" s="22">
        <v>0</v>
      </c>
      <c r="X126" s="22">
        <v>0</v>
      </c>
      <c r="Y126" s="22">
        <v>0</v>
      </c>
      <c r="Z126" s="22">
        <v>0</v>
      </c>
      <c r="AA126" s="22">
        <v>0</v>
      </c>
      <c r="AB126" s="22">
        <v>0</v>
      </c>
      <c r="AC126" s="22">
        <v>0</v>
      </c>
      <c r="AD126" s="22">
        <v>0</v>
      </c>
      <c r="AE126" s="22">
        <v>0</v>
      </c>
      <c r="AF126" s="22">
        <v>0</v>
      </c>
      <c r="AG126" s="22">
        <v>0</v>
      </c>
      <c r="AH126" s="22">
        <v>0</v>
      </c>
      <c r="AI126" s="22">
        <v>0</v>
      </c>
      <c r="AJ126" s="22">
        <v>0</v>
      </c>
      <c r="AK126" s="22">
        <v>0</v>
      </c>
      <c r="AL126" s="22">
        <v>0</v>
      </c>
      <c r="AM126" s="22">
        <v>0</v>
      </c>
      <c r="AN126" s="22">
        <v>0</v>
      </c>
      <c r="AO126" s="22">
        <v>0</v>
      </c>
      <c r="AP126" s="22">
        <v>0</v>
      </c>
      <c r="AQ126" s="22">
        <v>0</v>
      </c>
      <c r="AR126" s="22">
        <v>0</v>
      </c>
      <c r="AS126" s="22">
        <v>0</v>
      </c>
      <c r="AT126" s="22">
        <v>0</v>
      </c>
      <c r="AU126" s="22">
        <v>0</v>
      </c>
      <c r="AV126" s="22">
        <v>0</v>
      </c>
      <c r="AW126" s="22">
        <v>0</v>
      </c>
      <c r="AX126" s="22">
        <v>0</v>
      </c>
      <c r="AY126" s="22">
        <v>0</v>
      </c>
      <c r="AZ126" s="22">
        <v>0</v>
      </c>
      <c r="BA126" s="22">
        <v>0</v>
      </c>
      <c r="BB126" s="22">
        <v>0</v>
      </c>
      <c r="BC126" s="22">
        <v>0</v>
      </c>
      <c r="BD126" s="22">
        <v>0</v>
      </c>
      <c r="BE126" s="22">
        <v>0</v>
      </c>
      <c r="BF126" s="22">
        <v>0</v>
      </c>
      <c r="BG126" s="22">
        <v>0</v>
      </c>
      <c r="BH126" s="22">
        <v>0</v>
      </c>
      <c r="BI126" s="22">
        <v>0</v>
      </c>
      <c r="BJ126" s="22">
        <v>0</v>
      </c>
      <c r="BK126" s="22">
        <v>0</v>
      </c>
      <c r="BL126" s="22">
        <v>0</v>
      </c>
      <c r="BM126" s="22">
        <v>0</v>
      </c>
      <c r="BN126" s="22">
        <v>0</v>
      </c>
      <c r="BO126" s="22">
        <v>0</v>
      </c>
      <c r="BP126" s="22">
        <v>0</v>
      </c>
      <c r="BQ126" s="22">
        <v>0</v>
      </c>
      <c r="BR126" s="22">
        <v>0</v>
      </c>
      <c r="BS126" s="22">
        <v>0</v>
      </c>
      <c r="BT126" s="22">
        <v>0</v>
      </c>
      <c r="BU126" s="22">
        <v>0</v>
      </c>
      <c r="BV126" s="22">
        <v>0</v>
      </c>
      <c r="BW126" s="22">
        <v>0</v>
      </c>
      <c r="BX126" s="22">
        <v>0</v>
      </c>
      <c r="BY126" s="22">
        <v>0</v>
      </c>
      <c r="BZ126" s="22">
        <v>0</v>
      </c>
      <c r="CA126" s="22">
        <v>0</v>
      </c>
      <c r="CB126" s="22">
        <v>0</v>
      </c>
      <c r="CC126" s="22">
        <v>0</v>
      </c>
      <c r="CD126" s="22">
        <v>0</v>
      </c>
      <c r="CE126" s="22">
        <v>0</v>
      </c>
      <c r="CF126" s="22">
        <v>0</v>
      </c>
      <c r="CG126" s="22">
        <v>0</v>
      </c>
      <c r="CH126" s="22">
        <v>0</v>
      </c>
      <c r="CI126" s="22">
        <v>0</v>
      </c>
      <c r="CJ126" s="22">
        <v>0</v>
      </c>
      <c r="CK126" s="22">
        <v>0</v>
      </c>
      <c r="CL126" s="22">
        <v>0</v>
      </c>
      <c r="CM126" s="22">
        <v>0</v>
      </c>
      <c r="CN126" s="22">
        <v>0</v>
      </c>
      <c r="CO126" s="22">
        <v>0</v>
      </c>
      <c r="CP126" s="22">
        <v>0</v>
      </c>
      <c r="CQ126" s="22">
        <v>0</v>
      </c>
      <c r="CR126" s="22">
        <v>0</v>
      </c>
      <c r="CS126" s="22">
        <v>0</v>
      </c>
      <c r="CT126" s="22">
        <v>0</v>
      </c>
      <c r="CU126" s="21">
        <v>0</v>
      </c>
      <c r="CV126" s="21">
        <v>0</v>
      </c>
      <c r="CW126" s="21">
        <v>0</v>
      </c>
      <c r="CX126" s="21">
        <v>0</v>
      </c>
      <c r="CY126" s="21">
        <v>0</v>
      </c>
      <c r="CZ126" s="21">
        <v>0</v>
      </c>
      <c r="DA126" s="21">
        <v>0</v>
      </c>
      <c r="DB126" s="21">
        <v>0</v>
      </c>
      <c r="DC126" s="21">
        <v>0</v>
      </c>
      <c r="DD126" s="21">
        <v>0</v>
      </c>
      <c r="DE126" s="21">
        <v>0</v>
      </c>
      <c r="DF126" s="21">
        <v>0</v>
      </c>
      <c r="DG126" s="21">
        <v>0</v>
      </c>
      <c r="DH126" s="75"/>
      <c r="DI126" s="67"/>
      <c r="DJ126" s="67"/>
      <c r="DK126" s="50"/>
      <c r="DL126" s="67"/>
      <c r="DM126" s="50"/>
    </row>
    <row r="127" spans="1:117" s="52" customFormat="1">
      <c r="A127" s="23" t="s">
        <v>424</v>
      </c>
      <c r="B127" s="19" t="s">
        <v>425</v>
      </c>
      <c r="C127" s="19" t="s">
        <v>285</v>
      </c>
      <c r="D127" s="20">
        <f t="shared" si="2"/>
        <v>0</v>
      </c>
      <c r="E127" s="22">
        <v>0</v>
      </c>
      <c r="F127" s="22">
        <v>0</v>
      </c>
      <c r="G127" s="22">
        <v>0</v>
      </c>
      <c r="H127" s="22">
        <v>0</v>
      </c>
      <c r="I127" s="22">
        <v>0</v>
      </c>
      <c r="J127" s="22">
        <v>0</v>
      </c>
      <c r="K127" s="22">
        <v>0</v>
      </c>
      <c r="L127" s="22">
        <v>0</v>
      </c>
      <c r="M127" s="22">
        <v>0</v>
      </c>
      <c r="N127" s="22">
        <v>0</v>
      </c>
      <c r="O127" s="22">
        <v>0</v>
      </c>
      <c r="P127" s="22">
        <v>0</v>
      </c>
      <c r="Q127" s="22">
        <v>0</v>
      </c>
      <c r="R127" s="22">
        <v>0</v>
      </c>
      <c r="S127" s="22">
        <v>0</v>
      </c>
      <c r="T127" s="22">
        <v>0</v>
      </c>
      <c r="U127" s="22">
        <v>0</v>
      </c>
      <c r="V127" s="22">
        <v>0</v>
      </c>
      <c r="W127" s="22">
        <v>0</v>
      </c>
      <c r="X127" s="22">
        <v>0</v>
      </c>
      <c r="Y127" s="22">
        <v>0</v>
      </c>
      <c r="Z127" s="22">
        <v>0</v>
      </c>
      <c r="AA127" s="22">
        <v>0</v>
      </c>
      <c r="AB127" s="22">
        <v>0</v>
      </c>
      <c r="AC127" s="22">
        <v>0</v>
      </c>
      <c r="AD127" s="22">
        <v>0</v>
      </c>
      <c r="AE127" s="22">
        <v>0</v>
      </c>
      <c r="AF127" s="22">
        <v>0</v>
      </c>
      <c r="AG127" s="22">
        <v>0</v>
      </c>
      <c r="AH127" s="22">
        <v>0</v>
      </c>
      <c r="AI127" s="22">
        <v>0</v>
      </c>
      <c r="AJ127" s="22">
        <v>0</v>
      </c>
      <c r="AK127" s="22">
        <v>0</v>
      </c>
      <c r="AL127" s="22">
        <v>0</v>
      </c>
      <c r="AM127" s="22">
        <v>0</v>
      </c>
      <c r="AN127" s="22">
        <v>0</v>
      </c>
      <c r="AO127" s="22">
        <v>0</v>
      </c>
      <c r="AP127" s="22">
        <v>0</v>
      </c>
      <c r="AQ127" s="22">
        <v>0</v>
      </c>
      <c r="AR127" s="22">
        <v>0</v>
      </c>
      <c r="AS127" s="22">
        <v>0</v>
      </c>
      <c r="AT127" s="22">
        <v>0</v>
      </c>
      <c r="AU127" s="22">
        <v>0</v>
      </c>
      <c r="AV127" s="22">
        <v>0</v>
      </c>
      <c r="AW127" s="22">
        <v>0</v>
      </c>
      <c r="AX127" s="22">
        <v>0</v>
      </c>
      <c r="AY127" s="22">
        <v>0</v>
      </c>
      <c r="AZ127" s="22">
        <v>0</v>
      </c>
      <c r="BA127" s="22">
        <v>0</v>
      </c>
      <c r="BB127" s="22">
        <v>0</v>
      </c>
      <c r="BC127" s="22">
        <v>0</v>
      </c>
      <c r="BD127" s="22">
        <v>0</v>
      </c>
      <c r="BE127" s="22">
        <v>0</v>
      </c>
      <c r="BF127" s="22">
        <v>0</v>
      </c>
      <c r="BG127" s="22">
        <v>0</v>
      </c>
      <c r="BH127" s="22">
        <v>0</v>
      </c>
      <c r="BI127" s="22">
        <v>0</v>
      </c>
      <c r="BJ127" s="22">
        <v>0</v>
      </c>
      <c r="BK127" s="22">
        <v>0</v>
      </c>
      <c r="BL127" s="22">
        <v>0</v>
      </c>
      <c r="BM127" s="22">
        <v>0</v>
      </c>
      <c r="BN127" s="22">
        <v>0</v>
      </c>
      <c r="BO127" s="22">
        <v>0</v>
      </c>
      <c r="BP127" s="22">
        <v>0</v>
      </c>
      <c r="BQ127" s="22">
        <v>0</v>
      </c>
      <c r="BR127" s="22">
        <v>0</v>
      </c>
      <c r="BS127" s="22">
        <v>0</v>
      </c>
      <c r="BT127" s="22">
        <v>0</v>
      </c>
      <c r="BU127" s="22">
        <v>0</v>
      </c>
      <c r="BV127" s="22">
        <v>0</v>
      </c>
      <c r="BW127" s="22">
        <v>0</v>
      </c>
      <c r="BX127" s="22">
        <v>0</v>
      </c>
      <c r="BY127" s="22">
        <v>0</v>
      </c>
      <c r="BZ127" s="22">
        <v>0</v>
      </c>
      <c r="CA127" s="22">
        <v>0</v>
      </c>
      <c r="CB127" s="22">
        <v>0</v>
      </c>
      <c r="CC127" s="22">
        <v>0</v>
      </c>
      <c r="CD127" s="22">
        <v>0</v>
      </c>
      <c r="CE127" s="22">
        <v>0</v>
      </c>
      <c r="CF127" s="22">
        <v>0</v>
      </c>
      <c r="CG127" s="22">
        <v>0</v>
      </c>
      <c r="CH127" s="22">
        <v>0</v>
      </c>
      <c r="CI127" s="22">
        <v>0</v>
      </c>
      <c r="CJ127" s="22">
        <v>0</v>
      </c>
      <c r="CK127" s="22">
        <v>0</v>
      </c>
      <c r="CL127" s="22">
        <v>0</v>
      </c>
      <c r="CM127" s="22">
        <v>0</v>
      </c>
      <c r="CN127" s="22">
        <v>0</v>
      </c>
      <c r="CO127" s="22">
        <v>0</v>
      </c>
      <c r="CP127" s="22">
        <v>0</v>
      </c>
      <c r="CQ127" s="22">
        <v>0</v>
      </c>
      <c r="CR127" s="22">
        <v>0</v>
      </c>
      <c r="CS127" s="22">
        <v>0</v>
      </c>
      <c r="CT127" s="22">
        <v>0</v>
      </c>
      <c r="CU127" s="21">
        <v>0</v>
      </c>
      <c r="CV127" s="21">
        <v>0</v>
      </c>
      <c r="CW127" s="21">
        <v>0</v>
      </c>
      <c r="CX127" s="21">
        <v>0</v>
      </c>
      <c r="CY127" s="21">
        <v>0</v>
      </c>
      <c r="CZ127" s="21">
        <v>0</v>
      </c>
      <c r="DA127" s="21">
        <v>0</v>
      </c>
      <c r="DB127" s="21">
        <v>0</v>
      </c>
      <c r="DC127" s="21">
        <v>0</v>
      </c>
      <c r="DD127" s="21">
        <v>0</v>
      </c>
      <c r="DE127" s="21">
        <v>0</v>
      </c>
      <c r="DF127" s="21">
        <v>0</v>
      </c>
      <c r="DG127" s="21">
        <v>0</v>
      </c>
      <c r="DH127" s="75"/>
      <c r="DI127" s="67"/>
      <c r="DJ127" s="67"/>
      <c r="DK127" s="50"/>
      <c r="DL127" s="67"/>
      <c r="DM127" s="50"/>
    </row>
    <row r="128" spans="1:117">
      <c r="A128" s="24" t="s">
        <v>426</v>
      </c>
      <c r="B128" s="25"/>
      <c r="C128" s="25"/>
      <c r="D128" s="16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28"/>
      <c r="AI128" s="28"/>
      <c r="AJ128" s="28"/>
      <c r="AK128" s="28"/>
      <c r="AL128" s="28"/>
      <c r="AM128" s="28"/>
      <c r="AN128" s="28"/>
      <c r="AO128" s="28"/>
      <c r="AP128" s="28"/>
      <c r="AQ128" s="28"/>
      <c r="AR128" s="28"/>
      <c r="AS128" s="28"/>
      <c r="AT128" s="28"/>
      <c r="AU128" s="28"/>
      <c r="AV128" s="28"/>
      <c r="AW128" s="28"/>
      <c r="AX128" s="28"/>
      <c r="AY128" s="28"/>
      <c r="AZ128" s="28"/>
      <c r="BA128" s="28"/>
      <c r="BB128" s="28"/>
      <c r="BC128" s="28"/>
      <c r="BD128" s="28"/>
      <c r="BE128" s="28"/>
      <c r="BF128" s="28"/>
      <c r="BG128" s="28"/>
      <c r="BH128" s="28"/>
      <c r="BI128" s="28"/>
      <c r="BJ128" s="28"/>
      <c r="BK128" s="28"/>
      <c r="BL128" s="28"/>
      <c r="BM128" s="28"/>
      <c r="BN128" s="28"/>
      <c r="BO128" s="28"/>
      <c r="BP128" s="28"/>
      <c r="BQ128" s="28"/>
      <c r="BR128" s="28"/>
      <c r="BS128" s="28"/>
      <c r="BT128" s="28"/>
      <c r="BU128" s="28"/>
      <c r="BV128" s="28"/>
      <c r="BW128" s="28"/>
      <c r="BX128" s="28"/>
      <c r="BY128" s="28"/>
      <c r="BZ128" s="28"/>
      <c r="CA128" s="28"/>
      <c r="CB128" s="28"/>
      <c r="CC128" s="28"/>
      <c r="CD128" s="28"/>
      <c r="CE128" s="28"/>
      <c r="CF128" s="28"/>
      <c r="CG128" s="28"/>
      <c r="CH128" s="28"/>
      <c r="CI128" s="28"/>
      <c r="CJ128" s="28"/>
      <c r="CK128" s="28"/>
      <c r="CL128" s="28"/>
      <c r="CM128" s="28"/>
      <c r="CN128" s="28"/>
      <c r="CO128" s="28"/>
      <c r="CP128" s="28"/>
      <c r="CQ128" s="28"/>
      <c r="CR128" s="28"/>
      <c r="CS128" s="28"/>
      <c r="CT128" s="28"/>
      <c r="CU128" s="64"/>
      <c r="CV128" s="64"/>
      <c r="CW128" s="64"/>
      <c r="CX128" s="64"/>
      <c r="CY128" s="64"/>
      <c r="CZ128" s="64"/>
      <c r="DA128" s="64"/>
      <c r="DB128" s="64"/>
      <c r="DC128" s="64"/>
      <c r="DD128" s="64"/>
      <c r="DE128" s="64"/>
      <c r="DF128" s="64"/>
      <c r="DG128" s="64"/>
      <c r="DH128" s="74"/>
      <c r="DJ128" s="67"/>
      <c r="DL128" s="67"/>
    </row>
    <row r="129" spans="1:116">
      <c r="A129" s="23"/>
      <c r="B129" s="19" t="s">
        <v>427</v>
      </c>
      <c r="C129" s="19" t="s">
        <v>428</v>
      </c>
      <c r="D129" s="20">
        <f t="shared" ref="D129:D132" si="3">SUM(E129:DG129)</f>
        <v>278797.63999999984</v>
      </c>
      <c r="E129" s="22">
        <v>61745.27</v>
      </c>
      <c r="F129" s="22">
        <v>41993.99</v>
      </c>
      <c r="G129" s="22">
        <v>12810.83</v>
      </c>
      <c r="H129" s="22">
        <v>1946.19</v>
      </c>
      <c r="I129" s="22">
        <v>21286.52</v>
      </c>
      <c r="J129" s="22">
        <v>4754.18</v>
      </c>
      <c r="K129" s="22">
        <v>964.2</v>
      </c>
      <c r="L129" s="22">
        <v>922</v>
      </c>
      <c r="M129" s="22">
        <v>1331.93</v>
      </c>
      <c r="N129" s="22">
        <v>137.57</v>
      </c>
      <c r="O129" s="22">
        <v>145.99</v>
      </c>
      <c r="P129" s="22">
        <v>865.67</v>
      </c>
      <c r="Q129" s="22">
        <v>1568.18</v>
      </c>
      <c r="R129" s="22">
        <v>262.02</v>
      </c>
      <c r="S129" s="22">
        <v>6645.92</v>
      </c>
      <c r="T129" s="22">
        <v>2184.73</v>
      </c>
      <c r="U129" s="22">
        <v>3130.18</v>
      </c>
      <c r="V129" s="22">
        <v>728.58</v>
      </c>
      <c r="W129" s="22">
        <v>2961.79</v>
      </c>
      <c r="X129" s="22">
        <v>493.01</v>
      </c>
      <c r="Y129" s="22">
        <v>268.39999999999998</v>
      </c>
      <c r="Z129" s="22">
        <v>686.77</v>
      </c>
      <c r="AA129" s="22">
        <v>2279.9299999999998</v>
      </c>
      <c r="AB129" s="22">
        <v>105.37</v>
      </c>
      <c r="AC129" s="22">
        <v>1588.26</v>
      </c>
      <c r="AD129" s="22">
        <v>2689.07</v>
      </c>
      <c r="AE129" s="22">
        <v>2474.44</v>
      </c>
      <c r="AF129" s="22">
        <v>77.400000000000006</v>
      </c>
      <c r="AG129" s="22">
        <v>458.61</v>
      </c>
      <c r="AH129" s="22">
        <v>3099.97</v>
      </c>
      <c r="AI129" s="22">
        <v>314.10000000000002</v>
      </c>
      <c r="AJ129" s="22">
        <v>608.04999999999995</v>
      </c>
      <c r="AK129" s="22">
        <v>606.03</v>
      </c>
      <c r="AL129" s="22">
        <v>425.13</v>
      </c>
      <c r="AM129" s="22">
        <v>1051.21</v>
      </c>
      <c r="AN129" s="22">
        <v>816.84</v>
      </c>
      <c r="AO129" s="22">
        <v>172.74</v>
      </c>
      <c r="AP129" s="22">
        <v>93.81</v>
      </c>
      <c r="AQ129" s="22">
        <v>53.36</v>
      </c>
      <c r="AR129" s="22">
        <v>98.49</v>
      </c>
      <c r="AS129" s="22">
        <v>99.02</v>
      </c>
      <c r="AT129" s="22">
        <v>169.27</v>
      </c>
      <c r="AU129" s="22">
        <v>163.82</v>
      </c>
      <c r="AV129" s="22">
        <v>209.84</v>
      </c>
      <c r="AW129" s="22">
        <v>96.84</v>
      </c>
      <c r="AX129" s="22">
        <v>2322.71</v>
      </c>
      <c r="AY129" s="22">
        <v>2962.92</v>
      </c>
      <c r="AZ129" s="22">
        <v>173.36</v>
      </c>
      <c r="BA129" s="22">
        <v>131.68</v>
      </c>
      <c r="BB129" s="22">
        <v>2485.13</v>
      </c>
      <c r="BC129" s="22">
        <v>1594.3</v>
      </c>
      <c r="BD129" s="22">
        <v>461.14</v>
      </c>
      <c r="BE129" s="22">
        <v>1885.64</v>
      </c>
      <c r="BF129" s="22">
        <v>1217.1099999999999</v>
      </c>
      <c r="BG129" s="22">
        <v>121.98</v>
      </c>
      <c r="BH129" s="22">
        <v>156.68</v>
      </c>
      <c r="BI129" s="22">
        <v>112.89</v>
      </c>
      <c r="BJ129" s="22">
        <v>536.12</v>
      </c>
      <c r="BK129" s="22">
        <v>912.63</v>
      </c>
      <c r="BL129" s="22">
        <v>945.37</v>
      </c>
      <c r="BM129" s="22">
        <v>104.7</v>
      </c>
      <c r="BN129" s="22">
        <v>674.54</v>
      </c>
      <c r="BO129" s="22">
        <v>1037.24</v>
      </c>
      <c r="BP129" s="22">
        <v>120.44</v>
      </c>
      <c r="BQ129" s="22">
        <v>1823.99</v>
      </c>
      <c r="BR129" s="22">
        <v>80.25</v>
      </c>
      <c r="BS129" s="22">
        <v>147.77000000000001</v>
      </c>
      <c r="BT129" s="22">
        <v>1540.68</v>
      </c>
      <c r="BU129" s="22">
        <v>471.52</v>
      </c>
      <c r="BV129" s="22">
        <v>467.37</v>
      </c>
      <c r="BW129" s="22">
        <v>3532.04</v>
      </c>
      <c r="BX129" s="22">
        <v>457.61</v>
      </c>
      <c r="BY129" s="22">
        <v>562.27</v>
      </c>
      <c r="BZ129" s="22">
        <v>72.22</v>
      </c>
      <c r="CA129" s="22">
        <v>216.36</v>
      </c>
      <c r="CB129" s="22">
        <v>413.42</v>
      </c>
      <c r="CC129" s="22">
        <v>82.56</v>
      </c>
      <c r="CD129" s="22">
        <v>682.68</v>
      </c>
      <c r="CE129" s="22">
        <v>453.08</v>
      </c>
      <c r="CF129" s="22">
        <v>3457.93</v>
      </c>
      <c r="CG129" s="22">
        <v>1024.81</v>
      </c>
      <c r="CH129" s="22">
        <v>422.62</v>
      </c>
      <c r="CI129" s="22">
        <v>1148.4100000000001</v>
      </c>
      <c r="CJ129" s="22">
        <v>1303.3800000000001</v>
      </c>
      <c r="CK129" s="22">
        <v>9042.36</v>
      </c>
      <c r="CL129" s="22">
        <v>1492.69</v>
      </c>
      <c r="CM129" s="22">
        <v>2430.94</v>
      </c>
      <c r="CN129" s="22">
        <v>1686.34</v>
      </c>
      <c r="CO129" s="22">
        <v>1150.94</v>
      </c>
      <c r="CP129" s="22">
        <v>1386.26</v>
      </c>
      <c r="CQ129" s="22">
        <v>1385.41</v>
      </c>
      <c r="CR129" s="22">
        <v>1095.3399999999999</v>
      </c>
      <c r="CS129" s="22">
        <v>2239.36</v>
      </c>
      <c r="CT129" s="22">
        <v>3879</v>
      </c>
      <c r="CU129" s="21">
        <v>1629</v>
      </c>
      <c r="CV129" s="21">
        <v>2296.94</v>
      </c>
      <c r="CW129" s="21">
        <v>586.67999999999995</v>
      </c>
      <c r="CX129" s="21">
        <v>1439.25</v>
      </c>
      <c r="CY129" s="21">
        <v>4029.35</v>
      </c>
      <c r="CZ129" s="21">
        <v>154.01</v>
      </c>
      <c r="DA129" s="21">
        <v>977.39</v>
      </c>
      <c r="DB129" s="21">
        <v>122.91</v>
      </c>
      <c r="DC129" s="21">
        <v>201.66</v>
      </c>
      <c r="DD129" s="21">
        <v>936.09</v>
      </c>
      <c r="DE129" s="21">
        <v>2638.26</v>
      </c>
      <c r="DF129" s="21">
        <v>524.65</v>
      </c>
      <c r="DG129" s="21">
        <v>15569.74</v>
      </c>
      <c r="DH129" s="74"/>
      <c r="DJ129" s="67"/>
      <c r="DL129" s="67"/>
    </row>
    <row r="130" spans="1:116">
      <c r="A130" s="23"/>
      <c r="B130" s="19" t="s">
        <v>429</v>
      </c>
      <c r="C130" s="19" t="s">
        <v>428</v>
      </c>
      <c r="D130" s="20">
        <f t="shared" si="3"/>
        <v>278797.63999999984</v>
      </c>
      <c r="E130" s="22">
        <v>61745.27</v>
      </c>
      <c r="F130" s="22">
        <v>41993.99</v>
      </c>
      <c r="G130" s="22">
        <v>12810.83</v>
      </c>
      <c r="H130" s="22">
        <v>1946.19</v>
      </c>
      <c r="I130" s="22">
        <v>21286.52</v>
      </c>
      <c r="J130" s="22">
        <v>4754.18</v>
      </c>
      <c r="K130" s="22">
        <v>964.2</v>
      </c>
      <c r="L130" s="22">
        <v>922</v>
      </c>
      <c r="M130" s="22">
        <v>1331.93</v>
      </c>
      <c r="N130" s="22">
        <v>137.57</v>
      </c>
      <c r="O130" s="22">
        <v>145.99</v>
      </c>
      <c r="P130" s="22">
        <v>865.67</v>
      </c>
      <c r="Q130" s="22">
        <v>1568.18</v>
      </c>
      <c r="R130" s="22">
        <v>262.02</v>
      </c>
      <c r="S130" s="22">
        <v>6645.92</v>
      </c>
      <c r="T130" s="22">
        <v>2184.73</v>
      </c>
      <c r="U130" s="22">
        <v>3130.18</v>
      </c>
      <c r="V130" s="22">
        <v>728.58</v>
      </c>
      <c r="W130" s="22">
        <v>2961.79</v>
      </c>
      <c r="X130" s="22">
        <v>493.01</v>
      </c>
      <c r="Y130" s="22">
        <v>268.39999999999998</v>
      </c>
      <c r="Z130" s="22">
        <v>686.77</v>
      </c>
      <c r="AA130" s="22">
        <v>2279.9299999999998</v>
      </c>
      <c r="AB130" s="22">
        <v>105.37</v>
      </c>
      <c r="AC130" s="22">
        <v>1588.26</v>
      </c>
      <c r="AD130" s="22">
        <v>2689.07</v>
      </c>
      <c r="AE130" s="22">
        <v>2474.44</v>
      </c>
      <c r="AF130" s="22">
        <v>77.400000000000006</v>
      </c>
      <c r="AG130" s="22">
        <v>458.61</v>
      </c>
      <c r="AH130" s="22">
        <v>3099.97</v>
      </c>
      <c r="AI130" s="22">
        <v>314.10000000000002</v>
      </c>
      <c r="AJ130" s="22">
        <v>608.04999999999995</v>
      </c>
      <c r="AK130" s="22">
        <v>606.03</v>
      </c>
      <c r="AL130" s="22">
        <v>425.13</v>
      </c>
      <c r="AM130" s="22">
        <v>1051.21</v>
      </c>
      <c r="AN130" s="22">
        <v>816.84</v>
      </c>
      <c r="AO130" s="22">
        <v>172.74</v>
      </c>
      <c r="AP130" s="22">
        <v>93.81</v>
      </c>
      <c r="AQ130" s="22">
        <v>53.36</v>
      </c>
      <c r="AR130" s="22">
        <v>98.49</v>
      </c>
      <c r="AS130" s="22">
        <v>99.02</v>
      </c>
      <c r="AT130" s="22">
        <v>169.27</v>
      </c>
      <c r="AU130" s="22">
        <v>163.82</v>
      </c>
      <c r="AV130" s="22">
        <v>209.84</v>
      </c>
      <c r="AW130" s="22">
        <v>96.84</v>
      </c>
      <c r="AX130" s="22">
        <v>2322.71</v>
      </c>
      <c r="AY130" s="22">
        <v>2962.92</v>
      </c>
      <c r="AZ130" s="22">
        <v>173.36</v>
      </c>
      <c r="BA130" s="22">
        <v>131.68</v>
      </c>
      <c r="BB130" s="22">
        <v>2485.13</v>
      </c>
      <c r="BC130" s="22">
        <v>1594.3</v>
      </c>
      <c r="BD130" s="22">
        <v>461.14</v>
      </c>
      <c r="BE130" s="22">
        <v>1885.64</v>
      </c>
      <c r="BF130" s="22">
        <v>1217.1099999999999</v>
      </c>
      <c r="BG130" s="22">
        <v>121.98</v>
      </c>
      <c r="BH130" s="22">
        <v>156.68</v>
      </c>
      <c r="BI130" s="22">
        <v>112.89</v>
      </c>
      <c r="BJ130" s="22">
        <v>536.12</v>
      </c>
      <c r="BK130" s="22">
        <v>912.63</v>
      </c>
      <c r="BL130" s="22">
        <v>945.37</v>
      </c>
      <c r="BM130" s="22">
        <v>104.7</v>
      </c>
      <c r="BN130" s="22">
        <v>674.54</v>
      </c>
      <c r="BO130" s="22">
        <v>1037.24</v>
      </c>
      <c r="BP130" s="22">
        <v>120.44</v>
      </c>
      <c r="BQ130" s="22">
        <v>1823.99</v>
      </c>
      <c r="BR130" s="22">
        <v>80.25</v>
      </c>
      <c r="BS130" s="22">
        <v>147.77000000000001</v>
      </c>
      <c r="BT130" s="22">
        <v>1540.68</v>
      </c>
      <c r="BU130" s="22">
        <v>471.52</v>
      </c>
      <c r="BV130" s="22">
        <v>467.37</v>
      </c>
      <c r="BW130" s="22">
        <v>3532.04</v>
      </c>
      <c r="BX130" s="22">
        <v>457.61</v>
      </c>
      <c r="BY130" s="22">
        <v>562.27</v>
      </c>
      <c r="BZ130" s="22">
        <v>72.22</v>
      </c>
      <c r="CA130" s="22">
        <v>216.36</v>
      </c>
      <c r="CB130" s="22">
        <v>413.42</v>
      </c>
      <c r="CC130" s="22">
        <v>82.56</v>
      </c>
      <c r="CD130" s="22">
        <v>682.68</v>
      </c>
      <c r="CE130" s="22">
        <v>453.08</v>
      </c>
      <c r="CF130" s="22">
        <v>3457.93</v>
      </c>
      <c r="CG130" s="22">
        <v>1024.81</v>
      </c>
      <c r="CH130" s="22">
        <v>422.62</v>
      </c>
      <c r="CI130" s="22">
        <v>1148.4100000000001</v>
      </c>
      <c r="CJ130" s="22">
        <v>1303.3800000000001</v>
      </c>
      <c r="CK130" s="22">
        <v>9042.36</v>
      </c>
      <c r="CL130" s="22">
        <v>1492.69</v>
      </c>
      <c r="CM130" s="22">
        <v>2430.94</v>
      </c>
      <c r="CN130" s="22">
        <v>1686.34</v>
      </c>
      <c r="CO130" s="22">
        <v>1150.94</v>
      </c>
      <c r="CP130" s="22">
        <v>1386.26</v>
      </c>
      <c r="CQ130" s="22">
        <v>1385.41</v>
      </c>
      <c r="CR130" s="22">
        <v>1095.3399999999999</v>
      </c>
      <c r="CS130" s="22">
        <v>2239.36</v>
      </c>
      <c r="CT130" s="22">
        <v>3879</v>
      </c>
      <c r="CU130" s="21">
        <v>1629</v>
      </c>
      <c r="CV130" s="21">
        <v>2296.94</v>
      </c>
      <c r="CW130" s="21">
        <v>586.67999999999995</v>
      </c>
      <c r="CX130" s="21">
        <v>1439.25</v>
      </c>
      <c r="CY130" s="21">
        <v>4029.35</v>
      </c>
      <c r="CZ130" s="21">
        <v>154.01</v>
      </c>
      <c r="DA130" s="21">
        <v>977.39</v>
      </c>
      <c r="DB130" s="21">
        <v>122.91</v>
      </c>
      <c r="DC130" s="21">
        <v>201.66</v>
      </c>
      <c r="DD130" s="21">
        <v>936.09</v>
      </c>
      <c r="DE130" s="21">
        <v>2638.26</v>
      </c>
      <c r="DF130" s="21">
        <v>524.65</v>
      </c>
      <c r="DG130" s="21">
        <v>15569.74</v>
      </c>
      <c r="DH130" s="74"/>
      <c r="DJ130" s="67"/>
      <c r="DL130" s="67"/>
    </row>
    <row r="131" spans="1:116">
      <c r="A131" s="23"/>
      <c r="B131" s="19" t="s">
        <v>430</v>
      </c>
      <c r="C131" s="19" t="s">
        <v>428</v>
      </c>
      <c r="D131" s="20">
        <f t="shared" si="3"/>
        <v>278797.63999999984</v>
      </c>
      <c r="E131" s="22">
        <v>61745.27</v>
      </c>
      <c r="F131" s="22">
        <v>41993.99</v>
      </c>
      <c r="G131" s="22">
        <v>12810.83</v>
      </c>
      <c r="H131" s="22">
        <v>1946.19</v>
      </c>
      <c r="I131" s="22">
        <v>21286.52</v>
      </c>
      <c r="J131" s="22">
        <v>4754.18</v>
      </c>
      <c r="K131" s="22">
        <v>964.2</v>
      </c>
      <c r="L131" s="22">
        <v>922</v>
      </c>
      <c r="M131" s="22">
        <v>1331.93</v>
      </c>
      <c r="N131" s="22">
        <v>137.57</v>
      </c>
      <c r="O131" s="22">
        <v>145.99</v>
      </c>
      <c r="P131" s="22">
        <v>865.67</v>
      </c>
      <c r="Q131" s="22">
        <v>1568.18</v>
      </c>
      <c r="R131" s="22">
        <v>262.02</v>
      </c>
      <c r="S131" s="22">
        <v>6645.92</v>
      </c>
      <c r="T131" s="22">
        <v>2184.73</v>
      </c>
      <c r="U131" s="22">
        <v>3130.18</v>
      </c>
      <c r="V131" s="22">
        <v>728.58</v>
      </c>
      <c r="W131" s="22">
        <v>2961.79</v>
      </c>
      <c r="X131" s="22">
        <v>493.01</v>
      </c>
      <c r="Y131" s="22">
        <v>268.39999999999998</v>
      </c>
      <c r="Z131" s="22">
        <v>686.77</v>
      </c>
      <c r="AA131" s="22">
        <v>2279.9299999999998</v>
      </c>
      <c r="AB131" s="22">
        <v>105.37</v>
      </c>
      <c r="AC131" s="22">
        <v>1588.26</v>
      </c>
      <c r="AD131" s="22">
        <v>2689.07</v>
      </c>
      <c r="AE131" s="22">
        <v>2474.44</v>
      </c>
      <c r="AF131" s="22">
        <v>77.400000000000006</v>
      </c>
      <c r="AG131" s="22">
        <v>458.61</v>
      </c>
      <c r="AH131" s="22">
        <v>3099.97</v>
      </c>
      <c r="AI131" s="22">
        <v>314.10000000000002</v>
      </c>
      <c r="AJ131" s="22">
        <v>608.04999999999995</v>
      </c>
      <c r="AK131" s="22">
        <v>606.03</v>
      </c>
      <c r="AL131" s="22">
        <v>425.13</v>
      </c>
      <c r="AM131" s="22">
        <v>1051.21</v>
      </c>
      <c r="AN131" s="22">
        <v>816.84</v>
      </c>
      <c r="AO131" s="22">
        <v>172.74</v>
      </c>
      <c r="AP131" s="22">
        <v>93.81</v>
      </c>
      <c r="AQ131" s="22">
        <v>53.36</v>
      </c>
      <c r="AR131" s="22">
        <v>98.49</v>
      </c>
      <c r="AS131" s="22">
        <v>99.02</v>
      </c>
      <c r="AT131" s="22">
        <v>169.27</v>
      </c>
      <c r="AU131" s="22">
        <v>163.82</v>
      </c>
      <c r="AV131" s="22">
        <v>209.84</v>
      </c>
      <c r="AW131" s="22">
        <v>96.84</v>
      </c>
      <c r="AX131" s="22">
        <v>2322.71</v>
      </c>
      <c r="AY131" s="22">
        <v>2962.92</v>
      </c>
      <c r="AZ131" s="22">
        <v>173.36</v>
      </c>
      <c r="BA131" s="22">
        <v>131.68</v>
      </c>
      <c r="BB131" s="22">
        <v>2485.13</v>
      </c>
      <c r="BC131" s="22">
        <v>1594.3</v>
      </c>
      <c r="BD131" s="22">
        <v>461.14</v>
      </c>
      <c r="BE131" s="22">
        <v>1885.64</v>
      </c>
      <c r="BF131" s="22">
        <v>1217.1099999999999</v>
      </c>
      <c r="BG131" s="22">
        <v>121.98</v>
      </c>
      <c r="BH131" s="22">
        <v>156.68</v>
      </c>
      <c r="BI131" s="22">
        <v>112.89</v>
      </c>
      <c r="BJ131" s="22">
        <v>536.12</v>
      </c>
      <c r="BK131" s="22">
        <v>912.63</v>
      </c>
      <c r="BL131" s="22">
        <v>945.37</v>
      </c>
      <c r="BM131" s="22">
        <v>104.7</v>
      </c>
      <c r="BN131" s="22">
        <v>674.54</v>
      </c>
      <c r="BO131" s="22">
        <v>1037.24</v>
      </c>
      <c r="BP131" s="22">
        <v>120.44</v>
      </c>
      <c r="BQ131" s="22">
        <v>1823.99</v>
      </c>
      <c r="BR131" s="22">
        <v>80.25</v>
      </c>
      <c r="BS131" s="22">
        <v>147.77000000000001</v>
      </c>
      <c r="BT131" s="22">
        <v>1540.68</v>
      </c>
      <c r="BU131" s="22">
        <v>471.52</v>
      </c>
      <c r="BV131" s="22">
        <v>467.37</v>
      </c>
      <c r="BW131" s="22">
        <v>3532.04</v>
      </c>
      <c r="BX131" s="22">
        <v>457.61</v>
      </c>
      <c r="BY131" s="22">
        <v>562.27</v>
      </c>
      <c r="BZ131" s="22">
        <v>72.22</v>
      </c>
      <c r="CA131" s="22">
        <v>216.36</v>
      </c>
      <c r="CB131" s="22">
        <v>413.42</v>
      </c>
      <c r="CC131" s="22">
        <v>82.56</v>
      </c>
      <c r="CD131" s="22">
        <v>682.68</v>
      </c>
      <c r="CE131" s="22">
        <v>453.08</v>
      </c>
      <c r="CF131" s="22">
        <v>3457.93</v>
      </c>
      <c r="CG131" s="22">
        <v>1024.81</v>
      </c>
      <c r="CH131" s="22">
        <v>422.62</v>
      </c>
      <c r="CI131" s="22">
        <v>1148.4100000000001</v>
      </c>
      <c r="CJ131" s="22">
        <v>1303.3800000000001</v>
      </c>
      <c r="CK131" s="22">
        <v>9042.36</v>
      </c>
      <c r="CL131" s="22">
        <v>1492.69</v>
      </c>
      <c r="CM131" s="22">
        <v>2430.94</v>
      </c>
      <c r="CN131" s="22">
        <v>1686.34</v>
      </c>
      <c r="CO131" s="22">
        <v>1150.94</v>
      </c>
      <c r="CP131" s="22">
        <v>1386.26</v>
      </c>
      <c r="CQ131" s="22">
        <v>1385.41</v>
      </c>
      <c r="CR131" s="22">
        <v>1095.3399999999999</v>
      </c>
      <c r="CS131" s="22">
        <v>2239.36</v>
      </c>
      <c r="CT131" s="22">
        <v>3879</v>
      </c>
      <c r="CU131" s="21">
        <v>1629</v>
      </c>
      <c r="CV131" s="21">
        <v>2296.94</v>
      </c>
      <c r="CW131" s="21">
        <v>586.67999999999995</v>
      </c>
      <c r="CX131" s="21">
        <v>1439.25</v>
      </c>
      <c r="CY131" s="21">
        <v>4029.35</v>
      </c>
      <c r="CZ131" s="21">
        <v>154.01</v>
      </c>
      <c r="DA131" s="21">
        <v>977.39</v>
      </c>
      <c r="DB131" s="21">
        <v>122.91</v>
      </c>
      <c r="DC131" s="21">
        <v>201.66</v>
      </c>
      <c r="DD131" s="21">
        <v>936.09</v>
      </c>
      <c r="DE131" s="21">
        <v>2638.26</v>
      </c>
      <c r="DF131" s="21">
        <v>524.65</v>
      </c>
      <c r="DG131" s="21">
        <v>15569.74</v>
      </c>
      <c r="DH131" s="74"/>
      <c r="DJ131" s="67"/>
      <c r="DL131" s="67"/>
    </row>
    <row r="132" spans="1:116">
      <c r="A132" s="23"/>
      <c r="B132" s="19" t="s">
        <v>431</v>
      </c>
      <c r="C132" s="19" t="s">
        <v>428</v>
      </c>
      <c r="D132" s="20">
        <f t="shared" si="3"/>
        <v>278797.63999999984</v>
      </c>
      <c r="E132" s="22">
        <v>61745.27</v>
      </c>
      <c r="F132" s="22">
        <v>41993.99</v>
      </c>
      <c r="G132" s="22">
        <v>12810.83</v>
      </c>
      <c r="H132" s="22">
        <v>1946.19</v>
      </c>
      <c r="I132" s="22">
        <v>21286.52</v>
      </c>
      <c r="J132" s="22">
        <v>4754.18</v>
      </c>
      <c r="K132" s="22">
        <v>964.2</v>
      </c>
      <c r="L132" s="22">
        <v>922</v>
      </c>
      <c r="M132" s="22">
        <v>1331.93</v>
      </c>
      <c r="N132" s="22">
        <v>137.57</v>
      </c>
      <c r="O132" s="22">
        <v>145.99</v>
      </c>
      <c r="P132" s="22">
        <v>865.67</v>
      </c>
      <c r="Q132" s="22">
        <v>1568.18</v>
      </c>
      <c r="R132" s="22">
        <v>262.02</v>
      </c>
      <c r="S132" s="22">
        <v>6645.92</v>
      </c>
      <c r="T132" s="22">
        <v>2184.73</v>
      </c>
      <c r="U132" s="22">
        <v>3130.18</v>
      </c>
      <c r="V132" s="22">
        <v>728.58</v>
      </c>
      <c r="W132" s="22">
        <v>2961.79</v>
      </c>
      <c r="X132" s="22">
        <v>493.01</v>
      </c>
      <c r="Y132" s="22">
        <v>268.39999999999998</v>
      </c>
      <c r="Z132" s="22">
        <v>686.77</v>
      </c>
      <c r="AA132" s="22">
        <v>2279.9299999999998</v>
      </c>
      <c r="AB132" s="22">
        <v>105.37</v>
      </c>
      <c r="AC132" s="22">
        <v>1588.26</v>
      </c>
      <c r="AD132" s="22">
        <v>2689.07</v>
      </c>
      <c r="AE132" s="22">
        <v>2474.44</v>
      </c>
      <c r="AF132" s="22">
        <v>77.400000000000006</v>
      </c>
      <c r="AG132" s="22">
        <v>458.61</v>
      </c>
      <c r="AH132" s="22">
        <v>3099.97</v>
      </c>
      <c r="AI132" s="22">
        <v>314.10000000000002</v>
      </c>
      <c r="AJ132" s="22">
        <v>608.04999999999995</v>
      </c>
      <c r="AK132" s="22">
        <v>606.03</v>
      </c>
      <c r="AL132" s="22">
        <v>425.13</v>
      </c>
      <c r="AM132" s="22">
        <v>1051.21</v>
      </c>
      <c r="AN132" s="22">
        <v>816.84</v>
      </c>
      <c r="AO132" s="22">
        <v>172.74</v>
      </c>
      <c r="AP132" s="22">
        <v>93.81</v>
      </c>
      <c r="AQ132" s="22">
        <v>53.36</v>
      </c>
      <c r="AR132" s="22">
        <v>98.49</v>
      </c>
      <c r="AS132" s="22">
        <v>99.02</v>
      </c>
      <c r="AT132" s="22">
        <v>169.27</v>
      </c>
      <c r="AU132" s="22">
        <v>163.82</v>
      </c>
      <c r="AV132" s="22">
        <v>209.84</v>
      </c>
      <c r="AW132" s="22">
        <v>96.84</v>
      </c>
      <c r="AX132" s="22">
        <v>2322.71</v>
      </c>
      <c r="AY132" s="22">
        <v>2962.92</v>
      </c>
      <c r="AZ132" s="22">
        <v>173.36</v>
      </c>
      <c r="BA132" s="22">
        <v>131.68</v>
      </c>
      <c r="BB132" s="22">
        <v>2485.13</v>
      </c>
      <c r="BC132" s="22">
        <v>1594.3</v>
      </c>
      <c r="BD132" s="22">
        <v>461.14</v>
      </c>
      <c r="BE132" s="22">
        <v>1885.64</v>
      </c>
      <c r="BF132" s="22">
        <v>1217.1099999999999</v>
      </c>
      <c r="BG132" s="22">
        <v>121.98</v>
      </c>
      <c r="BH132" s="22">
        <v>156.68</v>
      </c>
      <c r="BI132" s="22">
        <v>112.89</v>
      </c>
      <c r="BJ132" s="22">
        <v>536.12</v>
      </c>
      <c r="BK132" s="22">
        <v>912.63</v>
      </c>
      <c r="BL132" s="22">
        <v>945.37</v>
      </c>
      <c r="BM132" s="22">
        <v>104.7</v>
      </c>
      <c r="BN132" s="22">
        <v>674.54</v>
      </c>
      <c r="BO132" s="22">
        <v>1037.24</v>
      </c>
      <c r="BP132" s="22">
        <v>120.44</v>
      </c>
      <c r="BQ132" s="22">
        <v>1823.99</v>
      </c>
      <c r="BR132" s="22">
        <v>80.25</v>
      </c>
      <c r="BS132" s="22">
        <v>147.77000000000001</v>
      </c>
      <c r="BT132" s="22">
        <v>1540.68</v>
      </c>
      <c r="BU132" s="22">
        <v>471.52</v>
      </c>
      <c r="BV132" s="22">
        <v>467.37</v>
      </c>
      <c r="BW132" s="22">
        <v>3532.04</v>
      </c>
      <c r="BX132" s="22">
        <v>457.61</v>
      </c>
      <c r="BY132" s="22">
        <v>562.27</v>
      </c>
      <c r="BZ132" s="22">
        <v>72.22</v>
      </c>
      <c r="CA132" s="22">
        <v>216.36</v>
      </c>
      <c r="CB132" s="22">
        <v>413.42</v>
      </c>
      <c r="CC132" s="22">
        <v>82.56</v>
      </c>
      <c r="CD132" s="22">
        <v>682.68</v>
      </c>
      <c r="CE132" s="22">
        <v>453.08</v>
      </c>
      <c r="CF132" s="22">
        <v>3457.93</v>
      </c>
      <c r="CG132" s="22">
        <v>1024.81</v>
      </c>
      <c r="CH132" s="22">
        <v>422.62</v>
      </c>
      <c r="CI132" s="22">
        <v>1148.4100000000001</v>
      </c>
      <c r="CJ132" s="22">
        <v>1303.3800000000001</v>
      </c>
      <c r="CK132" s="22">
        <v>9042.36</v>
      </c>
      <c r="CL132" s="22">
        <v>1492.69</v>
      </c>
      <c r="CM132" s="22">
        <v>2430.94</v>
      </c>
      <c r="CN132" s="22">
        <v>1686.34</v>
      </c>
      <c r="CO132" s="22">
        <v>1150.94</v>
      </c>
      <c r="CP132" s="22">
        <v>1386.26</v>
      </c>
      <c r="CQ132" s="22">
        <v>1385.41</v>
      </c>
      <c r="CR132" s="22">
        <v>1095.3399999999999</v>
      </c>
      <c r="CS132" s="22">
        <v>2239.36</v>
      </c>
      <c r="CT132" s="22">
        <v>3879</v>
      </c>
      <c r="CU132" s="21">
        <v>1629</v>
      </c>
      <c r="CV132" s="21">
        <v>2296.94</v>
      </c>
      <c r="CW132" s="21">
        <v>586.67999999999995</v>
      </c>
      <c r="CX132" s="21">
        <v>1439.25</v>
      </c>
      <c r="CY132" s="21">
        <v>4029.35</v>
      </c>
      <c r="CZ132" s="21">
        <v>154.01</v>
      </c>
      <c r="DA132" s="21">
        <v>977.39</v>
      </c>
      <c r="DB132" s="21">
        <v>122.91</v>
      </c>
      <c r="DC132" s="21">
        <v>201.66</v>
      </c>
      <c r="DD132" s="21">
        <v>936.09</v>
      </c>
      <c r="DE132" s="21">
        <v>2638.26</v>
      </c>
      <c r="DF132" s="21">
        <v>524.65</v>
      </c>
      <c r="DG132" s="21">
        <v>15569.74</v>
      </c>
      <c r="DH132" s="74"/>
      <c r="DJ132" s="67"/>
      <c r="DL132" s="67"/>
    </row>
    <row r="133" spans="1:116">
      <c r="A133" s="24" t="s">
        <v>432</v>
      </c>
      <c r="B133" s="25"/>
      <c r="C133" s="25"/>
      <c r="D133" s="16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  <c r="AG133" s="28"/>
      <c r="AH133" s="28"/>
      <c r="AI133" s="28"/>
      <c r="AJ133" s="28"/>
      <c r="AK133" s="28"/>
      <c r="AL133" s="28"/>
      <c r="AM133" s="28"/>
      <c r="AN133" s="28"/>
      <c r="AO133" s="28"/>
      <c r="AP133" s="28"/>
      <c r="AQ133" s="28"/>
      <c r="AR133" s="28"/>
      <c r="AS133" s="28"/>
      <c r="AT133" s="28"/>
      <c r="AU133" s="28"/>
      <c r="AV133" s="28"/>
      <c r="AW133" s="28"/>
      <c r="AX133" s="28"/>
      <c r="AY133" s="28"/>
      <c r="AZ133" s="28"/>
      <c r="BA133" s="28"/>
      <c r="BB133" s="28"/>
      <c r="BC133" s="28"/>
      <c r="BD133" s="28"/>
      <c r="BE133" s="28"/>
      <c r="BF133" s="28"/>
      <c r="BG133" s="28"/>
      <c r="BH133" s="28"/>
      <c r="BI133" s="28"/>
      <c r="BJ133" s="28"/>
      <c r="BK133" s="28"/>
      <c r="BL133" s="28"/>
      <c r="BM133" s="28"/>
      <c r="BN133" s="28"/>
      <c r="BO133" s="28"/>
      <c r="BP133" s="28"/>
      <c r="BQ133" s="28"/>
      <c r="BR133" s="28"/>
      <c r="BS133" s="28"/>
      <c r="BT133" s="28"/>
      <c r="BU133" s="28"/>
      <c r="BV133" s="28"/>
      <c r="BW133" s="28"/>
      <c r="BX133" s="28"/>
      <c r="BY133" s="28"/>
      <c r="BZ133" s="28"/>
      <c r="CA133" s="28"/>
      <c r="CB133" s="28"/>
      <c r="CC133" s="28"/>
      <c r="CD133" s="28"/>
      <c r="CE133" s="28"/>
      <c r="CF133" s="28"/>
      <c r="CG133" s="28"/>
      <c r="CH133" s="28"/>
      <c r="CI133" s="28"/>
      <c r="CJ133" s="28"/>
      <c r="CK133" s="28"/>
      <c r="CL133" s="28"/>
      <c r="CM133" s="28"/>
      <c r="CN133" s="28"/>
      <c r="CO133" s="28"/>
      <c r="CP133" s="28"/>
      <c r="CQ133" s="28"/>
      <c r="CR133" s="28"/>
      <c r="CS133" s="28"/>
      <c r="CT133" s="28"/>
      <c r="CU133" s="64"/>
      <c r="CV133" s="64"/>
      <c r="CW133" s="64"/>
      <c r="CX133" s="64"/>
      <c r="CY133" s="64"/>
      <c r="CZ133" s="64"/>
      <c r="DA133" s="64"/>
      <c r="DB133" s="64"/>
      <c r="DC133" s="64"/>
      <c r="DD133" s="64"/>
      <c r="DE133" s="64"/>
      <c r="DF133" s="64"/>
      <c r="DG133" s="64"/>
      <c r="DJ133" s="67"/>
      <c r="DL133" s="67"/>
    </row>
    <row r="134" spans="1:116">
      <c r="A134" s="23"/>
      <c r="B134" s="19" t="s">
        <v>433</v>
      </c>
      <c r="C134" s="19" t="s">
        <v>434</v>
      </c>
      <c r="D134" s="20">
        <f t="shared" ref="D134:D136" si="4">SUM(E134:DG134)</f>
        <v>346548.5</v>
      </c>
      <c r="E134" s="22">
        <v>115399</v>
      </c>
      <c r="F134" s="22">
        <v>46577</v>
      </c>
      <c r="G134" s="22">
        <v>18608</v>
      </c>
      <c r="H134" s="22">
        <v>1486</v>
      </c>
      <c r="I134" s="22">
        <v>19325.5</v>
      </c>
      <c r="J134" s="22">
        <v>3053</v>
      </c>
      <c r="K134" s="22">
        <v>889</v>
      </c>
      <c r="L134" s="22">
        <v>1194</v>
      </c>
      <c r="M134" s="22">
        <v>746</v>
      </c>
      <c r="N134" s="22">
        <v>0</v>
      </c>
      <c r="O134" s="22">
        <v>0</v>
      </c>
      <c r="P134" s="22">
        <v>728</v>
      </c>
      <c r="Q134" s="22">
        <v>583</v>
      </c>
      <c r="R134" s="22">
        <v>0</v>
      </c>
      <c r="S134" s="22">
        <v>2566</v>
      </c>
      <c r="T134" s="22">
        <v>732</v>
      </c>
      <c r="U134" s="22">
        <v>2728</v>
      </c>
      <c r="V134" s="22">
        <v>238</v>
      </c>
      <c r="W134" s="22">
        <v>1171</v>
      </c>
      <c r="X134" s="22">
        <v>0</v>
      </c>
      <c r="Y134" s="22">
        <v>0</v>
      </c>
      <c r="Z134" s="22">
        <v>955</v>
      </c>
      <c r="AA134" s="22">
        <v>2033</v>
      </c>
      <c r="AB134" s="22">
        <v>0</v>
      </c>
      <c r="AC134" s="22">
        <v>1623</v>
      </c>
      <c r="AD134" s="22">
        <v>1461</v>
      </c>
      <c r="AE134" s="22">
        <v>2216</v>
      </c>
      <c r="AF134" s="22">
        <v>0</v>
      </c>
      <c r="AG134" s="22">
        <v>0</v>
      </c>
      <c r="AH134" s="22">
        <v>1323</v>
      </c>
      <c r="AI134" s="22">
        <v>196</v>
      </c>
      <c r="AJ134" s="22">
        <v>680</v>
      </c>
      <c r="AK134" s="22">
        <v>0</v>
      </c>
      <c r="AL134" s="22">
        <v>729</v>
      </c>
      <c r="AM134" s="22">
        <v>963</v>
      </c>
      <c r="AN134" s="22">
        <v>342</v>
      </c>
      <c r="AO134" s="22">
        <v>133</v>
      </c>
      <c r="AP134" s="22">
        <v>0</v>
      </c>
      <c r="AQ134" s="22">
        <v>0</v>
      </c>
      <c r="AR134" s="22">
        <v>0</v>
      </c>
      <c r="AS134" s="22">
        <v>0</v>
      </c>
      <c r="AT134" s="22">
        <v>87</v>
      </c>
      <c r="AU134" s="22">
        <v>161</v>
      </c>
      <c r="AV134" s="22">
        <v>273</v>
      </c>
      <c r="AW134" s="22">
        <v>0</v>
      </c>
      <c r="AX134" s="22">
        <v>1036</v>
      </c>
      <c r="AY134" s="22">
        <v>822</v>
      </c>
      <c r="AZ134" s="22">
        <v>535</v>
      </c>
      <c r="BA134" s="22">
        <v>0</v>
      </c>
      <c r="BB134" s="22">
        <v>1262</v>
      </c>
      <c r="BC134" s="22">
        <v>1749</v>
      </c>
      <c r="BD134" s="22">
        <v>221</v>
      </c>
      <c r="BE134" s="22">
        <v>457</v>
      </c>
      <c r="BF134" s="22">
        <v>966</v>
      </c>
      <c r="BG134" s="22">
        <v>0</v>
      </c>
      <c r="BH134" s="22">
        <v>0</v>
      </c>
      <c r="BI134" s="22">
        <v>0</v>
      </c>
      <c r="BJ134" s="22">
        <v>0</v>
      </c>
      <c r="BK134" s="22">
        <v>684</v>
      </c>
      <c r="BL134" s="22">
        <v>0</v>
      </c>
      <c r="BM134" s="22">
        <v>0</v>
      </c>
      <c r="BN134" s="22">
        <v>0</v>
      </c>
      <c r="BO134" s="22">
        <v>838</v>
      </c>
      <c r="BP134" s="22">
        <v>389</v>
      </c>
      <c r="BQ134" s="22">
        <v>491</v>
      </c>
      <c r="BR134" s="22">
        <v>0</v>
      </c>
      <c r="BS134" s="22">
        <v>62</v>
      </c>
      <c r="BT134" s="22">
        <v>1092</v>
      </c>
      <c r="BU134" s="22">
        <v>1120</v>
      </c>
      <c r="BV134" s="22">
        <v>1120</v>
      </c>
      <c r="BW134" s="22">
        <v>1388</v>
      </c>
      <c r="BX134" s="22">
        <v>0</v>
      </c>
      <c r="BY134" s="22">
        <v>0</v>
      </c>
      <c r="BZ134" s="22">
        <v>1820</v>
      </c>
      <c r="CA134" s="22">
        <v>327</v>
      </c>
      <c r="CB134" s="22">
        <v>125</v>
      </c>
      <c r="CC134" s="22">
        <v>0</v>
      </c>
      <c r="CD134" s="22">
        <v>392</v>
      </c>
      <c r="CE134" s="22">
        <v>227</v>
      </c>
      <c r="CF134" s="22">
        <v>1598</v>
      </c>
      <c r="CG134" s="22">
        <v>0</v>
      </c>
      <c r="CH134" s="22">
        <v>0</v>
      </c>
      <c r="CI134" s="22">
        <v>0</v>
      </c>
      <c r="CJ134" s="22">
        <v>0</v>
      </c>
      <c r="CK134" s="22">
        <v>3688</v>
      </c>
      <c r="CL134" s="22">
        <v>0</v>
      </c>
      <c r="CM134" s="22">
        <v>0</v>
      </c>
      <c r="CN134" s="22">
        <v>0</v>
      </c>
      <c r="CO134" s="22">
        <v>0</v>
      </c>
      <c r="CP134" s="22">
        <v>0</v>
      </c>
      <c r="CQ134" s="22">
        <v>0</v>
      </c>
      <c r="CR134" s="22">
        <v>0</v>
      </c>
      <c r="CS134" s="22">
        <v>0</v>
      </c>
      <c r="CT134" s="22">
        <v>0</v>
      </c>
      <c r="CU134" s="21">
        <v>0</v>
      </c>
      <c r="CV134" s="21">
        <v>0</v>
      </c>
      <c r="CW134" s="21">
        <v>0</v>
      </c>
      <c r="CX134" s="21">
        <v>0</v>
      </c>
      <c r="CY134" s="21">
        <v>0</v>
      </c>
      <c r="CZ134" s="21">
        <v>0</v>
      </c>
      <c r="DA134" s="21">
        <v>0</v>
      </c>
      <c r="DB134" s="21">
        <v>0</v>
      </c>
      <c r="DC134" s="21">
        <v>0</v>
      </c>
      <c r="DD134" s="21">
        <v>0</v>
      </c>
      <c r="DE134" s="21">
        <v>0</v>
      </c>
      <c r="DF134" s="21">
        <v>0</v>
      </c>
      <c r="DG134" s="21">
        <v>94941</v>
      </c>
      <c r="DJ134" s="67"/>
      <c r="DL134" s="67"/>
    </row>
    <row r="135" spans="1:116">
      <c r="A135" s="23"/>
      <c r="B135" s="19" t="s">
        <v>435</v>
      </c>
      <c r="C135" s="19" t="s">
        <v>434</v>
      </c>
      <c r="D135" s="20">
        <f t="shared" si="4"/>
        <v>330136</v>
      </c>
      <c r="E135" s="22">
        <v>113178</v>
      </c>
      <c r="F135" s="22">
        <v>44260</v>
      </c>
      <c r="G135" s="22">
        <v>15156</v>
      </c>
      <c r="H135" s="22">
        <v>1273</v>
      </c>
      <c r="I135" s="22">
        <v>15970</v>
      </c>
      <c r="J135" s="22">
        <v>3932</v>
      </c>
      <c r="K135" s="22">
        <v>1000</v>
      </c>
      <c r="L135" s="22">
        <v>1694</v>
      </c>
      <c r="M135" s="22">
        <v>758</v>
      </c>
      <c r="N135" s="22">
        <v>0</v>
      </c>
      <c r="O135" s="22">
        <v>0</v>
      </c>
      <c r="P135" s="22">
        <v>1138</v>
      </c>
      <c r="Q135" s="22">
        <v>512</v>
      </c>
      <c r="R135" s="22">
        <v>0</v>
      </c>
      <c r="S135" s="22">
        <v>3552</v>
      </c>
      <c r="T135" s="22">
        <v>354</v>
      </c>
      <c r="U135" s="22">
        <v>5467</v>
      </c>
      <c r="V135" s="22">
        <v>733</v>
      </c>
      <c r="W135" s="22">
        <v>1372</v>
      </c>
      <c r="X135" s="22">
        <v>0</v>
      </c>
      <c r="Y135" s="22">
        <v>0</v>
      </c>
      <c r="Z135" s="22">
        <v>1381</v>
      </c>
      <c r="AA135" s="22">
        <v>2510</v>
      </c>
      <c r="AB135" s="22">
        <v>0</v>
      </c>
      <c r="AC135" s="22">
        <v>316</v>
      </c>
      <c r="AD135" s="22">
        <v>316</v>
      </c>
      <c r="AE135" s="22">
        <v>547</v>
      </c>
      <c r="AF135" s="22">
        <v>0</v>
      </c>
      <c r="AG135" s="22">
        <v>0</v>
      </c>
      <c r="AH135" s="22">
        <v>0</v>
      </c>
      <c r="AI135" s="22">
        <v>57</v>
      </c>
      <c r="AJ135" s="22">
        <v>188</v>
      </c>
      <c r="AK135" s="22">
        <v>0</v>
      </c>
      <c r="AL135" s="22">
        <v>127</v>
      </c>
      <c r="AM135" s="22">
        <v>304</v>
      </c>
      <c r="AN135" s="22">
        <v>21</v>
      </c>
      <c r="AO135" s="22">
        <v>30</v>
      </c>
      <c r="AP135" s="22">
        <v>0</v>
      </c>
      <c r="AQ135" s="22">
        <v>0</v>
      </c>
      <c r="AR135" s="22">
        <v>0</v>
      </c>
      <c r="AS135" s="22">
        <v>0</v>
      </c>
      <c r="AT135" s="22">
        <v>47</v>
      </c>
      <c r="AU135" s="22">
        <v>7</v>
      </c>
      <c r="AV135" s="22">
        <v>20</v>
      </c>
      <c r="AW135" s="22">
        <v>0</v>
      </c>
      <c r="AX135" s="22">
        <v>803</v>
      </c>
      <c r="AY135" s="22">
        <v>704</v>
      </c>
      <c r="AZ135" s="22">
        <v>330</v>
      </c>
      <c r="BA135" s="22">
        <v>0</v>
      </c>
      <c r="BB135" s="22">
        <v>1543</v>
      </c>
      <c r="BC135" s="22">
        <v>674</v>
      </c>
      <c r="BD135" s="22">
        <v>239</v>
      </c>
      <c r="BE135" s="22">
        <v>436</v>
      </c>
      <c r="BF135" s="22">
        <v>270</v>
      </c>
      <c r="BG135" s="22">
        <v>0</v>
      </c>
      <c r="BH135" s="22">
        <v>0</v>
      </c>
      <c r="BI135" s="22">
        <v>0</v>
      </c>
      <c r="BJ135" s="22">
        <v>0</v>
      </c>
      <c r="BK135" s="22">
        <v>950</v>
      </c>
      <c r="BL135" s="22">
        <v>0</v>
      </c>
      <c r="BM135" s="22">
        <v>0</v>
      </c>
      <c r="BN135" s="22">
        <v>688</v>
      </c>
      <c r="BO135" s="22">
        <v>0</v>
      </c>
      <c r="BP135" s="22">
        <v>441</v>
      </c>
      <c r="BQ135" s="22">
        <v>329</v>
      </c>
      <c r="BR135" s="22">
        <v>0</v>
      </c>
      <c r="BS135" s="22">
        <v>117</v>
      </c>
      <c r="BT135" s="22">
        <v>4091</v>
      </c>
      <c r="BU135" s="22">
        <v>861</v>
      </c>
      <c r="BV135" s="22">
        <v>861</v>
      </c>
      <c r="BW135" s="22">
        <v>1061</v>
      </c>
      <c r="BX135" s="22">
        <v>0</v>
      </c>
      <c r="BY135" s="22">
        <v>0</v>
      </c>
      <c r="BZ135" s="22">
        <v>1820</v>
      </c>
      <c r="CA135" s="22">
        <v>102</v>
      </c>
      <c r="CB135" s="22">
        <v>165</v>
      </c>
      <c r="CC135" s="22">
        <v>0</v>
      </c>
      <c r="CD135" s="22">
        <v>356</v>
      </c>
      <c r="CE135" s="22">
        <v>202</v>
      </c>
      <c r="CF135" s="22">
        <v>1488</v>
      </c>
      <c r="CG135" s="22">
        <v>0</v>
      </c>
      <c r="CH135" s="22">
        <v>0</v>
      </c>
      <c r="CI135" s="22">
        <v>0</v>
      </c>
      <c r="CJ135" s="22">
        <v>0</v>
      </c>
      <c r="CK135" s="22">
        <v>3313</v>
      </c>
      <c r="CL135" s="22">
        <v>0</v>
      </c>
      <c r="CM135" s="22">
        <v>0</v>
      </c>
      <c r="CN135" s="22">
        <v>0</v>
      </c>
      <c r="CO135" s="22">
        <v>0</v>
      </c>
      <c r="CP135" s="22">
        <v>0</v>
      </c>
      <c r="CQ135" s="22">
        <v>0</v>
      </c>
      <c r="CR135" s="22">
        <v>0</v>
      </c>
      <c r="CS135" s="22">
        <v>0</v>
      </c>
      <c r="CT135" s="22">
        <v>0</v>
      </c>
      <c r="CU135" s="21">
        <v>0</v>
      </c>
      <c r="CV135" s="21">
        <v>0</v>
      </c>
      <c r="CW135" s="21">
        <v>0</v>
      </c>
      <c r="CX135" s="21">
        <v>0</v>
      </c>
      <c r="CY135" s="21">
        <v>0</v>
      </c>
      <c r="CZ135" s="21">
        <v>0</v>
      </c>
      <c r="DA135" s="21">
        <v>0</v>
      </c>
      <c r="DB135" s="21">
        <v>0</v>
      </c>
      <c r="DC135" s="21">
        <v>0</v>
      </c>
      <c r="DD135" s="21">
        <v>0</v>
      </c>
      <c r="DE135" s="21">
        <v>0</v>
      </c>
      <c r="DF135" s="21">
        <v>0</v>
      </c>
      <c r="DG135" s="21">
        <v>92072</v>
      </c>
      <c r="DJ135" s="67"/>
      <c r="DL135" s="67"/>
    </row>
    <row r="136" spans="1:116">
      <c r="A136" s="23"/>
      <c r="B136" s="19" t="s">
        <v>436</v>
      </c>
      <c r="C136" s="19" t="s">
        <v>434</v>
      </c>
      <c r="D136" s="20">
        <f t="shared" si="4"/>
        <v>408052</v>
      </c>
      <c r="E136" s="22">
        <v>124234</v>
      </c>
      <c r="F136" s="22">
        <v>62938</v>
      </c>
      <c r="G136" s="22">
        <v>31620</v>
      </c>
      <c r="H136" s="22">
        <v>3516</v>
      </c>
      <c r="I136" s="22">
        <v>18849</v>
      </c>
      <c r="J136" s="22">
        <v>3437</v>
      </c>
      <c r="K136" s="22">
        <v>1016</v>
      </c>
      <c r="L136" s="22">
        <v>1393</v>
      </c>
      <c r="M136" s="22">
        <v>759</v>
      </c>
      <c r="N136" s="22">
        <v>0</v>
      </c>
      <c r="O136" s="22">
        <v>0</v>
      </c>
      <c r="P136" s="22">
        <v>164</v>
      </c>
      <c r="Q136" s="22">
        <v>2130</v>
      </c>
      <c r="R136" s="22">
        <v>0</v>
      </c>
      <c r="S136" s="22">
        <v>2178</v>
      </c>
      <c r="T136" s="22">
        <v>858</v>
      </c>
      <c r="U136" s="22">
        <v>6454</v>
      </c>
      <c r="V136" s="22">
        <v>341</v>
      </c>
      <c r="W136" s="22">
        <v>268</v>
      </c>
      <c r="X136" s="22">
        <v>0</v>
      </c>
      <c r="Y136" s="22">
        <v>0</v>
      </c>
      <c r="Z136" s="22">
        <v>277</v>
      </c>
      <c r="AA136" s="22">
        <v>2174</v>
      </c>
      <c r="AB136" s="22">
        <v>0</v>
      </c>
      <c r="AC136" s="22">
        <v>1097</v>
      </c>
      <c r="AD136" s="22">
        <v>1386</v>
      </c>
      <c r="AE136" s="22">
        <v>731</v>
      </c>
      <c r="AF136" s="22">
        <v>0</v>
      </c>
      <c r="AG136" s="22">
        <v>0</v>
      </c>
      <c r="AH136" s="22">
        <v>731</v>
      </c>
      <c r="AI136" s="22">
        <v>204</v>
      </c>
      <c r="AJ136" s="22">
        <v>687</v>
      </c>
      <c r="AK136" s="22">
        <v>0</v>
      </c>
      <c r="AL136" s="22">
        <v>577</v>
      </c>
      <c r="AM136" s="22">
        <v>172</v>
      </c>
      <c r="AN136" s="22">
        <v>934</v>
      </c>
      <c r="AO136" s="22">
        <v>90</v>
      </c>
      <c r="AP136" s="22">
        <v>0</v>
      </c>
      <c r="AQ136" s="22">
        <v>0</v>
      </c>
      <c r="AR136" s="22">
        <v>0</v>
      </c>
      <c r="AS136" s="22">
        <v>0</v>
      </c>
      <c r="AT136" s="22">
        <v>93</v>
      </c>
      <c r="AU136" s="22">
        <v>50</v>
      </c>
      <c r="AV136" s="22">
        <v>422</v>
      </c>
      <c r="AW136" s="22">
        <v>0</v>
      </c>
      <c r="AX136" s="22">
        <v>796</v>
      </c>
      <c r="AY136" s="22">
        <v>542</v>
      </c>
      <c r="AZ136" s="22">
        <v>642</v>
      </c>
      <c r="BA136" s="22">
        <v>0</v>
      </c>
      <c r="BB136" s="22">
        <v>4349</v>
      </c>
      <c r="BC136" s="22">
        <v>0</v>
      </c>
      <c r="BD136" s="22">
        <v>0</v>
      </c>
      <c r="BE136" s="22">
        <v>477</v>
      </c>
      <c r="BF136" s="22">
        <v>1205</v>
      </c>
      <c r="BG136" s="22">
        <v>0</v>
      </c>
      <c r="BH136" s="22">
        <v>0</v>
      </c>
      <c r="BI136" s="22">
        <v>0</v>
      </c>
      <c r="BJ136" s="22">
        <v>0</v>
      </c>
      <c r="BK136" s="22">
        <v>140</v>
      </c>
      <c r="BL136" s="22">
        <v>0</v>
      </c>
      <c r="BM136" s="22">
        <v>0</v>
      </c>
      <c r="BN136" s="22">
        <v>651</v>
      </c>
      <c r="BO136" s="22">
        <v>0</v>
      </c>
      <c r="BP136" s="22">
        <v>156</v>
      </c>
      <c r="BQ136" s="22">
        <v>375</v>
      </c>
      <c r="BR136" s="22">
        <v>0</v>
      </c>
      <c r="BS136" s="22">
        <v>293</v>
      </c>
      <c r="BT136" s="22">
        <v>2885</v>
      </c>
      <c r="BU136" s="22">
        <v>1149</v>
      </c>
      <c r="BV136" s="22">
        <v>1149</v>
      </c>
      <c r="BW136" s="22">
        <v>225</v>
      </c>
      <c r="BX136" s="22">
        <v>0</v>
      </c>
      <c r="BY136" s="22">
        <v>0</v>
      </c>
      <c r="BZ136" s="22">
        <v>1840</v>
      </c>
      <c r="CA136" s="22">
        <v>0</v>
      </c>
      <c r="CB136" s="22">
        <v>61</v>
      </c>
      <c r="CC136" s="22">
        <v>0</v>
      </c>
      <c r="CD136" s="22">
        <v>333</v>
      </c>
      <c r="CE136" s="22">
        <v>170</v>
      </c>
      <c r="CF136" s="22">
        <v>1648</v>
      </c>
      <c r="CG136" s="22">
        <v>0</v>
      </c>
      <c r="CH136" s="22">
        <v>0</v>
      </c>
      <c r="CI136" s="22">
        <v>0</v>
      </c>
      <c r="CJ136" s="22">
        <v>0</v>
      </c>
      <c r="CK136" s="22">
        <v>3495</v>
      </c>
      <c r="CL136" s="22">
        <v>0</v>
      </c>
      <c r="CM136" s="22">
        <v>0</v>
      </c>
      <c r="CN136" s="22">
        <v>0</v>
      </c>
      <c r="CO136" s="22">
        <v>0</v>
      </c>
      <c r="CP136" s="22">
        <v>0</v>
      </c>
      <c r="CQ136" s="22">
        <v>0</v>
      </c>
      <c r="CR136" s="22">
        <v>0</v>
      </c>
      <c r="CS136" s="22">
        <v>0</v>
      </c>
      <c r="CT136" s="22">
        <v>0</v>
      </c>
      <c r="CU136" s="21">
        <v>0</v>
      </c>
      <c r="CV136" s="21">
        <v>0</v>
      </c>
      <c r="CW136" s="21">
        <v>0</v>
      </c>
      <c r="CX136" s="21">
        <v>0</v>
      </c>
      <c r="CY136" s="21">
        <v>0</v>
      </c>
      <c r="CZ136" s="21">
        <v>0</v>
      </c>
      <c r="DA136" s="21">
        <v>0</v>
      </c>
      <c r="DB136" s="21">
        <v>0</v>
      </c>
      <c r="DC136" s="21">
        <v>0</v>
      </c>
      <c r="DD136" s="21">
        <v>0</v>
      </c>
      <c r="DE136" s="21">
        <v>0</v>
      </c>
      <c r="DF136" s="21">
        <v>0</v>
      </c>
      <c r="DG136" s="21">
        <v>115691</v>
      </c>
      <c r="DJ136" s="67"/>
      <c r="DL136" s="67"/>
    </row>
    <row r="137" spans="1:116">
      <c r="A137"/>
      <c r="B137"/>
      <c r="C137"/>
      <c r="D137" s="39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1"/>
      <c r="AX137" s="31"/>
      <c r="AY137" s="31"/>
      <c r="AZ137" s="31"/>
      <c r="BA137" s="31"/>
      <c r="BB137" s="31"/>
      <c r="BC137" s="31"/>
      <c r="BD137" s="31"/>
      <c r="BE137" s="31"/>
      <c r="BF137" s="31"/>
      <c r="BG137" s="31"/>
      <c r="BH137" s="31"/>
      <c r="BI137" s="31"/>
      <c r="BJ137" s="31"/>
      <c r="BK137" s="31"/>
      <c r="BL137" s="31"/>
      <c r="BM137" s="31"/>
      <c r="BN137" s="31"/>
      <c r="BO137" s="31"/>
      <c r="BP137" s="31"/>
      <c r="BQ137" s="31"/>
      <c r="BR137" s="31"/>
      <c r="BS137" s="31"/>
      <c r="BT137" s="31"/>
      <c r="BU137" s="31"/>
      <c r="BV137" s="31"/>
      <c r="BW137" s="31"/>
      <c r="BX137" s="31"/>
      <c r="BY137" s="31"/>
      <c r="BZ137" s="31"/>
      <c r="CA137" s="31"/>
      <c r="CB137" s="31"/>
      <c r="CC137" s="31"/>
      <c r="CD137" s="31"/>
      <c r="CE137" s="31"/>
      <c r="CF137" s="31"/>
      <c r="CG137" s="31"/>
      <c r="CH137" s="31"/>
      <c r="CI137" s="31"/>
      <c r="CJ137" s="31"/>
      <c r="CK137" s="31"/>
      <c r="CL137" s="31"/>
      <c r="CM137" s="31"/>
      <c r="CN137" s="31"/>
      <c r="CO137" s="31"/>
      <c r="CP137" s="31"/>
      <c r="CQ137" s="31"/>
      <c r="CR137" s="31"/>
      <c r="CS137" s="31"/>
      <c r="CT137" s="31"/>
      <c r="CU137" s="65"/>
      <c r="CV137" s="65"/>
      <c r="CW137" s="65"/>
      <c r="CX137" s="65"/>
      <c r="CY137" s="65"/>
      <c r="CZ137" s="65"/>
      <c r="DA137" s="65"/>
      <c r="DB137" s="65"/>
      <c r="DC137" s="65"/>
      <c r="DD137" s="65"/>
      <c r="DE137" s="65"/>
      <c r="DF137" s="65"/>
      <c r="DG137" s="65"/>
      <c r="DI137" s="70"/>
    </row>
    <row r="138" spans="1:116">
      <c r="A138"/>
      <c r="B138"/>
      <c r="D138" s="39"/>
      <c r="DJ138" s="67"/>
      <c r="DL138" s="67"/>
    </row>
    <row r="139" spans="1:116">
      <c r="D139" s="39"/>
    </row>
  </sheetData>
  <mergeCells count="3">
    <mergeCell ref="A1:C7"/>
    <mergeCell ref="E71:DG71"/>
    <mergeCell ref="E72:DG72"/>
  </mergeCells>
  <pageMargins left="0.70866141732283472" right="0.70866141732283472" top="0.74803149606299213" bottom="0.74803149606299213" header="0.31496062992125984" footer="0.31496062992125984"/>
  <pageSetup paperSize="8" scale="10" fitToHeight="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9B7CA-4551-4024-8C20-984DF3FCAB88}">
  <sheetPr codeName="Sheet2">
    <pageSetUpPr fitToPage="1"/>
  </sheetPr>
  <dimension ref="A1:DI139"/>
  <sheetViews>
    <sheetView showGridLines="0" topLeftCell="A110" zoomScale="90" zoomScaleNormal="90" workbookViewId="0">
      <selection activeCell="B43" sqref="B43"/>
    </sheetView>
  </sheetViews>
  <sheetFormatPr defaultRowHeight="15.95"/>
  <cols>
    <col min="1" max="1" width="27.7109375" style="4" customWidth="1"/>
    <col min="2" max="2" width="57.42578125" style="30" customWidth="1"/>
    <col min="3" max="3" width="29.5703125" style="30" bestFit="1" customWidth="1"/>
    <col min="4" max="4" width="28.5703125" style="31" customWidth="1"/>
    <col min="5" max="5" width="26.140625" style="32" bestFit="1" customWidth="1"/>
    <col min="6" max="6" width="30.85546875" style="32" customWidth="1"/>
    <col min="7" max="7" width="25.5703125" style="32" bestFit="1" customWidth="1"/>
    <col min="8" max="8" width="25.7109375" style="32" bestFit="1" customWidth="1"/>
    <col min="9" max="9" width="23.5703125" style="32" customWidth="1"/>
    <col min="10" max="10" width="28.85546875" style="32" bestFit="1" customWidth="1"/>
    <col min="11" max="11" width="23.85546875" style="32" bestFit="1" customWidth="1"/>
    <col min="12" max="12" width="21.85546875" style="66" bestFit="1" customWidth="1"/>
    <col min="13" max="13" width="22.85546875" style="32" bestFit="1" customWidth="1"/>
    <col min="14" max="15" width="21.28515625" style="32" bestFit="1" customWidth="1"/>
    <col min="16" max="16" width="21.140625" style="32" bestFit="1" customWidth="1"/>
    <col min="17" max="17" width="22.140625" style="32" bestFit="1" customWidth="1"/>
    <col min="18" max="18" width="24.42578125" style="32" bestFit="1" customWidth="1"/>
    <col min="19" max="19" width="18.28515625" style="32" bestFit="1" customWidth="1"/>
    <col min="20" max="20" width="20.7109375" style="32" bestFit="1" customWidth="1"/>
    <col min="21" max="21" width="20.5703125" style="32" bestFit="1" customWidth="1"/>
    <col min="22" max="23" width="18.5703125" style="32" bestFit="1" customWidth="1"/>
    <col min="24" max="24" width="21.7109375" style="32" bestFit="1" customWidth="1"/>
    <col min="25" max="25" width="18.5703125" style="32" bestFit="1" customWidth="1"/>
    <col min="26" max="26" width="23.28515625" style="32" customWidth="1"/>
    <col min="27" max="27" width="26.5703125" style="32" bestFit="1" customWidth="1"/>
    <col min="28" max="28" width="24.140625" style="32" bestFit="1" customWidth="1"/>
    <col min="29" max="29" width="22.85546875" style="32" bestFit="1" customWidth="1"/>
    <col min="30" max="30" width="22.140625" style="32" bestFit="1" customWidth="1"/>
    <col min="31" max="31" width="16.5703125" style="32" bestFit="1" customWidth="1"/>
    <col min="32" max="32" width="21" style="32" bestFit="1" customWidth="1"/>
    <col min="33" max="33" width="23.5703125" style="32" bestFit="1" customWidth="1"/>
    <col min="34" max="34" width="20" style="32" bestFit="1" customWidth="1"/>
    <col min="35" max="35" width="21.140625" style="32" bestFit="1" customWidth="1"/>
    <col min="36" max="36" width="19.5703125" style="32" bestFit="1" customWidth="1"/>
    <col min="37" max="37" width="19.85546875" style="32" bestFit="1" customWidth="1"/>
    <col min="38" max="38" width="21.5703125" style="32" bestFit="1" customWidth="1"/>
    <col min="39" max="39" width="24.42578125" style="32" customWidth="1"/>
    <col min="40" max="40" width="20.42578125" style="32" bestFit="1" customWidth="1"/>
    <col min="41" max="41" width="30.7109375" style="32" bestFit="1" customWidth="1"/>
    <col min="42" max="42" width="20.140625" style="32" bestFit="1" customWidth="1"/>
    <col min="43" max="43" width="19.42578125" style="32" bestFit="1" customWidth="1"/>
    <col min="44" max="44" width="16.42578125" style="32" customWidth="1"/>
    <col min="45" max="45" width="21.85546875" style="32" bestFit="1" customWidth="1"/>
    <col min="46" max="46" width="19" style="32" bestFit="1" customWidth="1"/>
    <col min="47" max="47" width="22.7109375" style="32" bestFit="1" customWidth="1"/>
    <col min="48" max="48" width="22.5703125" style="32" customWidth="1"/>
    <col min="49" max="49" width="20.140625" style="32" bestFit="1" customWidth="1"/>
    <col min="50" max="50" width="22.7109375" style="32" bestFit="1" customWidth="1"/>
    <col min="51" max="51" width="23.140625" style="32" bestFit="1" customWidth="1"/>
    <col min="52" max="52" width="18.28515625" style="32" bestFit="1" customWidth="1"/>
    <col min="53" max="53" width="18" style="32" bestFit="1" customWidth="1"/>
    <col min="54" max="54" width="19.28515625" style="32" bestFit="1" customWidth="1"/>
    <col min="55" max="55" width="24.5703125" style="32" customWidth="1"/>
    <col min="56" max="56" width="19.42578125" style="32" bestFit="1" customWidth="1"/>
    <col min="57" max="57" width="22.5703125" style="32" bestFit="1" customWidth="1"/>
    <col min="58" max="58" width="22.42578125" style="32" bestFit="1" customWidth="1"/>
    <col min="59" max="59" width="21.85546875" style="32" bestFit="1" customWidth="1"/>
    <col min="60" max="60" width="18.85546875" style="32" bestFit="1" customWidth="1"/>
    <col min="61" max="61" width="22.140625" style="32" bestFit="1" customWidth="1"/>
    <col min="62" max="62" width="19.28515625" style="32" bestFit="1" customWidth="1"/>
    <col min="63" max="63" width="21.140625" style="32" customWidth="1"/>
    <col min="64" max="64" width="23.7109375" style="32" customWidth="1"/>
    <col min="65" max="65" width="23.140625" style="32" bestFit="1" customWidth="1"/>
    <col min="66" max="66" width="22.5703125" style="32" bestFit="1" customWidth="1"/>
    <col min="67" max="67" width="19.140625" style="32" bestFit="1" customWidth="1"/>
    <col min="68" max="70" width="19.5703125" style="32" bestFit="1" customWidth="1"/>
    <col min="71" max="71" width="22.5703125" style="32" bestFit="1" customWidth="1"/>
    <col min="72" max="74" width="19.5703125" style="32" bestFit="1" customWidth="1"/>
    <col min="75" max="75" width="22.5703125" style="32" bestFit="1" customWidth="1"/>
    <col min="76" max="76" width="19.5703125" style="32" bestFit="1" customWidth="1"/>
    <col min="77" max="77" width="22.5703125" style="32" bestFit="1" customWidth="1"/>
    <col min="78" max="78" width="21.85546875" style="32" bestFit="1" customWidth="1"/>
    <col min="79" max="79" width="23.42578125" style="32" bestFit="1" customWidth="1"/>
    <col min="80" max="80" width="26.5703125" style="32" bestFit="1" customWidth="1"/>
    <col min="81" max="81" width="22.5703125" style="32" bestFit="1" customWidth="1"/>
    <col min="82" max="91" width="19.5703125" style="32" bestFit="1" customWidth="1"/>
    <col min="92" max="92" width="22.5703125" style="32" bestFit="1" customWidth="1"/>
    <col min="93" max="93" width="26.140625" style="32" bestFit="1" customWidth="1"/>
    <col min="94" max="94" width="24.28515625" style="32" bestFit="1" customWidth="1"/>
    <col min="95" max="97" width="19.5703125" style="32" bestFit="1" customWidth="1"/>
    <col min="98" max="98" width="28.140625" style="32" bestFit="1" customWidth="1"/>
    <col min="99" max="99" width="22.5703125" style="32" bestFit="1" customWidth="1"/>
    <col min="100" max="102" width="19.5703125" style="32" bestFit="1" customWidth="1"/>
    <col min="103" max="103" width="20.42578125" style="32" bestFit="1" customWidth="1"/>
    <col min="104" max="104" width="23.5703125" style="32" bestFit="1" customWidth="1"/>
    <col min="105" max="105" width="18.5703125" style="32" bestFit="1" customWidth="1"/>
    <col min="106" max="106" width="22.5703125" style="32" bestFit="1" customWidth="1"/>
    <col min="107" max="107" width="19.5703125" style="32" bestFit="1" customWidth="1"/>
    <col min="108" max="108" width="20.140625" style="32" bestFit="1" customWidth="1"/>
    <col min="109" max="109" width="11.5703125" style="50" bestFit="1" customWidth="1"/>
    <col min="110" max="110" width="15.85546875" style="67" bestFit="1" customWidth="1"/>
    <col min="111" max="111" width="14.42578125" bestFit="1" customWidth="1"/>
    <col min="113" max="113" width="14.42578125" bestFit="1" customWidth="1"/>
  </cols>
  <sheetData>
    <row r="1" spans="1:113">
      <c r="A1" s="85" t="s">
        <v>437</v>
      </c>
      <c r="B1" s="86"/>
      <c r="C1" s="87"/>
      <c r="D1" s="40" t="s">
        <v>1</v>
      </c>
      <c r="E1" s="2">
        <v>1</v>
      </c>
      <c r="F1" s="2">
        <v>2</v>
      </c>
      <c r="G1" s="2">
        <v>3</v>
      </c>
      <c r="H1" s="2">
        <v>4</v>
      </c>
      <c r="I1" s="2">
        <v>5</v>
      </c>
      <c r="J1" s="2">
        <v>6</v>
      </c>
      <c r="K1" s="2">
        <v>7</v>
      </c>
      <c r="L1" s="60">
        <v>8</v>
      </c>
      <c r="M1" s="2">
        <v>9</v>
      </c>
      <c r="N1" s="2">
        <v>10</v>
      </c>
      <c r="O1" s="2">
        <v>11</v>
      </c>
      <c r="P1" s="2">
        <v>12</v>
      </c>
      <c r="Q1" s="2">
        <v>13</v>
      </c>
      <c r="R1" s="2">
        <v>14</v>
      </c>
      <c r="S1" s="2">
        <v>15</v>
      </c>
      <c r="T1" s="2">
        <v>16</v>
      </c>
      <c r="U1" s="2">
        <v>17</v>
      </c>
      <c r="V1" s="2">
        <v>18</v>
      </c>
      <c r="W1" s="2">
        <v>19</v>
      </c>
      <c r="X1" s="2">
        <v>20</v>
      </c>
      <c r="Y1" s="2">
        <v>21</v>
      </c>
      <c r="Z1" s="2">
        <v>22</v>
      </c>
      <c r="AA1" s="2">
        <v>23</v>
      </c>
      <c r="AB1" s="2">
        <v>24</v>
      </c>
      <c r="AC1" s="2">
        <v>25</v>
      </c>
      <c r="AD1" s="2">
        <v>26</v>
      </c>
      <c r="AE1" s="2">
        <v>27</v>
      </c>
      <c r="AF1" s="2">
        <v>28</v>
      </c>
      <c r="AG1" s="2">
        <v>29</v>
      </c>
      <c r="AH1" s="2">
        <v>30</v>
      </c>
      <c r="AI1" s="2">
        <v>31</v>
      </c>
      <c r="AJ1" s="2">
        <v>32</v>
      </c>
      <c r="AK1" s="2">
        <v>33</v>
      </c>
      <c r="AL1" s="2">
        <v>34</v>
      </c>
      <c r="AM1" s="2">
        <v>35</v>
      </c>
      <c r="AN1" s="2">
        <v>36</v>
      </c>
      <c r="AO1" s="2">
        <v>37</v>
      </c>
      <c r="AP1" s="2">
        <v>38</v>
      </c>
      <c r="AQ1" s="2">
        <v>39</v>
      </c>
      <c r="AR1" s="2">
        <v>40</v>
      </c>
      <c r="AS1" s="2">
        <v>41</v>
      </c>
      <c r="AT1" s="2">
        <v>42</v>
      </c>
      <c r="AU1" s="2">
        <v>43</v>
      </c>
      <c r="AV1" s="2">
        <v>44</v>
      </c>
      <c r="AW1" s="2">
        <v>45</v>
      </c>
      <c r="AX1" s="2">
        <v>46</v>
      </c>
      <c r="AY1" s="2">
        <v>47</v>
      </c>
      <c r="AZ1" s="2">
        <v>48</v>
      </c>
      <c r="BA1" s="2">
        <v>49</v>
      </c>
      <c r="BB1" s="2">
        <v>50</v>
      </c>
      <c r="BC1" s="2">
        <v>51</v>
      </c>
      <c r="BD1" s="2">
        <v>52</v>
      </c>
      <c r="BE1" s="2">
        <v>53</v>
      </c>
      <c r="BF1" s="2">
        <v>54</v>
      </c>
      <c r="BG1" s="2">
        <v>55</v>
      </c>
      <c r="BH1" s="2">
        <v>56</v>
      </c>
      <c r="BI1" s="2">
        <v>57</v>
      </c>
      <c r="BJ1" s="2">
        <v>58</v>
      </c>
      <c r="BK1" s="2">
        <v>59</v>
      </c>
      <c r="BL1" s="2">
        <v>60</v>
      </c>
      <c r="BM1" s="2">
        <v>61</v>
      </c>
      <c r="BN1" s="2">
        <v>62</v>
      </c>
      <c r="BO1" s="2">
        <v>63</v>
      </c>
      <c r="BP1" s="2">
        <v>64</v>
      </c>
      <c r="BQ1" s="2">
        <v>65</v>
      </c>
      <c r="BR1" s="2">
        <v>66</v>
      </c>
      <c r="BS1" s="2">
        <v>67</v>
      </c>
      <c r="BT1" s="2">
        <v>68</v>
      </c>
      <c r="BU1" s="2">
        <v>69</v>
      </c>
      <c r="BV1" s="2">
        <v>70</v>
      </c>
      <c r="BW1" s="2">
        <v>71</v>
      </c>
      <c r="BX1" s="2">
        <v>72</v>
      </c>
      <c r="BY1" s="2">
        <v>73</v>
      </c>
      <c r="BZ1" s="2">
        <v>74</v>
      </c>
      <c r="CA1" s="2">
        <v>75</v>
      </c>
      <c r="CB1" s="2">
        <v>76</v>
      </c>
      <c r="CC1" s="2">
        <v>77</v>
      </c>
      <c r="CD1" s="2">
        <v>78</v>
      </c>
      <c r="CE1" s="2">
        <v>79</v>
      </c>
      <c r="CF1" s="2">
        <v>80</v>
      </c>
      <c r="CG1" s="2">
        <v>81</v>
      </c>
      <c r="CH1" s="2">
        <v>82</v>
      </c>
      <c r="CI1" s="2">
        <v>83</v>
      </c>
      <c r="CJ1" s="2">
        <v>84</v>
      </c>
      <c r="CK1" s="2">
        <v>85</v>
      </c>
      <c r="CL1" s="2">
        <v>86</v>
      </c>
      <c r="CM1" s="2">
        <v>87</v>
      </c>
      <c r="CN1" s="2">
        <v>88</v>
      </c>
      <c r="CO1" s="2">
        <v>89</v>
      </c>
      <c r="CP1" s="2">
        <v>90</v>
      </c>
      <c r="CQ1" s="2">
        <v>91</v>
      </c>
      <c r="CR1" s="2">
        <v>92</v>
      </c>
      <c r="CS1" s="2">
        <v>93</v>
      </c>
      <c r="CT1" s="2">
        <v>94</v>
      </c>
      <c r="CU1" s="2">
        <v>95</v>
      </c>
      <c r="CV1" s="2">
        <v>96</v>
      </c>
      <c r="CW1" s="2">
        <v>97</v>
      </c>
      <c r="CX1" s="2">
        <v>98</v>
      </c>
      <c r="CY1" s="2">
        <v>99</v>
      </c>
      <c r="CZ1" s="2">
        <v>100</v>
      </c>
      <c r="DA1" s="2">
        <v>101</v>
      </c>
      <c r="DB1" s="2">
        <v>102</v>
      </c>
      <c r="DC1" s="2">
        <v>103</v>
      </c>
      <c r="DD1" s="2">
        <v>104</v>
      </c>
    </row>
    <row r="2" spans="1:113" ht="48">
      <c r="A2" s="88"/>
      <c r="B2" s="89"/>
      <c r="C2" s="90"/>
      <c r="D2" s="40" t="s">
        <v>2</v>
      </c>
      <c r="E2" s="5" t="s">
        <v>438</v>
      </c>
      <c r="F2" s="54" t="s">
        <v>439</v>
      </c>
      <c r="G2" s="54" t="s">
        <v>440</v>
      </c>
      <c r="H2" s="5" t="s">
        <v>441</v>
      </c>
      <c r="I2" s="54" t="s">
        <v>442</v>
      </c>
      <c r="J2" s="54" t="s">
        <v>443</v>
      </c>
      <c r="K2" s="5" t="s">
        <v>444</v>
      </c>
      <c r="L2" s="54" t="s">
        <v>445</v>
      </c>
      <c r="M2" s="54" t="s">
        <v>446</v>
      </c>
      <c r="N2" s="54" t="s">
        <v>447</v>
      </c>
      <c r="O2" s="54" t="s">
        <v>447</v>
      </c>
      <c r="P2" s="54" t="s">
        <v>448</v>
      </c>
      <c r="Q2" s="54" t="s">
        <v>449</v>
      </c>
      <c r="R2" s="5" t="s">
        <v>450</v>
      </c>
      <c r="S2" s="5" t="s">
        <v>451</v>
      </c>
      <c r="T2" s="5" t="s">
        <v>452</v>
      </c>
      <c r="U2" s="5" t="s">
        <v>453</v>
      </c>
      <c r="V2" s="5" t="s">
        <v>454</v>
      </c>
      <c r="W2" s="54" t="s">
        <v>455</v>
      </c>
      <c r="X2" s="5" t="s">
        <v>456</v>
      </c>
      <c r="Y2" s="5" t="s">
        <v>457</v>
      </c>
      <c r="Z2" s="54" t="s">
        <v>458</v>
      </c>
      <c r="AA2" s="5" t="s">
        <v>459</v>
      </c>
      <c r="AB2" s="54" t="s">
        <v>460</v>
      </c>
      <c r="AC2" s="54" t="s">
        <v>461</v>
      </c>
      <c r="AD2" s="5" t="s">
        <v>462</v>
      </c>
      <c r="AE2" s="5" t="s">
        <v>463</v>
      </c>
      <c r="AF2" s="5" t="s">
        <v>464</v>
      </c>
      <c r="AG2" s="5" t="s">
        <v>465</v>
      </c>
      <c r="AH2" s="54" t="s">
        <v>466</v>
      </c>
      <c r="AI2" s="54" t="s">
        <v>467</v>
      </c>
      <c r="AJ2" s="54" t="s">
        <v>468</v>
      </c>
      <c r="AK2" s="54" t="s">
        <v>469</v>
      </c>
      <c r="AL2" s="5" t="s">
        <v>470</v>
      </c>
      <c r="AM2" s="54" t="s">
        <v>471</v>
      </c>
      <c r="AN2" s="5" t="s">
        <v>472</v>
      </c>
      <c r="AO2" s="5" t="s">
        <v>473</v>
      </c>
      <c r="AP2" s="54" t="s">
        <v>474</v>
      </c>
      <c r="AQ2" s="5" t="s">
        <v>475</v>
      </c>
      <c r="AR2" s="5" t="s">
        <v>476</v>
      </c>
      <c r="AS2" s="5" t="s">
        <v>477</v>
      </c>
      <c r="AT2" s="5" t="s">
        <v>478</v>
      </c>
      <c r="AU2" s="54" t="s">
        <v>479</v>
      </c>
      <c r="AV2" s="5" t="s">
        <v>480</v>
      </c>
      <c r="AW2" s="54" t="s">
        <v>481</v>
      </c>
      <c r="AX2" s="5" t="s">
        <v>482</v>
      </c>
      <c r="AY2" s="54" t="s">
        <v>483</v>
      </c>
      <c r="AZ2" s="54" t="s">
        <v>484</v>
      </c>
      <c r="BA2" s="5" t="s">
        <v>485</v>
      </c>
      <c r="BB2" s="54" t="s">
        <v>486</v>
      </c>
      <c r="BC2" s="5" t="s">
        <v>487</v>
      </c>
      <c r="BD2" s="5" t="s">
        <v>488</v>
      </c>
      <c r="BE2" s="5" t="s">
        <v>489</v>
      </c>
      <c r="BF2" s="5" t="s">
        <v>490</v>
      </c>
      <c r="BG2" s="5" t="s">
        <v>491</v>
      </c>
      <c r="BH2" s="5" t="s">
        <v>492</v>
      </c>
      <c r="BI2" s="54" t="s">
        <v>493</v>
      </c>
      <c r="BJ2" s="54" t="s">
        <v>494</v>
      </c>
      <c r="BK2" s="54" t="s">
        <v>495</v>
      </c>
      <c r="BL2" s="54" t="s">
        <v>496</v>
      </c>
      <c r="BM2" s="54" t="s">
        <v>497</v>
      </c>
      <c r="BN2" s="54" t="s">
        <v>498</v>
      </c>
      <c r="BO2" s="54" t="s">
        <v>499</v>
      </c>
      <c r="BP2" s="54" t="s">
        <v>500</v>
      </c>
      <c r="BQ2" s="54" t="s">
        <v>501</v>
      </c>
      <c r="BR2" s="54" t="s">
        <v>502</v>
      </c>
      <c r="BS2" s="54" t="s">
        <v>503</v>
      </c>
      <c r="BT2" s="54" t="s">
        <v>504</v>
      </c>
      <c r="BU2" s="54" t="s">
        <v>505</v>
      </c>
      <c r="BV2" s="54" t="s">
        <v>506</v>
      </c>
      <c r="BW2" s="54" t="s">
        <v>507</v>
      </c>
      <c r="BX2" s="54" t="s">
        <v>508</v>
      </c>
      <c r="BY2" s="54" t="s">
        <v>509</v>
      </c>
      <c r="BZ2" s="54" t="s">
        <v>510</v>
      </c>
      <c r="CA2" s="54" t="s">
        <v>511</v>
      </c>
      <c r="CB2" s="54" t="s">
        <v>512</v>
      </c>
      <c r="CC2" s="54" t="s">
        <v>513</v>
      </c>
      <c r="CD2" s="54" t="s">
        <v>514</v>
      </c>
      <c r="CE2" s="54" t="s">
        <v>515</v>
      </c>
      <c r="CF2" s="54" t="s">
        <v>516</v>
      </c>
      <c r="CG2" s="54" t="s">
        <v>517</v>
      </c>
      <c r="CH2" s="54" t="s">
        <v>518</v>
      </c>
      <c r="CI2" s="54" t="s">
        <v>519</v>
      </c>
      <c r="CJ2" s="54" t="s">
        <v>520</v>
      </c>
      <c r="CK2" s="54" t="s">
        <v>521</v>
      </c>
      <c r="CL2" s="54" t="s">
        <v>522</v>
      </c>
      <c r="CM2" s="54" t="s">
        <v>523</v>
      </c>
      <c r="CN2" s="54" t="s">
        <v>524</v>
      </c>
      <c r="CO2" s="54" t="s">
        <v>525</v>
      </c>
      <c r="CP2" s="54" t="s">
        <v>526</v>
      </c>
      <c r="CQ2" s="54" t="s">
        <v>527</v>
      </c>
      <c r="CR2" s="54" t="s">
        <v>528</v>
      </c>
      <c r="CS2" s="54" t="s">
        <v>529</v>
      </c>
      <c r="CT2" s="54" t="s">
        <v>530</v>
      </c>
      <c r="CU2" s="54" t="s">
        <v>531</v>
      </c>
      <c r="CV2" s="54" t="s">
        <v>532</v>
      </c>
      <c r="CW2" s="54" t="s">
        <v>533</v>
      </c>
      <c r="CX2" s="54" t="s">
        <v>534</v>
      </c>
      <c r="CY2" s="54" t="s">
        <v>535</v>
      </c>
      <c r="CZ2" s="54" t="s">
        <v>536</v>
      </c>
      <c r="DA2" s="54" t="s">
        <v>537</v>
      </c>
      <c r="DB2" s="54" t="s">
        <v>538</v>
      </c>
      <c r="DC2" s="54" t="s">
        <v>539</v>
      </c>
      <c r="DD2" s="54" t="s">
        <v>540</v>
      </c>
    </row>
    <row r="3" spans="1:113" ht="32.1">
      <c r="A3" s="88"/>
      <c r="B3" s="89"/>
      <c r="C3" s="90"/>
      <c r="D3" s="40" t="s">
        <v>11</v>
      </c>
      <c r="E3" s="6" t="s">
        <v>541</v>
      </c>
      <c r="F3" s="38" t="s">
        <v>542</v>
      </c>
      <c r="G3" s="6" t="s">
        <v>543</v>
      </c>
      <c r="H3" s="38" t="s">
        <v>544</v>
      </c>
      <c r="I3" s="6" t="s">
        <v>545</v>
      </c>
      <c r="J3" s="38" t="s">
        <v>546</v>
      </c>
      <c r="K3" s="38" t="s">
        <v>547</v>
      </c>
      <c r="L3" s="38" t="s">
        <v>548</v>
      </c>
      <c r="M3" s="38" t="s">
        <v>549</v>
      </c>
      <c r="N3" s="38" t="s">
        <v>447</v>
      </c>
      <c r="O3" s="38" t="s">
        <v>447</v>
      </c>
      <c r="P3" s="38" t="s">
        <v>448</v>
      </c>
      <c r="Q3" s="38" t="s">
        <v>449</v>
      </c>
      <c r="R3" s="38" t="s">
        <v>450</v>
      </c>
      <c r="S3" s="38" t="s">
        <v>451</v>
      </c>
      <c r="T3" s="38" t="s">
        <v>452</v>
      </c>
      <c r="U3" s="38" t="s">
        <v>453</v>
      </c>
      <c r="V3" s="38" t="s">
        <v>550</v>
      </c>
      <c r="W3" s="38" t="s">
        <v>455</v>
      </c>
      <c r="X3" s="38" t="s">
        <v>456</v>
      </c>
      <c r="Y3" s="38" t="s">
        <v>457</v>
      </c>
      <c r="Z3" s="38" t="s">
        <v>458</v>
      </c>
      <c r="AA3" s="38" t="s">
        <v>459</v>
      </c>
      <c r="AB3" s="38" t="s">
        <v>460</v>
      </c>
      <c r="AC3" s="38" t="s">
        <v>461</v>
      </c>
      <c r="AD3" s="38" t="s">
        <v>462</v>
      </c>
      <c r="AE3" s="38" t="s">
        <v>463</v>
      </c>
      <c r="AF3" s="38" t="s">
        <v>464</v>
      </c>
      <c r="AG3" s="38" t="s">
        <v>465</v>
      </c>
      <c r="AH3" s="38" t="s">
        <v>466</v>
      </c>
      <c r="AI3" s="38" t="s">
        <v>467</v>
      </c>
      <c r="AJ3" s="38" t="s">
        <v>468</v>
      </c>
      <c r="AK3" s="38" t="s">
        <v>469</v>
      </c>
      <c r="AL3" s="38" t="s">
        <v>551</v>
      </c>
      <c r="AM3" s="38" t="s">
        <v>552</v>
      </c>
      <c r="AN3" s="38" t="s">
        <v>553</v>
      </c>
      <c r="AO3" s="38" t="s">
        <v>554</v>
      </c>
      <c r="AP3" s="38" t="s">
        <v>474</v>
      </c>
      <c r="AQ3" s="38" t="s">
        <v>475</v>
      </c>
      <c r="AR3" s="38" t="s">
        <v>555</v>
      </c>
      <c r="AS3" s="38" t="s">
        <v>477</v>
      </c>
      <c r="AT3" s="38" t="s">
        <v>478</v>
      </c>
      <c r="AU3" s="38" t="s">
        <v>479</v>
      </c>
      <c r="AV3" s="38" t="s">
        <v>480</v>
      </c>
      <c r="AW3" s="38" t="s">
        <v>481</v>
      </c>
      <c r="AX3" s="38" t="s">
        <v>482</v>
      </c>
      <c r="AY3" s="38" t="s">
        <v>483</v>
      </c>
      <c r="AZ3" s="38" t="s">
        <v>484</v>
      </c>
      <c r="BA3" s="38" t="s">
        <v>556</v>
      </c>
      <c r="BB3" s="38" t="s">
        <v>486</v>
      </c>
      <c r="BC3" s="38" t="s">
        <v>487</v>
      </c>
      <c r="BD3" s="38" t="s">
        <v>557</v>
      </c>
      <c r="BE3" s="38" t="s">
        <v>558</v>
      </c>
      <c r="BF3" s="38" t="s">
        <v>559</v>
      </c>
      <c r="BG3" s="38" t="s">
        <v>560</v>
      </c>
      <c r="BH3" s="38" t="s">
        <v>560</v>
      </c>
      <c r="BI3" s="6" t="s">
        <v>561</v>
      </c>
      <c r="BJ3" s="38" t="s">
        <v>561</v>
      </c>
      <c r="BK3" s="38" t="s">
        <v>562</v>
      </c>
      <c r="BL3" s="38" t="s">
        <v>562</v>
      </c>
      <c r="BM3" s="38" t="s">
        <v>562</v>
      </c>
      <c r="BN3" s="38" t="s">
        <v>562</v>
      </c>
      <c r="BO3" s="38" t="s">
        <v>562</v>
      </c>
      <c r="BP3" s="38" t="s">
        <v>562</v>
      </c>
      <c r="BQ3" s="38" t="s">
        <v>562</v>
      </c>
      <c r="BR3" s="38" t="s">
        <v>562</v>
      </c>
      <c r="BS3" s="38" t="s">
        <v>562</v>
      </c>
      <c r="BT3" s="38" t="s">
        <v>562</v>
      </c>
      <c r="BU3" s="38" t="s">
        <v>562</v>
      </c>
      <c r="BV3" s="38" t="s">
        <v>562</v>
      </c>
      <c r="BW3" s="38" t="s">
        <v>562</v>
      </c>
      <c r="BX3" s="38" t="s">
        <v>562</v>
      </c>
      <c r="BY3" s="38" t="s">
        <v>562</v>
      </c>
      <c r="BZ3" s="38" t="s">
        <v>562</v>
      </c>
      <c r="CA3" s="38" t="s">
        <v>562</v>
      </c>
      <c r="CB3" s="38" t="s">
        <v>562</v>
      </c>
      <c r="CC3" s="38" t="s">
        <v>562</v>
      </c>
      <c r="CD3" s="38" t="s">
        <v>562</v>
      </c>
      <c r="CE3" s="38" t="s">
        <v>562</v>
      </c>
      <c r="CF3" s="38" t="s">
        <v>562</v>
      </c>
      <c r="CG3" s="38" t="s">
        <v>562</v>
      </c>
      <c r="CH3" s="38" t="s">
        <v>562</v>
      </c>
      <c r="CI3" s="38" t="s">
        <v>562</v>
      </c>
      <c r="CJ3" s="38" t="s">
        <v>562</v>
      </c>
      <c r="CK3" s="38" t="s">
        <v>562</v>
      </c>
      <c r="CL3" s="38" t="s">
        <v>562</v>
      </c>
      <c r="CM3" s="38" t="s">
        <v>562</v>
      </c>
      <c r="CN3" s="38" t="s">
        <v>562</v>
      </c>
      <c r="CO3" s="38" t="s">
        <v>562</v>
      </c>
      <c r="CP3" s="38" t="s">
        <v>562</v>
      </c>
      <c r="CQ3" s="38" t="s">
        <v>562</v>
      </c>
      <c r="CR3" s="38" t="s">
        <v>562</v>
      </c>
      <c r="CS3" s="38" t="s">
        <v>562</v>
      </c>
      <c r="CT3" s="38" t="s">
        <v>562</v>
      </c>
      <c r="CU3" s="38" t="s">
        <v>562</v>
      </c>
      <c r="CV3" s="38" t="s">
        <v>562</v>
      </c>
      <c r="CW3" s="38" t="s">
        <v>562</v>
      </c>
      <c r="CX3" s="38" t="s">
        <v>562</v>
      </c>
      <c r="CY3" s="38" t="s">
        <v>562</v>
      </c>
      <c r="CZ3" s="38" t="s">
        <v>562</v>
      </c>
      <c r="DA3" s="38" t="s">
        <v>562</v>
      </c>
      <c r="DB3" s="38" t="s">
        <v>562</v>
      </c>
      <c r="DC3" s="38" t="s">
        <v>562</v>
      </c>
      <c r="DD3" s="38" t="s">
        <v>562</v>
      </c>
    </row>
    <row r="4" spans="1:113">
      <c r="A4" s="88"/>
      <c r="B4" s="89"/>
      <c r="C4" s="90"/>
      <c r="D4" s="40" t="s">
        <v>14</v>
      </c>
      <c r="E4" s="6" t="s">
        <v>563</v>
      </c>
      <c r="F4" s="6" t="s">
        <v>564</v>
      </c>
      <c r="G4" s="6" t="s">
        <v>565</v>
      </c>
      <c r="H4" s="6" t="s">
        <v>566</v>
      </c>
      <c r="I4" s="6" t="s">
        <v>567</v>
      </c>
      <c r="J4" s="6" t="s">
        <v>568</v>
      </c>
      <c r="K4" s="6" t="s">
        <v>569</v>
      </c>
      <c r="L4" s="38" t="s">
        <v>570</v>
      </c>
      <c r="M4" s="6" t="s">
        <v>571</v>
      </c>
      <c r="N4" s="6" t="s">
        <v>572</v>
      </c>
      <c r="O4" s="6" t="s">
        <v>573</v>
      </c>
      <c r="P4" s="6" t="s">
        <v>574</v>
      </c>
      <c r="Q4" s="6" t="s">
        <v>575</v>
      </c>
      <c r="R4" s="6" t="s">
        <v>576</v>
      </c>
      <c r="S4" s="6" t="s">
        <v>577</v>
      </c>
      <c r="T4" s="6" t="s">
        <v>578</v>
      </c>
      <c r="U4" s="6" t="s">
        <v>579</v>
      </c>
      <c r="V4" s="6" t="s">
        <v>580</v>
      </c>
      <c r="W4" s="6" t="s">
        <v>581</v>
      </c>
      <c r="X4" s="6" t="s">
        <v>582</v>
      </c>
      <c r="Y4" s="6" t="s">
        <v>583</v>
      </c>
      <c r="Z4" s="6" t="s">
        <v>584</v>
      </c>
      <c r="AA4" s="6" t="s">
        <v>585</v>
      </c>
      <c r="AB4" s="6" t="s">
        <v>586</v>
      </c>
      <c r="AC4" s="6" t="s">
        <v>587</v>
      </c>
      <c r="AD4" s="6" t="s">
        <v>588</v>
      </c>
      <c r="AE4" s="6" t="s">
        <v>589</v>
      </c>
      <c r="AF4" s="6" t="s">
        <v>590</v>
      </c>
      <c r="AG4" s="6" t="s">
        <v>591</v>
      </c>
      <c r="AH4" s="6" t="s">
        <v>592</v>
      </c>
      <c r="AI4" s="6" t="s">
        <v>593</v>
      </c>
      <c r="AJ4" s="6" t="s">
        <v>594</v>
      </c>
      <c r="AK4" s="6" t="s">
        <v>595</v>
      </c>
      <c r="AL4" s="6" t="s">
        <v>596</v>
      </c>
      <c r="AM4" s="6" t="s">
        <v>597</v>
      </c>
      <c r="AN4" s="6" t="s">
        <v>598</v>
      </c>
      <c r="AO4" s="6" t="s">
        <v>599</v>
      </c>
      <c r="AP4" s="6" t="s">
        <v>600</v>
      </c>
      <c r="AQ4" s="6" t="s">
        <v>601</v>
      </c>
      <c r="AR4" s="6" t="s">
        <v>602</v>
      </c>
      <c r="AS4" s="6" t="s">
        <v>603</v>
      </c>
      <c r="AT4" s="6" t="s">
        <v>604</v>
      </c>
      <c r="AU4" s="6" t="s">
        <v>605</v>
      </c>
      <c r="AV4" s="6" t="s">
        <v>606</v>
      </c>
      <c r="AW4" s="6" t="s">
        <v>607</v>
      </c>
      <c r="AX4" s="6" t="s">
        <v>608</v>
      </c>
      <c r="AY4" s="6" t="s">
        <v>609</v>
      </c>
      <c r="AZ4" s="6" t="s">
        <v>610</v>
      </c>
      <c r="BA4" s="6" t="s">
        <v>611</v>
      </c>
      <c r="BB4" s="6" t="s">
        <v>612</v>
      </c>
      <c r="BC4" s="6" t="s">
        <v>613</v>
      </c>
      <c r="BD4" s="6" t="s">
        <v>614</v>
      </c>
      <c r="BE4" s="6" t="s">
        <v>615</v>
      </c>
      <c r="BF4" s="6" t="s">
        <v>615</v>
      </c>
      <c r="BG4" s="6" t="s">
        <v>616</v>
      </c>
      <c r="BH4" s="6" t="s">
        <v>617</v>
      </c>
      <c r="BI4" s="6" t="s">
        <v>618</v>
      </c>
      <c r="BJ4" s="38" t="s">
        <v>619</v>
      </c>
      <c r="BK4" s="38" t="s">
        <v>620</v>
      </c>
      <c r="BL4" s="38" t="s">
        <v>621</v>
      </c>
      <c r="BM4" s="38" t="s">
        <v>622</v>
      </c>
      <c r="BN4" s="38" t="s">
        <v>623</v>
      </c>
      <c r="BO4" s="38" t="s">
        <v>624</v>
      </c>
      <c r="BP4" s="38" t="s">
        <v>625</v>
      </c>
      <c r="BQ4" s="38" t="s">
        <v>626</v>
      </c>
      <c r="BR4" s="38" t="s">
        <v>627</v>
      </c>
      <c r="BS4" s="38" t="s">
        <v>628</v>
      </c>
      <c r="BT4" s="38" t="s">
        <v>629</v>
      </c>
      <c r="BU4" s="38" t="s">
        <v>630</v>
      </c>
      <c r="BV4" s="38" t="s">
        <v>631</v>
      </c>
      <c r="BW4" s="38" t="s">
        <v>632</v>
      </c>
      <c r="BX4" s="38" t="s">
        <v>633</v>
      </c>
      <c r="BY4" s="38" t="s">
        <v>634</v>
      </c>
      <c r="BZ4" s="38" t="s">
        <v>635</v>
      </c>
      <c r="CA4" s="38" t="s">
        <v>636</v>
      </c>
      <c r="CB4" s="38" t="s">
        <v>637</v>
      </c>
      <c r="CC4" s="38" t="s">
        <v>638</v>
      </c>
      <c r="CD4" s="38" t="s">
        <v>639</v>
      </c>
      <c r="CE4" s="38" t="s">
        <v>640</v>
      </c>
      <c r="CF4" s="38" t="s">
        <v>641</v>
      </c>
      <c r="CG4" s="38" t="s">
        <v>642</v>
      </c>
      <c r="CH4" s="38" t="s">
        <v>643</v>
      </c>
      <c r="CI4" s="38" t="s">
        <v>644</v>
      </c>
      <c r="CJ4" s="38" t="s">
        <v>645</v>
      </c>
      <c r="CK4" s="38" t="s">
        <v>646</v>
      </c>
      <c r="CL4" s="38" t="s">
        <v>647</v>
      </c>
      <c r="CM4" s="38" t="s">
        <v>648</v>
      </c>
      <c r="CN4" s="38" t="s">
        <v>649</v>
      </c>
      <c r="CO4" s="38" t="s">
        <v>650</v>
      </c>
      <c r="CP4" s="38" t="s">
        <v>651</v>
      </c>
      <c r="CQ4" s="38" t="s">
        <v>652</v>
      </c>
      <c r="CR4" s="38" t="s">
        <v>653</v>
      </c>
      <c r="CS4" s="38" t="s">
        <v>654</v>
      </c>
      <c r="CT4" s="38" t="s">
        <v>655</v>
      </c>
      <c r="CU4" s="38" t="s">
        <v>656</v>
      </c>
      <c r="CV4" s="38" t="s">
        <v>657</v>
      </c>
      <c r="CW4" s="38" t="s">
        <v>658</v>
      </c>
      <c r="CX4" s="38" t="s">
        <v>659</v>
      </c>
      <c r="CY4" s="38" t="s">
        <v>660</v>
      </c>
      <c r="CZ4" s="38" t="s">
        <v>661</v>
      </c>
      <c r="DA4" s="38" t="s">
        <v>662</v>
      </c>
      <c r="DB4" s="38" t="s">
        <v>663</v>
      </c>
      <c r="DC4" s="38" t="s">
        <v>664</v>
      </c>
      <c r="DD4" s="38" t="s">
        <v>665</v>
      </c>
    </row>
    <row r="5" spans="1:113">
      <c r="A5" s="88"/>
      <c r="B5" s="89"/>
      <c r="C5" s="90"/>
      <c r="D5" s="40" t="s">
        <v>122</v>
      </c>
      <c r="E5" s="7" t="s">
        <v>126</v>
      </c>
      <c r="F5" s="7" t="s">
        <v>125</v>
      </c>
      <c r="G5" s="7" t="s">
        <v>125</v>
      </c>
      <c r="H5" s="7" t="s">
        <v>666</v>
      </c>
      <c r="I5" s="7" t="s">
        <v>123</v>
      </c>
      <c r="J5" s="7" t="s">
        <v>125</v>
      </c>
      <c r="K5" s="7" t="s">
        <v>667</v>
      </c>
      <c r="L5" s="7" t="s">
        <v>125</v>
      </c>
      <c r="M5" s="7" t="s">
        <v>123</v>
      </c>
      <c r="N5" s="7" t="s">
        <v>123</v>
      </c>
      <c r="O5" s="7" t="s">
        <v>123</v>
      </c>
      <c r="P5" s="7" t="s">
        <v>126</v>
      </c>
      <c r="Q5" s="7" t="s">
        <v>128</v>
      </c>
      <c r="R5" s="7" t="s">
        <v>127</v>
      </c>
      <c r="S5" s="7" t="s">
        <v>125</v>
      </c>
      <c r="T5" s="7" t="s">
        <v>123</v>
      </c>
      <c r="U5" s="7" t="s">
        <v>125</v>
      </c>
      <c r="V5" s="7" t="s">
        <v>125</v>
      </c>
      <c r="W5" s="7" t="s">
        <v>128</v>
      </c>
      <c r="X5" s="7" t="s">
        <v>125</v>
      </c>
      <c r="Y5" s="7" t="s">
        <v>125</v>
      </c>
      <c r="Z5" s="7" t="s">
        <v>666</v>
      </c>
      <c r="AA5" s="7" t="s">
        <v>666</v>
      </c>
      <c r="AB5" s="7" t="s">
        <v>130</v>
      </c>
      <c r="AC5" s="7" t="s">
        <v>666</v>
      </c>
      <c r="AD5" s="7" t="s">
        <v>125</v>
      </c>
      <c r="AE5" s="7" t="s">
        <v>125</v>
      </c>
      <c r="AF5" s="7" t="s">
        <v>123</v>
      </c>
      <c r="AG5" s="7" t="s">
        <v>128</v>
      </c>
      <c r="AH5" s="7" t="s">
        <v>123</v>
      </c>
      <c r="AI5" s="7" t="s">
        <v>127</v>
      </c>
      <c r="AJ5" s="7" t="s">
        <v>123</v>
      </c>
      <c r="AK5" s="7" t="s">
        <v>123</v>
      </c>
      <c r="AL5" s="7" t="s">
        <v>125</v>
      </c>
      <c r="AM5" s="7" t="s">
        <v>125</v>
      </c>
      <c r="AN5" s="7" t="s">
        <v>125</v>
      </c>
      <c r="AO5" s="7" t="s">
        <v>123</v>
      </c>
      <c r="AP5" s="7" t="s">
        <v>123</v>
      </c>
      <c r="AQ5" s="7" t="s">
        <v>125</v>
      </c>
      <c r="AR5" s="7" t="s">
        <v>123</v>
      </c>
      <c r="AS5" s="7" t="s">
        <v>125</v>
      </c>
      <c r="AT5" s="7" t="s">
        <v>125</v>
      </c>
      <c r="AU5" s="7" t="s">
        <v>125</v>
      </c>
      <c r="AV5" s="7" t="s">
        <v>128</v>
      </c>
      <c r="AW5" s="7" t="s">
        <v>125</v>
      </c>
      <c r="AX5" s="7" t="s">
        <v>128</v>
      </c>
      <c r="AY5" s="7" t="s">
        <v>127</v>
      </c>
      <c r="AZ5" s="7" t="s">
        <v>130</v>
      </c>
      <c r="BA5" s="7" t="s">
        <v>123</v>
      </c>
      <c r="BB5" s="7" t="s">
        <v>123</v>
      </c>
      <c r="BC5" s="7" t="s">
        <v>125</v>
      </c>
      <c r="BD5" s="7" t="s">
        <v>132</v>
      </c>
      <c r="BE5" s="7" t="s">
        <v>124</v>
      </c>
      <c r="BF5" s="7" t="s">
        <v>132</v>
      </c>
      <c r="BG5" s="7" t="s">
        <v>127</v>
      </c>
      <c r="BH5" s="7" t="s">
        <v>667</v>
      </c>
      <c r="BI5" s="7" t="s">
        <v>125</v>
      </c>
      <c r="BJ5" s="7" t="s">
        <v>130</v>
      </c>
      <c r="BK5" s="7" t="s">
        <v>125</v>
      </c>
      <c r="BL5" s="7" t="s">
        <v>125</v>
      </c>
      <c r="BM5" s="7" t="s">
        <v>125</v>
      </c>
      <c r="BN5" s="7" t="s">
        <v>130</v>
      </c>
      <c r="BO5" s="7" t="s">
        <v>125</v>
      </c>
      <c r="BP5" s="7" t="s">
        <v>123</v>
      </c>
      <c r="BQ5" s="7" t="s">
        <v>130</v>
      </c>
      <c r="BR5" s="7" t="s">
        <v>125</v>
      </c>
      <c r="BS5" s="7" t="s">
        <v>125</v>
      </c>
      <c r="BT5" s="7" t="s">
        <v>130</v>
      </c>
      <c r="BU5" s="7" t="s">
        <v>125</v>
      </c>
      <c r="BV5" s="7" t="s">
        <v>125</v>
      </c>
      <c r="BW5" s="7" t="s">
        <v>125</v>
      </c>
      <c r="BX5" s="7" t="s">
        <v>123</v>
      </c>
      <c r="BY5" s="7" t="s">
        <v>125</v>
      </c>
      <c r="BZ5" s="7" t="s">
        <v>125</v>
      </c>
      <c r="CA5" s="7" t="s">
        <v>123</v>
      </c>
      <c r="CB5" s="7" t="s">
        <v>125</v>
      </c>
      <c r="CC5" s="7" t="s">
        <v>123</v>
      </c>
      <c r="CD5" s="7" t="s">
        <v>130</v>
      </c>
      <c r="CE5" s="7" t="s">
        <v>130</v>
      </c>
      <c r="CF5" s="7" t="s">
        <v>125</v>
      </c>
      <c r="CG5" s="7" t="s">
        <v>123</v>
      </c>
      <c r="CH5" s="7" t="s">
        <v>123</v>
      </c>
      <c r="CI5" s="7" t="s">
        <v>123</v>
      </c>
      <c r="CJ5" s="7" t="s">
        <v>130</v>
      </c>
      <c r="CK5" s="7" t="s">
        <v>130</v>
      </c>
      <c r="CL5" s="7" t="s">
        <v>125</v>
      </c>
      <c r="CM5" s="7" t="s">
        <v>123</v>
      </c>
      <c r="CN5" s="7" t="s">
        <v>125</v>
      </c>
      <c r="CO5" s="7" t="s">
        <v>130</v>
      </c>
      <c r="CP5" s="7" t="s">
        <v>130</v>
      </c>
      <c r="CQ5" s="7" t="s">
        <v>125</v>
      </c>
      <c r="CR5" s="7" t="s">
        <v>125</v>
      </c>
      <c r="CS5" s="7" t="s">
        <v>123</v>
      </c>
      <c r="CT5" s="7" t="s">
        <v>123</v>
      </c>
      <c r="CU5" s="7" t="s">
        <v>130</v>
      </c>
      <c r="CV5" s="7" t="s">
        <v>125</v>
      </c>
      <c r="CW5" s="7" t="s">
        <v>125</v>
      </c>
      <c r="CX5" s="7" t="s">
        <v>125</v>
      </c>
      <c r="CY5" s="7" t="s">
        <v>123</v>
      </c>
      <c r="CZ5" s="7" t="s">
        <v>125</v>
      </c>
      <c r="DA5" s="7" t="s">
        <v>125</v>
      </c>
      <c r="DB5" s="7" t="s">
        <v>125</v>
      </c>
      <c r="DC5" s="7" t="s">
        <v>125</v>
      </c>
      <c r="DD5" s="7" t="s">
        <v>130</v>
      </c>
    </row>
    <row r="6" spans="1:113" ht="32.1">
      <c r="A6" s="88"/>
      <c r="B6" s="89"/>
      <c r="C6" s="90"/>
      <c r="D6" s="40" t="s">
        <v>134</v>
      </c>
      <c r="E6" s="9" t="s">
        <v>135</v>
      </c>
      <c r="F6" s="9" t="s">
        <v>668</v>
      </c>
      <c r="G6" s="9" t="s">
        <v>669</v>
      </c>
      <c r="H6" s="9" t="s">
        <v>669</v>
      </c>
      <c r="I6" s="9" t="s">
        <v>669</v>
      </c>
      <c r="J6" s="59" t="s">
        <v>670</v>
      </c>
      <c r="K6" s="59" t="s">
        <v>670</v>
      </c>
      <c r="L6" s="59" t="s">
        <v>670</v>
      </c>
      <c r="M6" s="9" t="s">
        <v>668</v>
      </c>
      <c r="N6" s="9" t="s">
        <v>669</v>
      </c>
      <c r="O6" s="9" t="s">
        <v>669</v>
      </c>
      <c r="P6" s="9" t="s">
        <v>135</v>
      </c>
      <c r="Q6" s="9" t="s">
        <v>669</v>
      </c>
      <c r="R6" s="59" t="s">
        <v>670</v>
      </c>
      <c r="S6" s="9" t="s">
        <v>669</v>
      </c>
      <c r="T6" s="59" t="s">
        <v>670</v>
      </c>
      <c r="U6" s="59" t="s">
        <v>670</v>
      </c>
      <c r="V6" s="59" t="s">
        <v>670</v>
      </c>
      <c r="W6" s="59" t="s">
        <v>670</v>
      </c>
      <c r="X6" s="59" t="s">
        <v>669</v>
      </c>
      <c r="Y6" s="59" t="s">
        <v>670</v>
      </c>
      <c r="Z6" s="59" t="s">
        <v>668</v>
      </c>
      <c r="AA6" s="59" t="s">
        <v>669</v>
      </c>
      <c r="AB6" s="59" t="s">
        <v>669</v>
      </c>
      <c r="AC6" s="59" t="s">
        <v>671</v>
      </c>
      <c r="AD6" s="59" t="s">
        <v>669</v>
      </c>
      <c r="AE6" s="59" t="s">
        <v>669</v>
      </c>
      <c r="AF6" s="59" t="s">
        <v>670</v>
      </c>
      <c r="AG6" s="59" t="s">
        <v>669</v>
      </c>
      <c r="AH6" s="59" t="s">
        <v>669</v>
      </c>
      <c r="AI6" s="59" t="s">
        <v>670</v>
      </c>
      <c r="AJ6" s="59" t="s">
        <v>670</v>
      </c>
      <c r="AK6" s="59" t="s">
        <v>670</v>
      </c>
      <c r="AL6" s="59" t="s">
        <v>669</v>
      </c>
      <c r="AM6" s="59" t="s">
        <v>669</v>
      </c>
      <c r="AN6" s="59" t="s">
        <v>669</v>
      </c>
      <c r="AO6" s="59" t="s">
        <v>670</v>
      </c>
      <c r="AP6" s="59" t="s">
        <v>669</v>
      </c>
      <c r="AQ6" s="59" t="s">
        <v>669</v>
      </c>
      <c r="AR6" s="59" t="s">
        <v>669</v>
      </c>
      <c r="AS6" s="59" t="s">
        <v>669</v>
      </c>
      <c r="AT6" s="59" t="s">
        <v>669</v>
      </c>
      <c r="AU6" s="59" t="s">
        <v>669</v>
      </c>
      <c r="AV6" s="59" t="s">
        <v>670</v>
      </c>
      <c r="AW6" s="59" t="s">
        <v>672</v>
      </c>
      <c r="AX6" s="59" t="s">
        <v>670</v>
      </c>
      <c r="AY6" s="59" t="s">
        <v>673</v>
      </c>
      <c r="AZ6" s="59" t="s">
        <v>673</v>
      </c>
      <c r="BA6" s="59" t="s">
        <v>668</v>
      </c>
      <c r="BB6" s="59" t="s">
        <v>669</v>
      </c>
      <c r="BC6" s="59" t="s">
        <v>669</v>
      </c>
      <c r="BD6" s="59" t="s">
        <v>669</v>
      </c>
      <c r="BE6" s="59" t="s">
        <v>669</v>
      </c>
      <c r="BF6" s="59" t="s">
        <v>669</v>
      </c>
      <c r="BG6" s="59" t="s">
        <v>669</v>
      </c>
      <c r="BH6" s="59" t="s">
        <v>669</v>
      </c>
      <c r="BI6" s="9" t="s">
        <v>135</v>
      </c>
      <c r="BJ6" s="59" t="s">
        <v>135</v>
      </c>
      <c r="BK6" s="59" t="s">
        <v>135</v>
      </c>
      <c r="BL6" s="59" t="s">
        <v>674</v>
      </c>
      <c r="BM6" s="59" t="s">
        <v>674</v>
      </c>
      <c r="BN6" s="59" t="s">
        <v>674</v>
      </c>
      <c r="BO6" s="59" t="s">
        <v>675</v>
      </c>
      <c r="BP6" s="59" t="s">
        <v>676</v>
      </c>
      <c r="BQ6" s="59" t="s">
        <v>676</v>
      </c>
      <c r="BR6" s="59" t="s">
        <v>668</v>
      </c>
      <c r="BS6" s="59" t="s">
        <v>674</v>
      </c>
      <c r="BT6" s="59" t="s">
        <v>668</v>
      </c>
      <c r="BU6" s="59" t="s">
        <v>668</v>
      </c>
      <c r="BV6" s="59" t="s">
        <v>677</v>
      </c>
      <c r="BW6" s="59" t="s">
        <v>674</v>
      </c>
      <c r="BX6" s="59" t="s">
        <v>668</v>
      </c>
      <c r="BY6" s="59" t="s">
        <v>674</v>
      </c>
      <c r="BZ6" s="59" t="s">
        <v>135</v>
      </c>
      <c r="CA6" s="59" t="s">
        <v>674</v>
      </c>
      <c r="CB6" s="59" t="s">
        <v>678</v>
      </c>
      <c r="CC6" s="59" t="s">
        <v>674</v>
      </c>
      <c r="CD6" s="59" t="s">
        <v>676</v>
      </c>
      <c r="CE6" s="59" t="s">
        <v>668</v>
      </c>
      <c r="CF6" s="59" t="s">
        <v>676</v>
      </c>
      <c r="CG6" s="59" t="s">
        <v>668</v>
      </c>
      <c r="CH6" s="59" t="s">
        <v>668</v>
      </c>
      <c r="CI6" s="59" t="s">
        <v>668</v>
      </c>
      <c r="CJ6" s="59" t="s">
        <v>676</v>
      </c>
      <c r="CK6" s="59" t="s">
        <v>675</v>
      </c>
      <c r="CL6" s="59" t="s">
        <v>676</v>
      </c>
      <c r="CM6" s="59" t="s">
        <v>677</v>
      </c>
      <c r="CN6" s="59" t="s">
        <v>674</v>
      </c>
      <c r="CO6" s="59" t="s">
        <v>674</v>
      </c>
      <c r="CP6" s="59" t="s">
        <v>676</v>
      </c>
      <c r="CQ6" s="59" t="s">
        <v>668</v>
      </c>
      <c r="CR6" s="59" t="s">
        <v>668</v>
      </c>
      <c r="CS6" s="59" t="s">
        <v>676</v>
      </c>
      <c r="CT6" s="59" t="s">
        <v>668</v>
      </c>
      <c r="CU6" s="59" t="s">
        <v>674</v>
      </c>
      <c r="CV6" s="59" t="s">
        <v>679</v>
      </c>
      <c r="CW6" s="59" t="s">
        <v>679</v>
      </c>
      <c r="CX6" s="59" t="s">
        <v>676</v>
      </c>
      <c r="CY6" s="59" t="s">
        <v>674</v>
      </c>
      <c r="CZ6" s="59" t="s">
        <v>668</v>
      </c>
      <c r="DA6" s="59" t="s">
        <v>680</v>
      </c>
      <c r="DB6" s="59" t="s">
        <v>674</v>
      </c>
      <c r="DC6" s="59" t="s">
        <v>676</v>
      </c>
      <c r="DD6" s="59" t="s">
        <v>674</v>
      </c>
    </row>
    <row r="7" spans="1:113" s="58" customFormat="1" ht="32.1">
      <c r="A7" s="91"/>
      <c r="B7" s="92"/>
      <c r="C7" s="93"/>
      <c r="D7" s="40" t="s">
        <v>147</v>
      </c>
      <c r="E7" s="59" t="s">
        <v>681</v>
      </c>
      <c r="F7" s="59" t="s">
        <v>681</v>
      </c>
      <c r="G7" s="59" t="s">
        <v>681</v>
      </c>
      <c r="H7" s="59" t="s">
        <v>681</v>
      </c>
      <c r="I7" s="59" t="s">
        <v>681</v>
      </c>
      <c r="J7" s="59" t="s">
        <v>681</v>
      </c>
      <c r="K7" s="59" t="s">
        <v>681</v>
      </c>
      <c r="L7" s="59" t="s">
        <v>681</v>
      </c>
      <c r="M7" s="59" t="s">
        <v>681</v>
      </c>
      <c r="N7" s="59" t="s">
        <v>681</v>
      </c>
      <c r="O7" s="59" t="s">
        <v>681</v>
      </c>
      <c r="P7" s="59" t="s">
        <v>681</v>
      </c>
      <c r="Q7" s="59" t="s">
        <v>681</v>
      </c>
      <c r="R7" s="59" t="s">
        <v>681</v>
      </c>
      <c r="S7" s="59" t="s">
        <v>681</v>
      </c>
      <c r="T7" s="59" t="s">
        <v>681</v>
      </c>
      <c r="U7" s="59" t="s">
        <v>681</v>
      </c>
      <c r="V7" s="59" t="s">
        <v>681</v>
      </c>
      <c r="W7" s="59" t="s">
        <v>681</v>
      </c>
      <c r="X7" s="59" t="s">
        <v>681</v>
      </c>
      <c r="Y7" s="59" t="s">
        <v>681</v>
      </c>
      <c r="Z7" s="59" t="s">
        <v>681</v>
      </c>
      <c r="AA7" s="59" t="s">
        <v>681</v>
      </c>
      <c r="AB7" s="59" t="s">
        <v>681</v>
      </c>
      <c r="AC7" s="59" t="s">
        <v>681</v>
      </c>
      <c r="AD7" s="59" t="s">
        <v>681</v>
      </c>
      <c r="AE7" s="59" t="s">
        <v>681</v>
      </c>
      <c r="AF7" s="59" t="s">
        <v>681</v>
      </c>
      <c r="AG7" s="59" t="s">
        <v>681</v>
      </c>
      <c r="AH7" s="59" t="s">
        <v>681</v>
      </c>
      <c r="AI7" s="59" t="s">
        <v>681</v>
      </c>
      <c r="AJ7" s="59" t="s">
        <v>681</v>
      </c>
      <c r="AK7" s="59" t="s">
        <v>681</v>
      </c>
      <c r="AL7" s="59" t="s">
        <v>681</v>
      </c>
      <c r="AM7" s="59" t="s">
        <v>681</v>
      </c>
      <c r="AN7" s="59" t="s">
        <v>681</v>
      </c>
      <c r="AO7" s="59" t="s">
        <v>681</v>
      </c>
      <c r="AP7" s="59" t="s">
        <v>681</v>
      </c>
      <c r="AQ7" s="59" t="s">
        <v>681</v>
      </c>
      <c r="AR7" s="59" t="s">
        <v>681</v>
      </c>
      <c r="AS7" s="59" t="s">
        <v>681</v>
      </c>
      <c r="AT7" s="59" t="s">
        <v>681</v>
      </c>
      <c r="AU7" s="59" t="s">
        <v>681</v>
      </c>
      <c r="AV7" s="59" t="s">
        <v>681</v>
      </c>
      <c r="AW7" s="59" t="s">
        <v>681</v>
      </c>
      <c r="AX7" s="59" t="s">
        <v>148</v>
      </c>
      <c r="AY7" s="59" t="s">
        <v>681</v>
      </c>
      <c r="AZ7" s="59" t="s">
        <v>681</v>
      </c>
      <c r="BA7" s="59" t="s">
        <v>681</v>
      </c>
      <c r="BB7" s="59" t="s">
        <v>681</v>
      </c>
      <c r="BC7" s="59" t="s">
        <v>681</v>
      </c>
      <c r="BD7" s="59" t="s">
        <v>681</v>
      </c>
      <c r="BE7" s="59" t="s">
        <v>681</v>
      </c>
      <c r="BF7" s="59" t="s">
        <v>681</v>
      </c>
      <c r="BG7" s="59" t="s">
        <v>681</v>
      </c>
      <c r="BH7" s="59" t="s">
        <v>681</v>
      </c>
      <c r="BI7" s="59" t="s">
        <v>682</v>
      </c>
      <c r="BJ7" s="59" t="s">
        <v>682</v>
      </c>
      <c r="BK7" s="59" t="s">
        <v>682</v>
      </c>
      <c r="BL7" s="59" t="s">
        <v>682</v>
      </c>
      <c r="BM7" s="59" t="s">
        <v>682</v>
      </c>
      <c r="BN7" s="59" t="s">
        <v>682</v>
      </c>
      <c r="BO7" s="59" t="s">
        <v>682</v>
      </c>
      <c r="BP7" s="59" t="s">
        <v>682</v>
      </c>
      <c r="BQ7" s="59" t="s">
        <v>682</v>
      </c>
      <c r="BR7" s="59" t="s">
        <v>682</v>
      </c>
      <c r="BS7" s="59" t="s">
        <v>682</v>
      </c>
      <c r="BT7" s="59" t="s">
        <v>682</v>
      </c>
      <c r="BU7" s="59" t="s">
        <v>682</v>
      </c>
      <c r="BV7" s="59" t="s">
        <v>682</v>
      </c>
      <c r="BW7" s="59" t="s">
        <v>682</v>
      </c>
      <c r="BX7" s="59" t="s">
        <v>682</v>
      </c>
      <c r="BY7" s="59" t="s">
        <v>682</v>
      </c>
      <c r="BZ7" s="59" t="s">
        <v>682</v>
      </c>
      <c r="CA7" s="59" t="s">
        <v>682</v>
      </c>
      <c r="CB7" s="59" t="s">
        <v>682</v>
      </c>
      <c r="CC7" s="59" t="s">
        <v>682</v>
      </c>
      <c r="CD7" s="59" t="s">
        <v>682</v>
      </c>
      <c r="CE7" s="59" t="s">
        <v>682</v>
      </c>
      <c r="CF7" s="59" t="s">
        <v>682</v>
      </c>
      <c r="CG7" s="59" t="s">
        <v>682</v>
      </c>
      <c r="CH7" s="59" t="s">
        <v>682</v>
      </c>
      <c r="CI7" s="59" t="s">
        <v>682</v>
      </c>
      <c r="CJ7" s="59" t="s">
        <v>682</v>
      </c>
      <c r="CK7" s="59" t="s">
        <v>682</v>
      </c>
      <c r="CL7" s="59" t="s">
        <v>682</v>
      </c>
      <c r="CM7" s="59" t="s">
        <v>682</v>
      </c>
      <c r="CN7" s="59" t="s">
        <v>682</v>
      </c>
      <c r="CO7" s="59" t="s">
        <v>682</v>
      </c>
      <c r="CP7" s="59" t="s">
        <v>682</v>
      </c>
      <c r="CQ7" s="59" t="s">
        <v>682</v>
      </c>
      <c r="CR7" s="59" t="s">
        <v>682</v>
      </c>
      <c r="CS7" s="59" t="s">
        <v>682</v>
      </c>
      <c r="CT7" s="59" t="s">
        <v>682</v>
      </c>
      <c r="CU7" s="59" t="s">
        <v>682</v>
      </c>
      <c r="CV7" s="59" t="s">
        <v>682</v>
      </c>
      <c r="CW7" s="59" t="s">
        <v>682</v>
      </c>
      <c r="CX7" s="59" t="s">
        <v>682</v>
      </c>
      <c r="CY7" s="59" t="s">
        <v>682</v>
      </c>
      <c r="CZ7" s="59" t="s">
        <v>682</v>
      </c>
      <c r="DA7" s="59" t="s">
        <v>682</v>
      </c>
      <c r="DB7" s="59" t="s">
        <v>682</v>
      </c>
      <c r="DC7" s="59" t="s">
        <v>682</v>
      </c>
      <c r="DD7" s="59" t="s">
        <v>682</v>
      </c>
      <c r="DE7" s="50"/>
      <c r="DF7" s="67"/>
    </row>
    <row r="8" spans="1:113">
      <c r="A8" s="10" t="s">
        <v>151</v>
      </c>
      <c r="B8" s="11" t="s">
        <v>152</v>
      </c>
      <c r="C8" s="11" t="s">
        <v>153</v>
      </c>
      <c r="D8" s="12" t="s">
        <v>154</v>
      </c>
      <c r="E8" s="13"/>
      <c r="F8" s="13"/>
      <c r="G8" s="13"/>
      <c r="H8" s="13"/>
      <c r="I8" s="13"/>
      <c r="J8" s="13"/>
      <c r="K8" s="13"/>
      <c r="L8" s="61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</row>
    <row r="9" spans="1:113">
      <c r="A9" s="14" t="s">
        <v>155</v>
      </c>
      <c r="B9" s="15"/>
      <c r="C9" s="15"/>
      <c r="D9" s="16"/>
      <c r="E9" s="17"/>
      <c r="F9" s="17"/>
      <c r="G9" s="17"/>
      <c r="H9" s="17"/>
      <c r="I9" s="17"/>
      <c r="J9" s="17"/>
      <c r="K9" s="17"/>
      <c r="L9" s="62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51"/>
      <c r="DF9" s="69"/>
    </row>
    <row r="10" spans="1:113">
      <c r="A10" s="19" t="s">
        <v>156</v>
      </c>
      <c r="B10" s="19" t="s">
        <v>157</v>
      </c>
      <c r="C10" s="19" t="s">
        <v>158</v>
      </c>
      <c r="D10" s="20">
        <f>SUM(E10:DD10)</f>
        <v>35</v>
      </c>
      <c r="E10" s="21">
        <v>0</v>
      </c>
      <c r="F10" s="21">
        <v>1</v>
      </c>
      <c r="G10" s="21">
        <v>0</v>
      </c>
      <c r="H10" s="21">
        <v>0</v>
      </c>
      <c r="I10" s="21">
        <v>0</v>
      </c>
      <c r="J10" s="21">
        <v>0</v>
      </c>
      <c r="K10" s="21">
        <v>0</v>
      </c>
      <c r="L10" s="21">
        <v>0</v>
      </c>
      <c r="M10" s="21">
        <v>0</v>
      </c>
      <c r="N10" s="21">
        <v>1</v>
      </c>
      <c r="O10" s="21">
        <v>1</v>
      </c>
      <c r="P10" s="21">
        <v>0</v>
      </c>
      <c r="Q10" s="21">
        <v>0</v>
      </c>
      <c r="R10" s="21">
        <v>0</v>
      </c>
      <c r="S10" s="21">
        <v>1</v>
      </c>
      <c r="T10" s="21">
        <v>0</v>
      </c>
      <c r="U10" s="21">
        <v>0</v>
      </c>
      <c r="V10" s="21">
        <v>1</v>
      </c>
      <c r="W10" s="21">
        <v>0</v>
      </c>
      <c r="X10" s="21">
        <v>0</v>
      </c>
      <c r="Y10" s="21">
        <v>0</v>
      </c>
      <c r="Z10" s="21">
        <v>0</v>
      </c>
      <c r="AA10" s="21">
        <v>0</v>
      </c>
      <c r="AB10" s="21">
        <v>1</v>
      </c>
      <c r="AC10" s="21">
        <v>0</v>
      </c>
      <c r="AD10" s="21">
        <v>0</v>
      </c>
      <c r="AE10" s="21">
        <v>0</v>
      </c>
      <c r="AF10" s="21">
        <v>0</v>
      </c>
      <c r="AG10" s="21">
        <v>0</v>
      </c>
      <c r="AH10" s="21">
        <v>2</v>
      </c>
      <c r="AI10" s="21">
        <v>0</v>
      </c>
      <c r="AJ10" s="21">
        <v>0</v>
      </c>
      <c r="AK10" s="21">
        <v>0</v>
      </c>
      <c r="AL10" s="21">
        <v>0</v>
      </c>
      <c r="AM10" s="21">
        <v>0</v>
      </c>
      <c r="AN10" s="21">
        <v>0</v>
      </c>
      <c r="AO10" s="21">
        <v>0</v>
      </c>
      <c r="AP10" s="21">
        <v>0</v>
      </c>
      <c r="AQ10" s="21">
        <v>1</v>
      </c>
      <c r="AR10" s="21">
        <v>0</v>
      </c>
      <c r="AS10" s="21">
        <v>0</v>
      </c>
      <c r="AT10" s="21">
        <v>0</v>
      </c>
      <c r="AU10" s="21">
        <v>0</v>
      </c>
      <c r="AV10" s="21">
        <v>0</v>
      </c>
      <c r="AW10" s="21">
        <v>0</v>
      </c>
      <c r="AX10" s="21">
        <v>0</v>
      </c>
      <c r="AY10" s="21">
        <v>0</v>
      </c>
      <c r="AZ10" s="21">
        <v>0</v>
      </c>
      <c r="BA10" s="21">
        <v>0</v>
      </c>
      <c r="BB10" s="21">
        <v>0</v>
      </c>
      <c r="BC10" s="21">
        <v>0</v>
      </c>
      <c r="BD10" s="21">
        <v>0</v>
      </c>
      <c r="BE10" s="21">
        <v>0</v>
      </c>
      <c r="BF10" s="21">
        <v>0</v>
      </c>
      <c r="BG10" s="21">
        <v>0</v>
      </c>
      <c r="BH10" s="21">
        <v>0</v>
      </c>
      <c r="BI10" s="21">
        <v>0</v>
      </c>
      <c r="BJ10" s="21">
        <v>0</v>
      </c>
      <c r="BK10" s="21">
        <v>0</v>
      </c>
      <c r="BL10" s="21">
        <v>0</v>
      </c>
      <c r="BM10" s="21">
        <v>0</v>
      </c>
      <c r="BN10" s="21">
        <v>0</v>
      </c>
      <c r="BO10" s="21">
        <v>0</v>
      </c>
      <c r="BP10" s="21">
        <v>0</v>
      </c>
      <c r="BQ10" s="21">
        <v>0</v>
      </c>
      <c r="BR10" s="21">
        <v>0</v>
      </c>
      <c r="BS10" s="21">
        <v>1</v>
      </c>
      <c r="BT10" s="21">
        <v>0</v>
      </c>
      <c r="BU10" s="21">
        <v>0</v>
      </c>
      <c r="BV10" s="21">
        <v>0</v>
      </c>
      <c r="BW10" s="21">
        <v>0</v>
      </c>
      <c r="BX10" s="21">
        <v>0</v>
      </c>
      <c r="BY10" s="21">
        <v>1</v>
      </c>
      <c r="BZ10" s="21">
        <v>0</v>
      </c>
      <c r="CA10" s="21">
        <v>0</v>
      </c>
      <c r="CB10" s="21">
        <v>0</v>
      </c>
      <c r="CC10" s="21">
        <v>0</v>
      </c>
      <c r="CD10" s="21">
        <v>0</v>
      </c>
      <c r="CE10" s="21">
        <v>1</v>
      </c>
      <c r="CF10" s="21">
        <v>0</v>
      </c>
      <c r="CG10" s="21">
        <v>2</v>
      </c>
      <c r="CH10" s="21">
        <v>0</v>
      </c>
      <c r="CI10" s="21">
        <v>2</v>
      </c>
      <c r="CJ10" s="21">
        <v>1</v>
      </c>
      <c r="CK10" s="21">
        <v>0</v>
      </c>
      <c r="CL10" s="21">
        <v>0</v>
      </c>
      <c r="CM10" s="21">
        <v>0</v>
      </c>
      <c r="CN10" s="21">
        <v>2</v>
      </c>
      <c r="CO10" s="21">
        <v>1</v>
      </c>
      <c r="CP10" s="21">
        <v>0</v>
      </c>
      <c r="CQ10" s="21">
        <v>0</v>
      </c>
      <c r="CR10" s="21">
        <v>1</v>
      </c>
      <c r="CS10" s="21">
        <v>0</v>
      </c>
      <c r="CT10" s="21">
        <v>0</v>
      </c>
      <c r="CU10" s="21">
        <v>0</v>
      </c>
      <c r="CV10" s="21">
        <v>1</v>
      </c>
      <c r="CW10" s="21">
        <v>0</v>
      </c>
      <c r="CX10" s="21">
        <v>2</v>
      </c>
      <c r="CY10" s="21">
        <v>0</v>
      </c>
      <c r="CZ10" s="21">
        <v>0</v>
      </c>
      <c r="DA10" s="21">
        <v>10</v>
      </c>
      <c r="DB10" s="21">
        <v>1</v>
      </c>
      <c r="DC10" s="21">
        <v>0</v>
      </c>
      <c r="DD10" s="21">
        <v>0</v>
      </c>
      <c r="DE10" s="72"/>
      <c r="DG10" s="76"/>
      <c r="DI10" s="76"/>
    </row>
    <row r="11" spans="1:113">
      <c r="A11" s="19" t="s">
        <v>156</v>
      </c>
      <c r="B11" s="19" t="s">
        <v>159</v>
      </c>
      <c r="C11" s="19" t="s">
        <v>158</v>
      </c>
      <c r="D11" s="20">
        <f t="shared" ref="D11:D76" si="0">SUM(E11:DD11)</f>
        <v>44</v>
      </c>
      <c r="E11" s="21">
        <v>0</v>
      </c>
      <c r="F11" s="21">
        <v>0</v>
      </c>
      <c r="G11" s="21">
        <v>1</v>
      </c>
      <c r="H11" s="21">
        <v>3</v>
      </c>
      <c r="I11" s="21">
        <v>2</v>
      </c>
      <c r="J11" s="21">
        <v>1</v>
      </c>
      <c r="K11" s="21">
        <v>3</v>
      </c>
      <c r="L11" s="21">
        <v>0</v>
      </c>
      <c r="M11" s="21">
        <v>0</v>
      </c>
      <c r="N11" s="21">
        <v>0</v>
      </c>
      <c r="O11" s="21">
        <v>0</v>
      </c>
      <c r="P11" s="21">
        <v>1</v>
      </c>
      <c r="Q11" s="21">
        <v>0</v>
      </c>
      <c r="R11" s="21">
        <v>0</v>
      </c>
      <c r="S11" s="21">
        <v>0</v>
      </c>
      <c r="T11" s="21">
        <v>1</v>
      </c>
      <c r="U11" s="21">
        <v>0</v>
      </c>
      <c r="V11" s="21">
        <v>0</v>
      </c>
      <c r="W11" s="21">
        <v>1</v>
      </c>
      <c r="X11" s="21">
        <v>0</v>
      </c>
      <c r="Y11" s="21">
        <v>1</v>
      </c>
      <c r="Z11" s="21">
        <v>3</v>
      </c>
      <c r="AA11" s="21">
        <v>1</v>
      </c>
      <c r="AB11" s="21">
        <v>0</v>
      </c>
      <c r="AC11" s="21">
        <v>3</v>
      </c>
      <c r="AD11" s="21">
        <v>0</v>
      </c>
      <c r="AE11" s="21">
        <v>0</v>
      </c>
      <c r="AF11" s="21">
        <v>0</v>
      </c>
      <c r="AG11" s="21">
        <v>0</v>
      </c>
      <c r="AH11" s="21">
        <v>0</v>
      </c>
      <c r="AI11" s="21">
        <v>1</v>
      </c>
      <c r="AJ11" s="21">
        <v>0</v>
      </c>
      <c r="AK11" s="21">
        <v>1</v>
      </c>
      <c r="AL11" s="21">
        <v>0</v>
      </c>
      <c r="AM11" s="21">
        <v>0</v>
      </c>
      <c r="AN11" s="21">
        <v>0</v>
      </c>
      <c r="AO11" s="21">
        <v>1</v>
      </c>
      <c r="AP11" s="21">
        <v>1</v>
      </c>
      <c r="AQ11" s="21">
        <v>0</v>
      </c>
      <c r="AR11" s="21">
        <v>2</v>
      </c>
      <c r="AS11" s="21">
        <v>1</v>
      </c>
      <c r="AT11" s="21">
        <v>0</v>
      </c>
      <c r="AU11" s="21">
        <v>1</v>
      </c>
      <c r="AV11" s="21">
        <v>1</v>
      </c>
      <c r="AW11" s="21">
        <v>0</v>
      </c>
      <c r="AX11" s="21">
        <v>1</v>
      </c>
      <c r="AY11" s="21">
        <v>0</v>
      </c>
      <c r="AZ11" s="21">
        <v>0</v>
      </c>
      <c r="BA11" s="21">
        <v>0</v>
      </c>
      <c r="BB11" s="21">
        <v>0</v>
      </c>
      <c r="BC11" s="21">
        <v>0</v>
      </c>
      <c r="BD11" s="21">
        <v>0</v>
      </c>
      <c r="BE11" s="21">
        <v>0</v>
      </c>
      <c r="BF11" s="21">
        <v>0</v>
      </c>
      <c r="BG11" s="21">
        <v>0</v>
      </c>
      <c r="BH11" s="21">
        <v>0</v>
      </c>
      <c r="BI11" s="21">
        <v>0</v>
      </c>
      <c r="BJ11" s="21">
        <v>0</v>
      </c>
      <c r="BK11" s="21">
        <v>0</v>
      </c>
      <c r="BL11" s="21">
        <v>2</v>
      </c>
      <c r="BM11" s="21">
        <v>0</v>
      </c>
      <c r="BN11" s="21">
        <v>0</v>
      </c>
      <c r="BO11" s="21">
        <v>0</v>
      </c>
      <c r="BP11" s="21">
        <v>0</v>
      </c>
      <c r="BQ11" s="21">
        <v>1</v>
      </c>
      <c r="BR11" s="21">
        <v>0</v>
      </c>
      <c r="BS11" s="21">
        <v>0</v>
      </c>
      <c r="BT11" s="21">
        <v>0</v>
      </c>
      <c r="BU11" s="21">
        <v>0</v>
      </c>
      <c r="BV11" s="21">
        <v>0</v>
      </c>
      <c r="BW11" s="21">
        <v>0</v>
      </c>
      <c r="BX11" s="21">
        <v>0</v>
      </c>
      <c r="BY11" s="21">
        <v>0</v>
      </c>
      <c r="BZ11" s="21">
        <v>1</v>
      </c>
      <c r="CA11" s="21">
        <v>0</v>
      </c>
      <c r="CB11" s="21">
        <v>0</v>
      </c>
      <c r="CC11" s="21">
        <v>0</v>
      </c>
      <c r="CD11" s="21">
        <v>1</v>
      </c>
      <c r="CE11" s="21">
        <v>0</v>
      </c>
      <c r="CF11" s="21">
        <v>1</v>
      </c>
      <c r="CG11" s="21">
        <v>0</v>
      </c>
      <c r="CH11" s="21">
        <v>1</v>
      </c>
      <c r="CI11" s="21">
        <v>0</v>
      </c>
      <c r="CJ11" s="21">
        <v>0</v>
      </c>
      <c r="CK11" s="21">
        <v>1</v>
      </c>
      <c r="CL11" s="21">
        <v>0</v>
      </c>
      <c r="CM11" s="21">
        <v>0</v>
      </c>
      <c r="CN11" s="21">
        <v>0</v>
      </c>
      <c r="CO11" s="21">
        <v>0</v>
      </c>
      <c r="CP11" s="21">
        <v>1</v>
      </c>
      <c r="CQ11" s="21">
        <v>0</v>
      </c>
      <c r="CR11" s="21">
        <v>0</v>
      </c>
      <c r="CS11" s="21">
        <v>0</v>
      </c>
      <c r="CT11" s="21">
        <v>0</v>
      </c>
      <c r="CU11" s="21">
        <v>1</v>
      </c>
      <c r="CV11" s="21">
        <v>0</v>
      </c>
      <c r="CW11" s="21">
        <v>0</v>
      </c>
      <c r="CX11" s="21">
        <v>0</v>
      </c>
      <c r="CY11" s="21">
        <v>0</v>
      </c>
      <c r="CZ11" s="21">
        <v>0</v>
      </c>
      <c r="DA11" s="21">
        <v>0</v>
      </c>
      <c r="DB11" s="21">
        <v>0</v>
      </c>
      <c r="DC11" s="21">
        <v>1</v>
      </c>
      <c r="DD11" s="21">
        <v>2</v>
      </c>
      <c r="DE11" s="72"/>
      <c r="DG11" s="76"/>
      <c r="DI11" s="76"/>
    </row>
    <row r="12" spans="1:113">
      <c r="A12" s="19" t="s">
        <v>156</v>
      </c>
      <c r="B12" s="19" t="s">
        <v>160</v>
      </c>
      <c r="C12" s="19" t="s">
        <v>158</v>
      </c>
      <c r="D12" s="20">
        <f t="shared" si="0"/>
        <v>7</v>
      </c>
      <c r="E12" s="21">
        <v>1</v>
      </c>
      <c r="F12" s="21">
        <v>0</v>
      </c>
      <c r="G12" s="21">
        <v>0</v>
      </c>
      <c r="H12" s="21">
        <v>0</v>
      </c>
      <c r="I12" s="21">
        <v>0</v>
      </c>
      <c r="J12" s="21">
        <v>0</v>
      </c>
      <c r="K12" s="21">
        <v>0</v>
      </c>
      <c r="L12" s="21">
        <v>0</v>
      </c>
      <c r="M12" s="21">
        <v>0</v>
      </c>
      <c r="N12" s="21">
        <v>0</v>
      </c>
      <c r="O12" s="21">
        <v>0</v>
      </c>
      <c r="P12" s="21">
        <v>0</v>
      </c>
      <c r="Q12" s="21">
        <v>0</v>
      </c>
      <c r="R12" s="21">
        <v>1</v>
      </c>
      <c r="S12" s="21">
        <v>0</v>
      </c>
      <c r="T12" s="21">
        <v>0</v>
      </c>
      <c r="U12" s="21">
        <v>0</v>
      </c>
      <c r="V12" s="21">
        <v>0</v>
      </c>
      <c r="W12" s="21">
        <v>0</v>
      </c>
      <c r="X12" s="21">
        <v>0</v>
      </c>
      <c r="Y12" s="21">
        <v>0</v>
      </c>
      <c r="Z12" s="21">
        <v>0</v>
      </c>
      <c r="AA12" s="21">
        <v>0</v>
      </c>
      <c r="AB12" s="21">
        <v>0</v>
      </c>
      <c r="AC12" s="21">
        <v>0</v>
      </c>
      <c r="AD12" s="21">
        <v>0</v>
      </c>
      <c r="AE12" s="21">
        <v>0</v>
      </c>
      <c r="AF12" s="21">
        <v>0</v>
      </c>
      <c r="AG12" s="21">
        <v>0</v>
      </c>
      <c r="AH12" s="21">
        <v>0</v>
      </c>
      <c r="AI12" s="21">
        <v>0</v>
      </c>
      <c r="AJ12" s="21">
        <v>0</v>
      </c>
      <c r="AK12" s="21">
        <v>0</v>
      </c>
      <c r="AL12" s="21">
        <v>0</v>
      </c>
      <c r="AM12" s="21">
        <v>0</v>
      </c>
      <c r="AN12" s="21">
        <v>0</v>
      </c>
      <c r="AO12" s="21">
        <v>0</v>
      </c>
      <c r="AP12" s="21">
        <v>0</v>
      </c>
      <c r="AQ12" s="21">
        <v>0</v>
      </c>
      <c r="AR12" s="21">
        <v>0</v>
      </c>
      <c r="AS12" s="21">
        <v>0</v>
      </c>
      <c r="AT12" s="21">
        <v>0</v>
      </c>
      <c r="AU12" s="21">
        <v>0</v>
      </c>
      <c r="AV12" s="21">
        <v>0</v>
      </c>
      <c r="AW12" s="21">
        <v>0</v>
      </c>
      <c r="AX12" s="21">
        <v>0</v>
      </c>
      <c r="AY12" s="21">
        <v>0</v>
      </c>
      <c r="AZ12" s="21">
        <v>0</v>
      </c>
      <c r="BA12" s="21">
        <v>0</v>
      </c>
      <c r="BB12" s="21">
        <v>0</v>
      </c>
      <c r="BC12" s="21">
        <v>0</v>
      </c>
      <c r="BD12" s="21">
        <v>0</v>
      </c>
      <c r="BE12" s="21">
        <v>0</v>
      </c>
      <c r="BF12" s="21">
        <v>0</v>
      </c>
      <c r="BG12" s="21">
        <v>0</v>
      </c>
      <c r="BH12" s="21">
        <v>0</v>
      </c>
      <c r="BI12" s="21">
        <v>2</v>
      </c>
      <c r="BJ12" s="21">
        <v>0</v>
      </c>
      <c r="BK12" s="21">
        <v>0</v>
      </c>
      <c r="BL12" s="21">
        <v>0</v>
      </c>
      <c r="BM12" s="21">
        <v>0</v>
      </c>
      <c r="BN12" s="21">
        <v>0</v>
      </c>
      <c r="BO12" s="21">
        <v>0</v>
      </c>
      <c r="BP12" s="21">
        <v>0</v>
      </c>
      <c r="BQ12" s="21">
        <v>0</v>
      </c>
      <c r="BR12" s="21">
        <v>0</v>
      </c>
      <c r="BS12" s="21">
        <v>0</v>
      </c>
      <c r="BT12" s="21">
        <v>0</v>
      </c>
      <c r="BU12" s="21">
        <v>1</v>
      </c>
      <c r="BV12" s="21">
        <v>0</v>
      </c>
      <c r="BW12" s="21">
        <v>0</v>
      </c>
      <c r="BX12" s="21">
        <v>0</v>
      </c>
      <c r="BY12" s="21">
        <v>0</v>
      </c>
      <c r="BZ12" s="21">
        <v>0</v>
      </c>
      <c r="CA12" s="21">
        <v>0</v>
      </c>
      <c r="CB12" s="21">
        <v>0</v>
      </c>
      <c r="CC12" s="21">
        <v>0</v>
      </c>
      <c r="CD12" s="21">
        <v>0</v>
      </c>
      <c r="CE12" s="21">
        <v>0</v>
      </c>
      <c r="CF12" s="21">
        <v>0</v>
      </c>
      <c r="CG12" s="21">
        <v>0</v>
      </c>
      <c r="CH12" s="21">
        <v>0</v>
      </c>
      <c r="CI12" s="21">
        <v>0</v>
      </c>
      <c r="CJ12" s="21">
        <v>0</v>
      </c>
      <c r="CK12" s="21">
        <v>0</v>
      </c>
      <c r="CL12" s="21">
        <v>0</v>
      </c>
      <c r="CM12" s="21">
        <v>0</v>
      </c>
      <c r="CN12" s="21">
        <v>0</v>
      </c>
      <c r="CO12" s="21">
        <v>0</v>
      </c>
      <c r="CP12" s="21">
        <v>0</v>
      </c>
      <c r="CQ12" s="21">
        <v>0</v>
      </c>
      <c r="CR12" s="21">
        <v>0</v>
      </c>
      <c r="CS12" s="21">
        <v>0</v>
      </c>
      <c r="CT12" s="21">
        <v>0</v>
      </c>
      <c r="CU12" s="21">
        <v>0</v>
      </c>
      <c r="CV12" s="21">
        <v>0</v>
      </c>
      <c r="CW12" s="21">
        <v>0</v>
      </c>
      <c r="CX12" s="21">
        <v>0</v>
      </c>
      <c r="CY12" s="21">
        <v>0</v>
      </c>
      <c r="CZ12" s="21">
        <v>2</v>
      </c>
      <c r="DA12" s="21">
        <v>0</v>
      </c>
      <c r="DB12" s="21">
        <v>0</v>
      </c>
      <c r="DC12" s="21">
        <v>0</v>
      </c>
      <c r="DD12" s="21">
        <v>0</v>
      </c>
      <c r="DE12" s="72"/>
      <c r="DG12" s="76"/>
      <c r="DI12" s="76"/>
    </row>
    <row r="13" spans="1:113">
      <c r="A13" s="19" t="s">
        <v>156</v>
      </c>
      <c r="B13" s="19" t="s">
        <v>161</v>
      </c>
      <c r="C13" s="19" t="s">
        <v>158</v>
      </c>
      <c r="D13" s="20">
        <f t="shared" si="0"/>
        <v>8</v>
      </c>
      <c r="E13" s="21">
        <v>3</v>
      </c>
      <c r="F13" s="21">
        <v>0</v>
      </c>
      <c r="G13" s="21">
        <v>0</v>
      </c>
      <c r="H13" s="21">
        <v>0</v>
      </c>
      <c r="I13" s="21">
        <v>0</v>
      </c>
      <c r="J13" s="21">
        <v>0</v>
      </c>
      <c r="K13" s="21">
        <v>0</v>
      </c>
      <c r="L13" s="21">
        <v>0</v>
      </c>
      <c r="M13" s="21">
        <v>0</v>
      </c>
      <c r="N13" s="21">
        <v>0</v>
      </c>
      <c r="O13" s="21">
        <v>0</v>
      </c>
      <c r="P13" s="21">
        <v>0</v>
      </c>
      <c r="Q13" s="21">
        <v>0</v>
      </c>
      <c r="R13" s="21">
        <v>0</v>
      </c>
      <c r="S13" s="21">
        <v>0</v>
      </c>
      <c r="T13" s="21">
        <v>0</v>
      </c>
      <c r="U13" s="21">
        <v>0</v>
      </c>
      <c r="V13" s="21">
        <v>0</v>
      </c>
      <c r="W13" s="21">
        <v>0</v>
      </c>
      <c r="X13" s="21">
        <v>0</v>
      </c>
      <c r="Y13" s="21">
        <v>0</v>
      </c>
      <c r="Z13" s="21">
        <v>0</v>
      </c>
      <c r="AA13" s="21">
        <v>0</v>
      </c>
      <c r="AB13" s="21">
        <v>0</v>
      </c>
      <c r="AC13" s="21">
        <v>0</v>
      </c>
      <c r="AD13" s="21">
        <v>0</v>
      </c>
      <c r="AE13" s="21">
        <v>0</v>
      </c>
      <c r="AF13" s="21">
        <v>0</v>
      </c>
      <c r="AG13" s="21">
        <v>0</v>
      </c>
      <c r="AH13" s="21">
        <v>0</v>
      </c>
      <c r="AI13" s="21">
        <v>0</v>
      </c>
      <c r="AJ13" s="21">
        <v>0</v>
      </c>
      <c r="AK13" s="21">
        <v>0</v>
      </c>
      <c r="AL13" s="21">
        <v>0</v>
      </c>
      <c r="AM13" s="21">
        <v>0</v>
      </c>
      <c r="AN13" s="21">
        <v>0</v>
      </c>
      <c r="AO13" s="21">
        <v>0</v>
      </c>
      <c r="AP13" s="21">
        <v>0</v>
      </c>
      <c r="AQ13" s="21">
        <v>0</v>
      </c>
      <c r="AR13" s="21">
        <v>0</v>
      </c>
      <c r="AS13" s="21">
        <v>0</v>
      </c>
      <c r="AT13" s="21">
        <v>0</v>
      </c>
      <c r="AU13" s="21">
        <v>0</v>
      </c>
      <c r="AV13" s="21">
        <v>0</v>
      </c>
      <c r="AW13" s="21">
        <v>0</v>
      </c>
      <c r="AX13" s="21">
        <v>0</v>
      </c>
      <c r="AY13" s="21">
        <v>0</v>
      </c>
      <c r="AZ13" s="21">
        <v>0</v>
      </c>
      <c r="BA13" s="21">
        <v>0</v>
      </c>
      <c r="BB13" s="21">
        <v>0</v>
      </c>
      <c r="BC13" s="21">
        <v>0</v>
      </c>
      <c r="BD13" s="21">
        <v>0</v>
      </c>
      <c r="BE13" s="21">
        <v>0</v>
      </c>
      <c r="BF13" s="21">
        <v>0</v>
      </c>
      <c r="BG13" s="21">
        <v>0</v>
      </c>
      <c r="BH13" s="21">
        <v>0</v>
      </c>
      <c r="BI13" s="21">
        <v>2</v>
      </c>
      <c r="BJ13" s="21">
        <v>3</v>
      </c>
      <c r="BK13" s="21">
        <v>0</v>
      </c>
      <c r="BL13" s="21">
        <v>0</v>
      </c>
      <c r="BM13" s="21">
        <v>0</v>
      </c>
      <c r="BN13" s="21">
        <v>0</v>
      </c>
      <c r="BO13" s="21">
        <v>0</v>
      </c>
      <c r="BP13" s="21">
        <v>0</v>
      </c>
      <c r="BQ13" s="21">
        <v>0</v>
      </c>
      <c r="BR13" s="21">
        <v>0</v>
      </c>
      <c r="BS13" s="21">
        <v>0</v>
      </c>
      <c r="BT13" s="21">
        <v>0</v>
      </c>
      <c r="BU13" s="21">
        <v>0</v>
      </c>
      <c r="BV13" s="21">
        <v>0</v>
      </c>
      <c r="BW13" s="21">
        <v>0</v>
      </c>
      <c r="BX13" s="21">
        <v>0</v>
      </c>
      <c r="BY13" s="21">
        <v>0</v>
      </c>
      <c r="BZ13" s="21">
        <v>0</v>
      </c>
      <c r="CA13" s="21">
        <v>0</v>
      </c>
      <c r="CB13" s="21">
        <v>0</v>
      </c>
      <c r="CC13" s="21">
        <v>0</v>
      </c>
      <c r="CD13" s="21">
        <v>0</v>
      </c>
      <c r="CE13" s="21">
        <v>0</v>
      </c>
      <c r="CF13" s="21">
        <v>0</v>
      </c>
      <c r="CG13" s="21">
        <v>0</v>
      </c>
      <c r="CH13" s="21">
        <v>0</v>
      </c>
      <c r="CI13" s="21">
        <v>0</v>
      </c>
      <c r="CJ13" s="21">
        <v>0</v>
      </c>
      <c r="CK13" s="21">
        <v>0</v>
      </c>
      <c r="CL13" s="21">
        <v>0</v>
      </c>
      <c r="CM13" s="21">
        <v>0</v>
      </c>
      <c r="CN13" s="21">
        <v>0</v>
      </c>
      <c r="CO13" s="21">
        <v>0</v>
      </c>
      <c r="CP13" s="21">
        <v>0</v>
      </c>
      <c r="CQ13" s="21">
        <v>0</v>
      </c>
      <c r="CR13" s="21">
        <v>0</v>
      </c>
      <c r="CS13" s="21">
        <v>0</v>
      </c>
      <c r="CT13" s="21">
        <v>0</v>
      </c>
      <c r="CU13" s="21">
        <v>0</v>
      </c>
      <c r="CV13" s="21">
        <v>0</v>
      </c>
      <c r="CW13" s="21">
        <v>0</v>
      </c>
      <c r="CX13" s="21">
        <v>0</v>
      </c>
      <c r="CY13" s="21">
        <v>0</v>
      </c>
      <c r="CZ13" s="21">
        <v>0</v>
      </c>
      <c r="DA13" s="21">
        <v>0</v>
      </c>
      <c r="DB13" s="21">
        <v>0</v>
      </c>
      <c r="DC13" s="21">
        <v>0</v>
      </c>
      <c r="DD13" s="21">
        <v>0</v>
      </c>
      <c r="DE13" s="72"/>
      <c r="DG13" s="76"/>
      <c r="DI13" s="76"/>
    </row>
    <row r="14" spans="1:113">
      <c r="A14" s="19" t="s">
        <v>162</v>
      </c>
      <c r="B14" s="19" t="s">
        <v>163</v>
      </c>
      <c r="C14" s="19" t="s">
        <v>164</v>
      </c>
      <c r="D14" s="20">
        <f t="shared" si="0"/>
        <v>92.08</v>
      </c>
      <c r="E14" s="21">
        <v>0</v>
      </c>
      <c r="F14" s="21">
        <v>0</v>
      </c>
      <c r="G14" s="21">
        <v>0</v>
      </c>
      <c r="H14" s="21">
        <v>0</v>
      </c>
      <c r="I14" s="21">
        <v>0</v>
      </c>
      <c r="J14" s="21">
        <v>0</v>
      </c>
      <c r="K14" s="21">
        <v>0</v>
      </c>
      <c r="L14" s="21">
        <v>0</v>
      </c>
      <c r="M14" s="21">
        <v>0</v>
      </c>
      <c r="N14" s="21">
        <v>0</v>
      </c>
      <c r="O14" s="21">
        <v>0</v>
      </c>
      <c r="P14" s="21">
        <v>0</v>
      </c>
      <c r="Q14" s="21">
        <v>0</v>
      </c>
      <c r="R14" s="21">
        <v>0</v>
      </c>
      <c r="S14" s="21">
        <v>0</v>
      </c>
      <c r="T14" s="21">
        <v>0</v>
      </c>
      <c r="U14" s="21">
        <v>0</v>
      </c>
      <c r="V14" s="21">
        <v>0</v>
      </c>
      <c r="W14" s="21">
        <v>0</v>
      </c>
      <c r="X14" s="21">
        <v>0</v>
      </c>
      <c r="Y14" s="21">
        <v>0</v>
      </c>
      <c r="Z14" s="21">
        <v>0</v>
      </c>
      <c r="AA14" s="21">
        <v>0</v>
      </c>
      <c r="AB14" s="21">
        <v>0</v>
      </c>
      <c r="AC14" s="21">
        <v>0</v>
      </c>
      <c r="AD14" s="21">
        <v>0</v>
      </c>
      <c r="AE14" s="21">
        <v>0</v>
      </c>
      <c r="AF14" s="21">
        <v>0</v>
      </c>
      <c r="AG14" s="21">
        <v>0</v>
      </c>
      <c r="AH14" s="21">
        <v>0</v>
      </c>
      <c r="AI14" s="21">
        <v>0</v>
      </c>
      <c r="AJ14" s="21">
        <v>0</v>
      </c>
      <c r="AK14" s="21">
        <v>0</v>
      </c>
      <c r="AL14" s="21">
        <v>0</v>
      </c>
      <c r="AM14" s="21">
        <v>0</v>
      </c>
      <c r="AN14" s="21">
        <v>0</v>
      </c>
      <c r="AO14" s="21">
        <v>0</v>
      </c>
      <c r="AP14" s="21">
        <v>0</v>
      </c>
      <c r="AQ14" s="21">
        <v>0</v>
      </c>
      <c r="AR14" s="21">
        <v>0</v>
      </c>
      <c r="AS14" s="21">
        <v>0</v>
      </c>
      <c r="AT14" s="21">
        <v>0</v>
      </c>
      <c r="AU14" s="21">
        <v>0</v>
      </c>
      <c r="AV14" s="21">
        <v>0</v>
      </c>
      <c r="AW14" s="21">
        <v>0</v>
      </c>
      <c r="AX14" s="21">
        <v>0</v>
      </c>
      <c r="AY14" s="21">
        <v>0</v>
      </c>
      <c r="AZ14" s="21">
        <v>0</v>
      </c>
      <c r="BA14" s="21">
        <v>0</v>
      </c>
      <c r="BB14" s="21">
        <v>0</v>
      </c>
      <c r="BC14" s="21">
        <v>0</v>
      </c>
      <c r="BD14" s="21">
        <v>0</v>
      </c>
      <c r="BE14" s="97">
        <v>2.6</v>
      </c>
      <c r="BF14" s="98"/>
      <c r="BG14" s="21">
        <v>0</v>
      </c>
      <c r="BH14" s="21">
        <v>0</v>
      </c>
      <c r="BI14" s="21">
        <v>0</v>
      </c>
      <c r="BJ14" s="21">
        <v>89.48</v>
      </c>
      <c r="BK14" s="21">
        <v>0</v>
      </c>
      <c r="BL14" s="21">
        <v>0</v>
      </c>
      <c r="BM14" s="21">
        <v>0</v>
      </c>
      <c r="BN14" s="21">
        <v>0</v>
      </c>
      <c r="BO14" s="21">
        <v>0</v>
      </c>
      <c r="BP14" s="21">
        <v>0</v>
      </c>
      <c r="BQ14" s="21">
        <v>0</v>
      </c>
      <c r="BR14" s="21">
        <v>0</v>
      </c>
      <c r="BS14" s="21">
        <v>0</v>
      </c>
      <c r="BT14" s="21">
        <v>0</v>
      </c>
      <c r="BU14" s="21">
        <v>0</v>
      </c>
      <c r="BV14" s="21">
        <v>0</v>
      </c>
      <c r="BW14" s="21">
        <v>0</v>
      </c>
      <c r="BX14" s="21">
        <v>0</v>
      </c>
      <c r="BY14" s="21">
        <v>0</v>
      </c>
      <c r="BZ14" s="21">
        <v>0</v>
      </c>
      <c r="CA14" s="21">
        <v>0</v>
      </c>
      <c r="CB14" s="21">
        <v>0</v>
      </c>
      <c r="CC14" s="21">
        <v>0</v>
      </c>
      <c r="CD14" s="21">
        <v>0</v>
      </c>
      <c r="CE14" s="21">
        <v>0</v>
      </c>
      <c r="CF14" s="21">
        <v>0</v>
      </c>
      <c r="CG14" s="21">
        <v>0</v>
      </c>
      <c r="CH14" s="21">
        <v>0</v>
      </c>
      <c r="CI14" s="21">
        <v>0</v>
      </c>
      <c r="CJ14" s="21">
        <v>0</v>
      </c>
      <c r="CK14" s="21">
        <v>0</v>
      </c>
      <c r="CL14" s="21">
        <v>0</v>
      </c>
      <c r="CM14" s="21">
        <v>0</v>
      </c>
      <c r="CN14" s="21">
        <v>0</v>
      </c>
      <c r="CO14" s="21">
        <v>0</v>
      </c>
      <c r="CP14" s="21">
        <v>0</v>
      </c>
      <c r="CQ14" s="21">
        <v>0</v>
      </c>
      <c r="CR14" s="21">
        <v>0</v>
      </c>
      <c r="CS14" s="21">
        <v>0</v>
      </c>
      <c r="CT14" s="21">
        <v>0</v>
      </c>
      <c r="CU14" s="21">
        <v>0</v>
      </c>
      <c r="CV14" s="21">
        <v>0</v>
      </c>
      <c r="CW14" s="21">
        <v>0</v>
      </c>
      <c r="CX14" s="21">
        <v>0</v>
      </c>
      <c r="CY14" s="21">
        <v>0</v>
      </c>
      <c r="CZ14" s="21">
        <v>0</v>
      </c>
      <c r="DA14" s="21">
        <v>0</v>
      </c>
      <c r="DB14" s="21">
        <v>0</v>
      </c>
      <c r="DC14" s="21">
        <v>0</v>
      </c>
      <c r="DD14" s="21">
        <v>0</v>
      </c>
      <c r="DE14" s="72"/>
      <c r="DG14" s="76"/>
      <c r="DI14" s="76"/>
    </row>
    <row r="15" spans="1:113">
      <c r="A15" s="19" t="s">
        <v>165</v>
      </c>
      <c r="B15" s="19" t="s">
        <v>166</v>
      </c>
      <c r="C15" s="19" t="s">
        <v>167</v>
      </c>
      <c r="D15" s="20">
        <f t="shared" si="0"/>
        <v>8</v>
      </c>
      <c r="E15" s="21">
        <v>2</v>
      </c>
      <c r="F15" s="21">
        <v>0</v>
      </c>
      <c r="G15" s="21">
        <v>0</v>
      </c>
      <c r="H15" s="21">
        <v>0</v>
      </c>
      <c r="I15" s="21">
        <v>0</v>
      </c>
      <c r="J15" s="21">
        <v>0</v>
      </c>
      <c r="K15" s="21">
        <v>0</v>
      </c>
      <c r="L15" s="21">
        <v>0</v>
      </c>
      <c r="M15" s="21">
        <v>0</v>
      </c>
      <c r="N15" s="21">
        <v>0</v>
      </c>
      <c r="O15" s="21">
        <v>0</v>
      </c>
      <c r="P15" s="21">
        <v>0</v>
      </c>
      <c r="Q15" s="21">
        <v>0</v>
      </c>
      <c r="R15" s="21">
        <v>0</v>
      </c>
      <c r="S15" s="21">
        <v>0</v>
      </c>
      <c r="T15" s="21">
        <v>0</v>
      </c>
      <c r="U15" s="21">
        <v>0</v>
      </c>
      <c r="V15" s="21">
        <v>0</v>
      </c>
      <c r="W15" s="21">
        <v>0</v>
      </c>
      <c r="X15" s="21">
        <v>0</v>
      </c>
      <c r="Y15" s="21">
        <v>0</v>
      </c>
      <c r="Z15" s="21">
        <v>0</v>
      </c>
      <c r="AA15" s="21">
        <v>0</v>
      </c>
      <c r="AB15" s="21">
        <v>0</v>
      </c>
      <c r="AC15" s="21">
        <v>0</v>
      </c>
      <c r="AD15" s="21">
        <v>0</v>
      </c>
      <c r="AE15" s="21">
        <v>0</v>
      </c>
      <c r="AF15" s="21">
        <v>0</v>
      </c>
      <c r="AG15" s="21">
        <v>0</v>
      </c>
      <c r="AH15" s="21">
        <v>0</v>
      </c>
      <c r="AI15" s="21">
        <v>0</v>
      </c>
      <c r="AJ15" s="21">
        <v>0</v>
      </c>
      <c r="AK15" s="21">
        <v>0</v>
      </c>
      <c r="AL15" s="21">
        <v>0</v>
      </c>
      <c r="AM15" s="21">
        <v>0</v>
      </c>
      <c r="AN15" s="21">
        <v>0</v>
      </c>
      <c r="AO15" s="21">
        <v>0</v>
      </c>
      <c r="AP15" s="21">
        <v>0</v>
      </c>
      <c r="AQ15" s="21">
        <v>0</v>
      </c>
      <c r="AR15" s="21">
        <v>0</v>
      </c>
      <c r="AS15" s="21">
        <v>0</v>
      </c>
      <c r="AT15" s="21">
        <v>0</v>
      </c>
      <c r="AU15" s="21">
        <v>0</v>
      </c>
      <c r="AV15" s="21">
        <v>0</v>
      </c>
      <c r="AW15" s="21">
        <v>0</v>
      </c>
      <c r="AX15" s="21">
        <v>0</v>
      </c>
      <c r="AY15" s="21">
        <v>0</v>
      </c>
      <c r="AZ15" s="21">
        <v>0</v>
      </c>
      <c r="BA15" s="21">
        <v>0</v>
      </c>
      <c r="BB15" s="21">
        <v>0</v>
      </c>
      <c r="BC15" s="21">
        <v>0</v>
      </c>
      <c r="BD15" s="21">
        <v>0</v>
      </c>
      <c r="BE15" s="21">
        <v>0</v>
      </c>
      <c r="BF15" s="21">
        <v>0</v>
      </c>
      <c r="BG15" s="21">
        <v>0</v>
      </c>
      <c r="BH15" s="21">
        <v>0</v>
      </c>
      <c r="BI15" s="21">
        <v>1</v>
      </c>
      <c r="BJ15" s="21">
        <v>4</v>
      </c>
      <c r="BK15" s="21">
        <v>0</v>
      </c>
      <c r="BL15" s="21">
        <v>0</v>
      </c>
      <c r="BM15" s="21">
        <v>0</v>
      </c>
      <c r="BN15" s="21">
        <v>0</v>
      </c>
      <c r="BO15" s="21">
        <v>0</v>
      </c>
      <c r="BP15" s="21">
        <v>0</v>
      </c>
      <c r="BQ15" s="21">
        <v>0</v>
      </c>
      <c r="BR15" s="21">
        <v>0</v>
      </c>
      <c r="BS15" s="21">
        <v>0</v>
      </c>
      <c r="BT15" s="21">
        <v>0</v>
      </c>
      <c r="BU15" s="21">
        <v>0</v>
      </c>
      <c r="BV15" s="21">
        <v>0</v>
      </c>
      <c r="BW15" s="21">
        <v>0</v>
      </c>
      <c r="BX15" s="21">
        <v>0</v>
      </c>
      <c r="BY15" s="21">
        <v>0</v>
      </c>
      <c r="BZ15" s="21">
        <v>0</v>
      </c>
      <c r="CA15" s="21">
        <v>0</v>
      </c>
      <c r="CB15" s="21">
        <v>0</v>
      </c>
      <c r="CC15" s="21">
        <v>0</v>
      </c>
      <c r="CD15" s="21">
        <v>0</v>
      </c>
      <c r="CE15" s="21">
        <v>0</v>
      </c>
      <c r="CF15" s="21">
        <v>0</v>
      </c>
      <c r="CG15" s="21">
        <v>0</v>
      </c>
      <c r="CH15" s="21">
        <v>0</v>
      </c>
      <c r="CI15" s="21">
        <v>0</v>
      </c>
      <c r="CJ15" s="21">
        <v>0</v>
      </c>
      <c r="CK15" s="21">
        <v>0</v>
      </c>
      <c r="CL15" s="21">
        <v>0</v>
      </c>
      <c r="CM15" s="21">
        <v>0</v>
      </c>
      <c r="CN15" s="21">
        <v>0</v>
      </c>
      <c r="CO15" s="21">
        <v>0</v>
      </c>
      <c r="CP15" s="21">
        <v>0</v>
      </c>
      <c r="CQ15" s="21">
        <v>0</v>
      </c>
      <c r="CR15" s="21">
        <v>0</v>
      </c>
      <c r="CS15" s="21">
        <v>0</v>
      </c>
      <c r="CT15" s="21">
        <v>0</v>
      </c>
      <c r="CU15" s="21">
        <v>1</v>
      </c>
      <c r="CV15" s="21">
        <v>0</v>
      </c>
      <c r="CW15" s="21">
        <v>0</v>
      </c>
      <c r="CX15" s="21">
        <v>0</v>
      </c>
      <c r="CY15" s="21">
        <v>0</v>
      </c>
      <c r="CZ15" s="21">
        <v>0</v>
      </c>
      <c r="DA15" s="21">
        <v>0</v>
      </c>
      <c r="DB15" s="21">
        <v>0</v>
      </c>
      <c r="DC15" s="21">
        <v>0</v>
      </c>
      <c r="DD15" s="21">
        <v>0</v>
      </c>
      <c r="DE15" s="72"/>
      <c r="DG15" s="76"/>
      <c r="DI15" s="76"/>
    </row>
    <row r="16" spans="1:113">
      <c r="A16" s="19" t="s">
        <v>168</v>
      </c>
      <c r="B16" s="19" t="s">
        <v>169</v>
      </c>
      <c r="C16" s="19" t="s">
        <v>170</v>
      </c>
      <c r="D16" s="20">
        <f t="shared" si="0"/>
        <v>3</v>
      </c>
      <c r="E16" s="21">
        <v>0</v>
      </c>
      <c r="F16" s="21">
        <v>0</v>
      </c>
      <c r="G16" s="21">
        <v>0</v>
      </c>
      <c r="H16" s="21">
        <v>0</v>
      </c>
      <c r="I16" s="21">
        <v>0</v>
      </c>
      <c r="J16" s="21">
        <v>0</v>
      </c>
      <c r="K16" s="21">
        <v>0</v>
      </c>
      <c r="L16" s="21">
        <v>0</v>
      </c>
      <c r="M16" s="21">
        <v>0</v>
      </c>
      <c r="N16" s="21">
        <v>0</v>
      </c>
      <c r="O16" s="21">
        <v>0</v>
      </c>
      <c r="P16" s="21">
        <v>0</v>
      </c>
      <c r="Q16" s="21">
        <v>0</v>
      </c>
      <c r="R16" s="21">
        <v>0</v>
      </c>
      <c r="S16" s="21">
        <v>0</v>
      </c>
      <c r="T16" s="21">
        <v>0</v>
      </c>
      <c r="U16" s="21">
        <v>0</v>
      </c>
      <c r="V16" s="21">
        <v>0</v>
      </c>
      <c r="W16" s="21">
        <v>0</v>
      </c>
      <c r="X16" s="21">
        <v>0</v>
      </c>
      <c r="Y16" s="21">
        <v>0</v>
      </c>
      <c r="Z16" s="21">
        <v>0</v>
      </c>
      <c r="AA16" s="21">
        <v>0</v>
      </c>
      <c r="AB16" s="21">
        <v>0</v>
      </c>
      <c r="AC16" s="21">
        <v>0</v>
      </c>
      <c r="AD16" s="21">
        <v>0</v>
      </c>
      <c r="AE16" s="21">
        <v>0</v>
      </c>
      <c r="AF16" s="21">
        <v>0</v>
      </c>
      <c r="AG16" s="21">
        <v>0</v>
      </c>
      <c r="AH16" s="21">
        <v>0</v>
      </c>
      <c r="AI16" s="21">
        <v>0</v>
      </c>
      <c r="AJ16" s="21">
        <v>0</v>
      </c>
      <c r="AK16" s="21">
        <v>0</v>
      </c>
      <c r="AL16" s="21">
        <v>0</v>
      </c>
      <c r="AM16" s="21">
        <v>0</v>
      </c>
      <c r="AN16" s="21">
        <v>0</v>
      </c>
      <c r="AO16" s="21">
        <v>0</v>
      </c>
      <c r="AP16" s="21">
        <v>0</v>
      </c>
      <c r="AQ16" s="21">
        <v>0</v>
      </c>
      <c r="AR16" s="21">
        <v>0</v>
      </c>
      <c r="AS16" s="21">
        <v>0</v>
      </c>
      <c r="AT16" s="21">
        <v>0</v>
      </c>
      <c r="AU16" s="21">
        <v>0</v>
      </c>
      <c r="AV16" s="21">
        <v>0</v>
      </c>
      <c r="AW16" s="21">
        <v>0</v>
      </c>
      <c r="AX16" s="21">
        <v>0</v>
      </c>
      <c r="AY16" s="21">
        <v>0</v>
      </c>
      <c r="AZ16" s="21">
        <v>0</v>
      </c>
      <c r="BA16" s="21">
        <v>0</v>
      </c>
      <c r="BB16" s="21">
        <v>0</v>
      </c>
      <c r="BC16" s="21">
        <v>0</v>
      </c>
      <c r="BD16" s="21">
        <v>0</v>
      </c>
      <c r="BE16" s="21">
        <v>0</v>
      </c>
      <c r="BF16" s="21">
        <v>0</v>
      </c>
      <c r="BG16" s="21">
        <v>0</v>
      </c>
      <c r="BH16" s="21">
        <v>0</v>
      </c>
      <c r="BI16" s="21">
        <v>1</v>
      </c>
      <c r="BJ16" s="21">
        <v>1</v>
      </c>
      <c r="BK16" s="21">
        <v>0</v>
      </c>
      <c r="BL16" s="21">
        <v>0</v>
      </c>
      <c r="BM16" s="21">
        <v>0</v>
      </c>
      <c r="BN16" s="21">
        <v>0</v>
      </c>
      <c r="BO16" s="21">
        <v>0</v>
      </c>
      <c r="BP16" s="21">
        <v>0</v>
      </c>
      <c r="BQ16" s="21">
        <v>0</v>
      </c>
      <c r="BR16" s="21">
        <v>0</v>
      </c>
      <c r="BS16" s="21">
        <v>0</v>
      </c>
      <c r="BT16" s="21">
        <v>0</v>
      </c>
      <c r="BU16" s="21">
        <v>0</v>
      </c>
      <c r="BV16" s="21">
        <v>0</v>
      </c>
      <c r="BW16" s="21">
        <v>0</v>
      </c>
      <c r="BX16" s="21">
        <v>0</v>
      </c>
      <c r="BY16" s="21">
        <v>0</v>
      </c>
      <c r="BZ16" s="21">
        <v>0</v>
      </c>
      <c r="CA16" s="21">
        <v>0</v>
      </c>
      <c r="CB16" s="21">
        <v>0</v>
      </c>
      <c r="CC16" s="21">
        <v>0</v>
      </c>
      <c r="CD16" s="21">
        <v>0</v>
      </c>
      <c r="CE16" s="21">
        <v>0</v>
      </c>
      <c r="CF16" s="21">
        <v>0</v>
      </c>
      <c r="CG16" s="21">
        <v>0</v>
      </c>
      <c r="CH16" s="21">
        <v>0</v>
      </c>
      <c r="CI16" s="21">
        <v>0</v>
      </c>
      <c r="CJ16" s="21">
        <v>0</v>
      </c>
      <c r="CK16" s="21">
        <v>0</v>
      </c>
      <c r="CL16" s="21">
        <v>0</v>
      </c>
      <c r="CM16" s="21">
        <v>0</v>
      </c>
      <c r="CN16" s="21">
        <v>0</v>
      </c>
      <c r="CO16" s="21">
        <v>0</v>
      </c>
      <c r="CP16" s="21">
        <v>0</v>
      </c>
      <c r="CQ16" s="21">
        <v>0</v>
      </c>
      <c r="CR16" s="21">
        <v>0</v>
      </c>
      <c r="CS16" s="21">
        <v>0</v>
      </c>
      <c r="CT16" s="21">
        <v>0</v>
      </c>
      <c r="CU16" s="21">
        <v>0</v>
      </c>
      <c r="CV16" s="21">
        <v>0</v>
      </c>
      <c r="CW16" s="21">
        <v>0</v>
      </c>
      <c r="CX16" s="21">
        <v>0</v>
      </c>
      <c r="CY16" s="21">
        <v>0</v>
      </c>
      <c r="CZ16" s="21">
        <v>0</v>
      </c>
      <c r="DA16" s="21">
        <v>0</v>
      </c>
      <c r="DB16" s="21">
        <v>1</v>
      </c>
      <c r="DC16" s="21">
        <v>0</v>
      </c>
      <c r="DD16" s="21">
        <v>0</v>
      </c>
      <c r="DE16" s="72"/>
      <c r="DG16" s="76"/>
      <c r="DI16" s="76"/>
    </row>
    <row r="17" spans="1:113">
      <c r="A17" s="19" t="s">
        <v>168</v>
      </c>
      <c r="B17" s="19" t="s">
        <v>171</v>
      </c>
      <c r="C17" s="19" t="s">
        <v>170</v>
      </c>
      <c r="D17" s="20">
        <f t="shared" si="0"/>
        <v>27</v>
      </c>
      <c r="E17" s="21">
        <v>3</v>
      </c>
      <c r="F17" s="21">
        <v>0</v>
      </c>
      <c r="G17" s="21">
        <v>0</v>
      </c>
      <c r="H17" s="21">
        <v>0</v>
      </c>
      <c r="I17" s="21">
        <v>0</v>
      </c>
      <c r="J17" s="21">
        <v>0</v>
      </c>
      <c r="K17" s="21">
        <v>0</v>
      </c>
      <c r="L17" s="21">
        <v>0</v>
      </c>
      <c r="M17" s="21">
        <v>0</v>
      </c>
      <c r="N17" s="21">
        <v>0</v>
      </c>
      <c r="O17" s="21">
        <v>0</v>
      </c>
      <c r="P17" s="21">
        <v>0</v>
      </c>
      <c r="Q17" s="21">
        <v>0</v>
      </c>
      <c r="R17" s="21">
        <v>0</v>
      </c>
      <c r="S17" s="21">
        <v>0</v>
      </c>
      <c r="T17" s="21">
        <v>0</v>
      </c>
      <c r="U17" s="21">
        <v>0</v>
      </c>
      <c r="V17" s="21">
        <v>0</v>
      </c>
      <c r="W17" s="21">
        <v>0</v>
      </c>
      <c r="X17" s="21">
        <v>0</v>
      </c>
      <c r="Y17" s="21">
        <v>0</v>
      </c>
      <c r="Z17" s="21">
        <v>0</v>
      </c>
      <c r="AA17" s="21">
        <v>0</v>
      </c>
      <c r="AB17" s="21">
        <v>0</v>
      </c>
      <c r="AC17" s="21">
        <v>0</v>
      </c>
      <c r="AD17" s="21">
        <v>0</v>
      </c>
      <c r="AE17" s="21">
        <v>0</v>
      </c>
      <c r="AF17" s="21">
        <v>0</v>
      </c>
      <c r="AG17" s="21">
        <v>0</v>
      </c>
      <c r="AH17" s="21">
        <v>0</v>
      </c>
      <c r="AI17" s="21">
        <v>0</v>
      </c>
      <c r="AJ17" s="21">
        <v>0</v>
      </c>
      <c r="AK17" s="21">
        <v>0</v>
      </c>
      <c r="AL17" s="21">
        <v>0</v>
      </c>
      <c r="AM17" s="21">
        <v>0</v>
      </c>
      <c r="AN17" s="21">
        <v>0</v>
      </c>
      <c r="AO17" s="21">
        <v>0</v>
      </c>
      <c r="AP17" s="21">
        <v>0</v>
      </c>
      <c r="AQ17" s="21">
        <v>0</v>
      </c>
      <c r="AR17" s="21">
        <v>0</v>
      </c>
      <c r="AS17" s="21">
        <v>0</v>
      </c>
      <c r="AT17" s="21">
        <v>0</v>
      </c>
      <c r="AU17" s="21">
        <v>0</v>
      </c>
      <c r="AV17" s="21">
        <v>0</v>
      </c>
      <c r="AW17" s="21">
        <v>0</v>
      </c>
      <c r="AX17" s="21">
        <v>0</v>
      </c>
      <c r="AY17" s="21">
        <v>0</v>
      </c>
      <c r="AZ17" s="21">
        <v>0</v>
      </c>
      <c r="BA17" s="21">
        <v>0</v>
      </c>
      <c r="BB17" s="21">
        <v>0</v>
      </c>
      <c r="BC17" s="21">
        <v>0</v>
      </c>
      <c r="BD17" s="21">
        <v>0</v>
      </c>
      <c r="BE17" s="21">
        <v>0</v>
      </c>
      <c r="BF17" s="21">
        <v>0</v>
      </c>
      <c r="BG17" s="21">
        <v>0</v>
      </c>
      <c r="BH17" s="21">
        <v>0</v>
      </c>
      <c r="BI17" s="21">
        <v>4</v>
      </c>
      <c r="BJ17" s="21">
        <v>17</v>
      </c>
      <c r="BK17" s="21">
        <v>2</v>
      </c>
      <c r="BL17" s="21">
        <v>0</v>
      </c>
      <c r="BM17" s="21">
        <v>0</v>
      </c>
      <c r="BN17" s="21">
        <v>0</v>
      </c>
      <c r="BO17" s="21">
        <v>0</v>
      </c>
      <c r="BP17" s="21">
        <v>0</v>
      </c>
      <c r="BQ17" s="21">
        <v>0</v>
      </c>
      <c r="BR17" s="21">
        <v>0</v>
      </c>
      <c r="BS17" s="21">
        <v>0</v>
      </c>
      <c r="BT17" s="21">
        <v>0</v>
      </c>
      <c r="BU17" s="21">
        <v>0</v>
      </c>
      <c r="BV17" s="21">
        <v>0</v>
      </c>
      <c r="BW17" s="21">
        <v>0</v>
      </c>
      <c r="BX17" s="21">
        <v>0</v>
      </c>
      <c r="BY17" s="21">
        <v>0</v>
      </c>
      <c r="BZ17" s="21">
        <v>0</v>
      </c>
      <c r="CA17" s="21">
        <v>0</v>
      </c>
      <c r="CB17" s="21">
        <v>0</v>
      </c>
      <c r="CC17" s="21">
        <v>0</v>
      </c>
      <c r="CD17" s="21">
        <v>0</v>
      </c>
      <c r="CE17" s="21">
        <v>0</v>
      </c>
      <c r="CF17" s="21">
        <v>0</v>
      </c>
      <c r="CG17" s="21">
        <v>0</v>
      </c>
      <c r="CH17" s="21">
        <v>0</v>
      </c>
      <c r="CI17" s="21">
        <v>0</v>
      </c>
      <c r="CJ17" s="21">
        <v>0</v>
      </c>
      <c r="CK17" s="21">
        <v>0</v>
      </c>
      <c r="CL17" s="21">
        <v>0</v>
      </c>
      <c r="CM17" s="21">
        <v>0</v>
      </c>
      <c r="CN17" s="21">
        <v>0</v>
      </c>
      <c r="CO17" s="21">
        <v>0</v>
      </c>
      <c r="CP17" s="21">
        <v>0</v>
      </c>
      <c r="CQ17" s="21">
        <v>0</v>
      </c>
      <c r="CR17" s="21">
        <v>0</v>
      </c>
      <c r="CS17" s="21">
        <v>0</v>
      </c>
      <c r="CT17" s="21">
        <v>0</v>
      </c>
      <c r="CU17" s="21">
        <v>0</v>
      </c>
      <c r="CV17" s="21">
        <v>0</v>
      </c>
      <c r="CW17" s="21">
        <v>0</v>
      </c>
      <c r="CX17" s="21">
        <v>0</v>
      </c>
      <c r="CY17" s="21">
        <v>0</v>
      </c>
      <c r="CZ17" s="21">
        <v>1</v>
      </c>
      <c r="DA17" s="21">
        <v>0</v>
      </c>
      <c r="DB17" s="21">
        <v>0</v>
      </c>
      <c r="DC17" s="21">
        <v>0</v>
      </c>
      <c r="DD17" s="21">
        <v>0</v>
      </c>
      <c r="DE17" s="72"/>
      <c r="DG17" s="76"/>
      <c r="DI17" s="76"/>
    </row>
    <row r="18" spans="1:113">
      <c r="A18" s="19" t="s">
        <v>168</v>
      </c>
      <c r="B18" s="19" t="s">
        <v>172</v>
      </c>
      <c r="C18" s="19" t="s">
        <v>170</v>
      </c>
      <c r="D18" s="20">
        <f t="shared" si="0"/>
        <v>12</v>
      </c>
      <c r="E18" s="21">
        <v>4</v>
      </c>
      <c r="F18" s="21">
        <v>0</v>
      </c>
      <c r="G18" s="21">
        <v>0</v>
      </c>
      <c r="H18" s="21">
        <v>0</v>
      </c>
      <c r="I18" s="21">
        <v>0</v>
      </c>
      <c r="J18" s="21">
        <v>0</v>
      </c>
      <c r="K18" s="21">
        <v>0</v>
      </c>
      <c r="L18" s="21">
        <v>0</v>
      </c>
      <c r="M18" s="21">
        <v>0</v>
      </c>
      <c r="N18" s="21">
        <v>0</v>
      </c>
      <c r="O18" s="21">
        <v>0</v>
      </c>
      <c r="P18" s="21">
        <v>0</v>
      </c>
      <c r="Q18" s="21">
        <v>0</v>
      </c>
      <c r="R18" s="21">
        <v>0</v>
      </c>
      <c r="S18" s="21">
        <v>0</v>
      </c>
      <c r="T18" s="21">
        <v>0</v>
      </c>
      <c r="U18" s="21">
        <v>0</v>
      </c>
      <c r="V18" s="21">
        <v>0</v>
      </c>
      <c r="W18" s="21">
        <v>0</v>
      </c>
      <c r="X18" s="21">
        <v>0</v>
      </c>
      <c r="Y18" s="21">
        <v>0</v>
      </c>
      <c r="Z18" s="21">
        <v>0</v>
      </c>
      <c r="AA18" s="21">
        <v>0</v>
      </c>
      <c r="AB18" s="21">
        <v>0</v>
      </c>
      <c r="AC18" s="21">
        <v>0</v>
      </c>
      <c r="AD18" s="21">
        <v>0</v>
      </c>
      <c r="AE18" s="21">
        <v>0</v>
      </c>
      <c r="AF18" s="21">
        <v>0</v>
      </c>
      <c r="AG18" s="21">
        <v>0</v>
      </c>
      <c r="AH18" s="21">
        <v>0</v>
      </c>
      <c r="AI18" s="21">
        <v>0</v>
      </c>
      <c r="AJ18" s="21">
        <v>0</v>
      </c>
      <c r="AK18" s="21">
        <v>0</v>
      </c>
      <c r="AL18" s="21">
        <v>0</v>
      </c>
      <c r="AM18" s="21">
        <v>0</v>
      </c>
      <c r="AN18" s="21">
        <v>0</v>
      </c>
      <c r="AO18" s="21">
        <v>0</v>
      </c>
      <c r="AP18" s="21">
        <v>0</v>
      </c>
      <c r="AQ18" s="21">
        <v>0</v>
      </c>
      <c r="AR18" s="21">
        <v>0</v>
      </c>
      <c r="AS18" s="21">
        <v>0</v>
      </c>
      <c r="AT18" s="21">
        <v>0</v>
      </c>
      <c r="AU18" s="21">
        <v>0</v>
      </c>
      <c r="AV18" s="21">
        <v>0</v>
      </c>
      <c r="AW18" s="21">
        <v>0</v>
      </c>
      <c r="AX18" s="21">
        <v>0</v>
      </c>
      <c r="AY18" s="21">
        <v>0</v>
      </c>
      <c r="AZ18" s="21">
        <v>0</v>
      </c>
      <c r="BA18" s="21">
        <v>0</v>
      </c>
      <c r="BB18" s="21">
        <v>0</v>
      </c>
      <c r="BC18" s="21">
        <v>0</v>
      </c>
      <c r="BD18" s="21">
        <v>0</v>
      </c>
      <c r="BE18" s="21">
        <v>0</v>
      </c>
      <c r="BF18" s="21">
        <v>0</v>
      </c>
      <c r="BG18" s="21">
        <v>0</v>
      </c>
      <c r="BH18" s="21">
        <v>0</v>
      </c>
      <c r="BI18" s="21">
        <v>2</v>
      </c>
      <c r="BJ18" s="21">
        <v>6</v>
      </c>
      <c r="BK18" s="21">
        <v>0</v>
      </c>
      <c r="BL18" s="21">
        <v>0</v>
      </c>
      <c r="BM18" s="21">
        <v>0</v>
      </c>
      <c r="BN18" s="21">
        <v>0</v>
      </c>
      <c r="BO18" s="21">
        <v>0</v>
      </c>
      <c r="BP18" s="21">
        <v>0</v>
      </c>
      <c r="BQ18" s="21">
        <v>0</v>
      </c>
      <c r="BR18" s="21">
        <v>0</v>
      </c>
      <c r="BS18" s="21">
        <v>0</v>
      </c>
      <c r="BT18" s="21">
        <v>0</v>
      </c>
      <c r="BU18" s="21">
        <v>0</v>
      </c>
      <c r="BV18" s="21">
        <v>0</v>
      </c>
      <c r="BW18" s="21">
        <v>0</v>
      </c>
      <c r="BX18" s="21">
        <v>0</v>
      </c>
      <c r="BY18" s="21">
        <v>0</v>
      </c>
      <c r="BZ18" s="21">
        <v>0</v>
      </c>
      <c r="CA18" s="21">
        <v>0</v>
      </c>
      <c r="CB18" s="21">
        <v>0</v>
      </c>
      <c r="CC18" s="21">
        <v>0</v>
      </c>
      <c r="CD18" s="21">
        <v>0</v>
      </c>
      <c r="CE18" s="21">
        <v>0</v>
      </c>
      <c r="CF18" s="21">
        <v>0</v>
      </c>
      <c r="CG18" s="21">
        <v>0</v>
      </c>
      <c r="CH18" s="21">
        <v>0</v>
      </c>
      <c r="CI18" s="21">
        <v>0</v>
      </c>
      <c r="CJ18" s="21">
        <v>0</v>
      </c>
      <c r="CK18" s="21">
        <v>0</v>
      </c>
      <c r="CL18" s="21">
        <v>0</v>
      </c>
      <c r="CM18" s="21">
        <v>0</v>
      </c>
      <c r="CN18" s="21">
        <v>0</v>
      </c>
      <c r="CO18" s="21">
        <v>0</v>
      </c>
      <c r="CP18" s="21">
        <v>0</v>
      </c>
      <c r="CQ18" s="21">
        <v>0</v>
      </c>
      <c r="CR18" s="21">
        <v>0</v>
      </c>
      <c r="CS18" s="21">
        <v>0</v>
      </c>
      <c r="CT18" s="21">
        <v>0</v>
      </c>
      <c r="CU18" s="21">
        <v>0</v>
      </c>
      <c r="CV18" s="21">
        <v>0</v>
      </c>
      <c r="CW18" s="21">
        <v>0</v>
      </c>
      <c r="CX18" s="21">
        <v>0</v>
      </c>
      <c r="CY18" s="21">
        <v>0</v>
      </c>
      <c r="CZ18" s="21">
        <v>0</v>
      </c>
      <c r="DA18" s="21">
        <v>0</v>
      </c>
      <c r="DB18" s="21">
        <v>0</v>
      </c>
      <c r="DC18" s="21">
        <v>0</v>
      </c>
      <c r="DD18" s="21">
        <v>0</v>
      </c>
      <c r="DE18" s="72"/>
      <c r="DG18" s="76"/>
      <c r="DI18" s="76"/>
    </row>
    <row r="19" spans="1:113">
      <c r="A19" s="19" t="s">
        <v>173</v>
      </c>
      <c r="B19" s="19" t="s">
        <v>174</v>
      </c>
      <c r="C19" s="19" t="s">
        <v>175</v>
      </c>
      <c r="D19" s="20">
        <f t="shared" si="0"/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1">
        <v>0</v>
      </c>
      <c r="BG19" s="21">
        <v>0</v>
      </c>
      <c r="BH19" s="21">
        <v>0</v>
      </c>
      <c r="BI19" s="21">
        <v>0</v>
      </c>
      <c r="BJ19" s="21">
        <v>0</v>
      </c>
      <c r="BK19" s="21">
        <v>0</v>
      </c>
      <c r="BL19" s="21">
        <v>0</v>
      </c>
      <c r="BM19" s="21">
        <v>0</v>
      </c>
      <c r="BN19" s="21">
        <v>0</v>
      </c>
      <c r="BO19" s="21">
        <v>0</v>
      </c>
      <c r="BP19" s="21">
        <v>0</v>
      </c>
      <c r="BQ19" s="21">
        <v>0</v>
      </c>
      <c r="BR19" s="21">
        <v>0</v>
      </c>
      <c r="BS19" s="21">
        <v>0</v>
      </c>
      <c r="BT19" s="21">
        <v>0</v>
      </c>
      <c r="BU19" s="21">
        <v>0</v>
      </c>
      <c r="BV19" s="21">
        <v>0</v>
      </c>
      <c r="BW19" s="21">
        <v>0</v>
      </c>
      <c r="BX19" s="21">
        <v>0</v>
      </c>
      <c r="BY19" s="21">
        <v>0</v>
      </c>
      <c r="BZ19" s="21">
        <v>0</v>
      </c>
      <c r="CA19" s="21">
        <v>0</v>
      </c>
      <c r="CB19" s="21">
        <v>0</v>
      </c>
      <c r="CC19" s="21">
        <v>0</v>
      </c>
      <c r="CD19" s="21">
        <v>0</v>
      </c>
      <c r="CE19" s="21">
        <v>0</v>
      </c>
      <c r="CF19" s="21">
        <v>0</v>
      </c>
      <c r="CG19" s="21">
        <v>0</v>
      </c>
      <c r="CH19" s="21">
        <v>0</v>
      </c>
      <c r="CI19" s="21">
        <v>0</v>
      </c>
      <c r="CJ19" s="21">
        <v>0</v>
      </c>
      <c r="CK19" s="21">
        <v>0</v>
      </c>
      <c r="CL19" s="21">
        <v>0</v>
      </c>
      <c r="CM19" s="21">
        <v>0</v>
      </c>
      <c r="CN19" s="21">
        <v>0</v>
      </c>
      <c r="CO19" s="21">
        <v>0</v>
      </c>
      <c r="CP19" s="21">
        <v>0</v>
      </c>
      <c r="CQ19" s="21">
        <v>0</v>
      </c>
      <c r="CR19" s="21">
        <v>0</v>
      </c>
      <c r="CS19" s="21">
        <v>0</v>
      </c>
      <c r="CT19" s="21">
        <v>0</v>
      </c>
      <c r="CU19" s="21">
        <v>0</v>
      </c>
      <c r="CV19" s="21">
        <v>0</v>
      </c>
      <c r="CW19" s="21">
        <v>0</v>
      </c>
      <c r="CX19" s="21">
        <v>0</v>
      </c>
      <c r="CY19" s="21">
        <v>0</v>
      </c>
      <c r="CZ19" s="21">
        <v>0</v>
      </c>
      <c r="DA19" s="21">
        <v>0</v>
      </c>
      <c r="DB19" s="21">
        <v>0</v>
      </c>
      <c r="DC19" s="21">
        <v>0</v>
      </c>
      <c r="DD19" s="21">
        <v>0</v>
      </c>
      <c r="DE19" s="72"/>
      <c r="DG19" s="76"/>
      <c r="DI19" s="76"/>
    </row>
    <row r="20" spans="1:113">
      <c r="A20" s="19" t="s">
        <v>176</v>
      </c>
      <c r="B20" s="19" t="s">
        <v>177</v>
      </c>
      <c r="C20" s="19" t="s">
        <v>178</v>
      </c>
      <c r="D20" s="20">
        <f t="shared" si="0"/>
        <v>79</v>
      </c>
      <c r="E20" s="21">
        <v>3</v>
      </c>
      <c r="F20" s="21">
        <v>0</v>
      </c>
      <c r="G20" s="21">
        <v>0</v>
      </c>
      <c r="H20" s="21">
        <v>0</v>
      </c>
      <c r="I20" s="21">
        <v>0</v>
      </c>
      <c r="J20" s="21">
        <v>0</v>
      </c>
      <c r="K20" s="21">
        <v>0</v>
      </c>
      <c r="L20" s="21">
        <v>0</v>
      </c>
      <c r="M20" s="21">
        <v>0</v>
      </c>
      <c r="N20" s="21">
        <v>0</v>
      </c>
      <c r="O20" s="21">
        <v>0</v>
      </c>
      <c r="P20" s="21">
        <v>0</v>
      </c>
      <c r="Q20" s="21">
        <v>0</v>
      </c>
      <c r="R20" s="21">
        <v>0</v>
      </c>
      <c r="S20" s="21">
        <v>0</v>
      </c>
      <c r="T20" s="21">
        <v>0</v>
      </c>
      <c r="U20" s="21">
        <v>0</v>
      </c>
      <c r="V20" s="21">
        <v>0</v>
      </c>
      <c r="W20" s="21">
        <v>0</v>
      </c>
      <c r="X20" s="21">
        <v>0</v>
      </c>
      <c r="Y20" s="21">
        <v>0</v>
      </c>
      <c r="Z20" s="21">
        <v>0</v>
      </c>
      <c r="AA20" s="21">
        <v>0</v>
      </c>
      <c r="AB20" s="21">
        <v>0</v>
      </c>
      <c r="AC20" s="21">
        <v>0</v>
      </c>
      <c r="AD20" s="21">
        <v>0</v>
      </c>
      <c r="AE20" s="21">
        <v>0</v>
      </c>
      <c r="AF20" s="21">
        <v>0</v>
      </c>
      <c r="AG20" s="21">
        <v>0</v>
      </c>
      <c r="AH20" s="21">
        <v>0</v>
      </c>
      <c r="AI20" s="21">
        <v>0</v>
      </c>
      <c r="AJ20" s="21">
        <v>0</v>
      </c>
      <c r="AK20" s="21">
        <v>0</v>
      </c>
      <c r="AL20" s="21">
        <v>0</v>
      </c>
      <c r="AM20" s="21">
        <v>0</v>
      </c>
      <c r="AN20" s="21">
        <v>0</v>
      </c>
      <c r="AO20" s="21">
        <v>0</v>
      </c>
      <c r="AP20" s="21">
        <v>0</v>
      </c>
      <c r="AQ20" s="21">
        <v>0</v>
      </c>
      <c r="AR20" s="21">
        <v>0</v>
      </c>
      <c r="AS20" s="21">
        <v>0</v>
      </c>
      <c r="AT20" s="21">
        <v>0</v>
      </c>
      <c r="AU20" s="21">
        <v>0</v>
      </c>
      <c r="AV20" s="21">
        <v>0</v>
      </c>
      <c r="AW20" s="21">
        <v>0</v>
      </c>
      <c r="AX20" s="21">
        <v>0</v>
      </c>
      <c r="AY20" s="21">
        <v>0</v>
      </c>
      <c r="AZ20" s="21">
        <v>0</v>
      </c>
      <c r="BA20" s="21">
        <v>0</v>
      </c>
      <c r="BB20" s="21">
        <v>0</v>
      </c>
      <c r="BC20" s="21">
        <v>0</v>
      </c>
      <c r="BD20" s="21">
        <v>0</v>
      </c>
      <c r="BE20" s="21">
        <v>0</v>
      </c>
      <c r="BF20" s="21">
        <v>0</v>
      </c>
      <c r="BG20" s="21">
        <v>0</v>
      </c>
      <c r="BH20" s="21">
        <v>0</v>
      </c>
      <c r="BI20" s="21">
        <v>12</v>
      </c>
      <c r="BJ20" s="21">
        <v>57</v>
      </c>
      <c r="BK20" s="21">
        <v>6</v>
      </c>
      <c r="BL20" s="21">
        <v>0</v>
      </c>
      <c r="BM20" s="21">
        <v>0</v>
      </c>
      <c r="BN20" s="21">
        <v>0</v>
      </c>
      <c r="BO20" s="21">
        <v>0</v>
      </c>
      <c r="BP20" s="21">
        <v>0</v>
      </c>
      <c r="BQ20" s="21">
        <v>0</v>
      </c>
      <c r="BR20" s="21">
        <v>0</v>
      </c>
      <c r="BS20" s="21">
        <v>0</v>
      </c>
      <c r="BT20" s="21">
        <v>0</v>
      </c>
      <c r="BU20" s="21">
        <v>0</v>
      </c>
      <c r="BV20" s="21">
        <v>0</v>
      </c>
      <c r="BW20" s="21">
        <v>0</v>
      </c>
      <c r="BX20" s="21">
        <v>0</v>
      </c>
      <c r="BY20" s="21">
        <v>0</v>
      </c>
      <c r="BZ20" s="21">
        <v>0</v>
      </c>
      <c r="CA20" s="21">
        <v>0</v>
      </c>
      <c r="CB20" s="21">
        <v>0</v>
      </c>
      <c r="CC20" s="21">
        <v>0</v>
      </c>
      <c r="CD20" s="21">
        <v>0</v>
      </c>
      <c r="CE20" s="21">
        <v>0</v>
      </c>
      <c r="CF20" s="21">
        <v>0</v>
      </c>
      <c r="CG20" s="21">
        <v>0</v>
      </c>
      <c r="CH20" s="21">
        <v>0</v>
      </c>
      <c r="CI20" s="21">
        <v>0</v>
      </c>
      <c r="CJ20" s="21">
        <v>0</v>
      </c>
      <c r="CK20" s="21">
        <v>0</v>
      </c>
      <c r="CL20" s="21">
        <v>0</v>
      </c>
      <c r="CM20" s="21">
        <v>0</v>
      </c>
      <c r="CN20" s="21">
        <v>0</v>
      </c>
      <c r="CO20" s="21">
        <v>0</v>
      </c>
      <c r="CP20" s="21">
        <v>0</v>
      </c>
      <c r="CQ20" s="21">
        <v>0</v>
      </c>
      <c r="CR20" s="21">
        <v>0</v>
      </c>
      <c r="CS20" s="21">
        <v>0</v>
      </c>
      <c r="CT20" s="21">
        <v>0</v>
      </c>
      <c r="CU20" s="21">
        <v>0</v>
      </c>
      <c r="CV20" s="21">
        <v>0</v>
      </c>
      <c r="CW20" s="21">
        <v>0</v>
      </c>
      <c r="CX20" s="21">
        <v>0</v>
      </c>
      <c r="CY20" s="21">
        <v>0</v>
      </c>
      <c r="CZ20" s="21">
        <v>1</v>
      </c>
      <c r="DA20" s="21">
        <v>0</v>
      </c>
      <c r="DB20" s="21">
        <v>0</v>
      </c>
      <c r="DC20" s="21">
        <v>0</v>
      </c>
      <c r="DD20" s="21">
        <v>0</v>
      </c>
      <c r="DE20" s="72"/>
      <c r="DG20" s="76"/>
      <c r="DI20" s="76"/>
    </row>
    <row r="21" spans="1:113">
      <c r="A21" s="19" t="s">
        <v>179</v>
      </c>
      <c r="B21" s="19" t="s">
        <v>180</v>
      </c>
      <c r="C21" s="19" t="s">
        <v>181</v>
      </c>
      <c r="D21" s="20">
        <f t="shared" si="0"/>
        <v>8016</v>
      </c>
      <c r="E21" s="21">
        <v>0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1">
        <v>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  <c r="W21" s="21">
        <v>0</v>
      </c>
      <c r="X21" s="21">
        <v>0</v>
      </c>
      <c r="Y21" s="21">
        <v>0</v>
      </c>
      <c r="Z21" s="21">
        <v>0</v>
      </c>
      <c r="AA21" s="21">
        <v>0</v>
      </c>
      <c r="AB21" s="21">
        <v>0</v>
      </c>
      <c r="AC21" s="21">
        <v>0</v>
      </c>
      <c r="AD21" s="21">
        <v>0</v>
      </c>
      <c r="AE21" s="21">
        <v>0</v>
      </c>
      <c r="AF21" s="21">
        <v>0</v>
      </c>
      <c r="AG21" s="21">
        <v>0</v>
      </c>
      <c r="AH21" s="21">
        <v>0</v>
      </c>
      <c r="AI21" s="21">
        <v>0</v>
      </c>
      <c r="AJ21" s="21">
        <v>0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1">
        <v>0</v>
      </c>
      <c r="AS21" s="21">
        <v>0</v>
      </c>
      <c r="AT21" s="21">
        <v>0</v>
      </c>
      <c r="AU21" s="21">
        <v>0</v>
      </c>
      <c r="AV21" s="21">
        <v>0</v>
      </c>
      <c r="AW21" s="21">
        <v>0</v>
      </c>
      <c r="AX21" s="21">
        <v>0</v>
      </c>
      <c r="AY21" s="21">
        <v>0</v>
      </c>
      <c r="AZ21" s="21">
        <v>0</v>
      </c>
      <c r="BA21" s="21">
        <v>0</v>
      </c>
      <c r="BB21" s="21">
        <v>0</v>
      </c>
      <c r="BC21" s="21">
        <v>0</v>
      </c>
      <c r="BD21" s="21">
        <v>0</v>
      </c>
      <c r="BE21" s="21">
        <v>0</v>
      </c>
      <c r="BF21" s="21">
        <v>0</v>
      </c>
      <c r="BG21" s="21">
        <v>0</v>
      </c>
      <c r="BH21" s="21">
        <v>0</v>
      </c>
      <c r="BI21" s="21">
        <v>0</v>
      </c>
      <c r="BJ21" s="21">
        <v>8016</v>
      </c>
      <c r="BK21" s="21">
        <v>0</v>
      </c>
      <c r="BL21" s="21">
        <v>0</v>
      </c>
      <c r="BM21" s="21">
        <v>0</v>
      </c>
      <c r="BN21" s="21">
        <v>0</v>
      </c>
      <c r="BO21" s="21">
        <v>0</v>
      </c>
      <c r="BP21" s="21">
        <v>0</v>
      </c>
      <c r="BQ21" s="21">
        <v>0</v>
      </c>
      <c r="BR21" s="21">
        <v>0</v>
      </c>
      <c r="BS21" s="21">
        <v>0</v>
      </c>
      <c r="BT21" s="21">
        <v>0</v>
      </c>
      <c r="BU21" s="21">
        <v>0</v>
      </c>
      <c r="BV21" s="21">
        <v>0</v>
      </c>
      <c r="BW21" s="21">
        <v>0</v>
      </c>
      <c r="BX21" s="21">
        <v>0</v>
      </c>
      <c r="BY21" s="21">
        <v>0</v>
      </c>
      <c r="BZ21" s="21">
        <v>0</v>
      </c>
      <c r="CA21" s="21">
        <v>0</v>
      </c>
      <c r="CB21" s="21">
        <v>0</v>
      </c>
      <c r="CC21" s="21">
        <v>0</v>
      </c>
      <c r="CD21" s="21">
        <v>0</v>
      </c>
      <c r="CE21" s="21">
        <v>0</v>
      </c>
      <c r="CF21" s="21">
        <v>0</v>
      </c>
      <c r="CG21" s="21">
        <v>0</v>
      </c>
      <c r="CH21" s="21">
        <v>0</v>
      </c>
      <c r="CI21" s="21">
        <v>0</v>
      </c>
      <c r="CJ21" s="21">
        <v>0</v>
      </c>
      <c r="CK21" s="21">
        <v>0</v>
      </c>
      <c r="CL21" s="21">
        <v>0</v>
      </c>
      <c r="CM21" s="21">
        <v>0</v>
      </c>
      <c r="CN21" s="21">
        <v>0</v>
      </c>
      <c r="CO21" s="21">
        <v>0</v>
      </c>
      <c r="CP21" s="21">
        <v>0</v>
      </c>
      <c r="CQ21" s="21">
        <v>0</v>
      </c>
      <c r="CR21" s="21">
        <v>0</v>
      </c>
      <c r="CS21" s="21">
        <v>0</v>
      </c>
      <c r="CT21" s="21">
        <v>0</v>
      </c>
      <c r="CU21" s="21">
        <v>0</v>
      </c>
      <c r="CV21" s="21">
        <v>0</v>
      </c>
      <c r="CW21" s="21">
        <v>0</v>
      </c>
      <c r="CX21" s="21">
        <v>0</v>
      </c>
      <c r="CY21" s="21">
        <v>0</v>
      </c>
      <c r="CZ21" s="21">
        <v>0</v>
      </c>
      <c r="DA21" s="21">
        <v>0</v>
      </c>
      <c r="DB21" s="21">
        <v>0</v>
      </c>
      <c r="DC21" s="21">
        <v>0</v>
      </c>
      <c r="DD21" s="21">
        <v>0</v>
      </c>
      <c r="DE21" s="72"/>
      <c r="DG21" s="76"/>
      <c r="DI21" s="76"/>
    </row>
    <row r="22" spans="1:113">
      <c r="A22" s="19" t="s">
        <v>182</v>
      </c>
      <c r="B22" s="19" t="s">
        <v>183</v>
      </c>
      <c r="C22" s="19" t="s">
        <v>181</v>
      </c>
      <c r="D22" s="20">
        <f t="shared" si="0"/>
        <v>0</v>
      </c>
      <c r="E22" s="21">
        <v>0</v>
      </c>
      <c r="F22" s="21">
        <v>0</v>
      </c>
      <c r="G22" s="21">
        <v>0</v>
      </c>
      <c r="H22" s="21">
        <v>0</v>
      </c>
      <c r="I22" s="21">
        <v>0</v>
      </c>
      <c r="J22" s="21">
        <v>0</v>
      </c>
      <c r="K22" s="21">
        <v>0</v>
      </c>
      <c r="L22" s="21">
        <v>0</v>
      </c>
      <c r="M22" s="21">
        <v>0</v>
      </c>
      <c r="N22" s="21">
        <v>0</v>
      </c>
      <c r="O22" s="21">
        <v>0</v>
      </c>
      <c r="P22" s="21">
        <v>0</v>
      </c>
      <c r="Q22" s="21">
        <v>0</v>
      </c>
      <c r="R22" s="21">
        <v>0</v>
      </c>
      <c r="S22" s="21">
        <v>0</v>
      </c>
      <c r="T22" s="21">
        <v>0</v>
      </c>
      <c r="U22" s="21">
        <v>0</v>
      </c>
      <c r="V22" s="21">
        <v>0</v>
      </c>
      <c r="W22" s="21">
        <v>0</v>
      </c>
      <c r="X22" s="21">
        <v>0</v>
      </c>
      <c r="Y22" s="21">
        <v>0</v>
      </c>
      <c r="Z22" s="21">
        <v>0</v>
      </c>
      <c r="AA22" s="21">
        <v>0</v>
      </c>
      <c r="AB22" s="21">
        <v>0</v>
      </c>
      <c r="AC22" s="21">
        <v>0</v>
      </c>
      <c r="AD22" s="21">
        <v>0</v>
      </c>
      <c r="AE22" s="21">
        <v>0</v>
      </c>
      <c r="AF22" s="21">
        <v>0</v>
      </c>
      <c r="AG22" s="21">
        <v>0</v>
      </c>
      <c r="AH22" s="21">
        <v>0</v>
      </c>
      <c r="AI22" s="21">
        <v>0</v>
      </c>
      <c r="AJ22" s="21">
        <v>0</v>
      </c>
      <c r="AK22" s="21">
        <v>0</v>
      </c>
      <c r="AL22" s="21">
        <v>0</v>
      </c>
      <c r="AM22" s="21">
        <v>0</v>
      </c>
      <c r="AN22" s="21">
        <v>0</v>
      </c>
      <c r="AO22" s="21">
        <v>0</v>
      </c>
      <c r="AP22" s="21">
        <v>0</v>
      </c>
      <c r="AQ22" s="21">
        <v>0</v>
      </c>
      <c r="AR22" s="21">
        <v>0</v>
      </c>
      <c r="AS22" s="21">
        <v>0</v>
      </c>
      <c r="AT22" s="21">
        <v>0</v>
      </c>
      <c r="AU22" s="21">
        <v>0</v>
      </c>
      <c r="AV22" s="21">
        <v>0</v>
      </c>
      <c r="AW22" s="21">
        <v>0</v>
      </c>
      <c r="AX22" s="21">
        <v>0</v>
      </c>
      <c r="AY22" s="21">
        <v>0</v>
      </c>
      <c r="AZ22" s="21">
        <v>0</v>
      </c>
      <c r="BA22" s="21">
        <v>0</v>
      </c>
      <c r="BB22" s="21">
        <v>0</v>
      </c>
      <c r="BC22" s="21">
        <v>0</v>
      </c>
      <c r="BD22" s="21">
        <v>0</v>
      </c>
      <c r="BE22" s="21">
        <v>0</v>
      </c>
      <c r="BF22" s="21">
        <v>0</v>
      </c>
      <c r="BG22" s="21">
        <v>0</v>
      </c>
      <c r="BH22" s="21">
        <v>0</v>
      </c>
      <c r="BI22" s="21">
        <v>0</v>
      </c>
      <c r="BJ22" s="21">
        <v>0</v>
      </c>
      <c r="BK22" s="21">
        <v>0</v>
      </c>
      <c r="BL22" s="21">
        <v>0</v>
      </c>
      <c r="BM22" s="21">
        <v>0</v>
      </c>
      <c r="BN22" s="21">
        <v>0</v>
      </c>
      <c r="BO22" s="21">
        <v>0</v>
      </c>
      <c r="BP22" s="21">
        <v>0</v>
      </c>
      <c r="BQ22" s="21">
        <v>0</v>
      </c>
      <c r="BR22" s="21">
        <v>0</v>
      </c>
      <c r="BS22" s="21">
        <v>0</v>
      </c>
      <c r="BT22" s="21">
        <v>0</v>
      </c>
      <c r="BU22" s="21">
        <v>0</v>
      </c>
      <c r="BV22" s="21">
        <v>0</v>
      </c>
      <c r="BW22" s="21">
        <v>0</v>
      </c>
      <c r="BX22" s="21">
        <v>0</v>
      </c>
      <c r="BY22" s="21">
        <v>0</v>
      </c>
      <c r="BZ22" s="21">
        <v>0</v>
      </c>
      <c r="CA22" s="21">
        <v>0</v>
      </c>
      <c r="CB22" s="21">
        <v>0</v>
      </c>
      <c r="CC22" s="21">
        <v>0</v>
      </c>
      <c r="CD22" s="21">
        <v>0</v>
      </c>
      <c r="CE22" s="21">
        <v>0</v>
      </c>
      <c r="CF22" s="21">
        <v>0</v>
      </c>
      <c r="CG22" s="21">
        <v>0</v>
      </c>
      <c r="CH22" s="21">
        <v>0</v>
      </c>
      <c r="CI22" s="21">
        <v>0</v>
      </c>
      <c r="CJ22" s="21">
        <v>0</v>
      </c>
      <c r="CK22" s="21">
        <v>0</v>
      </c>
      <c r="CL22" s="21">
        <v>0</v>
      </c>
      <c r="CM22" s="21">
        <v>0</v>
      </c>
      <c r="CN22" s="21">
        <v>0</v>
      </c>
      <c r="CO22" s="21">
        <v>0</v>
      </c>
      <c r="CP22" s="21">
        <v>0</v>
      </c>
      <c r="CQ22" s="21">
        <v>0</v>
      </c>
      <c r="CR22" s="21">
        <v>0</v>
      </c>
      <c r="CS22" s="21">
        <v>0</v>
      </c>
      <c r="CT22" s="21">
        <v>0</v>
      </c>
      <c r="CU22" s="21">
        <v>0</v>
      </c>
      <c r="CV22" s="21">
        <v>0</v>
      </c>
      <c r="CW22" s="21">
        <v>0</v>
      </c>
      <c r="CX22" s="21">
        <v>0</v>
      </c>
      <c r="CY22" s="21">
        <v>0</v>
      </c>
      <c r="CZ22" s="21">
        <v>0</v>
      </c>
      <c r="DA22" s="21">
        <v>0</v>
      </c>
      <c r="DB22" s="21">
        <v>0</v>
      </c>
      <c r="DC22" s="21">
        <v>0</v>
      </c>
      <c r="DD22" s="21">
        <v>0</v>
      </c>
      <c r="DE22" s="73"/>
      <c r="DG22" s="76"/>
      <c r="DI22" s="76"/>
    </row>
    <row r="23" spans="1:113">
      <c r="A23" s="19" t="s">
        <v>182</v>
      </c>
      <c r="B23" s="19" t="s">
        <v>184</v>
      </c>
      <c r="C23" s="19" t="s">
        <v>181</v>
      </c>
      <c r="D23" s="20">
        <f t="shared" si="0"/>
        <v>8016</v>
      </c>
      <c r="E23" s="21">
        <v>0</v>
      </c>
      <c r="F23" s="21">
        <v>0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  <c r="M23" s="21">
        <v>0</v>
      </c>
      <c r="N23" s="21">
        <v>0</v>
      </c>
      <c r="O23" s="21">
        <v>0</v>
      </c>
      <c r="P23" s="21">
        <v>0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21">
        <v>0</v>
      </c>
      <c r="Y23" s="21">
        <v>0</v>
      </c>
      <c r="Z23" s="21">
        <v>0</v>
      </c>
      <c r="AA23" s="21">
        <v>0</v>
      </c>
      <c r="AB23" s="21">
        <v>0</v>
      </c>
      <c r="AC23" s="21">
        <v>0</v>
      </c>
      <c r="AD23" s="21">
        <v>0</v>
      </c>
      <c r="AE23" s="21">
        <v>0</v>
      </c>
      <c r="AF23" s="21">
        <v>0</v>
      </c>
      <c r="AG23" s="21">
        <v>0</v>
      </c>
      <c r="AH23" s="21">
        <v>0</v>
      </c>
      <c r="AI23" s="21">
        <v>0</v>
      </c>
      <c r="AJ23" s="21">
        <v>0</v>
      </c>
      <c r="AK23" s="21">
        <v>0</v>
      </c>
      <c r="AL23" s="21">
        <v>0</v>
      </c>
      <c r="AM23" s="21">
        <v>0</v>
      </c>
      <c r="AN23" s="21">
        <v>0</v>
      </c>
      <c r="AO23" s="21">
        <v>0</v>
      </c>
      <c r="AP23" s="21">
        <v>0</v>
      </c>
      <c r="AQ23" s="21">
        <v>0</v>
      </c>
      <c r="AR23" s="21">
        <v>0</v>
      </c>
      <c r="AS23" s="21">
        <v>0</v>
      </c>
      <c r="AT23" s="21">
        <v>0</v>
      </c>
      <c r="AU23" s="21">
        <v>0</v>
      </c>
      <c r="AV23" s="21">
        <v>0</v>
      </c>
      <c r="AW23" s="21">
        <v>0</v>
      </c>
      <c r="AX23" s="21">
        <v>0</v>
      </c>
      <c r="AY23" s="21">
        <v>0</v>
      </c>
      <c r="AZ23" s="21">
        <v>0</v>
      </c>
      <c r="BA23" s="21">
        <v>0</v>
      </c>
      <c r="BB23" s="21">
        <v>0</v>
      </c>
      <c r="BC23" s="21">
        <v>0</v>
      </c>
      <c r="BD23" s="21">
        <v>0</v>
      </c>
      <c r="BE23" s="21">
        <v>0</v>
      </c>
      <c r="BF23" s="21">
        <v>0</v>
      </c>
      <c r="BG23" s="21">
        <v>0</v>
      </c>
      <c r="BH23" s="21">
        <v>0</v>
      </c>
      <c r="BI23" s="21">
        <v>0</v>
      </c>
      <c r="BJ23" s="21">
        <v>8016</v>
      </c>
      <c r="BK23" s="21">
        <v>0</v>
      </c>
      <c r="BL23" s="21">
        <v>0</v>
      </c>
      <c r="BM23" s="21">
        <v>0</v>
      </c>
      <c r="BN23" s="21">
        <v>0</v>
      </c>
      <c r="BO23" s="21">
        <v>0</v>
      </c>
      <c r="BP23" s="21">
        <v>0</v>
      </c>
      <c r="BQ23" s="21">
        <v>0</v>
      </c>
      <c r="BR23" s="21">
        <v>0</v>
      </c>
      <c r="BS23" s="21">
        <v>0</v>
      </c>
      <c r="BT23" s="21">
        <v>0</v>
      </c>
      <c r="BU23" s="21">
        <v>0</v>
      </c>
      <c r="BV23" s="21">
        <v>0</v>
      </c>
      <c r="BW23" s="21">
        <v>0</v>
      </c>
      <c r="BX23" s="21">
        <v>0</v>
      </c>
      <c r="BY23" s="21">
        <v>0</v>
      </c>
      <c r="BZ23" s="21">
        <v>0</v>
      </c>
      <c r="CA23" s="21">
        <v>0</v>
      </c>
      <c r="CB23" s="21">
        <v>0</v>
      </c>
      <c r="CC23" s="21">
        <v>0</v>
      </c>
      <c r="CD23" s="21">
        <v>0</v>
      </c>
      <c r="CE23" s="21">
        <v>0</v>
      </c>
      <c r="CF23" s="21">
        <v>0</v>
      </c>
      <c r="CG23" s="21">
        <v>0</v>
      </c>
      <c r="CH23" s="21">
        <v>0</v>
      </c>
      <c r="CI23" s="21">
        <v>0</v>
      </c>
      <c r="CJ23" s="21">
        <v>0</v>
      </c>
      <c r="CK23" s="21">
        <v>0</v>
      </c>
      <c r="CL23" s="21">
        <v>0</v>
      </c>
      <c r="CM23" s="21">
        <v>0</v>
      </c>
      <c r="CN23" s="21">
        <v>0</v>
      </c>
      <c r="CO23" s="21">
        <v>0</v>
      </c>
      <c r="CP23" s="21">
        <v>0</v>
      </c>
      <c r="CQ23" s="21">
        <v>0</v>
      </c>
      <c r="CR23" s="21">
        <v>0</v>
      </c>
      <c r="CS23" s="21">
        <v>0</v>
      </c>
      <c r="CT23" s="21">
        <v>0</v>
      </c>
      <c r="CU23" s="21">
        <v>0</v>
      </c>
      <c r="CV23" s="21">
        <v>0</v>
      </c>
      <c r="CW23" s="21">
        <v>0</v>
      </c>
      <c r="CX23" s="21">
        <v>0</v>
      </c>
      <c r="CY23" s="21">
        <v>0</v>
      </c>
      <c r="CZ23" s="21">
        <v>0</v>
      </c>
      <c r="DA23" s="21">
        <v>0</v>
      </c>
      <c r="DB23" s="21">
        <v>0</v>
      </c>
      <c r="DC23" s="21">
        <v>0</v>
      </c>
      <c r="DD23" s="21">
        <v>0</v>
      </c>
      <c r="DE23" s="72"/>
      <c r="DG23" s="76"/>
      <c r="DI23" s="76"/>
    </row>
    <row r="24" spans="1:113">
      <c r="A24" s="19" t="s">
        <v>185</v>
      </c>
      <c r="B24" s="19" t="s">
        <v>186</v>
      </c>
      <c r="C24" s="19" t="s">
        <v>187</v>
      </c>
      <c r="D24" s="20">
        <f t="shared" si="0"/>
        <v>88</v>
      </c>
      <c r="E24" s="21">
        <v>25</v>
      </c>
      <c r="F24" s="21">
        <v>2</v>
      </c>
      <c r="G24" s="21">
        <v>2</v>
      </c>
      <c r="H24" s="21">
        <v>2</v>
      </c>
      <c r="I24" s="21">
        <v>0</v>
      </c>
      <c r="J24" s="21">
        <v>0</v>
      </c>
      <c r="K24" s="21">
        <v>1</v>
      </c>
      <c r="L24" s="21">
        <v>0</v>
      </c>
      <c r="M24" s="21">
        <v>0</v>
      </c>
      <c r="N24" s="21">
        <v>0</v>
      </c>
      <c r="O24" s="21">
        <v>0</v>
      </c>
      <c r="P24" s="21">
        <v>1</v>
      </c>
      <c r="Q24" s="21">
        <v>0</v>
      </c>
      <c r="R24" s="21">
        <v>0</v>
      </c>
      <c r="S24" s="21">
        <v>0</v>
      </c>
      <c r="T24" s="21">
        <v>0</v>
      </c>
      <c r="U24" s="21">
        <v>0</v>
      </c>
      <c r="V24" s="21">
        <v>0</v>
      </c>
      <c r="W24" s="21">
        <v>0</v>
      </c>
      <c r="X24" s="21">
        <v>0</v>
      </c>
      <c r="Y24" s="21">
        <v>0</v>
      </c>
      <c r="Z24" s="21">
        <v>0</v>
      </c>
      <c r="AA24" s="21">
        <v>1</v>
      </c>
      <c r="AB24" s="21">
        <v>0</v>
      </c>
      <c r="AC24" s="21">
        <v>7</v>
      </c>
      <c r="AD24" s="21">
        <v>0</v>
      </c>
      <c r="AE24" s="21">
        <v>0</v>
      </c>
      <c r="AF24" s="21">
        <v>0</v>
      </c>
      <c r="AG24" s="21">
        <v>0</v>
      </c>
      <c r="AH24" s="21">
        <v>0</v>
      </c>
      <c r="AI24" s="21">
        <v>0</v>
      </c>
      <c r="AJ24" s="21">
        <v>3</v>
      </c>
      <c r="AK24" s="21">
        <v>0</v>
      </c>
      <c r="AL24" s="21">
        <v>0</v>
      </c>
      <c r="AM24" s="21">
        <v>0</v>
      </c>
      <c r="AN24" s="21">
        <v>0</v>
      </c>
      <c r="AO24" s="21">
        <v>0</v>
      </c>
      <c r="AP24" s="21">
        <v>0</v>
      </c>
      <c r="AQ24" s="21">
        <v>0</v>
      </c>
      <c r="AR24" s="21">
        <v>0</v>
      </c>
      <c r="AS24" s="21">
        <v>0</v>
      </c>
      <c r="AT24" s="21">
        <v>0</v>
      </c>
      <c r="AU24" s="21">
        <v>0</v>
      </c>
      <c r="AV24" s="21">
        <v>0</v>
      </c>
      <c r="AW24" s="21">
        <v>0</v>
      </c>
      <c r="AX24" s="21">
        <v>0</v>
      </c>
      <c r="AY24" s="21">
        <v>1</v>
      </c>
      <c r="AZ24" s="21">
        <v>0</v>
      </c>
      <c r="BA24" s="21">
        <v>0</v>
      </c>
      <c r="BB24" s="21">
        <v>0</v>
      </c>
      <c r="BC24" s="21">
        <v>0</v>
      </c>
      <c r="BD24" s="21">
        <v>1</v>
      </c>
      <c r="BE24" s="21">
        <v>0</v>
      </c>
      <c r="BF24" s="21">
        <v>1</v>
      </c>
      <c r="BG24" s="21">
        <v>1</v>
      </c>
      <c r="BH24" s="21">
        <v>1</v>
      </c>
      <c r="BI24" s="21">
        <v>2</v>
      </c>
      <c r="BJ24" s="21">
        <v>12</v>
      </c>
      <c r="BK24" s="21">
        <v>3</v>
      </c>
      <c r="BL24" s="21">
        <v>1</v>
      </c>
      <c r="BM24" s="21">
        <v>0</v>
      </c>
      <c r="BN24" s="21">
        <v>0</v>
      </c>
      <c r="BO24" s="21">
        <v>0</v>
      </c>
      <c r="BP24" s="21">
        <v>0</v>
      </c>
      <c r="BQ24" s="21">
        <v>0</v>
      </c>
      <c r="BR24" s="21">
        <v>1</v>
      </c>
      <c r="BS24" s="21">
        <v>0</v>
      </c>
      <c r="BT24" s="21">
        <v>2</v>
      </c>
      <c r="BU24" s="21">
        <v>1</v>
      </c>
      <c r="BV24" s="21">
        <v>0</v>
      </c>
      <c r="BW24" s="21">
        <v>0</v>
      </c>
      <c r="BX24" s="21">
        <v>0</v>
      </c>
      <c r="BY24" s="21">
        <v>0</v>
      </c>
      <c r="BZ24" s="21">
        <v>0</v>
      </c>
      <c r="CA24" s="21">
        <v>0</v>
      </c>
      <c r="CB24" s="21">
        <v>0</v>
      </c>
      <c r="CC24" s="21">
        <v>0</v>
      </c>
      <c r="CD24" s="21">
        <v>0</v>
      </c>
      <c r="CE24" s="21">
        <v>0</v>
      </c>
      <c r="CF24" s="21">
        <v>0</v>
      </c>
      <c r="CG24" s="21">
        <v>2</v>
      </c>
      <c r="CH24" s="21">
        <v>1</v>
      </c>
      <c r="CI24" s="21">
        <v>1</v>
      </c>
      <c r="CJ24" s="21">
        <v>0</v>
      </c>
      <c r="CK24" s="21">
        <v>0</v>
      </c>
      <c r="CL24" s="21">
        <v>0</v>
      </c>
      <c r="CM24" s="21">
        <v>0</v>
      </c>
      <c r="CN24" s="21">
        <v>0</v>
      </c>
      <c r="CO24" s="21">
        <v>0</v>
      </c>
      <c r="CP24" s="21">
        <v>1</v>
      </c>
      <c r="CQ24" s="21">
        <v>0</v>
      </c>
      <c r="CR24" s="21">
        <v>0</v>
      </c>
      <c r="CS24" s="21">
        <v>0</v>
      </c>
      <c r="CT24" s="21">
        <v>0</v>
      </c>
      <c r="CU24" s="21">
        <v>1</v>
      </c>
      <c r="CV24" s="21">
        <v>0</v>
      </c>
      <c r="CW24" s="21">
        <v>0</v>
      </c>
      <c r="CX24" s="21">
        <v>0</v>
      </c>
      <c r="CY24" s="21">
        <v>0</v>
      </c>
      <c r="CZ24" s="21">
        <v>0</v>
      </c>
      <c r="DA24" s="21">
        <v>10</v>
      </c>
      <c r="DB24" s="21">
        <v>1</v>
      </c>
      <c r="DC24" s="21">
        <v>0</v>
      </c>
      <c r="DD24" s="21">
        <v>0</v>
      </c>
      <c r="DE24" s="72"/>
      <c r="DG24" s="76"/>
      <c r="DI24" s="76"/>
    </row>
    <row r="25" spans="1:113">
      <c r="A25" s="19" t="s">
        <v>185</v>
      </c>
      <c r="B25" s="19" t="s">
        <v>188</v>
      </c>
      <c r="C25" s="19" t="s">
        <v>187</v>
      </c>
      <c r="D25" s="20">
        <f t="shared" si="0"/>
        <v>18</v>
      </c>
      <c r="E25" s="21">
        <v>2</v>
      </c>
      <c r="F25" s="21">
        <v>0</v>
      </c>
      <c r="G25" s="21">
        <v>0</v>
      </c>
      <c r="H25" s="21">
        <v>0</v>
      </c>
      <c r="I25" s="21">
        <v>0</v>
      </c>
      <c r="J25" s="21">
        <v>0</v>
      </c>
      <c r="K25" s="21">
        <v>0</v>
      </c>
      <c r="L25" s="21">
        <v>0</v>
      </c>
      <c r="M25" s="21">
        <v>0</v>
      </c>
      <c r="N25" s="21">
        <v>0</v>
      </c>
      <c r="O25" s="21">
        <v>0</v>
      </c>
      <c r="P25" s="21">
        <v>0</v>
      </c>
      <c r="Q25" s="21">
        <v>0</v>
      </c>
      <c r="R25" s="21">
        <v>0</v>
      </c>
      <c r="S25" s="21">
        <v>0</v>
      </c>
      <c r="T25" s="21">
        <v>0</v>
      </c>
      <c r="U25" s="21">
        <v>0</v>
      </c>
      <c r="V25" s="21">
        <v>0</v>
      </c>
      <c r="W25" s="21">
        <v>0</v>
      </c>
      <c r="X25" s="21">
        <v>0</v>
      </c>
      <c r="Y25" s="21">
        <v>0</v>
      </c>
      <c r="Z25" s="21">
        <v>0</v>
      </c>
      <c r="AA25" s="21">
        <v>0</v>
      </c>
      <c r="AB25" s="21">
        <v>0</v>
      </c>
      <c r="AC25" s="21">
        <v>0</v>
      </c>
      <c r="AD25" s="21">
        <v>0</v>
      </c>
      <c r="AE25" s="21">
        <v>0</v>
      </c>
      <c r="AF25" s="21">
        <v>0</v>
      </c>
      <c r="AG25" s="21">
        <v>0</v>
      </c>
      <c r="AH25" s="21">
        <v>0</v>
      </c>
      <c r="AI25" s="21">
        <v>0</v>
      </c>
      <c r="AJ25" s="21">
        <v>0</v>
      </c>
      <c r="AK25" s="21">
        <v>0</v>
      </c>
      <c r="AL25" s="21">
        <v>0</v>
      </c>
      <c r="AM25" s="21">
        <v>0</v>
      </c>
      <c r="AN25" s="21">
        <v>0</v>
      </c>
      <c r="AO25" s="21">
        <v>0</v>
      </c>
      <c r="AP25" s="21">
        <v>0</v>
      </c>
      <c r="AQ25" s="21">
        <v>0</v>
      </c>
      <c r="AR25" s="21">
        <v>0</v>
      </c>
      <c r="AS25" s="21">
        <v>0</v>
      </c>
      <c r="AT25" s="21">
        <v>0</v>
      </c>
      <c r="AU25" s="21">
        <v>0</v>
      </c>
      <c r="AV25" s="21">
        <v>0</v>
      </c>
      <c r="AW25" s="21">
        <v>0</v>
      </c>
      <c r="AX25" s="21">
        <v>0</v>
      </c>
      <c r="AY25" s="21">
        <v>0</v>
      </c>
      <c r="AZ25" s="21">
        <v>0</v>
      </c>
      <c r="BA25" s="21">
        <v>2</v>
      </c>
      <c r="BB25" s="21">
        <v>0</v>
      </c>
      <c r="BC25" s="21">
        <v>0</v>
      </c>
      <c r="BD25" s="21">
        <v>0</v>
      </c>
      <c r="BE25" s="21">
        <v>1</v>
      </c>
      <c r="BF25" s="21">
        <v>0</v>
      </c>
      <c r="BG25" s="21">
        <v>0</v>
      </c>
      <c r="BH25" s="21">
        <v>0</v>
      </c>
      <c r="BI25" s="21">
        <v>0</v>
      </c>
      <c r="BJ25" s="21">
        <v>8</v>
      </c>
      <c r="BK25" s="21">
        <v>1</v>
      </c>
      <c r="BL25" s="21">
        <v>0</v>
      </c>
      <c r="BM25" s="21">
        <v>0</v>
      </c>
      <c r="BN25" s="21">
        <v>0</v>
      </c>
      <c r="BO25" s="21">
        <v>0</v>
      </c>
      <c r="BP25" s="21">
        <v>0</v>
      </c>
      <c r="BQ25" s="21">
        <v>0</v>
      </c>
      <c r="BR25" s="21">
        <v>0</v>
      </c>
      <c r="BS25" s="21">
        <v>0</v>
      </c>
      <c r="BT25" s="21">
        <v>0</v>
      </c>
      <c r="BU25" s="21">
        <v>1</v>
      </c>
      <c r="BV25" s="21">
        <v>0</v>
      </c>
      <c r="BW25" s="21">
        <v>0</v>
      </c>
      <c r="BX25" s="21">
        <v>0</v>
      </c>
      <c r="BY25" s="21">
        <v>0</v>
      </c>
      <c r="BZ25" s="21">
        <v>0</v>
      </c>
      <c r="CA25" s="21">
        <v>0</v>
      </c>
      <c r="CB25" s="21">
        <v>0</v>
      </c>
      <c r="CC25" s="21">
        <v>0</v>
      </c>
      <c r="CD25" s="21">
        <v>0</v>
      </c>
      <c r="CE25" s="21">
        <v>0</v>
      </c>
      <c r="CF25" s="21">
        <v>0</v>
      </c>
      <c r="CG25" s="21">
        <v>0</v>
      </c>
      <c r="CH25" s="21">
        <v>0</v>
      </c>
      <c r="CI25" s="21">
        <v>0</v>
      </c>
      <c r="CJ25" s="21">
        <v>0</v>
      </c>
      <c r="CK25" s="21">
        <v>1</v>
      </c>
      <c r="CL25" s="21">
        <v>0</v>
      </c>
      <c r="CM25" s="21">
        <v>0</v>
      </c>
      <c r="CN25" s="21">
        <v>0</v>
      </c>
      <c r="CO25" s="21">
        <v>0</v>
      </c>
      <c r="CP25" s="21">
        <v>0</v>
      </c>
      <c r="CQ25" s="21">
        <v>1</v>
      </c>
      <c r="CR25" s="21">
        <v>0</v>
      </c>
      <c r="CS25" s="21">
        <v>1</v>
      </c>
      <c r="CT25" s="21">
        <v>0</v>
      </c>
      <c r="CU25" s="21">
        <v>0</v>
      </c>
      <c r="CV25" s="21">
        <v>0</v>
      </c>
      <c r="CW25" s="21">
        <v>0</v>
      </c>
      <c r="CX25" s="21">
        <v>0</v>
      </c>
      <c r="CY25" s="21">
        <v>0</v>
      </c>
      <c r="CZ25" s="21">
        <v>0</v>
      </c>
      <c r="DA25" s="21">
        <v>0</v>
      </c>
      <c r="DB25" s="21">
        <v>0</v>
      </c>
      <c r="DC25" s="21">
        <v>0</v>
      </c>
      <c r="DD25" s="21">
        <v>0</v>
      </c>
      <c r="DE25" s="72"/>
      <c r="DG25" s="76"/>
      <c r="DI25" s="76"/>
    </row>
    <row r="26" spans="1:113">
      <c r="A26" s="19" t="s">
        <v>185</v>
      </c>
      <c r="B26" s="19" t="s">
        <v>189</v>
      </c>
      <c r="C26" s="19" t="s">
        <v>187</v>
      </c>
      <c r="D26" s="20">
        <f t="shared" si="0"/>
        <v>11</v>
      </c>
      <c r="E26" s="21">
        <v>0</v>
      </c>
      <c r="F26" s="21">
        <v>0</v>
      </c>
      <c r="G26" s="21">
        <v>0</v>
      </c>
      <c r="H26" s="21">
        <v>0</v>
      </c>
      <c r="I26" s="21">
        <v>0</v>
      </c>
      <c r="J26" s="21">
        <v>0</v>
      </c>
      <c r="K26" s="21">
        <v>0</v>
      </c>
      <c r="L26" s="21">
        <v>0</v>
      </c>
      <c r="M26" s="21">
        <v>0</v>
      </c>
      <c r="N26" s="21">
        <v>0</v>
      </c>
      <c r="O26" s="21">
        <v>0</v>
      </c>
      <c r="P26" s="21">
        <v>0</v>
      </c>
      <c r="Q26" s="21">
        <v>0</v>
      </c>
      <c r="R26" s="21">
        <v>0</v>
      </c>
      <c r="S26" s="21">
        <v>0</v>
      </c>
      <c r="T26" s="21">
        <v>0</v>
      </c>
      <c r="U26" s="21">
        <v>0</v>
      </c>
      <c r="V26" s="21">
        <v>0</v>
      </c>
      <c r="W26" s="21">
        <v>0</v>
      </c>
      <c r="X26" s="21">
        <v>0</v>
      </c>
      <c r="Y26" s="21">
        <v>0</v>
      </c>
      <c r="Z26" s="21">
        <v>0</v>
      </c>
      <c r="AA26" s="21">
        <v>0</v>
      </c>
      <c r="AB26" s="21">
        <v>0</v>
      </c>
      <c r="AC26" s="21">
        <v>0</v>
      </c>
      <c r="AD26" s="21">
        <v>0</v>
      </c>
      <c r="AE26" s="21">
        <v>0</v>
      </c>
      <c r="AF26" s="21">
        <v>0</v>
      </c>
      <c r="AG26" s="21">
        <v>0</v>
      </c>
      <c r="AH26" s="21">
        <v>0</v>
      </c>
      <c r="AI26" s="21">
        <v>0</v>
      </c>
      <c r="AJ26" s="21">
        <v>0</v>
      </c>
      <c r="AK26" s="21">
        <v>0</v>
      </c>
      <c r="AL26" s="21">
        <v>0</v>
      </c>
      <c r="AM26" s="21">
        <v>0</v>
      </c>
      <c r="AN26" s="21">
        <v>0</v>
      </c>
      <c r="AO26" s="21">
        <v>0</v>
      </c>
      <c r="AP26" s="21">
        <v>0</v>
      </c>
      <c r="AQ26" s="21">
        <v>0</v>
      </c>
      <c r="AR26" s="21">
        <v>0</v>
      </c>
      <c r="AS26" s="21">
        <v>0</v>
      </c>
      <c r="AT26" s="21">
        <v>0</v>
      </c>
      <c r="AU26" s="21">
        <v>0</v>
      </c>
      <c r="AV26" s="21">
        <v>0</v>
      </c>
      <c r="AW26" s="21">
        <v>0</v>
      </c>
      <c r="AX26" s="21">
        <v>0</v>
      </c>
      <c r="AY26" s="21">
        <v>0</v>
      </c>
      <c r="AZ26" s="21">
        <v>0</v>
      </c>
      <c r="BA26" s="21">
        <v>0</v>
      </c>
      <c r="BB26" s="21">
        <v>0</v>
      </c>
      <c r="BC26" s="21">
        <v>0</v>
      </c>
      <c r="BD26" s="21">
        <v>0</v>
      </c>
      <c r="BE26" s="21">
        <v>0</v>
      </c>
      <c r="BF26" s="21">
        <v>0</v>
      </c>
      <c r="BG26" s="21">
        <v>0</v>
      </c>
      <c r="BH26" s="21">
        <v>0</v>
      </c>
      <c r="BI26" s="21">
        <v>2</v>
      </c>
      <c r="BJ26" s="21">
        <v>7</v>
      </c>
      <c r="BK26" s="21">
        <v>1</v>
      </c>
      <c r="BL26" s="21">
        <v>0</v>
      </c>
      <c r="BM26" s="21">
        <v>0</v>
      </c>
      <c r="BN26" s="21">
        <v>0</v>
      </c>
      <c r="BO26" s="21">
        <v>0</v>
      </c>
      <c r="BP26" s="21">
        <v>0</v>
      </c>
      <c r="BQ26" s="21">
        <v>0</v>
      </c>
      <c r="BR26" s="21">
        <v>0</v>
      </c>
      <c r="BS26" s="21">
        <v>0</v>
      </c>
      <c r="BT26" s="21">
        <v>0</v>
      </c>
      <c r="BU26" s="21">
        <v>0</v>
      </c>
      <c r="BV26" s="21">
        <v>0</v>
      </c>
      <c r="BW26" s="21">
        <v>0</v>
      </c>
      <c r="BX26" s="21">
        <v>0</v>
      </c>
      <c r="BY26" s="21">
        <v>0</v>
      </c>
      <c r="BZ26" s="21">
        <v>0</v>
      </c>
      <c r="CA26" s="21">
        <v>0</v>
      </c>
      <c r="CB26" s="21">
        <v>0</v>
      </c>
      <c r="CC26" s="21">
        <v>0</v>
      </c>
      <c r="CD26" s="21">
        <v>0</v>
      </c>
      <c r="CE26" s="21">
        <v>0</v>
      </c>
      <c r="CF26" s="21">
        <v>0</v>
      </c>
      <c r="CG26" s="21">
        <v>0</v>
      </c>
      <c r="CH26" s="21">
        <v>0</v>
      </c>
      <c r="CI26" s="21">
        <v>0</v>
      </c>
      <c r="CJ26" s="21">
        <v>0</v>
      </c>
      <c r="CK26" s="21">
        <v>0</v>
      </c>
      <c r="CL26" s="21">
        <v>0</v>
      </c>
      <c r="CM26" s="21">
        <v>0</v>
      </c>
      <c r="CN26" s="21">
        <v>0</v>
      </c>
      <c r="CO26" s="21">
        <v>0</v>
      </c>
      <c r="CP26" s="21">
        <v>0</v>
      </c>
      <c r="CQ26" s="21">
        <v>0</v>
      </c>
      <c r="CR26" s="21">
        <v>0</v>
      </c>
      <c r="CS26" s="21">
        <v>0</v>
      </c>
      <c r="CT26" s="21">
        <v>0</v>
      </c>
      <c r="CU26" s="21">
        <v>0</v>
      </c>
      <c r="CV26" s="21">
        <v>0</v>
      </c>
      <c r="CW26" s="21">
        <v>0</v>
      </c>
      <c r="CX26" s="21">
        <v>0</v>
      </c>
      <c r="CY26" s="21">
        <v>0</v>
      </c>
      <c r="CZ26" s="21">
        <v>1</v>
      </c>
      <c r="DA26" s="21">
        <v>0</v>
      </c>
      <c r="DB26" s="21">
        <v>0</v>
      </c>
      <c r="DC26" s="21">
        <v>0</v>
      </c>
      <c r="DD26" s="21">
        <v>0</v>
      </c>
      <c r="DE26" s="72"/>
      <c r="DG26" s="76"/>
      <c r="DI26" s="76"/>
    </row>
    <row r="27" spans="1:113">
      <c r="A27" s="19" t="s">
        <v>185</v>
      </c>
      <c r="B27" s="19" t="s">
        <v>190</v>
      </c>
      <c r="C27" s="19" t="s">
        <v>187</v>
      </c>
      <c r="D27" s="20">
        <f t="shared" si="0"/>
        <v>2</v>
      </c>
      <c r="E27" s="21">
        <v>2</v>
      </c>
      <c r="F27" s="21">
        <v>0</v>
      </c>
      <c r="G27" s="21">
        <v>0</v>
      </c>
      <c r="H27" s="21">
        <v>0</v>
      </c>
      <c r="I27" s="21">
        <v>0</v>
      </c>
      <c r="J27" s="21">
        <v>0</v>
      </c>
      <c r="K27" s="21">
        <v>0</v>
      </c>
      <c r="L27" s="21">
        <v>0</v>
      </c>
      <c r="M27" s="21">
        <v>0</v>
      </c>
      <c r="N27" s="21">
        <v>0</v>
      </c>
      <c r="O27" s="21">
        <v>0</v>
      </c>
      <c r="P27" s="21">
        <v>0</v>
      </c>
      <c r="Q27" s="21">
        <v>0</v>
      </c>
      <c r="R27" s="21">
        <v>0</v>
      </c>
      <c r="S27" s="21">
        <v>0</v>
      </c>
      <c r="T27" s="21">
        <v>0</v>
      </c>
      <c r="U27" s="21">
        <v>0</v>
      </c>
      <c r="V27" s="21">
        <v>0</v>
      </c>
      <c r="W27" s="21">
        <v>0</v>
      </c>
      <c r="X27" s="21">
        <v>0</v>
      </c>
      <c r="Y27" s="21">
        <v>0</v>
      </c>
      <c r="Z27" s="21">
        <v>0</v>
      </c>
      <c r="AA27" s="21">
        <v>0</v>
      </c>
      <c r="AB27" s="21">
        <v>0</v>
      </c>
      <c r="AC27" s="21">
        <v>0</v>
      </c>
      <c r="AD27" s="21">
        <v>0</v>
      </c>
      <c r="AE27" s="21">
        <v>0</v>
      </c>
      <c r="AF27" s="21">
        <v>0</v>
      </c>
      <c r="AG27" s="21">
        <v>0</v>
      </c>
      <c r="AH27" s="21">
        <v>0</v>
      </c>
      <c r="AI27" s="21">
        <v>0</v>
      </c>
      <c r="AJ27" s="21">
        <v>0</v>
      </c>
      <c r="AK27" s="21">
        <v>0</v>
      </c>
      <c r="AL27" s="21">
        <v>0</v>
      </c>
      <c r="AM27" s="21">
        <v>0</v>
      </c>
      <c r="AN27" s="21">
        <v>0</v>
      </c>
      <c r="AO27" s="21">
        <v>0</v>
      </c>
      <c r="AP27" s="21">
        <v>0</v>
      </c>
      <c r="AQ27" s="21">
        <v>0</v>
      </c>
      <c r="AR27" s="21">
        <v>0</v>
      </c>
      <c r="AS27" s="21">
        <v>0</v>
      </c>
      <c r="AT27" s="21">
        <v>0</v>
      </c>
      <c r="AU27" s="21">
        <v>0</v>
      </c>
      <c r="AV27" s="21">
        <v>0</v>
      </c>
      <c r="AW27" s="21">
        <v>0</v>
      </c>
      <c r="AX27" s="21">
        <v>0</v>
      </c>
      <c r="AY27" s="21">
        <v>0</v>
      </c>
      <c r="AZ27" s="21">
        <v>0</v>
      </c>
      <c r="BA27" s="21">
        <v>0</v>
      </c>
      <c r="BB27" s="21">
        <v>0</v>
      </c>
      <c r="BC27" s="21">
        <v>0</v>
      </c>
      <c r="BD27" s="21">
        <v>0</v>
      </c>
      <c r="BE27" s="21">
        <v>0</v>
      </c>
      <c r="BF27" s="21">
        <v>0</v>
      </c>
      <c r="BG27" s="21">
        <v>0</v>
      </c>
      <c r="BH27" s="21">
        <v>0</v>
      </c>
      <c r="BI27" s="21">
        <v>0</v>
      </c>
      <c r="BJ27" s="21">
        <v>0</v>
      </c>
      <c r="BK27" s="21">
        <v>0</v>
      </c>
      <c r="BL27" s="21">
        <v>0</v>
      </c>
      <c r="BM27" s="21">
        <v>0</v>
      </c>
      <c r="BN27" s="21">
        <v>0</v>
      </c>
      <c r="BO27" s="21">
        <v>0</v>
      </c>
      <c r="BP27" s="21">
        <v>0</v>
      </c>
      <c r="BQ27" s="21">
        <v>0</v>
      </c>
      <c r="BR27" s="21">
        <v>0</v>
      </c>
      <c r="BS27" s="21">
        <v>0</v>
      </c>
      <c r="BT27" s="21">
        <v>0</v>
      </c>
      <c r="BU27" s="21">
        <v>0</v>
      </c>
      <c r="BV27" s="21">
        <v>0</v>
      </c>
      <c r="BW27" s="21">
        <v>0</v>
      </c>
      <c r="BX27" s="21">
        <v>0</v>
      </c>
      <c r="BY27" s="21">
        <v>0</v>
      </c>
      <c r="BZ27" s="21">
        <v>0</v>
      </c>
      <c r="CA27" s="21">
        <v>0</v>
      </c>
      <c r="CB27" s="21">
        <v>0</v>
      </c>
      <c r="CC27" s="21">
        <v>0</v>
      </c>
      <c r="CD27" s="21">
        <v>0</v>
      </c>
      <c r="CE27" s="21">
        <v>0</v>
      </c>
      <c r="CF27" s="21">
        <v>0</v>
      </c>
      <c r="CG27" s="21">
        <v>0</v>
      </c>
      <c r="CH27" s="21">
        <v>0</v>
      </c>
      <c r="CI27" s="21">
        <v>0</v>
      </c>
      <c r="CJ27" s="21">
        <v>0</v>
      </c>
      <c r="CK27" s="21">
        <v>0</v>
      </c>
      <c r="CL27" s="21">
        <v>0</v>
      </c>
      <c r="CM27" s="21">
        <v>0</v>
      </c>
      <c r="CN27" s="21">
        <v>0</v>
      </c>
      <c r="CO27" s="21">
        <v>0</v>
      </c>
      <c r="CP27" s="21">
        <v>0</v>
      </c>
      <c r="CQ27" s="21">
        <v>0</v>
      </c>
      <c r="CR27" s="21">
        <v>0</v>
      </c>
      <c r="CS27" s="21">
        <v>0</v>
      </c>
      <c r="CT27" s="21">
        <v>0</v>
      </c>
      <c r="CU27" s="21">
        <v>0</v>
      </c>
      <c r="CV27" s="21">
        <v>0</v>
      </c>
      <c r="CW27" s="21">
        <v>0</v>
      </c>
      <c r="CX27" s="21">
        <v>0</v>
      </c>
      <c r="CY27" s="21">
        <v>0</v>
      </c>
      <c r="CZ27" s="21">
        <v>0</v>
      </c>
      <c r="DA27" s="21">
        <v>0</v>
      </c>
      <c r="DB27" s="21">
        <v>0</v>
      </c>
      <c r="DC27" s="21">
        <v>0</v>
      </c>
      <c r="DD27" s="21">
        <v>0</v>
      </c>
      <c r="DE27" s="72"/>
      <c r="DG27" s="76"/>
      <c r="DI27" s="76"/>
    </row>
    <row r="28" spans="1:113">
      <c r="A28" s="19" t="s">
        <v>191</v>
      </c>
      <c r="B28" s="19" t="s">
        <v>192</v>
      </c>
      <c r="C28" s="19" t="s">
        <v>193</v>
      </c>
      <c r="D28" s="20">
        <f t="shared" si="0"/>
        <v>4</v>
      </c>
      <c r="E28" s="21">
        <v>2</v>
      </c>
      <c r="F28" s="21">
        <v>0</v>
      </c>
      <c r="G28" s="21">
        <v>0</v>
      </c>
      <c r="H28" s="21">
        <v>0</v>
      </c>
      <c r="I28" s="21">
        <v>0</v>
      </c>
      <c r="J28" s="21">
        <v>0</v>
      </c>
      <c r="K28" s="21">
        <v>0</v>
      </c>
      <c r="L28" s="21">
        <v>0</v>
      </c>
      <c r="M28" s="21">
        <v>0</v>
      </c>
      <c r="N28" s="21">
        <v>0</v>
      </c>
      <c r="O28" s="21">
        <v>0</v>
      </c>
      <c r="P28" s="21">
        <v>0</v>
      </c>
      <c r="Q28" s="21">
        <v>0</v>
      </c>
      <c r="R28" s="21">
        <v>0</v>
      </c>
      <c r="S28" s="21">
        <v>0</v>
      </c>
      <c r="T28" s="21">
        <v>0</v>
      </c>
      <c r="U28" s="21">
        <v>0</v>
      </c>
      <c r="V28" s="21">
        <v>0</v>
      </c>
      <c r="W28" s="21">
        <v>0</v>
      </c>
      <c r="X28" s="21">
        <v>0</v>
      </c>
      <c r="Y28" s="21">
        <v>0</v>
      </c>
      <c r="Z28" s="21">
        <v>0</v>
      </c>
      <c r="AA28" s="21">
        <v>0</v>
      </c>
      <c r="AB28" s="21">
        <v>0</v>
      </c>
      <c r="AC28" s="21">
        <v>0</v>
      </c>
      <c r="AD28" s="21">
        <v>0</v>
      </c>
      <c r="AE28" s="21">
        <v>0</v>
      </c>
      <c r="AF28" s="21">
        <v>0</v>
      </c>
      <c r="AG28" s="21">
        <v>0</v>
      </c>
      <c r="AH28" s="21">
        <v>0</v>
      </c>
      <c r="AI28" s="21">
        <v>0</v>
      </c>
      <c r="AJ28" s="21">
        <v>0</v>
      </c>
      <c r="AK28" s="21">
        <v>0</v>
      </c>
      <c r="AL28" s="21">
        <v>0</v>
      </c>
      <c r="AM28" s="21">
        <v>0</v>
      </c>
      <c r="AN28" s="21">
        <v>0</v>
      </c>
      <c r="AO28" s="21">
        <v>0</v>
      </c>
      <c r="AP28" s="21">
        <v>0</v>
      </c>
      <c r="AQ28" s="21">
        <v>0</v>
      </c>
      <c r="AR28" s="21">
        <v>0</v>
      </c>
      <c r="AS28" s="21">
        <v>0</v>
      </c>
      <c r="AT28" s="21">
        <v>0</v>
      </c>
      <c r="AU28" s="21">
        <v>0</v>
      </c>
      <c r="AV28" s="21">
        <v>0</v>
      </c>
      <c r="AW28" s="21">
        <v>0</v>
      </c>
      <c r="AX28" s="21">
        <v>0</v>
      </c>
      <c r="AY28" s="21">
        <v>0</v>
      </c>
      <c r="AZ28" s="21">
        <v>0</v>
      </c>
      <c r="BA28" s="21">
        <v>0</v>
      </c>
      <c r="BB28" s="21">
        <v>0</v>
      </c>
      <c r="BC28" s="21">
        <v>0</v>
      </c>
      <c r="BD28" s="21">
        <v>0</v>
      </c>
      <c r="BE28" s="21">
        <v>0</v>
      </c>
      <c r="BF28" s="21">
        <v>0</v>
      </c>
      <c r="BG28" s="21">
        <v>0</v>
      </c>
      <c r="BH28" s="21">
        <v>0</v>
      </c>
      <c r="BI28" s="21">
        <v>0</v>
      </c>
      <c r="BJ28" s="21">
        <v>2</v>
      </c>
      <c r="BK28" s="21">
        <v>0</v>
      </c>
      <c r="BL28" s="21">
        <v>0</v>
      </c>
      <c r="BM28" s="21">
        <v>0</v>
      </c>
      <c r="BN28" s="21">
        <v>0</v>
      </c>
      <c r="BO28" s="21">
        <v>0</v>
      </c>
      <c r="BP28" s="21">
        <v>0</v>
      </c>
      <c r="BQ28" s="21">
        <v>0</v>
      </c>
      <c r="BR28" s="21">
        <v>0</v>
      </c>
      <c r="BS28" s="21">
        <v>0</v>
      </c>
      <c r="BT28" s="21">
        <v>0</v>
      </c>
      <c r="BU28" s="21">
        <v>0</v>
      </c>
      <c r="BV28" s="21">
        <v>0</v>
      </c>
      <c r="BW28" s="21">
        <v>0</v>
      </c>
      <c r="BX28" s="21">
        <v>0</v>
      </c>
      <c r="BY28" s="21">
        <v>0</v>
      </c>
      <c r="BZ28" s="21">
        <v>0</v>
      </c>
      <c r="CA28" s="21">
        <v>0</v>
      </c>
      <c r="CB28" s="21">
        <v>0</v>
      </c>
      <c r="CC28" s="21">
        <v>0</v>
      </c>
      <c r="CD28" s="21">
        <v>0</v>
      </c>
      <c r="CE28" s="21">
        <v>0</v>
      </c>
      <c r="CF28" s="21">
        <v>0</v>
      </c>
      <c r="CG28" s="21">
        <v>0</v>
      </c>
      <c r="CH28" s="21">
        <v>0</v>
      </c>
      <c r="CI28" s="21">
        <v>0</v>
      </c>
      <c r="CJ28" s="21">
        <v>0</v>
      </c>
      <c r="CK28" s="21">
        <v>0</v>
      </c>
      <c r="CL28" s="21">
        <v>0</v>
      </c>
      <c r="CM28" s="21">
        <v>0</v>
      </c>
      <c r="CN28" s="21">
        <v>0</v>
      </c>
      <c r="CO28" s="21">
        <v>0</v>
      </c>
      <c r="CP28" s="21">
        <v>0</v>
      </c>
      <c r="CQ28" s="21">
        <v>0</v>
      </c>
      <c r="CR28" s="21">
        <v>0</v>
      </c>
      <c r="CS28" s="21">
        <v>0</v>
      </c>
      <c r="CT28" s="21">
        <v>0</v>
      </c>
      <c r="CU28" s="21">
        <v>0</v>
      </c>
      <c r="CV28" s="21">
        <v>0</v>
      </c>
      <c r="CW28" s="21">
        <v>0</v>
      </c>
      <c r="CX28" s="21">
        <v>0</v>
      </c>
      <c r="CY28" s="21">
        <v>0</v>
      </c>
      <c r="CZ28" s="21">
        <v>0</v>
      </c>
      <c r="DA28" s="21">
        <v>0</v>
      </c>
      <c r="DB28" s="21">
        <v>0</v>
      </c>
      <c r="DC28" s="21">
        <v>0</v>
      </c>
      <c r="DD28" s="21">
        <v>0</v>
      </c>
      <c r="DE28" s="72"/>
      <c r="DG28" s="76"/>
      <c r="DI28" s="76"/>
    </row>
    <row r="29" spans="1:113" ht="32.1">
      <c r="A29" s="19" t="s">
        <v>194</v>
      </c>
      <c r="B29" s="19" t="s">
        <v>195</v>
      </c>
      <c r="C29" s="19" t="s">
        <v>196</v>
      </c>
      <c r="D29" s="20">
        <f t="shared" si="0"/>
        <v>203216.63</v>
      </c>
      <c r="E29" s="21">
        <v>45917.7</v>
      </c>
      <c r="F29" s="21">
        <v>2213.67</v>
      </c>
      <c r="G29" s="21">
        <v>794.67</v>
      </c>
      <c r="H29" s="21">
        <v>5999.28</v>
      </c>
      <c r="I29" s="21">
        <v>542.99</v>
      </c>
      <c r="J29" s="21">
        <v>911.38</v>
      </c>
      <c r="K29" s="21">
        <v>3396.09</v>
      </c>
      <c r="L29" s="21">
        <v>87.68</v>
      </c>
      <c r="M29" s="21">
        <v>4211.33</v>
      </c>
      <c r="N29" s="21">
        <v>135.19</v>
      </c>
      <c r="O29" s="21">
        <v>149.21</v>
      </c>
      <c r="P29" s="21">
        <v>5898.79</v>
      </c>
      <c r="Q29" s="21">
        <v>1444.99</v>
      </c>
      <c r="R29" s="21">
        <v>3513.82</v>
      </c>
      <c r="S29" s="21">
        <v>273.36</v>
      </c>
      <c r="T29" s="21">
        <v>706.91</v>
      </c>
      <c r="U29" s="21">
        <v>355.58</v>
      </c>
      <c r="V29" s="21">
        <v>600.5</v>
      </c>
      <c r="W29" s="21">
        <v>207.42</v>
      </c>
      <c r="X29" s="21">
        <v>63.01</v>
      </c>
      <c r="Y29" s="21">
        <v>462.96</v>
      </c>
      <c r="Z29" s="21">
        <v>4650.12</v>
      </c>
      <c r="AA29" s="21">
        <v>2805.97</v>
      </c>
      <c r="AB29" s="21">
        <v>485.84</v>
      </c>
      <c r="AC29" s="21">
        <v>3536.17</v>
      </c>
      <c r="AD29" s="21">
        <v>488.53</v>
      </c>
      <c r="AE29" s="21">
        <v>342</v>
      </c>
      <c r="AF29" s="21">
        <v>248.46</v>
      </c>
      <c r="AG29" s="21">
        <v>499.49</v>
      </c>
      <c r="AH29" s="21">
        <v>690.86</v>
      </c>
      <c r="AI29" s="21">
        <v>744.64</v>
      </c>
      <c r="AJ29" s="21">
        <v>3004.52</v>
      </c>
      <c r="AK29" s="21">
        <v>320.85000000000002</v>
      </c>
      <c r="AL29" s="21">
        <v>1031.55</v>
      </c>
      <c r="AM29" s="21">
        <v>1183.5</v>
      </c>
      <c r="AN29" s="21">
        <v>865.22</v>
      </c>
      <c r="AO29" s="21">
        <v>1060.8499999999999</v>
      </c>
      <c r="AP29" s="21">
        <v>470.67</v>
      </c>
      <c r="AQ29" s="21">
        <v>77.19</v>
      </c>
      <c r="AR29" s="21">
        <v>6562.81</v>
      </c>
      <c r="AS29" s="21">
        <v>1208.47</v>
      </c>
      <c r="AT29" s="21">
        <v>187.18</v>
      </c>
      <c r="AU29" s="21">
        <v>813.96</v>
      </c>
      <c r="AV29" s="21">
        <v>72.91</v>
      </c>
      <c r="AW29" s="21">
        <v>2462.16</v>
      </c>
      <c r="AX29" s="21">
        <v>541.66999999999996</v>
      </c>
      <c r="AY29" s="21">
        <v>1595.46</v>
      </c>
      <c r="AZ29" s="21">
        <v>0</v>
      </c>
      <c r="BA29" s="21">
        <v>5474.66</v>
      </c>
      <c r="BB29" s="21">
        <v>633.4</v>
      </c>
      <c r="BC29" s="21">
        <v>318.2</v>
      </c>
      <c r="BD29" s="21">
        <v>701</v>
      </c>
      <c r="BE29" s="21">
        <v>1100</v>
      </c>
      <c r="BF29" s="21">
        <v>864</v>
      </c>
      <c r="BG29" s="21">
        <v>701</v>
      </c>
      <c r="BH29" s="21">
        <v>580</v>
      </c>
      <c r="BI29" s="21">
        <v>18826.75</v>
      </c>
      <c r="BJ29" s="21">
        <v>31224.47</v>
      </c>
      <c r="BK29" s="21">
        <v>4226.62</v>
      </c>
      <c r="BL29" s="21">
        <v>2586.35</v>
      </c>
      <c r="BM29" s="21">
        <v>226.3</v>
      </c>
      <c r="BN29" s="21">
        <v>74.959999999999994</v>
      </c>
      <c r="BO29" s="21">
        <v>0</v>
      </c>
      <c r="BP29" s="21">
        <v>451.13</v>
      </c>
      <c r="BQ29" s="21">
        <v>410.05</v>
      </c>
      <c r="BR29" s="21">
        <v>342.4</v>
      </c>
      <c r="BS29" s="21">
        <v>276.23</v>
      </c>
      <c r="BT29" s="21">
        <v>0</v>
      </c>
      <c r="BU29" s="21">
        <v>3644.87</v>
      </c>
      <c r="BV29" s="21">
        <v>0</v>
      </c>
      <c r="BW29" s="21">
        <v>180.13</v>
      </c>
      <c r="BX29" s="21">
        <v>24.21</v>
      </c>
      <c r="BY29" s="21">
        <v>384.75</v>
      </c>
      <c r="BZ29" s="21">
        <v>930.58</v>
      </c>
      <c r="CA29" s="21">
        <v>0</v>
      </c>
      <c r="CB29" s="21">
        <v>0</v>
      </c>
      <c r="CC29" s="21">
        <v>84.66</v>
      </c>
      <c r="CD29" s="21">
        <v>291.12</v>
      </c>
      <c r="CE29" s="21">
        <v>92.79</v>
      </c>
      <c r="CF29" s="21">
        <v>278.68</v>
      </c>
      <c r="CG29" s="21">
        <v>845.31</v>
      </c>
      <c r="CH29" s="21">
        <v>435.6</v>
      </c>
      <c r="CI29" s="21">
        <v>825.49</v>
      </c>
      <c r="CJ29" s="21">
        <v>265.07</v>
      </c>
      <c r="CK29" s="21">
        <v>963.41</v>
      </c>
      <c r="CL29" s="21">
        <v>499.69</v>
      </c>
      <c r="CM29" s="21">
        <v>0</v>
      </c>
      <c r="CN29" s="21">
        <v>289.92</v>
      </c>
      <c r="CO29" s="21">
        <v>172.2</v>
      </c>
      <c r="CP29" s="21">
        <v>1619.91</v>
      </c>
      <c r="CQ29" s="21">
        <v>447.34</v>
      </c>
      <c r="CR29" s="21">
        <v>78.84</v>
      </c>
      <c r="CS29" s="21">
        <v>434.38</v>
      </c>
      <c r="CT29" s="21">
        <v>845.42</v>
      </c>
      <c r="CU29" s="21">
        <v>416.21</v>
      </c>
      <c r="CV29" s="21">
        <v>175.55</v>
      </c>
      <c r="CW29" s="21">
        <v>192.22</v>
      </c>
      <c r="CX29" s="21">
        <v>369.36</v>
      </c>
      <c r="CY29" s="21">
        <v>0</v>
      </c>
      <c r="CZ29" s="21">
        <v>3412.38</v>
      </c>
      <c r="DA29" s="21">
        <v>1130.1400000000001</v>
      </c>
      <c r="DB29" s="21">
        <v>315.08</v>
      </c>
      <c r="DC29" s="21">
        <v>70.459999999999994</v>
      </c>
      <c r="DD29" s="21">
        <v>645.76</v>
      </c>
      <c r="DE29" s="72"/>
      <c r="DG29" s="76"/>
      <c r="DI29" s="76"/>
    </row>
    <row r="30" spans="1:113">
      <c r="A30" s="19" t="s">
        <v>197</v>
      </c>
      <c r="B30" s="19" t="s">
        <v>198</v>
      </c>
      <c r="C30" s="19" t="s">
        <v>199</v>
      </c>
      <c r="D30" s="20">
        <f t="shared" si="0"/>
        <v>1947</v>
      </c>
      <c r="E30" s="21">
        <v>193</v>
      </c>
      <c r="F30" s="21">
        <v>0</v>
      </c>
      <c r="G30" s="21">
        <v>0</v>
      </c>
      <c r="H30" s="21">
        <v>113</v>
      </c>
      <c r="I30" s="21">
        <v>0</v>
      </c>
      <c r="J30" s="21">
        <v>0</v>
      </c>
      <c r="K30" s="21">
        <v>0</v>
      </c>
      <c r="L30" s="21">
        <v>0</v>
      </c>
      <c r="M30" s="21">
        <v>0</v>
      </c>
      <c r="N30" s="21">
        <v>0</v>
      </c>
      <c r="O30" s="21">
        <v>0</v>
      </c>
      <c r="P30" s="21">
        <v>17</v>
      </c>
      <c r="Q30" s="21">
        <v>0</v>
      </c>
      <c r="R30" s="21">
        <v>0</v>
      </c>
      <c r="S30" s="21">
        <v>0</v>
      </c>
      <c r="T30" s="21">
        <v>0</v>
      </c>
      <c r="U30" s="21">
        <v>0</v>
      </c>
      <c r="V30" s="21">
        <v>0</v>
      </c>
      <c r="W30" s="21">
        <v>0</v>
      </c>
      <c r="X30" s="21">
        <v>0</v>
      </c>
      <c r="Y30" s="21">
        <v>0</v>
      </c>
      <c r="Z30" s="21">
        <v>0</v>
      </c>
      <c r="AA30" s="21">
        <v>0</v>
      </c>
      <c r="AB30" s="21">
        <v>0</v>
      </c>
      <c r="AC30" s="21">
        <v>0</v>
      </c>
      <c r="AD30" s="21">
        <v>0</v>
      </c>
      <c r="AE30" s="21">
        <v>0</v>
      </c>
      <c r="AF30" s="21">
        <v>0</v>
      </c>
      <c r="AG30" s="21">
        <v>0</v>
      </c>
      <c r="AH30" s="21">
        <v>0</v>
      </c>
      <c r="AI30" s="21">
        <v>0</v>
      </c>
      <c r="AJ30" s="21">
        <v>0</v>
      </c>
      <c r="AK30" s="21">
        <v>0</v>
      </c>
      <c r="AL30" s="21">
        <v>0</v>
      </c>
      <c r="AM30" s="21">
        <v>0</v>
      </c>
      <c r="AN30" s="21">
        <v>0</v>
      </c>
      <c r="AO30" s="21">
        <v>0</v>
      </c>
      <c r="AP30" s="21">
        <v>0</v>
      </c>
      <c r="AQ30" s="21">
        <v>0</v>
      </c>
      <c r="AR30" s="21">
        <v>0</v>
      </c>
      <c r="AS30" s="21">
        <v>0</v>
      </c>
      <c r="AT30" s="21">
        <v>0</v>
      </c>
      <c r="AU30" s="21">
        <v>15</v>
      </c>
      <c r="AV30" s="21">
        <v>0</v>
      </c>
      <c r="AW30" s="21">
        <v>104</v>
      </c>
      <c r="AX30" s="21">
        <v>0</v>
      </c>
      <c r="AY30" s="21">
        <v>31</v>
      </c>
      <c r="AZ30" s="21">
        <v>0</v>
      </c>
      <c r="BA30" s="21">
        <v>0</v>
      </c>
      <c r="BB30" s="21">
        <v>0</v>
      </c>
      <c r="BC30" s="21">
        <v>0</v>
      </c>
      <c r="BD30" s="21">
        <v>10</v>
      </c>
      <c r="BE30" s="21">
        <v>50</v>
      </c>
      <c r="BF30" s="21">
        <v>42</v>
      </c>
      <c r="BG30" s="21">
        <v>28</v>
      </c>
      <c r="BH30" s="21">
        <v>32</v>
      </c>
      <c r="BI30" s="21">
        <v>261</v>
      </c>
      <c r="BJ30" s="21">
        <v>467</v>
      </c>
      <c r="BK30" s="21">
        <v>150</v>
      </c>
      <c r="BL30" s="21">
        <v>0</v>
      </c>
      <c r="BM30" s="21">
        <v>0</v>
      </c>
      <c r="BN30" s="21">
        <v>0</v>
      </c>
      <c r="BO30" s="21">
        <v>0</v>
      </c>
      <c r="BP30" s="21">
        <v>0</v>
      </c>
      <c r="BQ30" s="21">
        <v>0</v>
      </c>
      <c r="BR30" s="21">
        <v>15</v>
      </c>
      <c r="BS30" s="21">
        <v>0</v>
      </c>
      <c r="BT30" s="21">
        <v>12</v>
      </c>
      <c r="BU30" s="21">
        <v>18</v>
      </c>
      <c r="BV30" s="21">
        <v>0</v>
      </c>
      <c r="BW30" s="21">
        <v>0</v>
      </c>
      <c r="BX30" s="21">
        <v>0</v>
      </c>
      <c r="BY30" s="21">
        <v>0</v>
      </c>
      <c r="BZ30" s="21">
        <v>0</v>
      </c>
      <c r="CA30" s="21">
        <v>0</v>
      </c>
      <c r="CB30" s="21">
        <v>0</v>
      </c>
      <c r="CC30" s="21">
        <v>0</v>
      </c>
      <c r="CD30" s="21">
        <v>1</v>
      </c>
      <c r="CE30" s="21">
        <v>0</v>
      </c>
      <c r="CF30" s="21">
        <v>1</v>
      </c>
      <c r="CG30" s="21">
        <v>37</v>
      </c>
      <c r="CH30" s="21">
        <v>25</v>
      </c>
      <c r="CI30" s="21">
        <v>24</v>
      </c>
      <c r="CJ30" s="21">
        <v>0</v>
      </c>
      <c r="CK30" s="21">
        <v>42</v>
      </c>
      <c r="CL30" s="21">
        <v>0</v>
      </c>
      <c r="CM30" s="21">
        <v>0</v>
      </c>
      <c r="CN30" s="21">
        <v>2</v>
      </c>
      <c r="CO30" s="21">
        <v>0</v>
      </c>
      <c r="CP30" s="21">
        <v>23</v>
      </c>
      <c r="CQ30" s="21">
        <v>37</v>
      </c>
      <c r="CR30" s="21">
        <v>0</v>
      </c>
      <c r="CS30" s="21">
        <v>18</v>
      </c>
      <c r="CT30" s="21">
        <v>4</v>
      </c>
      <c r="CU30" s="21">
        <v>0</v>
      </c>
      <c r="CV30" s="21">
        <v>0</v>
      </c>
      <c r="CW30" s="21" t="s">
        <v>683</v>
      </c>
      <c r="CX30" s="21">
        <v>4</v>
      </c>
      <c r="CY30" s="21">
        <v>0</v>
      </c>
      <c r="CZ30" s="21">
        <v>109</v>
      </c>
      <c r="DA30" s="21">
        <v>44</v>
      </c>
      <c r="DB30" s="21">
        <v>18</v>
      </c>
      <c r="DC30" s="21">
        <v>0</v>
      </c>
      <c r="DD30" s="21">
        <v>0</v>
      </c>
      <c r="DE30" s="72"/>
      <c r="DG30" s="76"/>
      <c r="DI30" s="76"/>
    </row>
    <row r="31" spans="1:113">
      <c r="A31" s="19" t="s">
        <v>200</v>
      </c>
      <c r="B31" s="19" t="s">
        <v>201</v>
      </c>
      <c r="C31" s="19" t="s">
        <v>202</v>
      </c>
      <c r="D31" s="20">
        <f t="shared" si="0"/>
        <v>1</v>
      </c>
      <c r="E31" s="21">
        <v>0</v>
      </c>
      <c r="F31" s="21">
        <v>0</v>
      </c>
      <c r="G31" s="21">
        <v>0</v>
      </c>
      <c r="H31" s="21">
        <v>0</v>
      </c>
      <c r="I31" s="21">
        <v>0</v>
      </c>
      <c r="J31" s="21">
        <v>0</v>
      </c>
      <c r="K31" s="21">
        <v>0</v>
      </c>
      <c r="L31" s="21">
        <v>0</v>
      </c>
      <c r="M31" s="21">
        <v>0</v>
      </c>
      <c r="N31" s="21">
        <v>0</v>
      </c>
      <c r="O31" s="21">
        <v>0</v>
      </c>
      <c r="P31" s="21">
        <v>0</v>
      </c>
      <c r="Q31" s="21">
        <v>0</v>
      </c>
      <c r="R31" s="21">
        <v>0</v>
      </c>
      <c r="S31" s="21">
        <v>0</v>
      </c>
      <c r="T31" s="21">
        <v>0</v>
      </c>
      <c r="U31" s="21">
        <v>0</v>
      </c>
      <c r="V31" s="21">
        <v>0</v>
      </c>
      <c r="W31" s="21">
        <v>0</v>
      </c>
      <c r="X31" s="21">
        <v>0</v>
      </c>
      <c r="Y31" s="21">
        <v>0</v>
      </c>
      <c r="Z31" s="21">
        <v>0</v>
      </c>
      <c r="AA31" s="21">
        <v>0</v>
      </c>
      <c r="AB31" s="21">
        <v>0</v>
      </c>
      <c r="AC31" s="21">
        <v>0</v>
      </c>
      <c r="AD31" s="21">
        <v>0</v>
      </c>
      <c r="AE31" s="21">
        <v>0</v>
      </c>
      <c r="AF31" s="21">
        <v>0</v>
      </c>
      <c r="AG31" s="21">
        <v>0</v>
      </c>
      <c r="AH31" s="21">
        <v>0</v>
      </c>
      <c r="AI31" s="21">
        <v>0</v>
      </c>
      <c r="AJ31" s="21">
        <v>0</v>
      </c>
      <c r="AK31" s="21">
        <v>0</v>
      </c>
      <c r="AL31" s="21">
        <v>0</v>
      </c>
      <c r="AM31" s="21">
        <v>0</v>
      </c>
      <c r="AN31" s="21">
        <v>0</v>
      </c>
      <c r="AO31" s="21">
        <v>0</v>
      </c>
      <c r="AP31" s="21">
        <v>0</v>
      </c>
      <c r="AQ31" s="21">
        <v>0</v>
      </c>
      <c r="AR31" s="21">
        <v>0</v>
      </c>
      <c r="AS31" s="21">
        <v>0</v>
      </c>
      <c r="AT31" s="21">
        <v>0</v>
      </c>
      <c r="AU31" s="21">
        <v>0</v>
      </c>
      <c r="AV31" s="21">
        <v>0</v>
      </c>
      <c r="AW31" s="21">
        <v>0</v>
      </c>
      <c r="AX31" s="21">
        <v>0</v>
      </c>
      <c r="AY31" s="21">
        <v>0</v>
      </c>
      <c r="AZ31" s="21">
        <v>0</v>
      </c>
      <c r="BA31" s="21">
        <v>0</v>
      </c>
      <c r="BB31" s="21">
        <v>0</v>
      </c>
      <c r="BC31" s="21">
        <v>0</v>
      </c>
      <c r="BD31" s="21">
        <v>0</v>
      </c>
      <c r="BE31" s="21">
        <v>0</v>
      </c>
      <c r="BF31" s="21">
        <v>0</v>
      </c>
      <c r="BG31" s="21">
        <v>0</v>
      </c>
      <c r="BH31" s="21">
        <v>0</v>
      </c>
      <c r="BI31" s="21">
        <v>0</v>
      </c>
      <c r="BJ31" s="21">
        <v>1</v>
      </c>
      <c r="BK31" s="21" t="s">
        <v>683</v>
      </c>
      <c r="BL31" s="21">
        <v>0</v>
      </c>
      <c r="BM31" s="21">
        <v>0</v>
      </c>
      <c r="BN31" s="21">
        <v>0</v>
      </c>
      <c r="BO31" s="21">
        <v>0</v>
      </c>
      <c r="BP31" s="21">
        <v>0</v>
      </c>
      <c r="BQ31" s="21">
        <v>0</v>
      </c>
      <c r="BR31" s="21">
        <v>0</v>
      </c>
      <c r="BS31" s="21">
        <v>0</v>
      </c>
      <c r="BT31" s="21">
        <v>0</v>
      </c>
      <c r="BU31" s="21">
        <v>0</v>
      </c>
      <c r="BV31" s="21">
        <v>0</v>
      </c>
      <c r="BW31" s="21">
        <v>0</v>
      </c>
      <c r="BX31" s="21">
        <v>0</v>
      </c>
      <c r="BY31" s="21">
        <v>0</v>
      </c>
      <c r="BZ31" s="21">
        <v>0</v>
      </c>
      <c r="CA31" s="21">
        <v>0</v>
      </c>
      <c r="CB31" s="21">
        <v>0</v>
      </c>
      <c r="CC31" s="21">
        <v>0</v>
      </c>
      <c r="CD31" s="21">
        <v>0</v>
      </c>
      <c r="CE31" s="21">
        <v>0</v>
      </c>
      <c r="CF31" s="21">
        <v>0</v>
      </c>
      <c r="CG31" s="21">
        <v>0</v>
      </c>
      <c r="CH31" s="21">
        <v>0</v>
      </c>
      <c r="CI31" s="21">
        <v>0</v>
      </c>
      <c r="CJ31" s="21">
        <v>0</v>
      </c>
      <c r="CK31" s="21">
        <v>0</v>
      </c>
      <c r="CL31" s="21">
        <v>0</v>
      </c>
      <c r="CM31" s="21">
        <v>0</v>
      </c>
      <c r="CN31" s="21">
        <v>0</v>
      </c>
      <c r="CO31" s="21">
        <v>0</v>
      </c>
      <c r="CP31" s="21">
        <v>0</v>
      </c>
      <c r="CQ31" s="21">
        <v>0</v>
      </c>
      <c r="CR31" s="21">
        <v>0</v>
      </c>
      <c r="CS31" s="21">
        <v>0</v>
      </c>
      <c r="CT31" s="21">
        <v>0</v>
      </c>
      <c r="CU31" s="21">
        <v>0</v>
      </c>
      <c r="CV31" s="21">
        <v>0</v>
      </c>
      <c r="CW31" s="21">
        <v>0</v>
      </c>
      <c r="CX31" s="21">
        <v>0</v>
      </c>
      <c r="CY31" s="21">
        <v>0</v>
      </c>
      <c r="CZ31" s="21">
        <v>0</v>
      </c>
      <c r="DA31" s="21">
        <v>0</v>
      </c>
      <c r="DB31" s="21">
        <v>0</v>
      </c>
      <c r="DC31" s="21">
        <v>0</v>
      </c>
      <c r="DD31" s="21">
        <v>0</v>
      </c>
      <c r="DE31" s="72"/>
      <c r="DG31" s="76"/>
      <c r="DI31" s="76"/>
    </row>
    <row r="32" spans="1:113">
      <c r="A32" s="19" t="s">
        <v>203</v>
      </c>
      <c r="B32" s="19" t="s">
        <v>204</v>
      </c>
      <c r="C32" s="19" t="s">
        <v>205</v>
      </c>
      <c r="D32" s="20">
        <f t="shared" si="0"/>
        <v>2046</v>
      </c>
      <c r="E32" s="21">
        <v>119</v>
      </c>
      <c r="F32" s="21">
        <v>9</v>
      </c>
      <c r="G32" s="21">
        <v>0</v>
      </c>
      <c r="H32" s="21">
        <v>2</v>
      </c>
      <c r="I32" s="21">
        <v>2</v>
      </c>
      <c r="J32" s="21">
        <v>9</v>
      </c>
      <c r="K32" s="21">
        <v>0</v>
      </c>
      <c r="L32" s="21">
        <v>0</v>
      </c>
      <c r="M32" s="21">
        <v>0</v>
      </c>
      <c r="N32" s="21">
        <v>0</v>
      </c>
      <c r="O32" s="21">
        <v>0</v>
      </c>
      <c r="P32" s="21">
        <v>78</v>
      </c>
      <c r="Q32" s="21">
        <v>23</v>
      </c>
      <c r="R32" s="21">
        <v>98</v>
      </c>
      <c r="S32" s="21">
        <v>8</v>
      </c>
      <c r="T32" s="21">
        <v>12</v>
      </c>
      <c r="U32" s="21">
        <v>1</v>
      </c>
      <c r="V32" s="21">
        <v>0</v>
      </c>
      <c r="W32" s="21">
        <v>5</v>
      </c>
      <c r="X32" s="21">
        <v>0</v>
      </c>
      <c r="Y32" s="21">
        <v>0</v>
      </c>
      <c r="Z32" s="21">
        <v>14</v>
      </c>
      <c r="AA32" s="21">
        <v>1</v>
      </c>
      <c r="AB32" s="21">
        <v>1</v>
      </c>
      <c r="AC32" s="21">
        <v>121</v>
      </c>
      <c r="AD32" s="21">
        <v>2</v>
      </c>
      <c r="AE32" s="21">
        <v>4</v>
      </c>
      <c r="AF32" s="21">
        <v>6</v>
      </c>
      <c r="AG32" s="21">
        <v>0</v>
      </c>
      <c r="AH32" s="21">
        <v>11</v>
      </c>
      <c r="AI32" s="21">
        <v>8</v>
      </c>
      <c r="AJ32" s="21">
        <v>22</v>
      </c>
      <c r="AK32" s="21">
        <v>10</v>
      </c>
      <c r="AL32" s="21">
        <v>25</v>
      </c>
      <c r="AM32" s="21">
        <v>3</v>
      </c>
      <c r="AN32" s="21">
        <v>0</v>
      </c>
      <c r="AO32" s="21">
        <v>10</v>
      </c>
      <c r="AP32" s="21">
        <v>6</v>
      </c>
      <c r="AQ32" s="21">
        <v>0</v>
      </c>
      <c r="AR32" s="21">
        <v>98</v>
      </c>
      <c r="AS32" s="21">
        <v>24</v>
      </c>
      <c r="AT32" s="21">
        <v>2</v>
      </c>
      <c r="AU32" s="21">
        <v>0</v>
      </c>
      <c r="AV32" s="21">
        <v>0</v>
      </c>
      <c r="AW32" s="21">
        <v>0</v>
      </c>
      <c r="AX32" s="21">
        <v>5</v>
      </c>
      <c r="AY32" s="21">
        <v>0</v>
      </c>
      <c r="AZ32" s="21">
        <v>0</v>
      </c>
      <c r="BA32" s="21">
        <v>0</v>
      </c>
      <c r="BB32" s="21">
        <v>0</v>
      </c>
      <c r="BC32" s="21">
        <v>0</v>
      </c>
      <c r="BD32" s="21">
        <v>28</v>
      </c>
      <c r="BE32" s="21">
        <v>0</v>
      </c>
      <c r="BF32" s="21">
        <v>0</v>
      </c>
      <c r="BG32" s="21">
        <v>6</v>
      </c>
      <c r="BH32" s="21">
        <v>0</v>
      </c>
      <c r="BI32" s="21">
        <v>264</v>
      </c>
      <c r="BJ32" s="21">
        <v>458</v>
      </c>
      <c r="BK32" s="21">
        <v>40</v>
      </c>
      <c r="BL32" s="21">
        <v>75</v>
      </c>
      <c r="BM32" s="21">
        <v>12</v>
      </c>
      <c r="BN32" s="21">
        <v>0</v>
      </c>
      <c r="BO32" s="21">
        <v>0</v>
      </c>
      <c r="BP32" s="21">
        <v>8</v>
      </c>
      <c r="BQ32" s="21">
        <v>4</v>
      </c>
      <c r="BR32" s="21">
        <v>5</v>
      </c>
      <c r="BS32" s="21">
        <v>13</v>
      </c>
      <c r="BT32" s="21">
        <v>8</v>
      </c>
      <c r="BU32" s="21">
        <v>85</v>
      </c>
      <c r="BV32" s="21">
        <v>0</v>
      </c>
      <c r="BW32" s="21">
        <v>8</v>
      </c>
      <c r="BX32" s="21">
        <v>13</v>
      </c>
      <c r="BY32" s="21">
        <v>7</v>
      </c>
      <c r="BZ32" s="21">
        <v>18</v>
      </c>
      <c r="CA32" s="21">
        <v>15</v>
      </c>
      <c r="CB32" s="21">
        <v>7</v>
      </c>
      <c r="CC32" s="21">
        <v>4</v>
      </c>
      <c r="CD32" s="21">
        <v>11</v>
      </c>
      <c r="CE32" s="21">
        <v>0</v>
      </c>
      <c r="CF32" s="21">
        <v>7</v>
      </c>
      <c r="CG32" s="21">
        <v>2</v>
      </c>
      <c r="CH32" s="21">
        <v>0</v>
      </c>
      <c r="CI32" s="21">
        <v>15</v>
      </c>
      <c r="CJ32" s="21">
        <v>2</v>
      </c>
      <c r="CK32" s="21">
        <v>0</v>
      </c>
      <c r="CL32" s="21">
        <v>0</v>
      </c>
      <c r="CM32" s="21">
        <v>5</v>
      </c>
      <c r="CN32" s="21">
        <v>12</v>
      </c>
      <c r="CO32" s="21">
        <v>8</v>
      </c>
      <c r="CP32" s="21">
        <v>18</v>
      </c>
      <c r="CQ32" s="21" t="s">
        <v>683</v>
      </c>
      <c r="CR32" s="21">
        <v>0</v>
      </c>
      <c r="CS32" s="21">
        <v>29</v>
      </c>
      <c r="CT32" s="21">
        <v>30</v>
      </c>
      <c r="CU32" s="21">
        <v>14</v>
      </c>
      <c r="CV32" s="21">
        <v>6</v>
      </c>
      <c r="CW32" s="21">
        <v>5</v>
      </c>
      <c r="CX32" s="21">
        <v>15</v>
      </c>
      <c r="CY32" s="21">
        <v>12</v>
      </c>
      <c r="CZ32" s="21">
        <v>5</v>
      </c>
      <c r="DA32" s="21">
        <v>0</v>
      </c>
      <c r="DB32" s="21">
        <v>2</v>
      </c>
      <c r="DC32" s="21">
        <v>3</v>
      </c>
      <c r="DD32" s="21">
        <v>28</v>
      </c>
      <c r="DE32" s="72"/>
      <c r="DG32" s="76"/>
      <c r="DI32" s="76"/>
    </row>
    <row r="33" spans="1:113">
      <c r="A33" s="19" t="s">
        <v>206</v>
      </c>
      <c r="B33" s="19" t="s">
        <v>207</v>
      </c>
      <c r="C33" s="19" t="s">
        <v>208</v>
      </c>
      <c r="D33" s="20">
        <f t="shared" si="0"/>
        <v>105</v>
      </c>
      <c r="E33" s="21">
        <v>40</v>
      </c>
      <c r="F33" s="21">
        <v>2</v>
      </c>
      <c r="G33" s="21">
        <v>0</v>
      </c>
      <c r="H33" s="21">
        <v>0</v>
      </c>
      <c r="I33" s="21">
        <v>0</v>
      </c>
      <c r="J33" s="21">
        <v>0</v>
      </c>
      <c r="K33" s="21">
        <v>4</v>
      </c>
      <c r="L33" s="21">
        <v>0</v>
      </c>
      <c r="M33" s="21">
        <v>0</v>
      </c>
      <c r="N33" s="21">
        <v>0</v>
      </c>
      <c r="O33" s="21">
        <v>0</v>
      </c>
      <c r="P33" s="21">
        <v>1</v>
      </c>
      <c r="Q33" s="21">
        <v>0</v>
      </c>
      <c r="R33" s="21">
        <v>0</v>
      </c>
      <c r="S33" s="21">
        <v>0</v>
      </c>
      <c r="T33" s="21">
        <v>0</v>
      </c>
      <c r="U33" s="21">
        <v>0</v>
      </c>
      <c r="V33" s="21">
        <v>0</v>
      </c>
      <c r="W33" s="21">
        <v>0</v>
      </c>
      <c r="X33" s="21">
        <v>0</v>
      </c>
      <c r="Y33" s="21">
        <v>0</v>
      </c>
      <c r="Z33" s="21">
        <v>0</v>
      </c>
      <c r="AA33" s="21">
        <v>0</v>
      </c>
      <c r="AB33" s="21">
        <v>0</v>
      </c>
      <c r="AC33" s="21">
        <v>2</v>
      </c>
      <c r="AD33" s="21">
        <v>0</v>
      </c>
      <c r="AE33" s="21">
        <v>0</v>
      </c>
      <c r="AF33" s="21">
        <v>0</v>
      </c>
      <c r="AG33" s="21">
        <v>0</v>
      </c>
      <c r="AH33" s="21">
        <v>0</v>
      </c>
      <c r="AI33" s="21">
        <v>0</v>
      </c>
      <c r="AJ33" s="21">
        <v>0</v>
      </c>
      <c r="AK33" s="21">
        <v>0</v>
      </c>
      <c r="AL33" s="21">
        <v>0</v>
      </c>
      <c r="AM33" s="21">
        <v>0</v>
      </c>
      <c r="AN33" s="21">
        <v>0</v>
      </c>
      <c r="AO33" s="21">
        <v>0</v>
      </c>
      <c r="AP33" s="21">
        <v>0</v>
      </c>
      <c r="AQ33" s="21">
        <v>0</v>
      </c>
      <c r="AR33" s="21">
        <v>0</v>
      </c>
      <c r="AS33" s="21">
        <v>0</v>
      </c>
      <c r="AT33" s="21">
        <v>0</v>
      </c>
      <c r="AU33" s="21">
        <v>0</v>
      </c>
      <c r="AV33" s="21">
        <v>0</v>
      </c>
      <c r="AW33" s="21">
        <v>0</v>
      </c>
      <c r="AX33" s="21">
        <v>0</v>
      </c>
      <c r="AY33" s="21">
        <v>0</v>
      </c>
      <c r="AZ33" s="21">
        <v>0</v>
      </c>
      <c r="BA33" s="21">
        <v>0</v>
      </c>
      <c r="BB33" s="21">
        <v>0</v>
      </c>
      <c r="BC33" s="21">
        <v>0</v>
      </c>
      <c r="BD33" s="21">
        <v>1</v>
      </c>
      <c r="BE33" s="21">
        <v>1</v>
      </c>
      <c r="BF33" s="21">
        <v>0</v>
      </c>
      <c r="BG33" s="21">
        <v>1</v>
      </c>
      <c r="BH33" s="21">
        <v>0</v>
      </c>
      <c r="BI33" s="21">
        <v>12</v>
      </c>
      <c r="BJ33" s="21">
        <v>30</v>
      </c>
      <c r="BK33" s="21">
        <v>4</v>
      </c>
      <c r="BL33" s="21">
        <v>1</v>
      </c>
      <c r="BM33" s="21">
        <v>0</v>
      </c>
      <c r="BN33" s="21">
        <v>0</v>
      </c>
      <c r="BO33" s="21">
        <v>0</v>
      </c>
      <c r="BP33" s="21">
        <v>0</v>
      </c>
      <c r="BQ33" s="21">
        <v>0</v>
      </c>
      <c r="BR33" s="21">
        <v>0</v>
      </c>
      <c r="BS33" s="21">
        <v>0</v>
      </c>
      <c r="BT33" s="21">
        <v>0</v>
      </c>
      <c r="BU33" s="21">
        <v>0</v>
      </c>
      <c r="BV33" s="21">
        <v>0</v>
      </c>
      <c r="BW33" s="21">
        <v>0</v>
      </c>
      <c r="BX33" s="21">
        <v>0</v>
      </c>
      <c r="BY33" s="21">
        <v>0</v>
      </c>
      <c r="BZ33" s="21">
        <v>0</v>
      </c>
      <c r="CA33" s="21">
        <v>0</v>
      </c>
      <c r="CB33" s="21">
        <v>0</v>
      </c>
      <c r="CC33" s="21">
        <v>0</v>
      </c>
      <c r="CD33" s="21">
        <v>0</v>
      </c>
      <c r="CE33" s="21">
        <v>0</v>
      </c>
      <c r="CF33" s="21">
        <v>0</v>
      </c>
      <c r="CG33" s="21">
        <v>0</v>
      </c>
      <c r="CH33" s="21">
        <v>0</v>
      </c>
      <c r="CI33" s="21">
        <v>0</v>
      </c>
      <c r="CJ33" s="21">
        <v>1</v>
      </c>
      <c r="CK33" s="21">
        <v>1</v>
      </c>
      <c r="CL33" s="21">
        <v>0</v>
      </c>
      <c r="CM33" s="21">
        <v>0</v>
      </c>
      <c r="CN33" s="21">
        <v>0</v>
      </c>
      <c r="CO33" s="21">
        <v>0</v>
      </c>
      <c r="CP33" s="21">
        <v>0</v>
      </c>
      <c r="CQ33" s="21">
        <v>3</v>
      </c>
      <c r="CR33" s="21">
        <v>0</v>
      </c>
      <c r="CS33" s="21">
        <v>0</v>
      </c>
      <c r="CT33" s="21">
        <v>0</v>
      </c>
      <c r="CU33" s="21">
        <v>0</v>
      </c>
      <c r="CV33" s="21">
        <v>0</v>
      </c>
      <c r="CW33" s="21">
        <v>0</v>
      </c>
      <c r="CX33" s="21">
        <v>0</v>
      </c>
      <c r="CY33" s="21">
        <v>0</v>
      </c>
      <c r="CZ33" s="21">
        <v>1</v>
      </c>
      <c r="DA33" s="21">
        <v>0</v>
      </c>
      <c r="DB33" s="21">
        <v>0</v>
      </c>
      <c r="DC33" s="21">
        <v>0</v>
      </c>
      <c r="DD33" s="21">
        <v>0</v>
      </c>
      <c r="DE33" s="72"/>
      <c r="DG33" s="76"/>
      <c r="DI33" s="76"/>
    </row>
    <row r="34" spans="1:113">
      <c r="A34" s="19" t="s">
        <v>206</v>
      </c>
      <c r="B34" s="19" t="s">
        <v>209</v>
      </c>
      <c r="C34" s="19" t="s">
        <v>208</v>
      </c>
      <c r="D34" s="20">
        <f t="shared" si="0"/>
        <v>54</v>
      </c>
      <c r="E34" s="21">
        <v>5</v>
      </c>
      <c r="F34" s="21">
        <v>1</v>
      </c>
      <c r="G34" s="21">
        <v>0</v>
      </c>
      <c r="H34" s="21">
        <v>0</v>
      </c>
      <c r="I34" s="21">
        <v>0</v>
      </c>
      <c r="J34" s="21">
        <v>0</v>
      </c>
      <c r="K34" s="21">
        <v>1</v>
      </c>
      <c r="L34" s="21">
        <v>0</v>
      </c>
      <c r="M34" s="21">
        <v>0</v>
      </c>
      <c r="N34" s="21">
        <v>0</v>
      </c>
      <c r="O34" s="21">
        <v>0</v>
      </c>
      <c r="P34" s="21">
        <v>0</v>
      </c>
      <c r="Q34" s="21">
        <v>0</v>
      </c>
      <c r="R34" s="21">
        <v>0</v>
      </c>
      <c r="S34" s="21">
        <v>0</v>
      </c>
      <c r="T34" s="21">
        <v>0</v>
      </c>
      <c r="U34" s="21">
        <v>0</v>
      </c>
      <c r="V34" s="21">
        <v>0</v>
      </c>
      <c r="W34" s="21">
        <v>0</v>
      </c>
      <c r="X34" s="21">
        <v>0</v>
      </c>
      <c r="Y34" s="21">
        <v>0</v>
      </c>
      <c r="Z34" s="21">
        <v>0</v>
      </c>
      <c r="AA34" s="21">
        <v>0</v>
      </c>
      <c r="AB34" s="21">
        <v>0</v>
      </c>
      <c r="AC34" s="21">
        <v>0</v>
      </c>
      <c r="AD34" s="21">
        <v>0</v>
      </c>
      <c r="AE34" s="21">
        <v>0</v>
      </c>
      <c r="AF34" s="21">
        <v>0</v>
      </c>
      <c r="AG34" s="21">
        <v>0</v>
      </c>
      <c r="AH34" s="21">
        <v>0</v>
      </c>
      <c r="AI34" s="21">
        <v>0</v>
      </c>
      <c r="AJ34" s="21">
        <v>0</v>
      </c>
      <c r="AK34" s="21">
        <v>0</v>
      </c>
      <c r="AL34" s="21">
        <v>0</v>
      </c>
      <c r="AM34" s="21">
        <v>0</v>
      </c>
      <c r="AN34" s="21">
        <v>0</v>
      </c>
      <c r="AO34" s="21">
        <v>0</v>
      </c>
      <c r="AP34" s="21">
        <v>0</v>
      </c>
      <c r="AQ34" s="21">
        <v>0</v>
      </c>
      <c r="AR34" s="21">
        <v>0</v>
      </c>
      <c r="AS34" s="21">
        <v>0</v>
      </c>
      <c r="AT34" s="21">
        <v>0</v>
      </c>
      <c r="AU34" s="21">
        <v>0</v>
      </c>
      <c r="AV34" s="21">
        <v>0</v>
      </c>
      <c r="AW34" s="21">
        <v>0</v>
      </c>
      <c r="AX34" s="21">
        <v>0</v>
      </c>
      <c r="AY34" s="21">
        <v>0</v>
      </c>
      <c r="AZ34" s="21">
        <v>0</v>
      </c>
      <c r="BA34" s="21">
        <v>0</v>
      </c>
      <c r="BB34" s="21">
        <v>0</v>
      </c>
      <c r="BC34" s="21">
        <v>0</v>
      </c>
      <c r="BD34" s="21">
        <v>0</v>
      </c>
      <c r="BE34" s="21">
        <v>0</v>
      </c>
      <c r="BF34" s="21">
        <v>0</v>
      </c>
      <c r="BG34" s="21">
        <v>0</v>
      </c>
      <c r="BH34" s="21">
        <v>0</v>
      </c>
      <c r="BI34" s="21">
        <v>12</v>
      </c>
      <c r="BJ34" s="21">
        <v>34</v>
      </c>
      <c r="BK34" s="21">
        <v>1</v>
      </c>
      <c r="BL34" s="21">
        <v>0</v>
      </c>
      <c r="BM34" s="21">
        <v>0</v>
      </c>
      <c r="BN34" s="21">
        <v>0</v>
      </c>
      <c r="BO34" s="21">
        <v>0</v>
      </c>
      <c r="BP34" s="21">
        <v>0</v>
      </c>
      <c r="BQ34" s="21">
        <v>0</v>
      </c>
      <c r="BR34" s="21">
        <v>0</v>
      </c>
      <c r="BS34" s="21">
        <v>0</v>
      </c>
      <c r="BT34" s="21">
        <v>0</v>
      </c>
      <c r="BU34" s="21">
        <v>0</v>
      </c>
      <c r="BV34" s="21">
        <v>0</v>
      </c>
      <c r="BW34" s="21">
        <v>0</v>
      </c>
      <c r="BX34" s="21">
        <v>0</v>
      </c>
      <c r="BY34" s="21">
        <v>0</v>
      </c>
      <c r="BZ34" s="21">
        <v>0</v>
      </c>
      <c r="CA34" s="21">
        <v>0</v>
      </c>
      <c r="CB34" s="21">
        <v>0</v>
      </c>
      <c r="CC34" s="21">
        <v>0</v>
      </c>
      <c r="CD34" s="21">
        <v>0</v>
      </c>
      <c r="CE34" s="21">
        <v>0</v>
      </c>
      <c r="CF34" s="21">
        <v>0</v>
      </c>
      <c r="CG34" s="21">
        <v>0</v>
      </c>
      <c r="CH34" s="21">
        <v>0</v>
      </c>
      <c r="CI34" s="21">
        <v>0</v>
      </c>
      <c r="CJ34" s="21">
        <v>0</v>
      </c>
      <c r="CK34" s="21">
        <v>0</v>
      </c>
      <c r="CL34" s="21">
        <v>0</v>
      </c>
      <c r="CM34" s="21">
        <v>0</v>
      </c>
      <c r="CN34" s="21">
        <v>0</v>
      </c>
      <c r="CO34" s="21">
        <v>0</v>
      </c>
      <c r="CP34" s="21">
        <v>0</v>
      </c>
      <c r="CQ34" s="21">
        <v>0</v>
      </c>
      <c r="CR34" s="21">
        <v>0</v>
      </c>
      <c r="CS34" s="21">
        <v>0</v>
      </c>
      <c r="CT34" s="21">
        <v>0</v>
      </c>
      <c r="CU34" s="21">
        <v>0</v>
      </c>
      <c r="CV34" s="21">
        <v>0</v>
      </c>
      <c r="CW34" s="21">
        <v>0</v>
      </c>
      <c r="CX34" s="21">
        <v>0</v>
      </c>
      <c r="CY34" s="21">
        <v>0</v>
      </c>
      <c r="CZ34" s="21">
        <v>0</v>
      </c>
      <c r="DA34" s="21">
        <v>0</v>
      </c>
      <c r="DB34" s="21">
        <v>0</v>
      </c>
      <c r="DC34" s="21">
        <v>0</v>
      </c>
      <c r="DD34" s="21">
        <v>0</v>
      </c>
      <c r="DE34" s="72"/>
      <c r="DG34" s="76"/>
      <c r="DI34" s="76"/>
    </row>
    <row r="35" spans="1:113">
      <c r="A35" s="19" t="s">
        <v>210</v>
      </c>
      <c r="B35" s="19" t="s">
        <v>211</v>
      </c>
      <c r="C35" s="19" t="s">
        <v>212</v>
      </c>
      <c r="D35" s="20">
        <f t="shared" si="0"/>
        <v>76</v>
      </c>
      <c r="E35" s="21">
        <v>0</v>
      </c>
      <c r="F35" s="21">
        <v>0</v>
      </c>
      <c r="G35" s="21">
        <v>0</v>
      </c>
      <c r="H35" s="21">
        <v>0</v>
      </c>
      <c r="I35" s="21">
        <v>0</v>
      </c>
      <c r="J35" s="21">
        <v>0</v>
      </c>
      <c r="K35" s="21">
        <v>0</v>
      </c>
      <c r="L35" s="21">
        <v>0</v>
      </c>
      <c r="M35" s="21">
        <v>0</v>
      </c>
      <c r="N35" s="21">
        <v>0</v>
      </c>
      <c r="O35" s="21">
        <v>0</v>
      </c>
      <c r="P35" s="21">
        <v>0</v>
      </c>
      <c r="Q35" s="21">
        <v>0</v>
      </c>
      <c r="R35" s="21">
        <v>0</v>
      </c>
      <c r="S35" s="21">
        <v>0</v>
      </c>
      <c r="T35" s="21">
        <v>0</v>
      </c>
      <c r="U35" s="21">
        <v>0</v>
      </c>
      <c r="V35" s="21">
        <v>0</v>
      </c>
      <c r="W35" s="21">
        <v>0</v>
      </c>
      <c r="X35" s="21">
        <v>0</v>
      </c>
      <c r="Y35" s="21">
        <v>0</v>
      </c>
      <c r="Z35" s="21">
        <v>0</v>
      </c>
      <c r="AA35" s="21">
        <v>0</v>
      </c>
      <c r="AB35" s="21">
        <v>0</v>
      </c>
      <c r="AC35" s="21">
        <v>0</v>
      </c>
      <c r="AD35" s="21">
        <v>0</v>
      </c>
      <c r="AE35" s="21">
        <v>0</v>
      </c>
      <c r="AF35" s="21">
        <v>0</v>
      </c>
      <c r="AG35" s="21">
        <v>0</v>
      </c>
      <c r="AH35" s="21">
        <v>0</v>
      </c>
      <c r="AI35" s="21">
        <v>0</v>
      </c>
      <c r="AJ35" s="21">
        <v>0</v>
      </c>
      <c r="AK35" s="21">
        <v>0</v>
      </c>
      <c r="AL35" s="21">
        <v>0</v>
      </c>
      <c r="AM35" s="21">
        <v>0</v>
      </c>
      <c r="AN35" s="21">
        <v>0</v>
      </c>
      <c r="AO35" s="21">
        <v>0</v>
      </c>
      <c r="AP35" s="21">
        <v>0</v>
      </c>
      <c r="AQ35" s="21">
        <v>0</v>
      </c>
      <c r="AR35" s="21">
        <v>0</v>
      </c>
      <c r="AS35" s="21">
        <v>0</v>
      </c>
      <c r="AT35" s="21">
        <v>0</v>
      </c>
      <c r="AU35" s="21">
        <v>0</v>
      </c>
      <c r="AV35" s="21">
        <v>0</v>
      </c>
      <c r="AW35" s="21">
        <v>0</v>
      </c>
      <c r="AX35" s="21">
        <v>0</v>
      </c>
      <c r="AY35" s="21">
        <v>0</v>
      </c>
      <c r="AZ35" s="21">
        <v>0</v>
      </c>
      <c r="BA35" s="21">
        <v>0</v>
      </c>
      <c r="BB35" s="21">
        <v>0</v>
      </c>
      <c r="BC35" s="21">
        <v>0</v>
      </c>
      <c r="BD35" s="21">
        <v>0</v>
      </c>
      <c r="BE35" s="21">
        <v>0</v>
      </c>
      <c r="BF35" s="21">
        <v>0</v>
      </c>
      <c r="BG35" s="21">
        <v>0</v>
      </c>
      <c r="BH35" s="21">
        <v>0</v>
      </c>
      <c r="BI35" s="21">
        <v>0</v>
      </c>
      <c r="BJ35" s="21">
        <v>76</v>
      </c>
      <c r="BK35" s="21" t="s">
        <v>683</v>
      </c>
      <c r="BL35" s="21">
        <v>0</v>
      </c>
      <c r="BM35" s="21">
        <v>0</v>
      </c>
      <c r="BN35" s="21">
        <v>0</v>
      </c>
      <c r="BO35" s="21">
        <v>0</v>
      </c>
      <c r="BP35" s="21">
        <v>0</v>
      </c>
      <c r="BQ35" s="21">
        <v>0</v>
      </c>
      <c r="BR35" s="21">
        <v>0</v>
      </c>
      <c r="BS35" s="21">
        <v>0</v>
      </c>
      <c r="BT35" s="21">
        <v>0</v>
      </c>
      <c r="BU35" s="21">
        <v>0</v>
      </c>
      <c r="BV35" s="21">
        <v>0</v>
      </c>
      <c r="BW35" s="21">
        <v>0</v>
      </c>
      <c r="BX35" s="21">
        <v>0</v>
      </c>
      <c r="BY35" s="21">
        <v>0</v>
      </c>
      <c r="BZ35" s="21">
        <v>0</v>
      </c>
      <c r="CA35" s="21">
        <v>0</v>
      </c>
      <c r="CB35" s="21">
        <v>0</v>
      </c>
      <c r="CC35" s="21">
        <v>0</v>
      </c>
      <c r="CD35" s="21">
        <v>0</v>
      </c>
      <c r="CE35" s="21">
        <v>0</v>
      </c>
      <c r="CF35" s="21">
        <v>0</v>
      </c>
      <c r="CG35" s="21">
        <v>0</v>
      </c>
      <c r="CH35" s="21">
        <v>0</v>
      </c>
      <c r="CI35" s="21">
        <v>0</v>
      </c>
      <c r="CJ35" s="21">
        <v>0</v>
      </c>
      <c r="CK35" s="21">
        <v>0</v>
      </c>
      <c r="CL35" s="21">
        <v>0</v>
      </c>
      <c r="CM35" s="21">
        <v>0</v>
      </c>
      <c r="CN35" s="21">
        <v>0</v>
      </c>
      <c r="CO35" s="21">
        <v>0</v>
      </c>
      <c r="CP35" s="21">
        <v>0</v>
      </c>
      <c r="CQ35" s="21">
        <v>0</v>
      </c>
      <c r="CR35" s="21">
        <v>0</v>
      </c>
      <c r="CS35" s="21">
        <v>0</v>
      </c>
      <c r="CT35" s="21">
        <v>0</v>
      </c>
      <c r="CU35" s="21">
        <v>0</v>
      </c>
      <c r="CV35" s="21">
        <v>0</v>
      </c>
      <c r="CW35" s="21">
        <v>0</v>
      </c>
      <c r="CX35" s="21">
        <v>0</v>
      </c>
      <c r="CY35" s="21">
        <v>0</v>
      </c>
      <c r="CZ35" s="21">
        <v>0</v>
      </c>
      <c r="DA35" s="21">
        <v>0</v>
      </c>
      <c r="DB35" s="21">
        <v>0</v>
      </c>
      <c r="DC35" s="21">
        <v>0</v>
      </c>
      <c r="DD35" s="21">
        <v>0</v>
      </c>
      <c r="DE35" s="73"/>
      <c r="DG35" s="76"/>
      <c r="DI35" s="76"/>
    </row>
    <row r="36" spans="1:113" ht="32.1">
      <c r="A36" s="19" t="s">
        <v>213</v>
      </c>
      <c r="B36" s="19" t="s">
        <v>214</v>
      </c>
      <c r="C36" s="19" t="s">
        <v>215</v>
      </c>
      <c r="D36" s="20">
        <f t="shared" si="0"/>
        <v>90784.35000000002</v>
      </c>
      <c r="E36" s="21">
        <v>45917.7</v>
      </c>
      <c r="F36" s="21">
        <v>1951.43</v>
      </c>
      <c r="G36" s="21">
        <v>106.19</v>
      </c>
      <c r="H36" s="21">
        <v>0</v>
      </c>
      <c r="I36" s="21">
        <v>0</v>
      </c>
      <c r="J36" s="21">
        <v>0</v>
      </c>
      <c r="K36" s="21">
        <v>355.19</v>
      </c>
      <c r="L36" s="21">
        <v>0</v>
      </c>
      <c r="M36" s="21">
        <v>0</v>
      </c>
      <c r="N36" s="21">
        <v>0</v>
      </c>
      <c r="O36" s="21">
        <v>0</v>
      </c>
      <c r="P36" s="21">
        <v>51.27</v>
      </c>
      <c r="Q36" s="21">
        <v>0</v>
      </c>
      <c r="R36" s="21">
        <v>0</v>
      </c>
      <c r="S36" s="21">
        <v>0</v>
      </c>
      <c r="T36" s="21">
        <v>0</v>
      </c>
      <c r="U36" s="21">
        <v>58.14</v>
      </c>
      <c r="V36" s="21">
        <v>50.15</v>
      </c>
      <c r="W36" s="21">
        <v>0</v>
      </c>
      <c r="X36" s="21">
        <v>0</v>
      </c>
      <c r="Y36" s="21">
        <v>0</v>
      </c>
      <c r="Z36" s="21">
        <v>155.81</v>
      </c>
      <c r="AA36" s="21">
        <v>0</v>
      </c>
      <c r="AB36" s="21">
        <v>0</v>
      </c>
      <c r="AC36" s="21">
        <v>390.29</v>
      </c>
      <c r="AD36" s="21">
        <v>0</v>
      </c>
      <c r="AE36" s="21">
        <v>0</v>
      </c>
      <c r="AF36" s="21">
        <v>0</v>
      </c>
      <c r="AG36" s="21">
        <v>0</v>
      </c>
      <c r="AH36" s="21">
        <v>8.23</v>
      </c>
      <c r="AI36" s="21">
        <v>0</v>
      </c>
      <c r="AJ36" s="21">
        <v>546.61</v>
      </c>
      <c r="AK36" s="21">
        <v>0</v>
      </c>
      <c r="AL36" s="21">
        <v>0</v>
      </c>
      <c r="AM36" s="21">
        <v>0</v>
      </c>
      <c r="AN36" s="21">
        <v>0</v>
      </c>
      <c r="AO36" s="21">
        <v>0</v>
      </c>
      <c r="AP36" s="21">
        <v>0</v>
      </c>
      <c r="AQ36" s="21">
        <v>0</v>
      </c>
      <c r="AR36" s="21">
        <v>6.4</v>
      </c>
      <c r="AS36" s="21">
        <v>0</v>
      </c>
      <c r="AT36" s="21">
        <v>0</v>
      </c>
      <c r="AU36" s="21">
        <v>0</v>
      </c>
      <c r="AV36" s="21">
        <v>0</v>
      </c>
      <c r="AW36" s="21">
        <v>0</v>
      </c>
      <c r="AX36" s="21">
        <v>0</v>
      </c>
      <c r="AY36" s="21">
        <v>45.54</v>
      </c>
      <c r="AZ36" s="21">
        <v>0</v>
      </c>
      <c r="BA36" s="21">
        <v>0</v>
      </c>
      <c r="BB36" s="21">
        <v>0</v>
      </c>
      <c r="BC36" s="21">
        <v>0</v>
      </c>
      <c r="BD36" s="21">
        <v>701</v>
      </c>
      <c r="BE36" s="21">
        <v>1100</v>
      </c>
      <c r="BF36" s="21">
        <v>864</v>
      </c>
      <c r="BG36" s="21">
        <v>701</v>
      </c>
      <c r="BH36" s="21">
        <v>580</v>
      </c>
      <c r="BI36" s="21">
        <v>10401.89</v>
      </c>
      <c r="BJ36" s="21">
        <v>16088.12</v>
      </c>
      <c r="BK36" s="21">
        <v>4590.63</v>
      </c>
      <c r="BL36" s="21">
        <v>77.59</v>
      </c>
      <c r="BM36" s="21">
        <v>0</v>
      </c>
      <c r="BN36" s="21">
        <v>0</v>
      </c>
      <c r="BO36" s="21">
        <v>0</v>
      </c>
      <c r="BP36" s="21">
        <v>0</v>
      </c>
      <c r="BQ36" s="21">
        <v>0</v>
      </c>
      <c r="BR36" s="21">
        <v>0</v>
      </c>
      <c r="BS36" s="21">
        <v>18.32</v>
      </c>
      <c r="BT36" s="21">
        <v>318.3</v>
      </c>
      <c r="BU36" s="21">
        <v>62.93</v>
      </c>
      <c r="BV36" s="21">
        <v>0</v>
      </c>
      <c r="BW36" s="21">
        <v>0</v>
      </c>
      <c r="BX36" s="21">
        <v>0</v>
      </c>
      <c r="BY36" s="21">
        <v>0</v>
      </c>
      <c r="BZ36" s="21">
        <v>0</v>
      </c>
      <c r="CA36" s="21">
        <v>13.4</v>
      </c>
      <c r="CB36" s="21">
        <v>0</v>
      </c>
      <c r="CC36" s="21">
        <v>0</v>
      </c>
      <c r="CD36" s="21">
        <v>0</v>
      </c>
      <c r="CE36" s="21">
        <v>0</v>
      </c>
      <c r="CF36" s="21">
        <v>0</v>
      </c>
      <c r="CG36" s="21">
        <v>42.56</v>
      </c>
      <c r="CH36" s="21">
        <v>0</v>
      </c>
      <c r="CI36" s="21">
        <v>155.36000000000001</v>
      </c>
      <c r="CJ36" s="21">
        <v>129.72</v>
      </c>
      <c r="CK36" s="21">
        <v>966.1</v>
      </c>
      <c r="CL36" s="21">
        <v>0</v>
      </c>
      <c r="CM36" s="21">
        <v>0</v>
      </c>
      <c r="CN36" s="21">
        <v>0</v>
      </c>
      <c r="CO36" s="21">
        <v>0</v>
      </c>
      <c r="CP36" s="21">
        <v>133.63</v>
      </c>
      <c r="CQ36" s="21">
        <v>510.78</v>
      </c>
      <c r="CR36" s="21">
        <v>0</v>
      </c>
      <c r="CS36" s="21">
        <v>651.47</v>
      </c>
      <c r="CT36" s="21">
        <v>0</v>
      </c>
      <c r="CU36" s="21">
        <v>0</v>
      </c>
      <c r="CV36" s="21">
        <v>0</v>
      </c>
      <c r="CW36" s="21">
        <v>0</v>
      </c>
      <c r="CX36" s="21">
        <v>0</v>
      </c>
      <c r="CY36" s="21">
        <v>148.58000000000001</v>
      </c>
      <c r="CZ36" s="21">
        <v>2874.96</v>
      </c>
      <c r="DA36" s="21">
        <v>0</v>
      </c>
      <c r="DB36" s="21">
        <v>11.06</v>
      </c>
      <c r="DC36" s="21">
        <v>0</v>
      </c>
      <c r="DD36" s="21">
        <v>0</v>
      </c>
      <c r="DE36" s="72"/>
      <c r="DG36" s="76"/>
      <c r="DI36" s="76"/>
    </row>
    <row r="37" spans="1:113" ht="32.1">
      <c r="A37" s="19" t="s">
        <v>216</v>
      </c>
      <c r="B37" s="19" t="s">
        <v>217</v>
      </c>
      <c r="C37" s="19" t="s">
        <v>218</v>
      </c>
      <c r="D37" s="20">
        <f t="shared" si="0"/>
        <v>1620</v>
      </c>
      <c r="E37" s="21">
        <v>240</v>
      </c>
      <c r="F37" s="21">
        <v>0</v>
      </c>
      <c r="G37" s="21">
        <v>0</v>
      </c>
      <c r="H37" s="21">
        <v>0</v>
      </c>
      <c r="I37" s="21">
        <v>0</v>
      </c>
      <c r="J37" s="21">
        <v>0</v>
      </c>
      <c r="K37" s="21">
        <v>0</v>
      </c>
      <c r="L37" s="21">
        <v>0</v>
      </c>
      <c r="M37" s="21">
        <v>0</v>
      </c>
      <c r="N37" s="21">
        <v>0</v>
      </c>
      <c r="O37" s="21">
        <v>0</v>
      </c>
      <c r="P37" s="21">
        <v>0</v>
      </c>
      <c r="Q37" s="21">
        <v>0</v>
      </c>
      <c r="R37" s="21">
        <v>0</v>
      </c>
      <c r="S37" s="21">
        <v>0</v>
      </c>
      <c r="T37" s="21">
        <v>0</v>
      </c>
      <c r="U37" s="21">
        <v>0</v>
      </c>
      <c r="V37" s="21">
        <v>0</v>
      </c>
      <c r="W37" s="21">
        <v>0</v>
      </c>
      <c r="X37" s="21">
        <v>0</v>
      </c>
      <c r="Y37" s="21">
        <v>0</v>
      </c>
      <c r="Z37" s="21">
        <v>0</v>
      </c>
      <c r="AA37" s="21">
        <v>0</v>
      </c>
      <c r="AB37" s="21">
        <v>0</v>
      </c>
      <c r="AC37" s="21">
        <v>0</v>
      </c>
      <c r="AD37" s="21">
        <v>0</v>
      </c>
      <c r="AE37" s="21">
        <v>0</v>
      </c>
      <c r="AF37" s="21">
        <v>0</v>
      </c>
      <c r="AG37" s="21">
        <v>0</v>
      </c>
      <c r="AH37" s="21">
        <v>0</v>
      </c>
      <c r="AI37" s="21">
        <v>0</v>
      </c>
      <c r="AJ37" s="21">
        <v>0</v>
      </c>
      <c r="AK37" s="21">
        <v>0</v>
      </c>
      <c r="AL37" s="21">
        <v>0</v>
      </c>
      <c r="AM37" s="21">
        <v>0</v>
      </c>
      <c r="AN37" s="21">
        <v>0</v>
      </c>
      <c r="AO37" s="21">
        <v>0</v>
      </c>
      <c r="AP37" s="21">
        <v>0</v>
      </c>
      <c r="AQ37" s="21">
        <v>0</v>
      </c>
      <c r="AR37" s="21">
        <v>0</v>
      </c>
      <c r="AS37" s="21">
        <v>0</v>
      </c>
      <c r="AT37" s="21">
        <v>0</v>
      </c>
      <c r="AU37" s="21">
        <v>0</v>
      </c>
      <c r="AV37" s="21">
        <v>0</v>
      </c>
      <c r="AW37" s="21">
        <v>0</v>
      </c>
      <c r="AX37" s="21">
        <v>0</v>
      </c>
      <c r="AY37" s="21">
        <v>0</v>
      </c>
      <c r="AZ37" s="21">
        <v>0</v>
      </c>
      <c r="BA37" s="21">
        <v>0</v>
      </c>
      <c r="BB37" s="21">
        <v>0</v>
      </c>
      <c r="BC37" s="21">
        <v>0</v>
      </c>
      <c r="BD37" s="21">
        <v>0</v>
      </c>
      <c r="BE37" s="21">
        <v>0</v>
      </c>
      <c r="BF37" s="21">
        <v>0</v>
      </c>
      <c r="BG37" s="21">
        <v>0</v>
      </c>
      <c r="BH37" s="21">
        <v>0</v>
      </c>
      <c r="BI37" s="21">
        <f>22*6*2</f>
        <v>264</v>
      </c>
      <c r="BJ37" s="21">
        <f>90*6*2</f>
        <v>1080</v>
      </c>
      <c r="BK37" s="21">
        <f>3*6*2</f>
        <v>36</v>
      </c>
      <c r="BL37" s="21">
        <v>0</v>
      </c>
      <c r="BM37" s="21">
        <v>0</v>
      </c>
      <c r="BN37" s="21">
        <v>0</v>
      </c>
      <c r="BO37" s="21">
        <v>0</v>
      </c>
      <c r="BP37" s="21">
        <v>0</v>
      </c>
      <c r="BQ37" s="21">
        <v>0</v>
      </c>
      <c r="BR37" s="21">
        <v>0</v>
      </c>
      <c r="BS37" s="21">
        <v>0</v>
      </c>
      <c r="BT37" s="21">
        <v>0</v>
      </c>
      <c r="BU37" s="21">
        <v>0</v>
      </c>
      <c r="BV37" s="21">
        <v>0</v>
      </c>
      <c r="BW37" s="21">
        <v>0</v>
      </c>
      <c r="BX37" s="21">
        <v>0</v>
      </c>
      <c r="BY37" s="21">
        <v>0</v>
      </c>
      <c r="BZ37" s="21">
        <v>0</v>
      </c>
      <c r="CA37" s="21">
        <v>0</v>
      </c>
      <c r="CB37" s="21">
        <v>0</v>
      </c>
      <c r="CC37" s="21">
        <v>0</v>
      </c>
      <c r="CD37" s="21">
        <v>0</v>
      </c>
      <c r="CE37" s="21">
        <v>0</v>
      </c>
      <c r="CF37" s="21">
        <v>0</v>
      </c>
      <c r="CG37" s="21">
        <v>0</v>
      </c>
      <c r="CH37" s="21">
        <v>0</v>
      </c>
      <c r="CI37" s="21">
        <v>0</v>
      </c>
      <c r="CJ37" s="21">
        <v>0</v>
      </c>
      <c r="CK37" s="21">
        <v>0</v>
      </c>
      <c r="CL37" s="21">
        <v>0</v>
      </c>
      <c r="CM37" s="21">
        <v>0</v>
      </c>
      <c r="CN37" s="21">
        <v>0</v>
      </c>
      <c r="CO37" s="21">
        <v>0</v>
      </c>
      <c r="CP37" s="21">
        <v>0</v>
      </c>
      <c r="CQ37" s="21">
        <v>0</v>
      </c>
      <c r="CR37" s="21">
        <v>0</v>
      </c>
      <c r="CS37" s="21">
        <v>0</v>
      </c>
      <c r="CT37" s="21">
        <v>0</v>
      </c>
      <c r="CU37" s="21">
        <v>0</v>
      </c>
      <c r="CV37" s="21">
        <v>0</v>
      </c>
      <c r="CW37" s="21">
        <v>0</v>
      </c>
      <c r="CX37" s="21">
        <v>0</v>
      </c>
      <c r="CY37" s="21">
        <v>0</v>
      </c>
      <c r="CZ37" s="21">
        <v>0</v>
      </c>
      <c r="DA37" s="21">
        <v>0</v>
      </c>
      <c r="DB37" s="21">
        <v>0</v>
      </c>
      <c r="DC37" s="21">
        <v>0</v>
      </c>
      <c r="DD37" s="21">
        <v>0</v>
      </c>
      <c r="DE37" s="73"/>
      <c r="DG37" s="76"/>
      <c r="DI37" s="76"/>
    </row>
    <row r="38" spans="1:113" ht="48">
      <c r="A38" s="23" t="s">
        <v>216</v>
      </c>
      <c r="B38" s="19" t="s">
        <v>219</v>
      </c>
      <c r="C38" s="19" t="s">
        <v>218</v>
      </c>
      <c r="D38" s="20">
        <f t="shared" si="0"/>
        <v>126</v>
      </c>
      <c r="E38" s="21">
        <v>36</v>
      </c>
      <c r="F38" s="21">
        <v>0</v>
      </c>
      <c r="G38" s="21">
        <v>0</v>
      </c>
      <c r="H38" s="21">
        <v>0</v>
      </c>
      <c r="I38" s="21">
        <v>0</v>
      </c>
      <c r="J38" s="21">
        <v>0</v>
      </c>
      <c r="K38" s="21">
        <v>0</v>
      </c>
      <c r="L38" s="21">
        <v>0</v>
      </c>
      <c r="M38" s="21">
        <v>0</v>
      </c>
      <c r="N38" s="21">
        <v>0</v>
      </c>
      <c r="O38" s="21">
        <v>0</v>
      </c>
      <c r="P38" s="21">
        <v>0</v>
      </c>
      <c r="Q38" s="21">
        <v>0</v>
      </c>
      <c r="R38" s="21">
        <v>0</v>
      </c>
      <c r="S38" s="21">
        <v>0</v>
      </c>
      <c r="T38" s="21">
        <v>0</v>
      </c>
      <c r="U38" s="21">
        <v>0</v>
      </c>
      <c r="V38" s="21">
        <v>0</v>
      </c>
      <c r="W38" s="21">
        <v>0</v>
      </c>
      <c r="X38" s="21">
        <v>0</v>
      </c>
      <c r="Y38" s="21">
        <v>0</v>
      </c>
      <c r="Z38" s="21">
        <v>0</v>
      </c>
      <c r="AA38" s="21">
        <v>0</v>
      </c>
      <c r="AB38" s="21">
        <v>0</v>
      </c>
      <c r="AC38" s="21">
        <v>0</v>
      </c>
      <c r="AD38" s="21">
        <v>0</v>
      </c>
      <c r="AE38" s="21">
        <v>0</v>
      </c>
      <c r="AF38" s="21">
        <v>0</v>
      </c>
      <c r="AG38" s="21">
        <v>0</v>
      </c>
      <c r="AH38" s="21">
        <v>0</v>
      </c>
      <c r="AI38" s="21">
        <v>0</v>
      </c>
      <c r="AJ38" s="21">
        <v>0</v>
      </c>
      <c r="AK38" s="21">
        <v>0</v>
      </c>
      <c r="AL38" s="21">
        <v>0</v>
      </c>
      <c r="AM38" s="21">
        <v>0</v>
      </c>
      <c r="AN38" s="21">
        <v>0</v>
      </c>
      <c r="AO38" s="21">
        <v>0</v>
      </c>
      <c r="AP38" s="21">
        <v>0</v>
      </c>
      <c r="AQ38" s="21">
        <v>0</v>
      </c>
      <c r="AR38" s="21">
        <v>0</v>
      </c>
      <c r="AS38" s="21">
        <v>0</v>
      </c>
      <c r="AT38" s="21">
        <v>0</v>
      </c>
      <c r="AU38" s="21">
        <v>0</v>
      </c>
      <c r="AV38" s="21">
        <v>0</v>
      </c>
      <c r="AW38" s="21">
        <v>0</v>
      </c>
      <c r="AX38" s="21">
        <v>0</v>
      </c>
      <c r="AY38" s="21">
        <v>0</v>
      </c>
      <c r="AZ38" s="21">
        <v>0</v>
      </c>
      <c r="BA38" s="21">
        <v>0</v>
      </c>
      <c r="BB38" s="21">
        <v>0</v>
      </c>
      <c r="BC38" s="21">
        <v>0</v>
      </c>
      <c r="BD38" s="21">
        <v>0</v>
      </c>
      <c r="BE38" s="21">
        <v>0</v>
      </c>
      <c r="BF38" s="21">
        <v>0</v>
      </c>
      <c r="BG38" s="21">
        <v>0</v>
      </c>
      <c r="BH38" s="21">
        <v>0</v>
      </c>
      <c r="BI38" s="21">
        <f>4*9*2</f>
        <v>72</v>
      </c>
      <c r="BJ38" s="21">
        <f>1*9*2</f>
        <v>18</v>
      </c>
      <c r="BK38" s="21">
        <f>0</f>
        <v>0</v>
      </c>
      <c r="BL38" s="21">
        <v>0</v>
      </c>
      <c r="BM38" s="21">
        <v>0</v>
      </c>
      <c r="BN38" s="21">
        <v>0</v>
      </c>
      <c r="BO38" s="21">
        <v>0</v>
      </c>
      <c r="BP38" s="21">
        <v>0</v>
      </c>
      <c r="BQ38" s="21">
        <v>0</v>
      </c>
      <c r="BR38" s="21">
        <v>0</v>
      </c>
      <c r="BS38" s="21">
        <v>0</v>
      </c>
      <c r="BT38" s="21">
        <v>0</v>
      </c>
      <c r="BU38" s="21">
        <v>0</v>
      </c>
      <c r="BV38" s="21">
        <v>0</v>
      </c>
      <c r="BW38" s="21">
        <v>0</v>
      </c>
      <c r="BX38" s="21">
        <v>0</v>
      </c>
      <c r="BY38" s="21">
        <v>0</v>
      </c>
      <c r="BZ38" s="21">
        <v>0</v>
      </c>
      <c r="CA38" s="21">
        <v>0</v>
      </c>
      <c r="CB38" s="21">
        <v>0</v>
      </c>
      <c r="CC38" s="21">
        <v>0</v>
      </c>
      <c r="CD38" s="21">
        <v>0</v>
      </c>
      <c r="CE38" s="21">
        <v>0</v>
      </c>
      <c r="CF38" s="21">
        <v>0</v>
      </c>
      <c r="CG38" s="21">
        <v>0</v>
      </c>
      <c r="CH38" s="21">
        <v>0</v>
      </c>
      <c r="CI38" s="21">
        <v>0</v>
      </c>
      <c r="CJ38" s="21">
        <v>0</v>
      </c>
      <c r="CK38" s="21">
        <v>0</v>
      </c>
      <c r="CL38" s="21">
        <v>0</v>
      </c>
      <c r="CM38" s="21">
        <v>0</v>
      </c>
      <c r="CN38" s="21">
        <v>0</v>
      </c>
      <c r="CO38" s="21">
        <v>0</v>
      </c>
      <c r="CP38" s="21">
        <v>0</v>
      </c>
      <c r="CQ38" s="21">
        <v>0</v>
      </c>
      <c r="CR38" s="21">
        <v>0</v>
      </c>
      <c r="CS38" s="21">
        <v>0</v>
      </c>
      <c r="CT38" s="21">
        <v>0</v>
      </c>
      <c r="CU38" s="21">
        <v>0</v>
      </c>
      <c r="CV38" s="21">
        <v>0</v>
      </c>
      <c r="CW38" s="21">
        <v>0</v>
      </c>
      <c r="CX38" s="21">
        <v>0</v>
      </c>
      <c r="CY38" s="21">
        <v>0</v>
      </c>
      <c r="CZ38" s="21">
        <v>0</v>
      </c>
      <c r="DA38" s="21">
        <v>0</v>
      </c>
      <c r="DB38" s="21">
        <v>0</v>
      </c>
      <c r="DC38" s="21">
        <v>0</v>
      </c>
      <c r="DD38" s="21">
        <v>0</v>
      </c>
      <c r="DE38" s="73"/>
      <c r="DG38" s="76"/>
      <c r="DI38" s="76"/>
    </row>
    <row r="39" spans="1:113" ht="48">
      <c r="A39" s="23" t="s">
        <v>216</v>
      </c>
      <c r="B39" s="19" t="s">
        <v>220</v>
      </c>
      <c r="C39" s="19" t="s">
        <v>218</v>
      </c>
      <c r="D39" s="20">
        <f t="shared" si="0"/>
        <v>189</v>
      </c>
      <c r="E39" s="21">
        <v>72</v>
      </c>
      <c r="F39" s="21">
        <v>0</v>
      </c>
      <c r="G39" s="21">
        <v>0</v>
      </c>
      <c r="H39" s="21">
        <v>0</v>
      </c>
      <c r="I39" s="21">
        <v>0</v>
      </c>
      <c r="J39" s="21">
        <v>0</v>
      </c>
      <c r="K39" s="21">
        <v>0</v>
      </c>
      <c r="L39" s="21">
        <v>0</v>
      </c>
      <c r="M39" s="21">
        <v>0</v>
      </c>
      <c r="N39" s="21">
        <v>0</v>
      </c>
      <c r="O39" s="21">
        <v>0</v>
      </c>
      <c r="P39" s="21">
        <v>0</v>
      </c>
      <c r="Q39" s="21">
        <v>0</v>
      </c>
      <c r="R39" s="21">
        <v>0</v>
      </c>
      <c r="S39" s="21">
        <v>0</v>
      </c>
      <c r="T39" s="21">
        <v>0</v>
      </c>
      <c r="U39" s="21">
        <v>0</v>
      </c>
      <c r="V39" s="21">
        <v>0</v>
      </c>
      <c r="W39" s="21">
        <v>0</v>
      </c>
      <c r="X39" s="21">
        <v>0</v>
      </c>
      <c r="Y39" s="21">
        <v>0</v>
      </c>
      <c r="Z39" s="21">
        <v>0</v>
      </c>
      <c r="AA39" s="21">
        <v>0</v>
      </c>
      <c r="AB39" s="21">
        <v>0</v>
      </c>
      <c r="AC39" s="21">
        <v>0</v>
      </c>
      <c r="AD39" s="21">
        <v>0</v>
      </c>
      <c r="AE39" s="21">
        <v>0</v>
      </c>
      <c r="AF39" s="21">
        <v>0</v>
      </c>
      <c r="AG39" s="21">
        <v>0</v>
      </c>
      <c r="AH39" s="21">
        <v>0</v>
      </c>
      <c r="AI39" s="21">
        <v>0</v>
      </c>
      <c r="AJ39" s="21">
        <v>0</v>
      </c>
      <c r="AK39" s="21">
        <v>0</v>
      </c>
      <c r="AL39" s="21">
        <v>0</v>
      </c>
      <c r="AM39" s="21">
        <v>0</v>
      </c>
      <c r="AN39" s="21">
        <v>0</v>
      </c>
      <c r="AO39" s="21">
        <v>0</v>
      </c>
      <c r="AP39" s="21">
        <v>0</v>
      </c>
      <c r="AQ39" s="21">
        <v>0</v>
      </c>
      <c r="AR39" s="21">
        <v>0</v>
      </c>
      <c r="AS39" s="21">
        <v>0</v>
      </c>
      <c r="AT39" s="21">
        <v>0</v>
      </c>
      <c r="AU39" s="21">
        <v>0</v>
      </c>
      <c r="AV39" s="21">
        <v>0</v>
      </c>
      <c r="AW39" s="21">
        <v>0</v>
      </c>
      <c r="AX39" s="21">
        <v>0</v>
      </c>
      <c r="AY39" s="21">
        <v>0</v>
      </c>
      <c r="AZ39" s="21">
        <v>0</v>
      </c>
      <c r="BA39" s="21">
        <v>0</v>
      </c>
      <c r="BB39" s="21">
        <v>0</v>
      </c>
      <c r="BC39" s="21">
        <v>0</v>
      </c>
      <c r="BD39" s="21">
        <v>0</v>
      </c>
      <c r="BE39" s="21">
        <v>0</v>
      </c>
      <c r="BF39" s="21">
        <v>0</v>
      </c>
      <c r="BG39" s="21">
        <v>0</v>
      </c>
      <c r="BH39" s="21">
        <v>0</v>
      </c>
      <c r="BI39" s="21">
        <f>0</f>
        <v>0</v>
      </c>
      <c r="BJ39" s="21">
        <f>11*9</f>
        <v>99</v>
      </c>
      <c r="BK39" s="21">
        <f>2*9</f>
        <v>18</v>
      </c>
      <c r="BL39" s="21">
        <v>0</v>
      </c>
      <c r="BM39" s="21">
        <v>0</v>
      </c>
      <c r="BN39" s="21">
        <v>0</v>
      </c>
      <c r="BO39" s="21">
        <v>0</v>
      </c>
      <c r="BP39" s="21">
        <v>0</v>
      </c>
      <c r="BQ39" s="21">
        <v>0</v>
      </c>
      <c r="BR39" s="21">
        <v>0</v>
      </c>
      <c r="BS39" s="21">
        <v>0</v>
      </c>
      <c r="BT39" s="21">
        <v>0</v>
      </c>
      <c r="BU39" s="21">
        <v>0</v>
      </c>
      <c r="BV39" s="21">
        <v>0</v>
      </c>
      <c r="BW39" s="21">
        <v>0</v>
      </c>
      <c r="BX39" s="21">
        <v>0</v>
      </c>
      <c r="BY39" s="21">
        <v>0</v>
      </c>
      <c r="BZ39" s="21">
        <v>0</v>
      </c>
      <c r="CA39" s="21">
        <v>0</v>
      </c>
      <c r="CB39" s="21">
        <v>0</v>
      </c>
      <c r="CC39" s="21">
        <v>0</v>
      </c>
      <c r="CD39" s="21">
        <v>0</v>
      </c>
      <c r="CE39" s="21">
        <v>0</v>
      </c>
      <c r="CF39" s="21">
        <v>0</v>
      </c>
      <c r="CG39" s="21">
        <v>0</v>
      </c>
      <c r="CH39" s="21">
        <v>0</v>
      </c>
      <c r="CI39" s="21">
        <v>0</v>
      </c>
      <c r="CJ39" s="21">
        <v>0</v>
      </c>
      <c r="CK39" s="21">
        <v>0</v>
      </c>
      <c r="CL39" s="21">
        <v>0</v>
      </c>
      <c r="CM39" s="21">
        <v>0</v>
      </c>
      <c r="CN39" s="21">
        <v>0</v>
      </c>
      <c r="CO39" s="21">
        <v>0</v>
      </c>
      <c r="CP39" s="21">
        <v>0</v>
      </c>
      <c r="CQ39" s="21">
        <v>0</v>
      </c>
      <c r="CR39" s="21">
        <v>0</v>
      </c>
      <c r="CS39" s="21">
        <v>0</v>
      </c>
      <c r="CT39" s="21">
        <v>0</v>
      </c>
      <c r="CU39" s="21">
        <v>0</v>
      </c>
      <c r="CV39" s="21">
        <v>0</v>
      </c>
      <c r="CW39" s="21">
        <v>0</v>
      </c>
      <c r="CX39" s="21">
        <v>0</v>
      </c>
      <c r="CY39" s="21">
        <v>0</v>
      </c>
      <c r="CZ39" s="21">
        <v>0</v>
      </c>
      <c r="DA39" s="21">
        <v>0</v>
      </c>
      <c r="DB39" s="21">
        <v>0</v>
      </c>
      <c r="DC39" s="21">
        <v>0</v>
      </c>
      <c r="DD39" s="21">
        <v>0</v>
      </c>
      <c r="DE39" s="73"/>
      <c r="DG39" s="76"/>
      <c r="DI39" s="76"/>
    </row>
    <row r="40" spans="1:113" ht="32.1">
      <c r="A40" s="23"/>
      <c r="B40" s="19" t="s">
        <v>221</v>
      </c>
      <c r="C40" s="19" t="s">
        <v>222</v>
      </c>
      <c r="D40" s="20">
        <f t="shared" si="0"/>
        <v>3</v>
      </c>
      <c r="E40" s="21">
        <v>1</v>
      </c>
      <c r="F40" s="21">
        <v>0</v>
      </c>
      <c r="G40" s="21">
        <v>0</v>
      </c>
      <c r="H40" s="21">
        <v>0</v>
      </c>
      <c r="I40" s="21">
        <v>0</v>
      </c>
      <c r="J40" s="21">
        <v>0</v>
      </c>
      <c r="K40" s="21">
        <v>0</v>
      </c>
      <c r="L40" s="21">
        <v>0</v>
      </c>
      <c r="M40" s="21">
        <v>0</v>
      </c>
      <c r="N40" s="21">
        <v>0</v>
      </c>
      <c r="O40" s="21">
        <v>0</v>
      </c>
      <c r="P40" s="21">
        <v>0</v>
      </c>
      <c r="Q40" s="21">
        <v>0</v>
      </c>
      <c r="R40" s="21">
        <v>0</v>
      </c>
      <c r="S40" s="21">
        <v>0</v>
      </c>
      <c r="T40" s="21">
        <v>0</v>
      </c>
      <c r="U40" s="21">
        <v>0</v>
      </c>
      <c r="V40" s="21">
        <v>0</v>
      </c>
      <c r="W40" s="21">
        <v>0</v>
      </c>
      <c r="X40" s="21">
        <v>0</v>
      </c>
      <c r="Y40" s="21">
        <v>0</v>
      </c>
      <c r="Z40" s="21">
        <v>0</v>
      </c>
      <c r="AA40" s="21">
        <v>0</v>
      </c>
      <c r="AB40" s="21">
        <v>0</v>
      </c>
      <c r="AC40" s="21">
        <v>0</v>
      </c>
      <c r="AD40" s="21">
        <v>0</v>
      </c>
      <c r="AE40" s="21">
        <v>0</v>
      </c>
      <c r="AF40" s="21">
        <v>0</v>
      </c>
      <c r="AG40" s="21">
        <v>0</v>
      </c>
      <c r="AH40" s="21">
        <v>0</v>
      </c>
      <c r="AI40" s="21">
        <v>0</v>
      </c>
      <c r="AJ40" s="21">
        <v>0</v>
      </c>
      <c r="AK40" s="21">
        <v>0</v>
      </c>
      <c r="AL40" s="21">
        <v>0</v>
      </c>
      <c r="AM40" s="21">
        <v>0</v>
      </c>
      <c r="AN40" s="21">
        <v>0</v>
      </c>
      <c r="AO40" s="21">
        <v>0</v>
      </c>
      <c r="AP40" s="21">
        <v>0</v>
      </c>
      <c r="AQ40" s="21">
        <v>0</v>
      </c>
      <c r="AR40" s="21">
        <v>0</v>
      </c>
      <c r="AS40" s="21">
        <v>0</v>
      </c>
      <c r="AT40" s="21">
        <v>0</v>
      </c>
      <c r="AU40" s="21">
        <v>0</v>
      </c>
      <c r="AV40" s="21">
        <v>0</v>
      </c>
      <c r="AW40" s="21">
        <v>0</v>
      </c>
      <c r="AX40" s="21">
        <v>0</v>
      </c>
      <c r="AY40" s="21">
        <v>0</v>
      </c>
      <c r="AZ40" s="21">
        <v>0</v>
      </c>
      <c r="BA40" s="21">
        <v>0</v>
      </c>
      <c r="BB40" s="21">
        <v>0</v>
      </c>
      <c r="BC40" s="21">
        <v>0</v>
      </c>
      <c r="BD40" s="21">
        <v>0</v>
      </c>
      <c r="BE40" s="21">
        <v>0</v>
      </c>
      <c r="BF40" s="21">
        <v>0</v>
      </c>
      <c r="BG40" s="21">
        <v>0</v>
      </c>
      <c r="BH40" s="21">
        <v>0</v>
      </c>
      <c r="BI40" s="21">
        <v>1</v>
      </c>
      <c r="BJ40" s="21">
        <v>1</v>
      </c>
      <c r="BK40" s="21">
        <v>0</v>
      </c>
      <c r="BL40" s="21">
        <v>0</v>
      </c>
      <c r="BM40" s="21">
        <v>0</v>
      </c>
      <c r="BN40" s="21">
        <v>0</v>
      </c>
      <c r="BO40" s="21">
        <v>0</v>
      </c>
      <c r="BP40" s="21">
        <v>0</v>
      </c>
      <c r="BQ40" s="21">
        <v>0</v>
      </c>
      <c r="BR40" s="21">
        <v>0</v>
      </c>
      <c r="BS40" s="21">
        <v>0</v>
      </c>
      <c r="BT40" s="21">
        <v>0</v>
      </c>
      <c r="BU40" s="21">
        <v>0</v>
      </c>
      <c r="BV40" s="21">
        <v>0</v>
      </c>
      <c r="BW40" s="21">
        <v>0</v>
      </c>
      <c r="BX40" s="21">
        <v>0</v>
      </c>
      <c r="BY40" s="21">
        <v>0</v>
      </c>
      <c r="BZ40" s="21">
        <v>0</v>
      </c>
      <c r="CA40" s="21">
        <v>0</v>
      </c>
      <c r="CB40" s="21">
        <v>0</v>
      </c>
      <c r="CC40" s="21">
        <v>0</v>
      </c>
      <c r="CD40" s="21">
        <v>0</v>
      </c>
      <c r="CE40" s="21">
        <v>0</v>
      </c>
      <c r="CF40" s="21">
        <v>0</v>
      </c>
      <c r="CG40" s="21">
        <v>0</v>
      </c>
      <c r="CH40" s="21">
        <v>0</v>
      </c>
      <c r="CI40" s="21">
        <v>0</v>
      </c>
      <c r="CJ40" s="21">
        <v>0</v>
      </c>
      <c r="CK40" s="21">
        <v>0</v>
      </c>
      <c r="CL40" s="21">
        <v>0</v>
      </c>
      <c r="CM40" s="21">
        <v>0</v>
      </c>
      <c r="CN40" s="21">
        <v>0</v>
      </c>
      <c r="CO40" s="21">
        <v>0</v>
      </c>
      <c r="CP40" s="21">
        <v>0</v>
      </c>
      <c r="CQ40" s="21">
        <v>0</v>
      </c>
      <c r="CR40" s="21">
        <v>0</v>
      </c>
      <c r="CS40" s="21">
        <v>0</v>
      </c>
      <c r="CT40" s="21">
        <v>0</v>
      </c>
      <c r="CU40" s="21">
        <v>0</v>
      </c>
      <c r="CV40" s="21">
        <v>0</v>
      </c>
      <c r="CW40" s="21">
        <v>0</v>
      </c>
      <c r="CX40" s="21">
        <v>0</v>
      </c>
      <c r="CY40" s="21">
        <v>0</v>
      </c>
      <c r="CZ40" s="21">
        <v>0</v>
      </c>
      <c r="DA40" s="21">
        <v>0</v>
      </c>
      <c r="DB40" s="21">
        <v>0</v>
      </c>
      <c r="DC40" s="21">
        <v>0</v>
      </c>
      <c r="DD40" s="21">
        <v>0</v>
      </c>
      <c r="DE40" s="73"/>
      <c r="DG40" s="76"/>
      <c r="DI40" s="76"/>
    </row>
    <row r="41" spans="1:113">
      <c r="A41" s="23" t="s">
        <v>223</v>
      </c>
      <c r="B41" s="19" t="s">
        <v>224</v>
      </c>
      <c r="C41" s="19" t="s">
        <v>225</v>
      </c>
      <c r="D41" s="20">
        <f t="shared" si="0"/>
        <v>0</v>
      </c>
      <c r="E41" s="21">
        <v>0</v>
      </c>
      <c r="F41" s="21">
        <v>0</v>
      </c>
      <c r="G41" s="21">
        <v>0</v>
      </c>
      <c r="H41" s="21">
        <v>0</v>
      </c>
      <c r="I41" s="21">
        <v>0</v>
      </c>
      <c r="J41" s="21">
        <v>0</v>
      </c>
      <c r="K41" s="21">
        <v>0</v>
      </c>
      <c r="L41" s="21">
        <v>0</v>
      </c>
      <c r="M41" s="21">
        <v>0</v>
      </c>
      <c r="N41" s="21">
        <v>0</v>
      </c>
      <c r="O41" s="21">
        <v>0</v>
      </c>
      <c r="P41" s="21">
        <v>0</v>
      </c>
      <c r="Q41" s="21">
        <v>0</v>
      </c>
      <c r="R41" s="21">
        <v>0</v>
      </c>
      <c r="S41" s="21">
        <v>0</v>
      </c>
      <c r="T41" s="21">
        <v>0</v>
      </c>
      <c r="U41" s="21">
        <v>0</v>
      </c>
      <c r="V41" s="21">
        <v>0</v>
      </c>
      <c r="W41" s="21">
        <v>0</v>
      </c>
      <c r="X41" s="21">
        <v>0</v>
      </c>
      <c r="Y41" s="21">
        <v>0</v>
      </c>
      <c r="Z41" s="21">
        <v>0</v>
      </c>
      <c r="AA41" s="21">
        <v>0</v>
      </c>
      <c r="AB41" s="21">
        <v>0</v>
      </c>
      <c r="AC41" s="21">
        <v>0</v>
      </c>
      <c r="AD41" s="21">
        <v>0</v>
      </c>
      <c r="AE41" s="21">
        <v>0</v>
      </c>
      <c r="AF41" s="21">
        <v>0</v>
      </c>
      <c r="AG41" s="21">
        <v>0</v>
      </c>
      <c r="AH41" s="21">
        <v>0</v>
      </c>
      <c r="AI41" s="21">
        <v>0</v>
      </c>
      <c r="AJ41" s="21">
        <v>0</v>
      </c>
      <c r="AK41" s="21">
        <v>0</v>
      </c>
      <c r="AL41" s="21">
        <v>0</v>
      </c>
      <c r="AM41" s="21">
        <v>0</v>
      </c>
      <c r="AN41" s="21">
        <v>0</v>
      </c>
      <c r="AO41" s="21">
        <v>0</v>
      </c>
      <c r="AP41" s="21">
        <v>0</v>
      </c>
      <c r="AQ41" s="21">
        <v>0</v>
      </c>
      <c r="AR41" s="21">
        <v>0</v>
      </c>
      <c r="AS41" s="21">
        <v>0</v>
      </c>
      <c r="AT41" s="21">
        <v>0</v>
      </c>
      <c r="AU41" s="21">
        <v>0</v>
      </c>
      <c r="AV41" s="21">
        <v>0</v>
      </c>
      <c r="AW41" s="21">
        <v>0</v>
      </c>
      <c r="AX41" s="21">
        <v>0</v>
      </c>
      <c r="AY41" s="21">
        <v>0</v>
      </c>
      <c r="AZ41" s="21">
        <v>0</v>
      </c>
      <c r="BA41" s="21">
        <v>0</v>
      </c>
      <c r="BB41" s="21">
        <v>0</v>
      </c>
      <c r="BC41" s="21">
        <v>0</v>
      </c>
      <c r="BD41" s="21">
        <v>0</v>
      </c>
      <c r="BE41" s="21">
        <v>0</v>
      </c>
      <c r="BF41" s="21">
        <v>0</v>
      </c>
      <c r="BG41" s="21">
        <v>0</v>
      </c>
      <c r="BH41" s="21">
        <v>0</v>
      </c>
      <c r="BI41" s="21">
        <v>0</v>
      </c>
      <c r="BJ41" s="21">
        <v>0</v>
      </c>
      <c r="BK41" s="21">
        <v>0</v>
      </c>
      <c r="BL41" s="21">
        <v>0</v>
      </c>
      <c r="BM41" s="21">
        <v>0</v>
      </c>
      <c r="BN41" s="21">
        <v>0</v>
      </c>
      <c r="BO41" s="21">
        <v>0</v>
      </c>
      <c r="BP41" s="21">
        <v>0</v>
      </c>
      <c r="BQ41" s="21">
        <v>0</v>
      </c>
      <c r="BR41" s="21">
        <v>0</v>
      </c>
      <c r="BS41" s="21">
        <v>0</v>
      </c>
      <c r="BT41" s="21">
        <v>0</v>
      </c>
      <c r="BU41" s="21">
        <v>0</v>
      </c>
      <c r="BV41" s="21">
        <v>0</v>
      </c>
      <c r="BW41" s="21">
        <v>0</v>
      </c>
      <c r="BX41" s="21">
        <v>0</v>
      </c>
      <c r="BY41" s="21">
        <v>0</v>
      </c>
      <c r="BZ41" s="21">
        <v>0</v>
      </c>
      <c r="CA41" s="21">
        <v>0</v>
      </c>
      <c r="CB41" s="21">
        <v>0</v>
      </c>
      <c r="CC41" s="21">
        <v>0</v>
      </c>
      <c r="CD41" s="21">
        <v>0</v>
      </c>
      <c r="CE41" s="21">
        <v>0</v>
      </c>
      <c r="CF41" s="21">
        <v>0</v>
      </c>
      <c r="CG41" s="21">
        <v>0</v>
      </c>
      <c r="CH41" s="21">
        <v>0</v>
      </c>
      <c r="CI41" s="21">
        <v>0</v>
      </c>
      <c r="CJ41" s="21">
        <v>0</v>
      </c>
      <c r="CK41" s="21">
        <v>0</v>
      </c>
      <c r="CL41" s="21">
        <v>0</v>
      </c>
      <c r="CM41" s="21">
        <v>0</v>
      </c>
      <c r="CN41" s="21">
        <v>0</v>
      </c>
      <c r="CO41" s="21">
        <v>0</v>
      </c>
      <c r="CP41" s="21">
        <v>0</v>
      </c>
      <c r="CQ41" s="21">
        <v>0</v>
      </c>
      <c r="CR41" s="21">
        <v>0</v>
      </c>
      <c r="CS41" s="21">
        <v>0</v>
      </c>
      <c r="CT41" s="21">
        <v>0</v>
      </c>
      <c r="CU41" s="21">
        <v>0</v>
      </c>
      <c r="CV41" s="21">
        <v>0</v>
      </c>
      <c r="CW41" s="21">
        <v>0</v>
      </c>
      <c r="CX41" s="21">
        <v>0</v>
      </c>
      <c r="CY41" s="21">
        <v>0</v>
      </c>
      <c r="CZ41" s="21">
        <v>0</v>
      </c>
      <c r="DA41" s="21">
        <v>0</v>
      </c>
      <c r="DB41" s="21">
        <v>0</v>
      </c>
      <c r="DC41" s="21">
        <v>0</v>
      </c>
      <c r="DD41" s="21">
        <v>0</v>
      </c>
      <c r="DE41" s="73"/>
      <c r="DG41" s="76"/>
      <c r="DI41" s="76"/>
    </row>
    <row r="42" spans="1:113" ht="32.1">
      <c r="A42" s="23"/>
      <c r="B42" s="19" t="s">
        <v>226</v>
      </c>
      <c r="C42" s="27" t="s">
        <v>227</v>
      </c>
      <c r="D42" s="20">
        <f t="shared" si="0"/>
        <v>1</v>
      </c>
      <c r="E42" s="21">
        <v>1</v>
      </c>
      <c r="F42" s="21">
        <v>0</v>
      </c>
      <c r="G42" s="21">
        <v>0</v>
      </c>
      <c r="H42" s="21">
        <v>0</v>
      </c>
      <c r="I42" s="21">
        <v>0</v>
      </c>
      <c r="J42" s="21">
        <v>0</v>
      </c>
      <c r="K42" s="21">
        <v>0</v>
      </c>
      <c r="L42" s="21">
        <v>0</v>
      </c>
      <c r="M42" s="21">
        <v>0</v>
      </c>
      <c r="N42" s="21">
        <v>0</v>
      </c>
      <c r="O42" s="21">
        <v>0</v>
      </c>
      <c r="P42" s="21">
        <v>0</v>
      </c>
      <c r="Q42" s="21">
        <v>0</v>
      </c>
      <c r="R42" s="21">
        <v>0</v>
      </c>
      <c r="S42" s="21">
        <v>0</v>
      </c>
      <c r="T42" s="21">
        <v>0</v>
      </c>
      <c r="U42" s="21">
        <v>0</v>
      </c>
      <c r="V42" s="21">
        <v>0</v>
      </c>
      <c r="W42" s="21">
        <v>0</v>
      </c>
      <c r="X42" s="21">
        <v>0</v>
      </c>
      <c r="Y42" s="21">
        <v>0</v>
      </c>
      <c r="Z42" s="21">
        <v>0</v>
      </c>
      <c r="AA42" s="21">
        <v>0</v>
      </c>
      <c r="AB42" s="21">
        <v>0</v>
      </c>
      <c r="AC42" s="21">
        <v>0</v>
      </c>
      <c r="AD42" s="21">
        <v>0</v>
      </c>
      <c r="AE42" s="21">
        <v>0</v>
      </c>
      <c r="AF42" s="21">
        <v>0</v>
      </c>
      <c r="AG42" s="21">
        <v>0</v>
      </c>
      <c r="AH42" s="21">
        <v>0</v>
      </c>
      <c r="AI42" s="21">
        <v>0</v>
      </c>
      <c r="AJ42" s="21">
        <v>0</v>
      </c>
      <c r="AK42" s="21">
        <v>0</v>
      </c>
      <c r="AL42" s="21">
        <v>0</v>
      </c>
      <c r="AM42" s="21">
        <v>0</v>
      </c>
      <c r="AN42" s="21">
        <v>0</v>
      </c>
      <c r="AO42" s="21">
        <v>0</v>
      </c>
      <c r="AP42" s="21">
        <v>0</v>
      </c>
      <c r="AQ42" s="21">
        <v>0</v>
      </c>
      <c r="AR42" s="21">
        <v>0</v>
      </c>
      <c r="AS42" s="21">
        <v>0</v>
      </c>
      <c r="AT42" s="21">
        <v>0</v>
      </c>
      <c r="AU42" s="21">
        <v>0</v>
      </c>
      <c r="AV42" s="21">
        <v>0</v>
      </c>
      <c r="AW42" s="21">
        <v>0</v>
      </c>
      <c r="AX42" s="21">
        <v>0</v>
      </c>
      <c r="AY42" s="21">
        <v>0</v>
      </c>
      <c r="AZ42" s="21">
        <v>0</v>
      </c>
      <c r="BA42" s="21">
        <v>0</v>
      </c>
      <c r="BB42" s="21">
        <v>0</v>
      </c>
      <c r="BC42" s="21">
        <v>0</v>
      </c>
      <c r="BD42" s="21">
        <v>0</v>
      </c>
      <c r="BE42" s="21">
        <v>0</v>
      </c>
      <c r="BF42" s="21">
        <v>0</v>
      </c>
      <c r="BG42" s="21">
        <v>0</v>
      </c>
      <c r="BH42" s="21">
        <v>0</v>
      </c>
      <c r="BI42" s="21">
        <v>0</v>
      </c>
      <c r="BJ42" s="21">
        <v>0</v>
      </c>
      <c r="BK42" s="21">
        <v>0</v>
      </c>
      <c r="BL42" s="21">
        <v>0</v>
      </c>
      <c r="BM42" s="21">
        <v>0</v>
      </c>
      <c r="BN42" s="21">
        <v>0</v>
      </c>
      <c r="BO42" s="21">
        <v>0</v>
      </c>
      <c r="BP42" s="21">
        <v>0</v>
      </c>
      <c r="BQ42" s="21">
        <v>0</v>
      </c>
      <c r="BR42" s="21">
        <v>0</v>
      </c>
      <c r="BS42" s="21">
        <v>0</v>
      </c>
      <c r="BT42" s="21">
        <v>0</v>
      </c>
      <c r="BU42" s="21">
        <v>0</v>
      </c>
      <c r="BV42" s="21">
        <v>0</v>
      </c>
      <c r="BW42" s="21">
        <v>0</v>
      </c>
      <c r="BX42" s="21">
        <v>0</v>
      </c>
      <c r="BY42" s="21">
        <v>0</v>
      </c>
      <c r="BZ42" s="21">
        <v>0</v>
      </c>
      <c r="CA42" s="21">
        <v>0</v>
      </c>
      <c r="CB42" s="21">
        <v>0</v>
      </c>
      <c r="CC42" s="21">
        <v>0</v>
      </c>
      <c r="CD42" s="21">
        <v>0</v>
      </c>
      <c r="CE42" s="21">
        <v>0</v>
      </c>
      <c r="CF42" s="21">
        <v>0</v>
      </c>
      <c r="CG42" s="21">
        <v>0</v>
      </c>
      <c r="CH42" s="21">
        <v>0</v>
      </c>
      <c r="CI42" s="21">
        <v>0</v>
      </c>
      <c r="CJ42" s="21">
        <v>0</v>
      </c>
      <c r="CK42" s="21">
        <v>0</v>
      </c>
      <c r="CL42" s="21">
        <v>0</v>
      </c>
      <c r="CM42" s="21">
        <v>0</v>
      </c>
      <c r="CN42" s="21">
        <v>0</v>
      </c>
      <c r="CO42" s="21">
        <v>0</v>
      </c>
      <c r="CP42" s="21">
        <v>0</v>
      </c>
      <c r="CQ42" s="21">
        <v>0</v>
      </c>
      <c r="CR42" s="21">
        <v>0</v>
      </c>
      <c r="CS42" s="21">
        <v>0</v>
      </c>
      <c r="CT42" s="21">
        <v>0</v>
      </c>
      <c r="CU42" s="21">
        <v>0</v>
      </c>
      <c r="CV42" s="21">
        <v>0</v>
      </c>
      <c r="CW42" s="21">
        <v>0</v>
      </c>
      <c r="CX42" s="21">
        <v>0</v>
      </c>
      <c r="CY42" s="21">
        <v>0</v>
      </c>
      <c r="CZ42" s="21">
        <v>0</v>
      </c>
      <c r="DA42" s="21">
        <v>0</v>
      </c>
      <c r="DB42" s="21">
        <v>0</v>
      </c>
      <c r="DC42" s="21">
        <v>0</v>
      </c>
      <c r="DD42" s="21">
        <v>0</v>
      </c>
      <c r="DE42" s="73"/>
      <c r="DG42" s="76"/>
      <c r="DI42" s="76"/>
    </row>
    <row r="43" spans="1:113">
      <c r="A43" s="23" t="s">
        <v>228</v>
      </c>
      <c r="B43" s="19" t="s">
        <v>229</v>
      </c>
      <c r="C43" s="19" t="s">
        <v>230</v>
      </c>
      <c r="D43" s="20">
        <f t="shared" si="0"/>
        <v>1</v>
      </c>
      <c r="E43" s="21">
        <v>0</v>
      </c>
      <c r="F43" s="21">
        <v>0</v>
      </c>
      <c r="G43" s="21">
        <v>0</v>
      </c>
      <c r="H43" s="21">
        <v>0</v>
      </c>
      <c r="I43" s="21">
        <v>0</v>
      </c>
      <c r="J43" s="21">
        <v>0</v>
      </c>
      <c r="K43" s="21">
        <v>0</v>
      </c>
      <c r="L43" s="21">
        <v>0</v>
      </c>
      <c r="M43" s="21">
        <v>0</v>
      </c>
      <c r="N43" s="21">
        <v>0</v>
      </c>
      <c r="O43" s="21">
        <v>0</v>
      </c>
      <c r="P43" s="21">
        <v>0</v>
      </c>
      <c r="Q43" s="21">
        <v>0</v>
      </c>
      <c r="R43" s="21">
        <v>0</v>
      </c>
      <c r="S43" s="21">
        <v>0</v>
      </c>
      <c r="T43" s="21">
        <v>0</v>
      </c>
      <c r="U43" s="21">
        <v>0</v>
      </c>
      <c r="V43" s="21">
        <v>0</v>
      </c>
      <c r="W43" s="21">
        <v>0</v>
      </c>
      <c r="X43" s="21">
        <v>0</v>
      </c>
      <c r="Y43" s="21">
        <v>0</v>
      </c>
      <c r="Z43" s="21">
        <v>0</v>
      </c>
      <c r="AA43" s="21">
        <v>0</v>
      </c>
      <c r="AB43" s="21">
        <v>0</v>
      </c>
      <c r="AC43" s="21">
        <v>0</v>
      </c>
      <c r="AD43" s="21">
        <v>0</v>
      </c>
      <c r="AE43" s="21">
        <v>0</v>
      </c>
      <c r="AF43" s="21">
        <v>0</v>
      </c>
      <c r="AG43" s="21">
        <v>0</v>
      </c>
      <c r="AH43" s="21">
        <v>0</v>
      </c>
      <c r="AI43" s="21">
        <v>0</v>
      </c>
      <c r="AJ43" s="21">
        <v>0</v>
      </c>
      <c r="AK43" s="21">
        <v>0</v>
      </c>
      <c r="AL43" s="21">
        <v>0</v>
      </c>
      <c r="AM43" s="21">
        <v>0</v>
      </c>
      <c r="AN43" s="21">
        <v>0</v>
      </c>
      <c r="AO43" s="21">
        <v>0</v>
      </c>
      <c r="AP43" s="21">
        <v>0</v>
      </c>
      <c r="AQ43" s="21">
        <v>0</v>
      </c>
      <c r="AR43" s="21">
        <v>0</v>
      </c>
      <c r="AS43" s="21">
        <v>0</v>
      </c>
      <c r="AT43" s="21">
        <v>0</v>
      </c>
      <c r="AU43" s="21">
        <v>0</v>
      </c>
      <c r="AV43" s="21">
        <v>0</v>
      </c>
      <c r="AW43" s="21">
        <v>0</v>
      </c>
      <c r="AX43" s="21">
        <v>0</v>
      </c>
      <c r="AY43" s="21">
        <v>0</v>
      </c>
      <c r="AZ43" s="21">
        <v>0</v>
      </c>
      <c r="BA43" s="21">
        <v>0</v>
      </c>
      <c r="BB43" s="21">
        <v>0</v>
      </c>
      <c r="BC43" s="21">
        <v>0</v>
      </c>
      <c r="BD43" s="21">
        <v>0</v>
      </c>
      <c r="BE43" s="21">
        <v>0</v>
      </c>
      <c r="BF43" s="21">
        <v>0</v>
      </c>
      <c r="BG43" s="21">
        <v>0</v>
      </c>
      <c r="BH43" s="21">
        <v>0</v>
      </c>
      <c r="BI43" s="21">
        <v>0</v>
      </c>
      <c r="BJ43" s="21">
        <v>1</v>
      </c>
      <c r="BK43" s="21">
        <v>0</v>
      </c>
      <c r="BL43" s="21">
        <v>0</v>
      </c>
      <c r="BM43" s="21">
        <v>0</v>
      </c>
      <c r="BN43" s="21">
        <v>0</v>
      </c>
      <c r="BO43" s="21">
        <v>0</v>
      </c>
      <c r="BP43" s="21">
        <v>0</v>
      </c>
      <c r="BQ43" s="21">
        <v>0</v>
      </c>
      <c r="BR43" s="21">
        <v>0</v>
      </c>
      <c r="BS43" s="21">
        <v>0</v>
      </c>
      <c r="BT43" s="21">
        <v>0</v>
      </c>
      <c r="BU43" s="21">
        <v>0</v>
      </c>
      <c r="BV43" s="21">
        <v>0</v>
      </c>
      <c r="BW43" s="21">
        <v>0</v>
      </c>
      <c r="BX43" s="21">
        <v>0</v>
      </c>
      <c r="BY43" s="21">
        <v>0</v>
      </c>
      <c r="BZ43" s="21">
        <v>0</v>
      </c>
      <c r="CA43" s="21">
        <v>0</v>
      </c>
      <c r="CB43" s="21">
        <v>0</v>
      </c>
      <c r="CC43" s="21">
        <v>0</v>
      </c>
      <c r="CD43" s="21">
        <v>0</v>
      </c>
      <c r="CE43" s="21">
        <v>0</v>
      </c>
      <c r="CF43" s="21">
        <v>0</v>
      </c>
      <c r="CG43" s="21">
        <v>0</v>
      </c>
      <c r="CH43" s="21">
        <v>0</v>
      </c>
      <c r="CI43" s="21">
        <v>0</v>
      </c>
      <c r="CJ43" s="21">
        <v>0</v>
      </c>
      <c r="CK43" s="21">
        <v>0</v>
      </c>
      <c r="CL43" s="21">
        <v>0</v>
      </c>
      <c r="CM43" s="21">
        <v>0</v>
      </c>
      <c r="CN43" s="21">
        <v>0</v>
      </c>
      <c r="CO43" s="21">
        <v>0</v>
      </c>
      <c r="CP43" s="21">
        <v>0</v>
      </c>
      <c r="CQ43" s="21">
        <v>0</v>
      </c>
      <c r="CR43" s="21">
        <v>0</v>
      </c>
      <c r="CS43" s="21">
        <v>0</v>
      </c>
      <c r="CT43" s="21">
        <v>0</v>
      </c>
      <c r="CU43" s="21">
        <v>0</v>
      </c>
      <c r="CV43" s="21">
        <v>0</v>
      </c>
      <c r="CW43" s="21">
        <v>0</v>
      </c>
      <c r="CX43" s="21">
        <v>0</v>
      </c>
      <c r="CY43" s="21">
        <v>0</v>
      </c>
      <c r="CZ43" s="21">
        <v>0</v>
      </c>
      <c r="DA43" s="21">
        <v>0</v>
      </c>
      <c r="DB43" s="21">
        <v>0</v>
      </c>
      <c r="DC43" s="21">
        <v>0</v>
      </c>
      <c r="DD43" s="21">
        <v>0</v>
      </c>
      <c r="DE43" s="72"/>
      <c r="DG43" s="76"/>
      <c r="DI43" s="76"/>
    </row>
    <row r="44" spans="1:113">
      <c r="A44" s="24" t="s">
        <v>231</v>
      </c>
      <c r="B44" s="25"/>
      <c r="C44" s="25"/>
      <c r="D44" s="16"/>
      <c r="E44" s="16"/>
      <c r="F44" s="16"/>
      <c r="G44" s="16"/>
      <c r="H44" s="16"/>
      <c r="I44" s="16"/>
      <c r="J44" s="16"/>
      <c r="K44" s="16"/>
      <c r="L44" s="63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72"/>
      <c r="DG44" s="76"/>
      <c r="DI44" s="76"/>
    </row>
    <row r="45" spans="1:113">
      <c r="A45" s="23" t="s">
        <v>232</v>
      </c>
      <c r="B45" s="19" t="s">
        <v>233</v>
      </c>
      <c r="C45" s="19" t="s">
        <v>196</v>
      </c>
      <c r="D45" s="20">
        <f t="shared" si="0"/>
        <v>371874.86000000004</v>
      </c>
      <c r="E45" s="21">
        <v>45917.7</v>
      </c>
      <c r="F45" s="21">
        <v>2213.67</v>
      </c>
      <c r="G45" s="21">
        <v>794.67</v>
      </c>
      <c r="H45" s="21">
        <v>3031.58</v>
      </c>
      <c r="I45" s="21">
        <v>542.99</v>
      </c>
      <c r="J45" s="21">
        <v>911.38</v>
      </c>
      <c r="K45" s="21">
        <v>3396.09</v>
      </c>
      <c r="L45" s="21">
        <v>87.68</v>
      </c>
      <c r="M45" s="21">
        <v>4211.33</v>
      </c>
      <c r="N45" s="21">
        <v>135.19</v>
      </c>
      <c r="O45" s="21">
        <v>149.21</v>
      </c>
      <c r="P45" s="21">
        <v>5898.79</v>
      </c>
      <c r="Q45" s="21">
        <v>1444.99</v>
      </c>
      <c r="R45" s="21">
        <v>3513.82</v>
      </c>
      <c r="S45" s="21">
        <v>273.36</v>
      </c>
      <c r="T45" s="21">
        <v>706.91</v>
      </c>
      <c r="U45" s="21">
        <v>355.58</v>
      </c>
      <c r="V45" s="21">
        <v>600.5</v>
      </c>
      <c r="W45" s="21">
        <v>207.42</v>
      </c>
      <c r="X45" s="21">
        <v>63.01</v>
      </c>
      <c r="Y45" s="21">
        <v>462.96</v>
      </c>
      <c r="Z45" s="21">
        <v>4650.12</v>
      </c>
      <c r="AA45" s="21">
        <v>2805.97</v>
      </c>
      <c r="AB45" s="21">
        <v>485.84</v>
      </c>
      <c r="AC45" s="21">
        <v>3536.17</v>
      </c>
      <c r="AD45" s="21">
        <v>488.53</v>
      </c>
      <c r="AE45" s="21">
        <v>342</v>
      </c>
      <c r="AF45" s="21">
        <v>248.46</v>
      </c>
      <c r="AG45" s="21">
        <v>499.49</v>
      </c>
      <c r="AH45" s="21">
        <v>575.58000000000004</v>
      </c>
      <c r="AI45" s="21">
        <v>744.64</v>
      </c>
      <c r="AJ45" s="21">
        <v>3004.52</v>
      </c>
      <c r="AK45" s="21">
        <v>320.85000000000002</v>
      </c>
      <c r="AL45" s="21">
        <v>1031.55</v>
      </c>
      <c r="AM45" s="21">
        <v>1183.5</v>
      </c>
      <c r="AN45" s="21">
        <v>865.22</v>
      </c>
      <c r="AO45" s="21">
        <v>1060.8499999999999</v>
      </c>
      <c r="AP45" s="21">
        <v>470.67</v>
      </c>
      <c r="AQ45" s="21">
        <v>77.19</v>
      </c>
      <c r="AR45" s="21">
        <v>6562.81</v>
      </c>
      <c r="AS45" s="21">
        <v>1208.47</v>
      </c>
      <c r="AT45" s="21">
        <v>187.18</v>
      </c>
      <c r="AU45" s="21">
        <v>813.96</v>
      </c>
      <c r="AV45" s="21">
        <v>72.91</v>
      </c>
      <c r="AW45" s="21">
        <v>2462.16</v>
      </c>
      <c r="AX45" s="21">
        <v>541.66999999999996</v>
      </c>
      <c r="AY45" s="21">
        <v>1595.46</v>
      </c>
      <c r="AZ45" s="21">
        <v>0</v>
      </c>
      <c r="BA45" s="21">
        <v>5474.66</v>
      </c>
      <c r="BB45" s="21">
        <v>633.4</v>
      </c>
      <c r="BC45" s="21">
        <v>318.2</v>
      </c>
      <c r="BD45" s="21">
        <v>701</v>
      </c>
      <c r="BE45" s="21">
        <v>1100</v>
      </c>
      <c r="BF45" s="21">
        <v>864</v>
      </c>
      <c r="BG45" s="21">
        <v>701</v>
      </c>
      <c r="BH45" s="21">
        <v>580</v>
      </c>
      <c r="BI45" s="21">
        <v>72257</v>
      </c>
      <c r="BJ45" s="21">
        <v>104523</v>
      </c>
      <c r="BK45" s="21">
        <v>13705</v>
      </c>
      <c r="BL45" s="21">
        <v>5915</v>
      </c>
      <c r="BM45" s="21">
        <v>335</v>
      </c>
      <c r="BN45" s="21">
        <v>87</v>
      </c>
      <c r="BO45" s="21">
        <v>191</v>
      </c>
      <c r="BP45" s="21">
        <v>681</v>
      </c>
      <c r="BQ45" s="21">
        <v>565</v>
      </c>
      <c r="BR45" s="21">
        <v>454</v>
      </c>
      <c r="BS45" s="21">
        <v>920</v>
      </c>
      <c r="BT45" s="21">
        <v>1309</v>
      </c>
      <c r="BU45" s="21">
        <v>7632</v>
      </c>
      <c r="BV45" s="21">
        <v>129</v>
      </c>
      <c r="BW45" s="21">
        <v>252</v>
      </c>
      <c r="BX45" s="21">
        <v>805</v>
      </c>
      <c r="BY45" s="21">
        <v>431</v>
      </c>
      <c r="BZ45" s="21">
        <v>4174</v>
      </c>
      <c r="CA45" s="21">
        <v>310</v>
      </c>
      <c r="CB45" s="21">
        <v>165</v>
      </c>
      <c r="CC45" s="21">
        <v>125</v>
      </c>
      <c r="CD45" s="21">
        <v>635</v>
      </c>
      <c r="CE45" s="21">
        <v>118</v>
      </c>
      <c r="CF45" s="21">
        <v>324</v>
      </c>
      <c r="CG45" s="21">
        <v>1355</v>
      </c>
      <c r="CH45" s="21">
        <v>678</v>
      </c>
      <c r="CI45" s="21">
        <v>1602</v>
      </c>
      <c r="CJ45" s="21">
        <v>744</v>
      </c>
      <c r="CK45" s="21">
        <v>2144</v>
      </c>
      <c r="CL45" s="21">
        <v>789</v>
      </c>
      <c r="CM45" s="21">
        <v>116</v>
      </c>
      <c r="CN45" s="21">
        <v>570</v>
      </c>
      <c r="CO45" s="21">
        <v>1148</v>
      </c>
      <c r="CP45" s="21">
        <v>2427</v>
      </c>
      <c r="CQ45" s="21">
        <v>2037</v>
      </c>
      <c r="CR45" s="21">
        <v>100</v>
      </c>
      <c r="CS45" s="21">
        <v>4089</v>
      </c>
      <c r="CT45" s="21">
        <v>1821</v>
      </c>
      <c r="CU45" s="21">
        <v>1711</v>
      </c>
      <c r="CV45" s="21">
        <v>212</v>
      </c>
      <c r="CW45" s="21">
        <v>230</v>
      </c>
      <c r="CX45" s="21">
        <v>804</v>
      </c>
      <c r="CY45" s="21">
        <v>550</v>
      </c>
      <c r="CZ45" s="21">
        <v>5538</v>
      </c>
      <c r="DA45" s="21">
        <v>2456</v>
      </c>
      <c r="DB45" s="21">
        <v>1508</v>
      </c>
      <c r="DC45" s="21">
        <v>73</v>
      </c>
      <c r="DD45" s="21">
        <v>2004</v>
      </c>
      <c r="DE45" s="72"/>
      <c r="DG45" s="76"/>
      <c r="DI45" s="76"/>
    </row>
    <row r="46" spans="1:113">
      <c r="A46" s="23" t="s">
        <v>234</v>
      </c>
      <c r="B46" s="19" t="s">
        <v>235</v>
      </c>
      <c r="C46" s="19" t="s">
        <v>236</v>
      </c>
      <c r="D46" s="20">
        <f t="shared" si="0"/>
        <v>1112</v>
      </c>
      <c r="E46" s="21">
        <v>150</v>
      </c>
      <c r="F46" s="21">
        <v>0</v>
      </c>
      <c r="G46" s="21">
        <v>0</v>
      </c>
      <c r="H46" s="21">
        <v>34</v>
      </c>
      <c r="I46" s="21">
        <v>0</v>
      </c>
      <c r="J46" s="21">
        <v>10</v>
      </c>
      <c r="K46" s="21">
        <v>0</v>
      </c>
      <c r="L46" s="21">
        <v>0</v>
      </c>
      <c r="M46" s="21">
        <v>0</v>
      </c>
      <c r="N46" s="21">
        <v>0</v>
      </c>
      <c r="O46" s="21">
        <v>0</v>
      </c>
      <c r="P46" s="21">
        <v>0</v>
      </c>
      <c r="Q46" s="21">
        <v>5</v>
      </c>
      <c r="R46" s="21">
        <v>10</v>
      </c>
      <c r="S46" s="21">
        <v>0</v>
      </c>
      <c r="T46" s="21">
        <v>15</v>
      </c>
      <c r="U46" s="21">
        <v>0</v>
      </c>
      <c r="V46" s="21">
        <v>0</v>
      </c>
      <c r="W46" s="21">
        <v>0</v>
      </c>
      <c r="X46" s="21">
        <v>0</v>
      </c>
      <c r="Y46" s="21">
        <v>0</v>
      </c>
      <c r="Z46" s="21">
        <v>20</v>
      </c>
      <c r="AA46" s="21">
        <v>0</v>
      </c>
      <c r="AB46" s="21">
        <v>10</v>
      </c>
      <c r="AC46" s="21">
        <v>14</v>
      </c>
      <c r="AD46" s="21">
        <v>1</v>
      </c>
      <c r="AE46" s="21">
        <v>1</v>
      </c>
      <c r="AF46" s="21">
        <v>0</v>
      </c>
      <c r="AG46" s="21">
        <v>1</v>
      </c>
      <c r="AH46" s="21">
        <v>2</v>
      </c>
      <c r="AI46" s="21">
        <v>7</v>
      </c>
      <c r="AJ46" s="21">
        <v>18</v>
      </c>
      <c r="AK46" s="21">
        <v>1</v>
      </c>
      <c r="AL46" s="21">
        <v>15</v>
      </c>
      <c r="AM46" s="21">
        <v>8</v>
      </c>
      <c r="AN46" s="21">
        <v>0</v>
      </c>
      <c r="AO46" s="21">
        <v>0</v>
      </c>
      <c r="AP46" s="21">
        <v>0</v>
      </c>
      <c r="AQ46" s="21">
        <v>0</v>
      </c>
      <c r="AR46" s="21">
        <v>5</v>
      </c>
      <c r="AS46" s="21">
        <v>0</v>
      </c>
      <c r="AT46" s="21">
        <v>0</v>
      </c>
      <c r="AU46" s="21">
        <v>5</v>
      </c>
      <c r="AV46" s="21">
        <v>0</v>
      </c>
      <c r="AW46" s="21">
        <v>0</v>
      </c>
      <c r="AX46" s="21">
        <v>0</v>
      </c>
      <c r="AY46" s="21">
        <v>0</v>
      </c>
      <c r="AZ46" s="21">
        <v>0</v>
      </c>
      <c r="BA46" s="21">
        <v>0</v>
      </c>
      <c r="BB46" s="21">
        <v>0</v>
      </c>
      <c r="BC46" s="21">
        <v>0</v>
      </c>
      <c r="BD46" s="21">
        <v>24</v>
      </c>
      <c r="BE46" s="21">
        <v>0</v>
      </c>
      <c r="BF46" s="21">
        <v>0</v>
      </c>
      <c r="BG46" s="21">
        <v>0</v>
      </c>
      <c r="BH46" s="21">
        <v>0</v>
      </c>
      <c r="BI46" s="21">
        <v>173</v>
      </c>
      <c r="BJ46" s="21">
        <v>294</v>
      </c>
      <c r="BK46" s="21">
        <v>15</v>
      </c>
      <c r="BL46" s="21">
        <v>33</v>
      </c>
      <c r="BM46" s="21">
        <v>0</v>
      </c>
      <c r="BN46" s="21">
        <v>0</v>
      </c>
      <c r="BO46" s="21">
        <v>0</v>
      </c>
      <c r="BP46" s="21">
        <v>0</v>
      </c>
      <c r="BQ46" s="21">
        <v>7</v>
      </c>
      <c r="BR46" s="21">
        <v>0</v>
      </c>
      <c r="BS46" s="21">
        <v>8</v>
      </c>
      <c r="BT46" s="21">
        <v>0</v>
      </c>
      <c r="BU46" s="21">
        <v>50</v>
      </c>
      <c r="BV46" s="21">
        <v>0</v>
      </c>
      <c r="BW46" s="21">
        <v>0</v>
      </c>
      <c r="BX46" s="21">
        <v>2</v>
      </c>
      <c r="BY46" s="21">
        <v>0</v>
      </c>
      <c r="BZ46" s="21">
        <v>17</v>
      </c>
      <c r="CA46" s="21">
        <v>0</v>
      </c>
      <c r="CB46" s="21">
        <v>0</v>
      </c>
      <c r="CC46" s="21">
        <v>0</v>
      </c>
      <c r="CD46" s="21">
        <v>9</v>
      </c>
      <c r="CE46" s="21">
        <v>0</v>
      </c>
      <c r="CF46" s="21">
        <v>1</v>
      </c>
      <c r="CG46" s="21">
        <v>1</v>
      </c>
      <c r="CH46" s="21">
        <v>1</v>
      </c>
      <c r="CI46" s="21">
        <v>1</v>
      </c>
      <c r="CJ46" s="21">
        <v>5</v>
      </c>
      <c r="CK46" s="21">
        <v>11</v>
      </c>
      <c r="CL46" s="21">
        <v>1</v>
      </c>
      <c r="CM46" s="21">
        <v>0</v>
      </c>
      <c r="CN46" s="21">
        <v>3</v>
      </c>
      <c r="CO46" s="21">
        <v>4</v>
      </c>
      <c r="CP46" s="21">
        <v>9</v>
      </c>
      <c r="CQ46" s="21">
        <v>13</v>
      </c>
      <c r="CR46" s="21">
        <v>0</v>
      </c>
      <c r="CS46" s="21">
        <v>25</v>
      </c>
      <c r="CT46" s="21">
        <v>0</v>
      </c>
      <c r="CU46" s="21">
        <v>24</v>
      </c>
      <c r="CV46" s="21">
        <v>0</v>
      </c>
      <c r="CW46" s="21">
        <v>0</v>
      </c>
      <c r="CX46" s="21">
        <v>1</v>
      </c>
      <c r="CY46" s="21">
        <v>0</v>
      </c>
      <c r="CZ46" s="21">
        <v>13</v>
      </c>
      <c r="DA46" s="21">
        <v>2</v>
      </c>
      <c r="DB46" s="21">
        <v>21</v>
      </c>
      <c r="DC46" s="21">
        <v>0</v>
      </c>
      <c r="DD46" s="21">
        <v>12</v>
      </c>
      <c r="DE46" s="72"/>
      <c r="DG46" s="76"/>
      <c r="DI46" s="76"/>
    </row>
    <row r="47" spans="1:113">
      <c r="A47" s="23" t="s">
        <v>237</v>
      </c>
      <c r="B47" s="19" t="s">
        <v>238</v>
      </c>
      <c r="C47" s="19" t="s">
        <v>239</v>
      </c>
      <c r="D47" s="20">
        <f t="shared" si="0"/>
        <v>1012</v>
      </c>
      <c r="E47" s="22">
        <v>400</v>
      </c>
      <c r="F47" s="22">
        <v>0</v>
      </c>
      <c r="G47" s="22">
        <v>0</v>
      </c>
      <c r="H47" s="22">
        <v>0</v>
      </c>
      <c r="I47" s="22">
        <v>0</v>
      </c>
      <c r="J47" s="22">
        <v>0</v>
      </c>
      <c r="K47" s="22">
        <v>0</v>
      </c>
      <c r="L47" s="21">
        <v>0</v>
      </c>
      <c r="M47" s="22">
        <v>0</v>
      </c>
      <c r="N47" s="22">
        <v>0</v>
      </c>
      <c r="O47" s="22">
        <v>0</v>
      </c>
      <c r="P47" s="22">
        <v>0</v>
      </c>
      <c r="Q47" s="22">
        <v>0</v>
      </c>
      <c r="R47" s="22">
        <v>0</v>
      </c>
      <c r="S47" s="22">
        <v>0</v>
      </c>
      <c r="T47" s="22">
        <v>0</v>
      </c>
      <c r="U47" s="22">
        <v>0</v>
      </c>
      <c r="V47" s="22">
        <v>0</v>
      </c>
      <c r="W47" s="22">
        <v>0</v>
      </c>
      <c r="X47" s="22">
        <v>0</v>
      </c>
      <c r="Y47" s="22">
        <v>0</v>
      </c>
      <c r="Z47" s="22">
        <v>0</v>
      </c>
      <c r="AA47" s="22">
        <v>0</v>
      </c>
      <c r="AB47" s="22">
        <v>0</v>
      </c>
      <c r="AC47" s="22">
        <v>0</v>
      </c>
      <c r="AD47" s="22">
        <v>0</v>
      </c>
      <c r="AE47" s="22">
        <v>0</v>
      </c>
      <c r="AF47" s="22">
        <v>0</v>
      </c>
      <c r="AG47" s="22">
        <v>0</v>
      </c>
      <c r="AH47" s="22">
        <v>0</v>
      </c>
      <c r="AI47" s="22">
        <v>0</v>
      </c>
      <c r="AJ47" s="22">
        <v>0</v>
      </c>
      <c r="AK47" s="22">
        <v>0</v>
      </c>
      <c r="AL47" s="22">
        <v>0</v>
      </c>
      <c r="AM47" s="22">
        <v>0</v>
      </c>
      <c r="AN47" s="22">
        <v>0</v>
      </c>
      <c r="AO47" s="22">
        <v>0</v>
      </c>
      <c r="AP47" s="22">
        <v>0</v>
      </c>
      <c r="AQ47" s="22">
        <v>0</v>
      </c>
      <c r="AR47" s="22">
        <v>0</v>
      </c>
      <c r="AS47" s="22">
        <v>0</v>
      </c>
      <c r="AT47" s="22">
        <v>0</v>
      </c>
      <c r="AU47" s="22">
        <v>0</v>
      </c>
      <c r="AV47" s="22">
        <v>0</v>
      </c>
      <c r="AW47" s="22">
        <v>0</v>
      </c>
      <c r="AX47" s="22">
        <v>0</v>
      </c>
      <c r="AY47" s="22">
        <v>0</v>
      </c>
      <c r="AZ47" s="22">
        <v>0</v>
      </c>
      <c r="BA47" s="22">
        <v>0</v>
      </c>
      <c r="BB47" s="22">
        <v>0</v>
      </c>
      <c r="BC47" s="22">
        <v>0</v>
      </c>
      <c r="BD47" s="22">
        <v>0</v>
      </c>
      <c r="BE47" s="22">
        <v>20</v>
      </c>
      <c r="BF47" s="22">
        <v>0</v>
      </c>
      <c r="BG47" s="22">
        <v>0</v>
      </c>
      <c r="BH47" s="22">
        <v>0</v>
      </c>
      <c r="BI47" s="22">
        <v>119</v>
      </c>
      <c r="BJ47" s="22">
        <v>404</v>
      </c>
      <c r="BK47" s="22">
        <v>17</v>
      </c>
      <c r="BL47" s="21">
        <v>0</v>
      </c>
      <c r="BM47" s="21">
        <v>0</v>
      </c>
      <c r="BN47" s="22">
        <v>3</v>
      </c>
      <c r="BO47" s="22">
        <v>4</v>
      </c>
      <c r="BP47" s="21">
        <v>0</v>
      </c>
      <c r="BQ47" s="21">
        <v>0</v>
      </c>
      <c r="BR47" s="22">
        <v>2</v>
      </c>
      <c r="BS47" s="21">
        <v>0</v>
      </c>
      <c r="BT47" s="21">
        <v>0</v>
      </c>
      <c r="BU47" s="21">
        <v>0</v>
      </c>
      <c r="BV47" s="22">
        <v>3</v>
      </c>
      <c r="BW47" s="21">
        <v>0</v>
      </c>
      <c r="BX47" s="21">
        <v>0</v>
      </c>
      <c r="BY47" s="21">
        <v>0</v>
      </c>
      <c r="BZ47" s="21">
        <v>0</v>
      </c>
      <c r="CA47" s="21">
        <v>0</v>
      </c>
      <c r="CB47" s="21">
        <v>0</v>
      </c>
      <c r="CC47" s="21">
        <v>0</v>
      </c>
      <c r="CD47" s="21">
        <v>0</v>
      </c>
      <c r="CE47" s="22">
        <v>4</v>
      </c>
      <c r="CF47" s="21">
        <v>0</v>
      </c>
      <c r="CG47" s="21">
        <v>0</v>
      </c>
      <c r="CH47" s="21">
        <v>0</v>
      </c>
      <c r="CI47" s="21">
        <v>0</v>
      </c>
      <c r="CJ47" s="21">
        <v>0</v>
      </c>
      <c r="CK47" s="21">
        <v>0</v>
      </c>
      <c r="CL47" s="22">
        <v>12</v>
      </c>
      <c r="CM47" s="21">
        <v>0</v>
      </c>
      <c r="CN47" s="21">
        <v>0</v>
      </c>
      <c r="CO47" s="21">
        <v>0</v>
      </c>
      <c r="CP47" s="21">
        <v>0</v>
      </c>
      <c r="CQ47" s="21">
        <v>0</v>
      </c>
      <c r="CR47" s="22">
        <v>2</v>
      </c>
      <c r="CS47" s="22" t="s">
        <v>683</v>
      </c>
      <c r="CT47" s="21">
        <v>0</v>
      </c>
      <c r="CU47" s="21">
        <v>0</v>
      </c>
      <c r="CV47" s="21">
        <v>0</v>
      </c>
      <c r="CW47" s="21">
        <v>0</v>
      </c>
      <c r="CX47" s="21">
        <v>0</v>
      </c>
      <c r="CY47" s="21">
        <v>0</v>
      </c>
      <c r="CZ47" s="21">
        <v>0</v>
      </c>
      <c r="DA47" s="22">
        <v>22</v>
      </c>
      <c r="DB47" s="21">
        <v>0</v>
      </c>
      <c r="DC47" s="21">
        <v>0</v>
      </c>
      <c r="DD47" s="21">
        <v>0</v>
      </c>
      <c r="DE47" s="72"/>
      <c r="DG47" s="76"/>
      <c r="DI47" s="76"/>
    </row>
    <row r="48" spans="1:113">
      <c r="A48" s="23" t="s">
        <v>240</v>
      </c>
      <c r="B48" s="19" t="s">
        <v>241</v>
      </c>
      <c r="C48" s="19" t="s">
        <v>242</v>
      </c>
      <c r="D48" s="20">
        <f t="shared" si="0"/>
        <v>84</v>
      </c>
      <c r="E48" s="21">
        <v>0</v>
      </c>
      <c r="F48" s="21">
        <v>0</v>
      </c>
      <c r="G48" s="21">
        <v>0</v>
      </c>
      <c r="H48" s="21">
        <v>0</v>
      </c>
      <c r="I48" s="21">
        <v>0</v>
      </c>
      <c r="J48" s="21">
        <v>0</v>
      </c>
      <c r="K48" s="21">
        <v>0</v>
      </c>
      <c r="L48" s="21">
        <v>0</v>
      </c>
      <c r="M48" s="21">
        <v>0</v>
      </c>
      <c r="N48" s="21">
        <v>0</v>
      </c>
      <c r="O48" s="21">
        <v>0</v>
      </c>
      <c r="P48" s="21">
        <v>0</v>
      </c>
      <c r="Q48" s="21">
        <v>0</v>
      </c>
      <c r="R48" s="21">
        <v>0</v>
      </c>
      <c r="S48" s="21">
        <v>0</v>
      </c>
      <c r="T48" s="21">
        <v>0</v>
      </c>
      <c r="U48" s="21">
        <v>0</v>
      </c>
      <c r="V48" s="21">
        <v>0</v>
      </c>
      <c r="W48" s="21">
        <v>0</v>
      </c>
      <c r="X48" s="21">
        <v>0</v>
      </c>
      <c r="Y48" s="21">
        <v>0</v>
      </c>
      <c r="Z48" s="21">
        <v>0</v>
      </c>
      <c r="AA48" s="21">
        <v>0</v>
      </c>
      <c r="AB48" s="21">
        <v>0</v>
      </c>
      <c r="AC48" s="21">
        <v>0</v>
      </c>
      <c r="AD48" s="21">
        <v>0</v>
      </c>
      <c r="AE48" s="21">
        <v>0</v>
      </c>
      <c r="AF48" s="21">
        <v>0</v>
      </c>
      <c r="AG48" s="21">
        <v>0</v>
      </c>
      <c r="AH48" s="21">
        <v>0</v>
      </c>
      <c r="AI48" s="21">
        <v>0</v>
      </c>
      <c r="AJ48" s="21">
        <v>0</v>
      </c>
      <c r="AK48" s="21">
        <v>0</v>
      </c>
      <c r="AL48" s="21">
        <v>0</v>
      </c>
      <c r="AM48" s="21">
        <v>0</v>
      </c>
      <c r="AN48" s="21">
        <v>0</v>
      </c>
      <c r="AO48" s="21">
        <v>0</v>
      </c>
      <c r="AP48" s="21">
        <v>0</v>
      </c>
      <c r="AQ48" s="21">
        <v>0</v>
      </c>
      <c r="AR48" s="21">
        <v>0</v>
      </c>
      <c r="AS48" s="21">
        <v>0</v>
      </c>
      <c r="AT48" s="21">
        <v>0</v>
      </c>
      <c r="AU48" s="21">
        <v>0</v>
      </c>
      <c r="AV48" s="21">
        <v>0</v>
      </c>
      <c r="AW48" s="21">
        <v>0</v>
      </c>
      <c r="AX48" s="21">
        <v>0</v>
      </c>
      <c r="AY48" s="21">
        <v>0</v>
      </c>
      <c r="AZ48" s="21">
        <v>0</v>
      </c>
      <c r="BA48" s="21">
        <v>0</v>
      </c>
      <c r="BB48" s="21">
        <v>0</v>
      </c>
      <c r="BC48" s="21">
        <v>0</v>
      </c>
      <c r="BD48" s="21">
        <v>0</v>
      </c>
      <c r="BE48" s="21">
        <v>0</v>
      </c>
      <c r="BF48" s="21">
        <v>0</v>
      </c>
      <c r="BG48" s="21">
        <v>0</v>
      </c>
      <c r="BH48" s="21">
        <v>0</v>
      </c>
      <c r="BI48" s="21">
        <v>12</v>
      </c>
      <c r="BJ48" s="21">
        <v>49</v>
      </c>
      <c r="BK48" s="21">
        <v>5</v>
      </c>
      <c r="BL48" s="21">
        <v>2</v>
      </c>
      <c r="BM48" s="21">
        <v>0</v>
      </c>
      <c r="BN48" s="21">
        <v>0</v>
      </c>
      <c r="BO48" s="21">
        <v>0</v>
      </c>
      <c r="BP48" s="21">
        <v>0</v>
      </c>
      <c r="BQ48" s="21">
        <v>0</v>
      </c>
      <c r="BR48" s="21">
        <v>0</v>
      </c>
      <c r="BS48" s="21">
        <v>0</v>
      </c>
      <c r="BT48" s="21">
        <v>3</v>
      </c>
      <c r="BU48" s="21">
        <v>2</v>
      </c>
      <c r="BV48" s="21">
        <v>0</v>
      </c>
      <c r="BW48" s="21">
        <v>0</v>
      </c>
      <c r="BX48" s="21">
        <v>0</v>
      </c>
      <c r="BY48" s="21">
        <v>0</v>
      </c>
      <c r="BZ48" s="21">
        <v>1</v>
      </c>
      <c r="CA48" s="21">
        <v>0</v>
      </c>
      <c r="CB48" s="21">
        <v>0</v>
      </c>
      <c r="CC48" s="21">
        <v>0</v>
      </c>
      <c r="CD48" s="21">
        <v>0</v>
      </c>
      <c r="CE48" s="21">
        <v>0</v>
      </c>
      <c r="CF48" s="21">
        <v>0</v>
      </c>
      <c r="CG48" s="21">
        <v>0</v>
      </c>
      <c r="CH48" s="21">
        <v>1</v>
      </c>
      <c r="CI48" s="21">
        <v>1</v>
      </c>
      <c r="CJ48" s="21">
        <v>0</v>
      </c>
      <c r="CK48" s="21">
        <v>1</v>
      </c>
      <c r="CL48" s="21">
        <v>0</v>
      </c>
      <c r="CM48" s="21">
        <v>0</v>
      </c>
      <c r="CN48" s="21">
        <v>0</v>
      </c>
      <c r="CO48" s="21">
        <v>0</v>
      </c>
      <c r="CP48" s="21">
        <v>1</v>
      </c>
      <c r="CQ48" s="21">
        <v>1</v>
      </c>
      <c r="CR48" s="21">
        <v>0</v>
      </c>
      <c r="CS48" s="21">
        <v>0</v>
      </c>
      <c r="CT48" s="21">
        <v>1</v>
      </c>
      <c r="CU48" s="21">
        <v>0</v>
      </c>
      <c r="CV48" s="21">
        <v>0</v>
      </c>
      <c r="CW48" s="21">
        <v>0</v>
      </c>
      <c r="CX48" s="21">
        <v>0</v>
      </c>
      <c r="CY48" s="21">
        <v>0</v>
      </c>
      <c r="CZ48" s="21">
        <v>3</v>
      </c>
      <c r="DA48" s="21">
        <v>1</v>
      </c>
      <c r="DB48" s="21">
        <v>0</v>
      </c>
      <c r="DC48" s="21">
        <v>0</v>
      </c>
      <c r="DD48" s="21">
        <v>0</v>
      </c>
      <c r="DE48" s="73"/>
      <c r="DG48" s="76"/>
      <c r="DI48" s="76"/>
    </row>
    <row r="49" spans="1:113">
      <c r="A49" s="23" t="s">
        <v>243</v>
      </c>
      <c r="B49" s="19" t="s">
        <v>244</v>
      </c>
      <c r="C49" s="19" t="s">
        <v>245</v>
      </c>
      <c r="D49" s="20">
        <f t="shared" si="0"/>
        <v>0</v>
      </c>
      <c r="E49" s="22">
        <v>0</v>
      </c>
      <c r="F49" s="22">
        <v>0</v>
      </c>
      <c r="G49" s="22">
        <v>0</v>
      </c>
      <c r="H49" s="22">
        <v>0</v>
      </c>
      <c r="I49" s="22">
        <v>0</v>
      </c>
      <c r="J49" s="22">
        <v>0</v>
      </c>
      <c r="K49" s="22">
        <v>0</v>
      </c>
      <c r="L49" s="21">
        <v>0</v>
      </c>
      <c r="M49" s="22">
        <v>0</v>
      </c>
      <c r="N49" s="22">
        <v>0</v>
      </c>
      <c r="O49" s="22">
        <v>0</v>
      </c>
      <c r="P49" s="22">
        <v>0</v>
      </c>
      <c r="Q49" s="22">
        <v>0</v>
      </c>
      <c r="R49" s="22">
        <v>0</v>
      </c>
      <c r="S49" s="22">
        <v>0</v>
      </c>
      <c r="T49" s="22">
        <v>0</v>
      </c>
      <c r="U49" s="22">
        <v>0</v>
      </c>
      <c r="V49" s="22">
        <v>0</v>
      </c>
      <c r="W49" s="22">
        <v>0</v>
      </c>
      <c r="X49" s="22">
        <v>0</v>
      </c>
      <c r="Y49" s="22">
        <v>0</v>
      </c>
      <c r="Z49" s="22">
        <v>0</v>
      </c>
      <c r="AA49" s="22">
        <v>0</v>
      </c>
      <c r="AB49" s="22">
        <v>0</v>
      </c>
      <c r="AC49" s="22">
        <v>0</v>
      </c>
      <c r="AD49" s="22">
        <v>0</v>
      </c>
      <c r="AE49" s="22">
        <v>0</v>
      </c>
      <c r="AF49" s="22">
        <v>0</v>
      </c>
      <c r="AG49" s="22">
        <v>0</v>
      </c>
      <c r="AH49" s="22">
        <v>0</v>
      </c>
      <c r="AI49" s="22">
        <v>0</v>
      </c>
      <c r="AJ49" s="22">
        <v>0</v>
      </c>
      <c r="AK49" s="22">
        <v>0</v>
      </c>
      <c r="AL49" s="22">
        <v>0</v>
      </c>
      <c r="AM49" s="22">
        <v>0</v>
      </c>
      <c r="AN49" s="22">
        <v>0</v>
      </c>
      <c r="AO49" s="22">
        <v>0</v>
      </c>
      <c r="AP49" s="22">
        <v>0</v>
      </c>
      <c r="AQ49" s="22">
        <v>0</v>
      </c>
      <c r="AR49" s="22">
        <v>0</v>
      </c>
      <c r="AS49" s="22">
        <v>0</v>
      </c>
      <c r="AT49" s="22">
        <v>0</v>
      </c>
      <c r="AU49" s="22">
        <v>0</v>
      </c>
      <c r="AV49" s="22">
        <v>0</v>
      </c>
      <c r="AW49" s="22">
        <v>0</v>
      </c>
      <c r="AX49" s="22">
        <v>0</v>
      </c>
      <c r="AY49" s="22">
        <v>0</v>
      </c>
      <c r="AZ49" s="22">
        <v>0</v>
      </c>
      <c r="BA49" s="22">
        <v>0</v>
      </c>
      <c r="BB49" s="22">
        <v>0</v>
      </c>
      <c r="BC49" s="22">
        <v>0</v>
      </c>
      <c r="BD49" s="22">
        <v>0</v>
      </c>
      <c r="BE49" s="22">
        <v>0</v>
      </c>
      <c r="BF49" s="22">
        <v>0</v>
      </c>
      <c r="BG49" s="22">
        <v>0</v>
      </c>
      <c r="BH49" s="22">
        <v>0</v>
      </c>
      <c r="BI49" s="21">
        <v>0</v>
      </c>
      <c r="BJ49" s="21">
        <v>0</v>
      </c>
      <c r="BK49" s="21">
        <v>0</v>
      </c>
      <c r="BL49" s="21">
        <v>0</v>
      </c>
      <c r="BM49" s="21">
        <v>0</v>
      </c>
      <c r="BN49" s="21">
        <v>0</v>
      </c>
      <c r="BO49" s="21">
        <v>0</v>
      </c>
      <c r="BP49" s="21">
        <v>0</v>
      </c>
      <c r="BQ49" s="21">
        <v>0</v>
      </c>
      <c r="BR49" s="21">
        <v>0</v>
      </c>
      <c r="BS49" s="21">
        <v>0</v>
      </c>
      <c r="BT49" s="21">
        <v>0</v>
      </c>
      <c r="BU49" s="21">
        <v>0</v>
      </c>
      <c r="BV49" s="21">
        <v>0</v>
      </c>
      <c r="BW49" s="21">
        <v>0</v>
      </c>
      <c r="BX49" s="21">
        <v>0</v>
      </c>
      <c r="BY49" s="21">
        <v>0</v>
      </c>
      <c r="BZ49" s="21">
        <v>0</v>
      </c>
      <c r="CA49" s="21">
        <v>0</v>
      </c>
      <c r="CB49" s="21">
        <v>0</v>
      </c>
      <c r="CC49" s="21">
        <v>0</v>
      </c>
      <c r="CD49" s="21">
        <v>0</v>
      </c>
      <c r="CE49" s="21">
        <v>0</v>
      </c>
      <c r="CF49" s="21">
        <v>0</v>
      </c>
      <c r="CG49" s="21">
        <v>0</v>
      </c>
      <c r="CH49" s="21">
        <v>0</v>
      </c>
      <c r="CI49" s="21">
        <v>0</v>
      </c>
      <c r="CJ49" s="21">
        <v>0</v>
      </c>
      <c r="CK49" s="21">
        <v>0</v>
      </c>
      <c r="CL49" s="21">
        <v>0</v>
      </c>
      <c r="CM49" s="21">
        <v>0</v>
      </c>
      <c r="CN49" s="21">
        <v>0</v>
      </c>
      <c r="CO49" s="21">
        <v>0</v>
      </c>
      <c r="CP49" s="21">
        <v>0</v>
      </c>
      <c r="CQ49" s="21">
        <v>0</v>
      </c>
      <c r="CR49" s="21">
        <v>0</v>
      </c>
      <c r="CS49" s="21">
        <v>0</v>
      </c>
      <c r="CT49" s="21">
        <v>0</v>
      </c>
      <c r="CU49" s="21">
        <v>0</v>
      </c>
      <c r="CV49" s="21">
        <v>0</v>
      </c>
      <c r="CW49" s="21">
        <v>0</v>
      </c>
      <c r="CX49" s="21">
        <v>0</v>
      </c>
      <c r="CY49" s="21">
        <v>0</v>
      </c>
      <c r="CZ49" s="21">
        <v>0</v>
      </c>
      <c r="DA49" s="21">
        <v>0</v>
      </c>
      <c r="DB49" s="21">
        <v>0</v>
      </c>
      <c r="DC49" s="21">
        <v>0</v>
      </c>
      <c r="DD49" s="21">
        <v>0</v>
      </c>
      <c r="DE49" s="73"/>
      <c r="DG49" s="76"/>
      <c r="DI49" s="76"/>
    </row>
    <row r="50" spans="1:113">
      <c r="A50" s="23" t="s">
        <v>246</v>
      </c>
      <c r="B50" s="19" t="s">
        <v>247</v>
      </c>
      <c r="C50" s="19" t="s">
        <v>248</v>
      </c>
      <c r="D50" s="20">
        <f t="shared" si="0"/>
        <v>0</v>
      </c>
      <c r="E50" s="21">
        <v>0</v>
      </c>
      <c r="F50" s="21">
        <v>0</v>
      </c>
      <c r="G50" s="21">
        <v>0</v>
      </c>
      <c r="H50" s="21">
        <v>0</v>
      </c>
      <c r="I50" s="21">
        <v>0</v>
      </c>
      <c r="J50" s="21">
        <v>0</v>
      </c>
      <c r="K50" s="21">
        <v>0</v>
      </c>
      <c r="L50" s="21">
        <v>0</v>
      </c>
      <c r="M50" s="21">
        <v>0</v>
      </c>
      <c r="N50" s="21">
        <v>0</v>
      </c>
      <c r="O50" s="21">
        <v>0</v>
      </c>
      <c r="P50" s="21">
        <v>0</v>
      </c>
      <c r="Q50" s="21">
        <v>0</v>
      </c>
      <c r="R50" s="21">
        <v>0</v>
      </c>
      <c r="S50" s="21">
        <v>0</v>
      </c>
      <c r="T50" s="21">
        <v>0</v>
      </c>
      <c r="U50" s="21">
        <v>0</v>
      </c>
      <c r="V50" s="21">
        <v>0</v>
      </c>
      <c r="W50" s="21">
        <v>0</v>
      </c>
      <c r="X50" s="21">
        <v>0</v>
      </c>
      <c r="Y50" s="21">
        <v>0</v>
      </c>
      <c r="Z50" s="21">
        <v>0</v>
      </c>
      <c r="AA50" s="21">
        <v>0</v>
      </c>
      <c r="AB50" s="21">
        <v>0</v>
      </c>
      <c r="AC50" s="21">
        <v>0</v>
      </c>
      <c r="AD50" s="21">
        <v>0</v>
      </c>
      <c r="AE50" s="21">
        <v>0</v>
      </c>
      <c r="AF50" s="21">
        <v>0</v>
      </c>
      <c r="AG50" s="21">
        <v>0</v>
      </c>
      <c r="AH50" s="21">
        <v>0</v>
      </c>
      <c r="AI50" s="21">
        <v>0</v>
      </c>
      <c r="AJ50" s="21">
        <v>0</v>
      </c>
      <c r="AK50" s="21">
        <v>0</v>
      </c>
      <c r="AL50" s="21">
        <v>0</v>
      </c>
      <c r="AM50" s="21">
        <v>0</v>
      </c>
      <c r="AN50" s="21">
        <v>0</v>
      </c>
      <c r="AO50" s="21">
        <v>0</v>
      </c>
      <c r="AP50" s="21">
        <v>0</v>
      </c>
      <c r="AQ50" s="21">
        <v>0</v>
      </c>
      <c r="AR50" s="21">
        <v>0</v>
      </c>
      <c r="AS50" s="21">
        <v>0</v>
      </c>
      <c r="AT50" s="21">
        <v>0</v>
      </c>
      <c r="AU50" s="21">
        <v>0</v>
      </c>
      <c r="AV50" s="21">
        <v>0</v>
      </c>
      <c r="AW50" s="21">
        <v>0</v>
      </c>
      <c r="AX50" s="21">
        <v>0</v>
      </c>
      <c r="AY50" s="21">
        <v>0</v>
      </c>
      <c r="AZ50" s="21">
        <v>0</v>
      </c>
      <c r="BA50" s="21">
        <v>0</v>
      </c>
      <c r="BB50" s="21">
        <v>0</v>
      </c>
      <c r="BC50" s="21">
        <v>0</v>
      </c>
      <c r="BD50" s="21">
        <v>0</v>
      </c>
      <c r="BE50" s="21">
        <v>0</v>
      </c>
      <c r="BF50" s="21">
        <v>0</v>
      </c>
      <c r="BG50" s="21">
        <v>0</v>
      </c>
      <c r="BH50" s="21">
        <v>0</v>
      </c>
      <c r="BI50" s="21">
        <v>0</v>
      </c>
      <c r="BJ50" s="21">
        <v>0</v>
      </c>
      <c r="BK50" s="21">
        <v>0</v>
      </c>
      <c r="BL50" s="21">
        <v>0</v>
      </c>
      <c r="BM50" s="21">
        <v>0</v>
      </c>
      <c r="BN50" s="21">
        <v>0</v>
      </c>
      <c r="BO50" s="21">
        <v>0</v>
      </c>
      <c r="BP50" s="21">
        <v>0</v>
      </c>
      <c r="BQ50" s="21">
        <v>0</v>
      </c>
      <c r="BR50" s="21">
        <v>0</v>
      </c>
      <c r="BS50" s="21">
        <v>0</v>
      </c>
      <c r="BT50" s="21">
        <v>0</v>
      </c>
      <c r="BU50" s="21">
        <v>0</v>
      </c>
      <c r="BV50" s="21">
        <v>0</v>
      </c>
      <c r="BW50" s="21">
        <v>0</v>
      </c>
      <c r="BX50" s="21">
        <v>0</v>
      </c>
      <c r="BY50" s="21">
        <v>0</v>
      </c>
      <c r="BZ50" s="21">
        <v>0</v>
      </c>
      <c r="CA50" s="21">
        <v>0</v>
      </c>
      <c r="CB50" s="21">
        <v>0</v>
      </c>
      <c r="CC50" s="21">
        <v>0</v>
      </c>
      <c r="CD50" s="21">
        <v>0</v>
      </c>
      <c r="CE50" s="21">
        <v>0</v>
      </c>
      <c r="CF50" s="21">
        <v>0</v>
      </c>
      <c r="CG50" s="21">
        <v>0</v>
      </c>
      <c r="CH50" s="21">
        <v>0</v>
      </c>
      <c r="CI50" s="21">
        <v>0</v>
      </c>
      <c r="CJ50" s="21">
        <v>0</v>
      </c>
      <c r="CK50" s="21">
        <v>0</v>
      </c>
      <c r="CL50" s="21">
        <v>0</v>
      </c>
      <c r="CM50" s="21">
        <v>0</v>
      </c>
      <c r="CN50" s="21">
        <v>0</v>
      </c>
      <c r="CO50" s="21">
        <v>0</v>
      </c>
      <c r="CP50" s="21">
        <v>0</v>
      </c>
      <c r="CQ50" s="21">
        <v>0</v>
      </c>
      <c r="CR50" s="21">
        <v>0</v>
      </c>
      <c r="CS50" s="21">
        <v>0</v>
      </c>
      <c r="CT50" s="21">
        <v>0</v>
      </c>
      <c r="CU50" s="21">
        <v>0</v>
      </c>
      <c r="CV50" s="21">
        <v>0</v>
      </c>
      <c r="CW50" s="21">
        <v>0</v>
      </c>
      <c r="CX50" s="21">
        <v>0</v>
      </c>
      <c r="CY50" s="21">
        <v>0</v>
      </c>
      <c r="CZ50" s="21">
        <v>0</v>
      </c>
      <c r="DA50" s="21">
        <v>0</v>
      </c>
      <c r="DB50" s="21">
        <v>0</v>
      </c>
      <c r="DC50" s="21">
        <v>0</v>
      </c>
      <c r="DD50" s="21">
        <v>0</v>
      </c>
      <c r="DE50" s="73"/>
      <c r="DG50" s="76"/>
      <c r="DI50" s="76"/>
    </row>
    <row r="51" spans="1:113">
      <c r="A51" s="23" t="s">
        <v>249</v>
      </c>
      <c r="B51" s="19" t="s">
        <v>250</v>
      </c>
      <c r="C51" s="19" t="s">
        <v>236</v>
      </c>
      <c r="D51" s="20">
        <f t="shared" si="0"/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1">
        <v>0</v>
      </c>
      <c r="AX51" s="21">
        <v>0</v>
      </c>
      <c r="AY51" s="21">
        <v>0</v>
      </c>
      <c r="AZ51" s="21">
        <v>0</v>
      </c>
      <c r="BA51" s="21">
        <v>0</v>
      </c>
      <c r="BB51" s="21">
        <v>0</v>
      </c>
      <c r="BC51" s="21">
        <v>0</v>
      </c>
      <c r="BD51" s="21">
        <v>0</v>
      </c>
      <c r="BE51" s="21">
        <v>0</v>
      </c>
      <c r="BF51" s="21">
        <v>0</v>
      </c>
      <c r="BG51" s="21">
        <v>0</v>
      </c>
      <c r="BH51" s="21">
        <v>0</v>
      </c>
      <c r="BI51" s="21">
        <v>0</v>
      </c>
      <c r="BJ51" s="21">
        <v>0</v>
      </c>
      <c r="BK51" s="21">
        <v>0</v>
      </c>
      <c r="BL51" s="21">
        <v>0</v>
      </c>
      <c r="BM51" s="21">
        <v>0</v>
      </c>
      <c r="BN51" s="21">
        <v>0</v>
      </c>
      <c r="BO51" s="21">
        <v>0</v>
      </c>
      <c r="BP51" s="21">
        <v>0</v>
      </c>
      <c r="BQ51" s="21">
        <v>0</v>
      </c>
      <c r="BR51" s="21">
        <v>0</v>
      </c>
      <c r="BS51" s="21">
        <v>0</v>
      </c>
      <c r="BT51" s="21">
        <v>0</v>
      </c>
      <c r="BU51" s="21">
        <v>0</v>
      </c>
      <c r="BV51" s="21">
        <v>0</v>
      </c>
      <c r="BW51" s="21">
        <v>0</v>
      </c>
      <c r="BX51" s="21">
        <v>0</v>
      </c>
      <c r="BY51" s="21">
        <v>0</v>
      </c>
      <c r="BZ51" s="21">
        <v>0</v>
      </c>
      <c r="CA51" s="21">
        <v>0</v>
      </c>
      <c r="CB51" s="21">
        <v>0</v>
      </c>
      <c r="CC51" s="21">
        <v>0</v>
      </c>
      <c r="CD51" s="21">
        <v>0</v>
      </c>
      <c r="CE51" s="21">
        <v>0</v>
      </c>
      <c r="CF51" s="21">
        <v>0</v>
      </c>
      <c r="CG51" s="21">
        <v>0</v>
      </c>
      <c r="CH51" s="21">
        <v>0</v>
      </c>
      <c r="CI51" s="21">
        <v>0</v>
      </c>
      <c r="CJ51" s="21">
        <v>0</v>
      </c>
      <c r="CK51" s="21">
        <v>0</v>
      </c>
      <c r="CL51" s="21">
        <v>0</v>
      </c>
      <c r="CM51" s="21">
        <v>0</v>
      </c>
      <c r="CN51" s="21">
        <v>0</v>
      </c>
      <c r="CO51" s="21">
        <v>0</v>
      </c>
      <c r="CP51" s="21">
        <v>0</v>
      </c>
      <c r="CQ51" s="21">
        <v>0</v>
      </c>
      <c r="CR51" s="21">
        <v>0</v>
      </c>
      <c r="CS51" s="21">
        <v>0</v>
      </c>
      <c r="CT51" s="21">
        <v>0</v>
      </c>
      <c r="CU51" s="21">
        <v>0</v>
      </c>
      <c r="CV51" s="21">
        <v>0</v>
      </c>
      <c r="CW51" s="21">
        <v>0</v>
      </c>
      <c r="CX51" s="21">
        <v>0</v>
      </c>
      <c r="CY51" s="21">
        <v>0</v>
      </c>
      <c r="CZ51" s="21">
        <v>0</v>
      </c>
      <c r="DA51" s="21">
        <v>0</v>
      </c>
      <c r="DB51" s="21">
        <v>0</v>
      </c>
      <c r="DC51" s="21">
        <v>0</v>
      </c>
      <c r="DD51" s="21">
        <v>0</v>
      </c>
      <c r="DE51" s="73"/>
      <c r="DG51" s="76"/>
      <c r="DI51" s="76"/>
    </row>
    <row r="52" spans="1:113">
      <c r="A52" s="23" t="s">
        <v>251</v>
      </c>
      <c r="B52" s="19" t="s">
        <v>252</v>
      </c>
      <c r="C52" s="19" t="s">
        <v>253</v>
      </c>
      <c r="D52" s="20">
        <f t="shared" si="0"/>
        <v>47</v>
      </c>
      <c r="E52" s="22">
        <v>4</v>
      </c>
      <c r="F52" s="22">
        <v>0</v>
      </c>
      <c r="G52" s="22">
        <v>0</v>
      </c>
      <c r="H52" s="22">
        <v>0</v>
      </c>
      <c r="I52" s="22">
        <v>0</v>
      </c>
      <c r="J52" s="22">
        <v>0</v>
      </c>
      <c r="K52" s="22">
        <v>2</v>
      </c>
      <c r="L52" s="21">
        <v>0</v>
      </c>
      <c r="M52" s="22">
        <v>0</v>
      </c>
      <c r="N52" s="22">
        <v>0</v>
      </c>
      <c r="O52" s="22">
        <v>0</v>
      </c>
      <c r="P52" s="22">
        <v>2</v>
      </c>
      <c r="Q52" s="22">
        <v>0</v>
      </c>
      <c r="R52" s="22">
        <v>2</v>
      </c>
      <c r="S52" s="22">
        <v>0</v>
      </c>
      <c r="T52" s="22">
        <v>0</v>
      </c>
      <c r="U52" s="22">
        <v>0</v>
      </c>
      <c r="V52" s="22">
        <v>0</v>
      </c>
      <c r="W52" s="22">
        <v>0</v>
      </c>
      <c r="X52" s="22">
        <v>0</v>
      </c>
      <c r="Y52" s="22">
        <v>0</v>
      </c>
      <c r="Z52" s="22">
        <v>0</v>
      </c>
      <c r="AA52" s="22">
        <v>0</v>
      </c>
      <c r="AB52" s="22">
        <v>0</v>
      </c>
      <c r="AC52" s="22">
        <v>2</v>
      </c>
      <c r="AD52" s="22">
        <v>0</v>
      </c>
      <c r="AE52" s="22">
        <v>0</v>
      </c>
      <c r="AF52" s="22">
        <v>0</v>
      </c>
      <c r="AG52" s="22">
        <v>0</v>
      </c>
      <c r="AH52" s="22">
        <v>0</v>
      </c>
      <c r="AI52" s="22">
        <v>0</v>
      </c>
      <c r="AJ52" s="22">
        <v>2</v>
      </c>
      <c r="AK52" s="22">
        <v>0</v>
      </c>
      <c r="AL52" s="22">
        <v>0</v>
      </c>
      <c r="AM52" s="22">
        <v>0</v>
      </c>
      <c r="AN52" s="22">
        <v>0</v>
      </c>
      <c r="AO52" s="22">
        <v>0</v>
      </c>
      <c r="AP52" s="22">
        <v>0</v>
      </c>
      <c r="AQ52" s="22">
        <v>0</v>
      </c>
      <c r="AR52" s="22">
        <v>0</v>
      </c>
      <c r="AS52" s="22">
        <v>0</v>
      </c>
      <c r="AT52" s="22">
        <v>0</v>
      </c>
      <c r="AU52" s="22">
        <v>0</v>
      </c>
      <c r="AV52" s="22">
        <v>0</v>
      </c>
      <c r="AW52" s="22">
        <v>2</v>
      </c>
      <c r="AX52" s="22">
        <v>0</v>
      </c>
      <c r="AY52" s="22">
        <v>0</v>
      </c>
      <c r="AZ52" s="22">
        <v>0</v>
      </c>
      <c r="BA52" s="22">
        <v>2</v>
      </c>
      <c r="BB52" s="22">
        <v>0</v>
      </c>
      <c r="BC52" s="22">
        <v>0</v>
      </c>
      <c r="BD52" s="22">
        <v>0</v>
      </c>
      <c r="BE52" s="22">
        <v>0</v>
      </c>
      <c r="BF52" s="22">
        <v>0</v>
      </c>
      <c r="BG52" s="22">
        <v>0</v>
      </c>
      <c r="BH52" s="22">
        <v>0</v>
      </c>
      <c r="BI52" s="22">
        <v>11</v>
      </c>
      <c r="BJ52" s="22">
        <v>10</v>
      </c>
      <c r="BK52" s="22">
        <v>4</v>
      </c>
      <c r="BL52" s="21">
        <v>0</v>
      </c>
      <c r="BM52" s="22">
        <v>1</v>
      </c>
      <c r="BN52" s="21">
        <v>0</v>
      </c>
      <c r="BO52" s="21">
        <v>0</v>
      </c>
      <c r="BP52" s="21">
        <v>0</v>
      </c>
      <c r="BQ52" s="21">
        <v>0</v>
      </c>
      <c r="BR52" s="21">
        <v>0</v>
      </c>
      <c r="BS52" s="21">
        <v>0</v>
      </c>
      <c r="BT52" s="21">
        <v>0</v>
      </c>
      <c r="BU52" s="21">
        <v>0</v>
      </c>
      <c r="BV52" s="21">
        <v>0</v>
      </c>
      <c r="BW52" s="21">
        <v>0</v>
      </c>
      <c r="BX52" s="21">
        <v>0</v>
      </c>
      <c r="BY52" s="21">
        <v>0</v>
      </c>
      <c r="BZ52" s="22">
        <v>1</v>
      </c>
      <c r="CA52" s="21">
        <v>0</v>
      </c>
      <c r="CB52" s="21">
        <v>0</v>
      </c>
      <c r="CC52" s="21">
        <v>0</v>
      </c>
      <c r="CD52" s="21">
        <v>0</v>
      </c>
      <c r="CE52" s="21">
        <v>0</v>
      </c>
      <c r="CF52" s="21">
        <v>0</v>
      </c>
      <c r="CG52" s="21">
        <v>0</v>
      </c>
      <c r="CH52" s="21">
        <v>0</v>
      </c>
      <c r="CI52" s="21">
        <v>0</v>
      </c>
      <c r="CJ52" s="21">
        <v>0</v>
      </c>
      <c r="CK52" s="21">
        <v>0</v>
      </c>
      <c r="CL52" s="21">
        <v>0</v>
      </c>
      <c r="CM52" s="21">
        <v>0</v>
      </c>
      <c r="CN52" s="21">
        <v>0</v>
      </c>
      <c r="CO52" s="21">
        <v>0</v>
      </c>
      <c r="CP52" s="21">
        <v>0</v>
      </c>
      <c r="CQ52" s="21">
        <v>0</v>
      </c>
      <c r="CR52" s="21">
        <v>0</v>
      </c>
      <c r="CS52" s="21">
        <v>0</v>
      </c>
      <c r="CT52" s="21">
        <v>0</v>
      </c>
      <c r="CU52" s="21">
        <v>0</v>
      </c>
      <c r="CV52" s="21">
        <v>0</v>
      </c>
      <c r="CW52" s="21">
        <v>0</v>
      </c>
      <c r="CX52" s="21">
        <v>0</v>
      </c>
      <c r="CY52" s="21">
        <v>0</v>
      </c>
      <c r="CZ52" s="22">
        <v>2</v>
      </c>
      <c r="DA52" s="21">
        <v>0</v>
      </c>
      <c r="DB52" s="21">
        <v>0</v>
      </c>
      <c r="DC52" s="21">
        <v>0</v>
      </c>
      <c r="DD52" s="21">
        <v>0</v>
      </c>
      <c r="DE52" s="73"/>
      <c r="DG52" s="76"/>
      <c r="DI52" s="76"/>
    </row>
    <row r="53" spans="1:113">
      <c r="A53" s="23" t="s">
        <v>254</v>
      </c>
      <c r="B53" s="19" t="s">
        <v>255</v>
      </c>
      <c r="C53" s="19" t="s">
        <v>256</v>
      </c>
      <c r="D53" s="20">
        <f t="shared" si="0"/>
        <v>9</v>
      </c>
      <c r="E53" s="21">
        <v>1</v>
      </c>
      <c r="F53" s="21">
        <v>0</v>
      </c>
      <c r="G53" s="21">
        <v>0</v>
      </c>
      <c r="H53" s="21">
        <v>0</v>
      </c>
      <c r="I53" s="21">
        <v>0</v>
      </c>
      <c r="J53" s="21">
        <v>0</v>
      </c>
      <c r="K53" s="21">
        <v>1</v>
      </c>
      <c r="L53" s="21">
        <v>0</v>
      </c>
      <c r="M53" s="21">
        <v>0</v>
      </c>
      <c r="N53" s="21">
        <v>0</v>
      </c>
      <c r="O53" s="21">
        <v>0</v>
      </c>
      <c r="P53" s="21">
        <v>1</v>
      </c>
      <c r="Q53" s="21">
        <v>0</v>
      </c>
      <c r="R53" s="21">
        <v>1</v>
      </c>
      <c r="S53" s="21">
        <v>0</v>
      </c>
      <c r="T53" s="21">
        <v>0</v>
      </c>
      <c r="U53" s="21">
        <v>0</v>
      </c>
      <c r="V53" s="21">
        <v>0</v>
      </c>
      <c r="W53" s="21">
        <v>0</v>
      </c>
      <c r="X53" s="21">
        <v>0</v>
      </c>
      <c r="Y53" s="21">
        <v>0</v>
      </c>
      <c r="Z53" s="21">
        <v>0</v>
      </c>
      <c r="AA53" s="21">
        <v>0</v>
      </c>
      <c r="AB53" s="21">
        <v>0</v>
      </c>
      <c r="AC53" s="21">
        <v>1</v>
      </c>
      <c r="AD53" s="21">
        <v>0</v>
      </c>
      <c r="AE53" s="21">
        <v>0</v>
      </c>
      <c r="AF53" s="21">
        <v>0</v>
      </c>
      <c r="AG53" s="21">
        <v>0</v>
      </c>
      <c r="AH53" s="21">
        <v>0</v>
      </c>
      <c r="AI53" s="21">
        <v>0</v>
      </c>
      <c r="AJ53" s="21">
        <v>1</v>
      </c>
      <c r="AK53" s="21">
        <v>0</v>
      </c>
      <c r="AL53" s="21">
        <v>0</v>
      </c>
      <c r="AM53" s="21">
        <v>0</v>
      </c>
      <c r="AN53" s="21">
        <v>0</v>
      </c>
      <c r="AO53" s="21">
        <v>0</v>
      </c>
      <c r="AP53" s="21">
        <v>0</v>
      </c>
      <c r="AQ53" s="21">
        <v>0</v>
      </c>
      <c r="AR53" s="21">
        <v>0</v>
      </c>
      <c r="AS53" s="21">
        <v>0</v>
      </c>
      <c r="AT53" s="21">
        <v>0</v>
      </c>
      <c r="AU53" s="21">
        <v>0</v>
      </c>
      <c r="AV53" s="21">
        <v>0</v>
      </c>
      <c r="AW53" s="21">
        <v>1</v>
      </c>
      <c r="AX53" s="21">
        <v>0</v>
      </c>
      <c r="AY53" s="21">
        <v>0</v>
      </c>
      <c r="AZ53" s="21">
        <v>0</v>
      </c>
      <c r="BA53" s="21">
        <v>1</v>
      </c>
      <c r="BB53" s="21">
        <v>0</v>
      </c>
      <c r="BC53" s="21">
        <v>0</v>
      </c>
      <c r="BD53" s="21">
        <v>0</v>
      </c>
      <c r="BE53" s="21">
        <v>0</v>
      </c>
      <c r="BF53" s="21">
        <v>0</v>
      </c>
      <c r="BG53" s="21">
        <v>0</v>
      </c>
      <c r="BH53" s="21">
        <v>0</v>
      </c>
      <c r="BI53" s="21">
        <v>0</v>
      </c>
      <c r="BJ53" s="21">
        <v>1</v>
      </c>
      <c r="BK53" s="21">
        <v>0</v>
      </c>
      <c r="BL53" s="21">
        <v>0</v>
      </c>
      <c r="BM53" s="21">
        <v>0</v>
      </c>
      <c r="BN53" s="21">
        <v>0</v>
      </c>
      <c r="BO53" s="21">
        <v>0</v>
      </c>
      <c r="BP53" s="21">
        <v>0</v>
      </c>
      <c r="BQ53" s="21">
        <v>0</v>
      </c>
      <c r="BR53" s="21">
        <v>0</v>
      </c>
      <c r="BS53" s="21">
        <v>0</v>
      </c>
      <c r="BT53" s="21">
        <v>0</v>
      </c>
      <c r="BU53" s="21">
        <v>0</v>
      </c>
      <c r="BV53" s="21">
        <v>0</v>
      </c>
      <c r="BW53" s="21">
        <v>0</v>
      </c>
      <c r="BX53" s="21">
        <v>0</v>
      </c>
      <c r="BY53" s="21">
        <v>0</v>
      </c>
      <c r="BZ53" s="21">
        <v>0</v>
      </c>
      <c r="CA53" s="21">
        <v>0</v>
      </c>
      <c r="CB53" s="21">
        <v>0</v>
      </c>
      <c r="CC53" s="21">
        <v>0</v>
      </c>
      <c r="CD53" s="21">
        <v>0</v>
      </c>
      <c r="CE53" s="21">
        <v>0</v>
      </c>
      <c r="CF53" s="21">
        <v>0</v>
      </c>
      <c r="CG53" s="21">
        <v>0</v>
      </c>
      <c r="CH53" s="21">
        <v>0</v>
      </c>
      <c r="CI53" s="21">
        <v>0</v>
      </c>
      <c r="CJ53" s="21">
        <v>0</v>
      </c>
      <c r="CK53" s="21">
        <v>0</v>
      </c>
      <c r="CL53" s="21">
        <v>0</v>
      </c>
      <c r="CM53" s="21">
        <v>0</v>
      </c>
      <c r="CN53" s="21">
        <v>0</v>
      </c>
      <c r="CO53" s="21">
        <v>0</v>
      </c>
      <c r="CP53" s="21">
        <v>0</v>
      </c>
      <c r="CQ53" s="21">
        <v>0</v>
      </c>
      <c r="CR53" s="21">
        <v>0</v>
      </c>
      <c r="CS53" s="21">
        <v>0</v>
      </c>
      <c r="CT53" s="21">
        <v>0</v>
      </c>
      <c r="CU53" s="21">
        <v>0</v>
      </c>
      <c r="CV53" s="21">
        <v>0</v>
      </c>
      <c r="CW53" s="21">
        <v>0</v>
      </c>
      <c r="CX53" s="21">
        <v>0</v>
      </c>
      <c r="CY53" s="21">
        <v>0</v>
      </c>
      <c r="CZ53" s="21">
        <v>0</v>
      </c>
      <c r="DA53" s="21">
        <v>0</v>
      </c>
      <c r="DB53" s="21">
        <v>0</v>
      </c>
      <c r="DC53" s="21">
        <v>0</v>
      </c>
      <c r="DD53" s="21">
        <v>0</v>
      </c>
      <c r="DE53" s="73"/>
      <c r="DG53" s="76"/>
      <c r="DI53" s="76"/>
    </row>
    <row r="54" spans="1:113">
      <c r="A54" s="23" t="s">
        <v>257</v>
      </c>
      <c r="B54" s="19" t="s">
        <v>258</v>
      </c>
      <c r="C54" s="19" t="s">
        <v>259</v>
      </c>
      <c r="D54" s="20">
        <f t="shared" si="0"/>
        <v>17</v>
      </c>
      <c r="E54" s="21">
        <v>4</v>
      </c>
      <c r="F54" s="21">
        <v>0</v>
      </c>
      <c r="G54" s="21">
        <v>0</v>
      </c>
      <c r="H54" s="21">
        <v>0</v>
      </c>
      <c r="I54" s="21">
        <v>0</v>
      </c>
      <c r="J54" s="21">
        <v>0</v>
      </c>
      <c r="K54" s="21">
        <v>1</v>
      </c>
      <c r="L54" s="21">
        <v>0</v>
      </c>
      <c r="M54" s="21">
        <v>0</v>
      </c>
      <c r="N54" s="21">
        <v>0</v>
      </c>
      <c r="O54" s="21">
        <v>0</v>
      </c>
      <c r="P54" s="21">
        <v>0</v>
      </c>
      <c r="Q54" s="21">
        <v>2</v>
      </c>
      <c r="R54" s="21">
        <v>0</v>
      </c>
      <c r="S54" s="21">
        <v>0</v>
      </c>
      <c r="T54" s="21">
        <v>0</v>
      </c>
      <c r="U54" s="21">
        <v>0</v>
      </c>
      <c r="V54" s="21">
        <v>0</v>
      </c>
      <c r="W54" s="21">
        <v>0</v>
      </c>
      <c r="X54" s="21">
        <v>0</v>
      </c>
      <c r="Y54" s="21">
        <v>0</v>
      </c>
      <c r="Z54" s="21">
        <v>0</v>
      </c>
      <c r="AA54" s="21">
        <v>0</v>
      </c>
      <c r="AB54" s="21">
        <v>0</v>
      </c>
      <c r="AC54" s="21">
        <v>0</v>
      </c>
      <c r="AD54" s="21">
        <v>0</v>
      </c>
      <c r="AE54" s="21">
        <v>0</v>
      </c>
      <c r="AF54" s="21">
        <v>0</v>
      </c>
      <c r="AG54" s="21">
        <v>0</v>
      </c>
      <c r="AH54" s="21">
        <v>0</v>
      </c>
      <c r="AI54" s="21">
        <v>0</v>
      </c>
      <c r="AJ54" s="21">
        <v>0</v>
      </c>
      <c r="AK54" s="21">
        <v>0</v>
      </c>
      <c r="AL54" s="21">
        <v>0</v>
      </c>
      <c r="AM54" s="21">
        <v>0</v>
      </c>
      <c r="AN54" s="21">
        <v>0</v>
      </c>
      <c r="AO54" s="21">
        <v>0</v>
      </c>
      <c r="AP54" s="21">
        <v>0</v>
      </c>
      <c r="AQ54" s="21">
        <v>0</v>
      </c>
      <c r="AR54" s="21">
        <v>0</v>
      </c>
      <c r="AS54" s="21">
        <v>0</v>
      </c>
      <c r="AT54" s="21">
        <v>0</v>
      </c>
      <c r="AU54" s="21">
        <v>0</v>
      </c>
      <c r="AV54" s="21">
        <v>0</v>
      </c>
      <c r="AW54" s="21">
        <v>0</v>
      </c>
      <c r="AX54" s="21">
        <v>0</v>
      </c>
      <c r="AY54" s="21">
        <v>0</v>
      </c>
      <c r="AZ54" s="21">
        <v>0</v>
      </c>
      <c r="BA54" s="21">
        <v>0</v>
      </c>
      <c r="BB54" s="21">
        <v>0</v>
      </c>
      <c r="BC54" s="21">
        <v>0</v>
      </c>
      <c r="BD54" s="21">
        <v>0</v>
      </c>
      <c r="BE54" s="21">
        <v>1</v>
      </c>
      <c r="BF54" s="21">
        <v>0</v>
      </c>
      <c r="BG54" s="21">
        <v>0</v>
      </c>
      <c r="BH54" s="21">
        <v>0</v>
      </c>
      <c r="BI54" s="21">
        <v>0</v>
      </c>
      <c r="BJ54" s="21">
        <v>3</v>
      </c>
      <c r="BK54" s="21">
        <v>1</v>
      </c>
      <c r="BL54" s="21">
        <v>1</v>
      </c>
      <c r="BM54" s="21">
        <v>0</v>
      </c>
      <c r="BN54" s="21">
        <v>0</v>
      </c>
      <c r="BO54" s="21">
        <v>0</v>
      </c>
      <c r="BP54" s="21">
        <v>0</v>
      </c>
      <c r="BQ54" s="21">
        <v>0</v>
      </c>
      <c r="BR54" s="21">
        <v>0</v>
      </c>
      <c r="BS54" s="21">
        <v>0</v>
      </c>
      <c r="BT54" s="21">
        <v>0</v>
      </c>
      <c r="BU54" s="21">
        <v>1</v>
      </c>
      <c r="BV54" s="21">
        <v>0</v>
      </c>
      <c r="BW54" s="21">
        <v>0</v>
      </c>
      <c r="BX54" s="21">
        <v>0</v>
      </c>
      <c r="BY54" s="21">
        <v>0</v>
      </c>
      <c r="BZ54" s="21">
        <v>0</v>
      </c>
      <c r="CA54" s="21">
        <v>0</v>
      </c>
      <c r="CB54" s="21">
        <v>0</v>
      </c>
      <c r="CC54" s="21">
        <v>0</v>
      </c>
      <c r="CD54" s="21">
        <v>1</v>
      </c>
      <c r="CE54" s="21">
        <v>0</v>
      </c>
      <c r="CF54" s="21">
        <v>0</v>
      </c>
      <c r="CG54" s="21">
        <v>0</v>
      </c>
      <c r="CH54" s="21">
        <v>0</v>
      </c>
      <c r="CI54" s="21">
        <v>0</v>
      </c>
      <c r="CJ54" s="21">
        <v>0</v>
      </c>
      <c r="CK54" s="21">
        <v>0</v>
      </c>
      <c r="CL54" s="21">
        <v>0</v>
      </c>
      <c r="CM54" s="21">
        <v>0</v>
      </c>
      <c r="CN54" s="21">
        <v>0</v>
      </c>
      <c r="CO54" s="21">
        <v>0</v>
      </c>
      <c r="CP54" s="21">
        <v>0</v>
      </c>
      <c r="CQ54" s="21">
        <v>0</v>
      </c>
      <c r="CR54" s="21">
        <v>0</v>
      </c>
      <c r="CS54" s="21">
        <v>1</v>
      </c>
      <c r="CT54" s="21">
        <v>0</v>
      </c>
      <c r="CU54" s="21">
        <v>0</v>
      </c>
      <c r="CV54" s="21">
        <v>1</v>
      </c>
      <c r="CW54" s="21">
        <v>0</v>
      </c>
      <c r="CX54" s="21">
        <v>0</v>
      </c>
      <c r="CY54" s="21">
        <v>0</v>
      </c>
      <c r="CZ54" s="21">
        <v>0</v>
      </c>
      <c r="DA54" s="21">
        <v>0</v>
      </c>
      <c r="DB54" s="21">
        <v>0</v>
      </c>
      <c r="DC54" s="21">
        <v>0</v>
      </c>
      <c r="DD54" s="21">
        <v>0</v>
      </c>
      <c r="DE54" s="72"/>
      <c r="DG54" s="76"/>
      <c r="DI54" s="76"/>
    </row>
    <row r="55" spans="1:113">
      <c r="A55" s="23" t="s">
        <v>257</v>
      </c>
      <c r="B55" s="19" t="s">
        <v>260</v>
      </c>
      <c r="C55" s="19" t="s">
        <v>259</v>
      </c>
      <c r="D55" s="20">
        <f t="shared" si="0"/>
        <v>1</v>
      </c>
      <c r="E55" s="21">
        <v>0</v>
      </c>
      <c r="F55" s="21">
        <v>0</v>
      </c>
      <c r="G55" s="21">
        <v>0</v>
      </c>
      <c r="H55" s="21">
        <v>0</v>
      </c>
      <c r="I55" s="21">
        <v>0</v>
      </c>
      <c r="J55" s="21">
        <v>0</v>
      </c>
      <c r="K55" s="21">
        <v>0</v>
      </c>
      <c r="L55" s="21">
        <v>0</v>
      </c>
      <c r="M55" s="21">
        <v>0</v>
      </c>
      <c r="N55" s="21">
        <v>0</v>
      </c>
      <c r="O55" s="21">
        <v>0</v>
      </c>
      <c r="P55" s="21">
        <v>0</v>
      </c>
      <c r="Q55" s="21">
        <v>0</v>
      </c>
      <c r="R55" s="21">
        <v>0</v>
      </c>
      <c r="S55" s="21">
        <v>0</v>
      </c>
      <c r="T55" s="21">
        <v>0</v>
      </c>
      <c r="U55" s="21">
        <v>0</v>
      </c>
      <c r="V55" s="21">
        <v>0</v>
      </c>
      <c r="W55" s="21">
        <v>0</v>
      </c>
      <c r="X55" s="21">
        <v>0</v>
      </c>
      <c r="Y55" s="21">
        <v>0</v>
      </c>
      <c r="Z55" s="21">
        <v>0</v>
      </c>
      <c r="AA55" s="21">
        <v>0</v>
      </c>
      <c r="AB55" s="21">
        <v>0</v>
      </c>
      <c r="AC55" s="21">
        <v>0</v>
      </c>
      <c r="AD55" s="21">
        <v>0</v>
      </c>
      <c r="AE55" s="21">
        <v>0</v>
      </c>
      <c r="AF55" s="21">
        <v>0</v>
      </c>
      <c r="AG55" s="21">
        <v>0</v>
      </c>
      <c r="AH55" s="21">
        <v>0</v>
      </c>
      <c r="AI55" s="21">
        <v>0</v>
      </c>
      <c r="AJ55" s="21">
        <v>0</v>
      </c>
      <c r="AK55" s="21">
        <v>0</v>
      </c>
      <c r="AL55" s="21">
        <v>0</v>
      </c>
      <c r="AM55" s="21">
        <v>0</v>
      </c>
      <c r="AN55" s="21">
        <v>0</v>
      </c>
      <c r="AO55" s="21">
        <v>0</v>
      </c>
      <c r="AP55" s="21">
        <v>0</v>
      </c>
      <c r="AQ55" s="21">
        <v>0</v>
      </c>
      <c r="AR55" s="21">
        <v>0</v>
      </c>
      <c r="AS55" s="21">
        <v>0</v>
      </c>
      <c r="AT55" s="21">
        <v>0</v>
      </c>
      <c r="AU55" s="21">
        <v>0</v>
      </c>
      <c r="AV55" s="21">
        <v>0</v>
      </c>
      <c r="AW55" s="21">
        <v>0</v>
      </c>
      <c r="AX55" s="21">
        <v>0</v>
      </c>
      <c r="AY55" s="21">
        <v>0</v>
      </c>
      <c r="AZ55" s="21">
        <v>0</v>
      </c>
      <c r="BA55" s="21">
        <v>0</v>
      </c>
      <c r="BB55" s="21">
        <v>0</v>
      </c>
      <c r="BC55" s="21">
        <v>0</v>
      </c>
      <c r="BD55" s="21">
        <v>0</v>
      </c>
      <c r="BE55" s="21">
        <v>0</v>
      </c>
      <c r="BF55" s="21">
        <v>0</v>
      </c>
      <c r="BG55" s="21">
        <v>0</v>
      </c>
      <c r="BH55" s="21">
        <v>0</v>
      </c>
      <c r="BI55" s="21">
        <v>0</v>
      </c>
      <c r="BJ55" s="21">
        <v>1</v>
      </c>
      <c r="BK55" s="21">
        <v>0</v>
      </c>
      <c r="BL55" s="21">
        <v>0</v>
      </c>
      <c r="BM55" s="21">
        <v>0</v>
      </c>
      <c r="BN55" s="21">
        <v>0</v>
      </c>
      <c r="BO55" s="21">
        <v>0</v>
      </c>
      <c r="BP55" s="21">
        <v>0</v>
      </c>
      <c r="BQ55" s="21">
        <v>0</v>
      </c>
      <c r="BR55" s="21">
        <v>0</v>
      </c>
      <c r="BS55" s="21">
        <v>0</v>
      </c>
      <c r="BT55" s="21">
        <v>0</v>
      </c>
      <c r="BU55" s="21">
        <v>0</v>
      </c>
      <c r="BV55" s="21">
        <v>0</v>
      </c>
      <c r="BW55" s="21">
        <v>0</v>
      </c>
      <c r="BX55" s="21">
        <v>0</v>
      </c>
      <c r="BY55" s="21">
        <v>0</v>
      </c>
      <c r="BZ55" s="21">
        <v>0</v>
      </c>
      <c r="CA55" s="21">
        <v>0</v>
      </c>
      <c r="CB55" s="21">
        <v>0</v>
      </c>
      <c r="CC55" s="21">
        <v>0</v>
      </c>
      <c r="CD55" s="21">
        <v>0</v>
      </c>
      <c r="CE55" s="21">
        <v>0</v>
      </c>
      <c r="CF55" s="21">
        <v>0</v>
      </c>
      <c r="CG55" s="21">
        <v>0</v>
      </c>
      <c r="CH55" s="21">
        <v>0</v>
      </c>
      <c r="CI55" s="21">
        <v>0</v>
      </c>
      <c r="CJ55" s="21">
        <v>0</v>
      </c>
      <c r="CK55" s="21">
        <v>0</v>
      </c>
      <c r="CL55" s="21">
        <v>0</v>
      </c>
      <c r="CM55" s="21">
        <v>0</v>
      </c>
      <c r="CN55" s="21">
        <v>0</v>
      </c>
      <c r="CO55" s="21">
        <v>0</v>
      </c>
      <c r="CP55" s="21">
        <v>0</v>
      </c>
      <c r="CQ55" s="21">
        <v>0</v>
      </c>
      <c r="CR55" s="21">
        <v>0</v>
      </c>
      <c r="CS55" s="21">
        <v>0</v>
      </c>
      <c r="CT55" s="21">
        <v>0</v>
      </c>
      <c r="CU55" s="21">
        <v>0</v>
      </c>
      <c r="CV55" s="21">
        <v>0</v>
      </c>
      <c r="CW55" s="21">
        <v>0</v>
      </c>
      <c r="CX55" s="21">
        <v>0</v>
      </c>
      <c r="CY55" s="21">
        <v>0</v>
      </c>
      <c r="CZ55" s="21">
        <v>0</v>
      </c>
      <c r="DA55" s="21">
        <v>0</v>
      </c>
      <c r="DB55" s="21">
        <v>0</v>
      </c>
      <c r="DC55" s="21">
        <v>0</v>
      </c>
      <c r="DD55" s="21">
        <v>0</v>
      </c>
      <c r="DE55" s="72"/>
      <c r="DG55" s="76"/>
      <c r="DI55" s="76"/>
    </row>
    <row r="56" spans="1:113">
      <c r="A56" s="23" t="s">
        <v>257</v>
      </c>
      <c r="B56" s="19" t="s">
        <v>261</v>
      </c>
      <c r="C56" s="19" t="s">
        <v>259</v>
      </c>
      <c r="D56" s="20">
        <f t="shared" si="0"/>
        <v>0</v>
      </c>
      <c r="E56" s="21">
        <v>0</v>
      </c>
      <c r="F56" s="21">
        <v>0</v>
      </c>
      <c r="G56" s="21">
        <v>0</v>
      </c>
      <c r="H56" s="21">
        <v>0</v>
      </c>
      <c r="I56" s="21">
        <v>0</v>
      </c>
      <c r="J56" s="21">
        <v>0</v>
      </c>
      <c r="K56" s="21">
        <v>0</v>
      </c>
      <c r="L56" s="21">
        <v>0</v>
      </c>
      <c r="M56" s="21">
        <v>0</v>
      </c>
      <c r="N56" s="21">
        <v>0</v>
      </c>
      <c r="O56" s="21">
        <v>0</v>
      </c>
      <c r="P56" s="21">
        <v>0</v>
      </c>
      <c r="Q56" s="21">
        <v>0</v>
      </c>
      <c r="R56" s="21">
        <v>0</v>
      </c>
      <c r="S56" s="21">
        <v>0</v>
      </c>
      <c r="T56" s="21">
        <v>0</v>
      </c>
      <c r="U56" s="21">
        <v>0</v>
      </c>
      <c r="V56" s="21">
        <v>0</v>
      </c>
      <c r="W56" s="21">
        <v>0</v>
      </c>
      <c r="X56" s="21">
        <v>0</v>
      </c>
      <c r="Y56" s="21">
        <v>0</v>
      </c>
      <c r="Z56" s="21">
        <v>0</v>
      </c>
      <c r="AA56" s="21">
        <v>0</v>
      </c>
      <c r="AB56" s="21">
        <v>0</v>
      </c>
      <c r="AC56" s="21">
        <v>0</v>
      </c>
      <c r="AD56" s="21">
        <v>0</v>
      </c>
      <c r="AE56" s="21">
        <v>0</v>
      </c>
      <c r="AF56" s="21">
        <v>0</v>
      </c>
      <c r="AG56" s="21">
        <v>0</v>
      </c>
      <c r="AH56" s="21">
        <v>0</v>
      </c>
      <c r="AI56" s="21">
        <v>0</v>
      </c>
      <c r="AJ56" s="21">
        <v>0</v>
      </c>
      <c r="AK56" s="21">
        <v>0</v>
      </c>
      <c r="AL56" s="21">
        <v>0</v>
      </c>
      <c r="AM56" s="21">
        <v>0</v>
      </c>
      <c r="AN56" s="21">
        <v>0</v>
      </c>
      <c r="AO56" s="21">
        <v>0</v>
      </c>
      <c r="AP56" s="21">
        <v>0</v>
      </c>
      <c r="AQ56" s="21">
        <v>0</v>
      </c>
      <c r="AR56" s="21">
        <v>0</v>
      </c>
      <c r="AS56" s="21">
        <v>0</v>
      </c>
      <c r="AT56" s="21">
        <v>0</v>
      </c>
      <c r="AU56" s="21">
        <v>0</v>
      </c>
      <c r="AV56" s="21">
        <v>0</v>
      </c>
      <c r="AW56" s="21">
        <v>0</v>
      </c>
      <c r="AX56" s="21">
        <v>0</v>
      </c>
      <c r="AY56" s="21">
        <v>0</v>
      </c>
      <c r="AZ56" s="21">
        <v>0</v>
      </c>
      <c r="BA56" s="21">
        <v>0</v>
      </c>
      <c r="BB56" s="21">
        <v>0</v>
      </c>
      <c r="BC56" s="21">
        <v>0</v>
      </c>
      <c r="BD56" s="21">
        <v>0</v>
      </c>
      <c r="BE56" s="21">
        <v>0</v>
      </c>
      <c r="BF56" s="21">
        <v>0</v>
      </c>
      <c r="BG56" s="21">
        <v>0</v>
      </c>
      <c r="BH56" s="21">
        <v>0</v>
      </c>
      <c r="BI56" s="21">
        <v>0</v>
      </c>
      <c r="BJ56" s="21">
        <v>0</v>
      </c>
      <c r="BK56" s="21">
        <v>0</v>
      </c>
      <c r="BL56" s="21">
        <v>0</v>
      </c>
      <c r="BM56" s="21">
        <v>0</v>
      </c>
      <c r="BN56" s="21">
        <v>0</v>
      </c>
      <c r="BO56" s="21">
        <v>0</v>
      </c>
      <c r="BP56" s="21">
        <v>0</v>
      </c>
      <c r="BQ56" s="21">
        <v>0</v>
      </c>
      <c r="BR56" s="21">
        <v>0</v>
      </c>
      <c r="BS56" s="21">
        <v>0</v>
      </c>
      <c r="BT56" s="21">
        <v>0</v>
      </c>
      <c r="BU56" s="21">
        <v>0</v>
      </c>
      <c r="BV56" s="21">
        <v>0</v>
      </c>
      <c r="BW56" s="21">
        <v>0</v>
      </c>
      <c r="BX56" s="21">
        <v>0</v>
      </c>
      <c r="BY56" s="21">
        <v>0</v>
      </c>
      <c r="BZ56" s="21">
        <v>0</v>
      </c>
      <c r="CA56" s="21">
        <v>0</v>
      </c>
      <c r="CB56" s="21">
        <v>0</v>
      </c>
      <c r="CC56" s="21">
        <v>0</v>
      </c>
      <c r="CD56" s="21">
        <v>0</v>
      </c>
      <c r="CE56" s="21">
        <v>0</v>
      </c>
      <c r="CF56" s="21">
        <v>0</v>
      </c>
      <c r="CG56" s="21">
        <v>0</v>
      </c>
      <c r="CH56" s="21">
        <v>0</v>
      </c>
      <c r="CI56" s="21">
        <v>0</v>
      </c>
      <c r="CJ56" s="21">
        <v>0</v>
      </c>
      <c r="CK56" s="21">
        <v>0</v>
      </c>
      <c r="CL56" s="21">
        <v>0</v>
      </c>
      <c r="CM56" s="21">
        <v>0</v>
      </c>
      <c r="CN56" s="21">
        <v>0</v>
      </c>
      <c r="CO56" s="21">
        <v>0</v>
      </c>
      <c r="CP56" s="21">
        <v>0</v>
      </c>
      <c r="CQ56" s="21">
        <v>0</v>
      </c>
      <c r="CR56" s="21">
        <v>0</v>
      </c>
      <c r="CS56" s="21">
        <v>0</v>
      </c>
      <c r="CT56" s="21">
        <v>0</v>
      </c>
      <c r="CU56" s="21">
        <v>0</v>
      </c>
      <c r="CV56" s="21">
        <v>0</v>
      </c>
      <c r="CW56" s="21">
        <v>0</v>
      </c>
      <c r="CX56" s="21">
        <v>0</v>
      </c>
      <c r="CY56" s="21">
        <v>0</v>
      </c>
      <c r="CZ56" s="21">
        <v>0</v>
      </c>
      <c r="DA56" s="21">
        <v>0</v>
      </c>
      <c r="DB56" s="21">
        <v>0</v>
      </c>
      <c r="DC56" s="21">
        <v>0</v>
      </c>
      <c r="DD56" s="21">
        <v>0</v>
      </c>
      <c r="DE56" s="72"/>
      <c r="DG56" s="76"/>
      <c r="DI56" s="76"/>
    </row>
    <row r="57" spans="1:113">
      <c r="A57" s="23" t="s">
        <v>262</v>
      </c>
      <c r="B57" s="19" t="s">
        <v>263</v>
      </c>
      <c r="C57" s="19" t="s">
        <v>259</v>
      </c>
      <c r="D57" s="20">
        <f t="shared" si="0"/>
        <v>5</v>
      </c>
      <c r="E57" s="21">
        <v>2</v>
      </c>
      <c r="F57" s="21">
        <v>0</v>
      </c>
      <c r="G57" s="21">
        <v>0</v>
      </c>
      <c r="H57" s="21">
        <v>0</v>
      </c>
      <c r="I57" s="21">
        <v>0</v>
      </c>
      <c r="J57" s="21">
        <v>0</v>
      </c>
      <c r="K57" s="21">
        <v>0</v>
      </c>
      <c r="L57" s="21">
        <v>0</v>
      </c>
      <c r="M57" s="21">
        <v>0</v>
      </c>
      <c r="N57" s="21">
        <v>0</v>
      </c>
      <c r="O57" s="21">
        <v>0</v>
      </c>
      <c r="P57" s="21">
        <v>0</v>
      </c>
      <c r="Q57" s="21">
        <v>0</v>
      </c>
      <c r="R57" s="21">
        <v>0</v>
      </c>
      <c r="S57" s="21">
        <v>0</v>
      </c>
      <c r="T57" s="21">
        <v>0</v>
      </c>
      <c r="U57" s="21">
        <v>0</v>
      </c>
      <c r="V57" s="21">
        <v>0</v>
      </c>
      <c r="W57" s="21">
        <v>0</v>
      </c>
      <c r="X57" s="21">
        <v>0</v>
      </c>
      <c r="Y57" s="21">
        <v>0</v>
      </c>
      <c r="Z57" s="21">
        <v>0</v>
      </c>
      <c r="AA57" s="21">
        <v>0</v>
      </c>
      <c r="AB57" s="21">
        <v>0</v>
      </c>
      <c r="AC57" s="21">
        <v>0</v>
      </c>
      <c r="AD57" s="21">
        <v>0</v>
      </c>
      <c r="AE57" s="21">
        <v>0</v>
      </c>
      <c r="AF57" s="21">
        <v>0</v>
      </c>
      <c r="AG57" s="21">
        <v>0</v>
      </c>
      <c r="AH57" s="21">
        <v>0</v>
      </c>
      <c r="AI57" s="21">
        <v>0</v>
      </c>
      <c r="AJ57" s="21">
        <v>0</v>
      </c>
      <c r="AK57" s="21">
        <v>0</v>
      </c>
      <c r="AL57" s="21">
        <v>0</v>
      </c>
      <c r="AM57" s="21">
        <v>0</v>
      </c>
      <c r="AN57" s="21">
        <v>0</v>
      </c>
      <c r="AO57" s="21">
        <v>0</v>
      </c>
      <c r="AP57" s="21">
        <v>0</v>
      </c>
      <c r="AQ57" s="21">
        <v>0</v>
      </c>
      <c r="AR57" s="21">
        <v>0</v>
      </c>
      <c r="AS57" s="21">
        <v>0</v>
      </c>
      <c r="AT57" s="21">
        <v>0</v>
      </c>
      <c r="AU57" s="21">
        <v>0</v>
      </c>
      <c r="AV57" s="21">
        <v>0</v>
      </c>
      <c r="AW57" s="21">
        <v>0</v>
      </c>
      <c r="AX57" s="21">
        <v>0</v>
      </c>
      <c r="AY57" s="21">
        <v>0</v>
      </c>
      <c r="AZ57" s="21">
        <v>0</v>
      </c>
      <c r="BA57" s="21">
        <v>0</v>
      </c>
      <c r="BB57" s="21">
        <v>0</v>
      </c>
      <c r="BC57" s="21">
        <v>0</v>
      </c>
      <c r="BD57" s="21">
        <v>0</v>
      </c>
      <c r="BE57" s="21">
        <v>0</v>
      </c>
      <c r="BF57" s="21">
        <v>0</v>
      </c>
      <c r="BG57" s="21">
        <v>0</v>
      </c>
      <c r="BH57" s="21">
        <v>0</v>
      </c>
      <c r="BI57" s="21">
        <v>1</v>
      </c>
      <c r="BJ57" s="21">
        <v>2</v>
      </c>
      <c r="BK57" s="21">
        <v>0</v>
      </c>
      <c r="BL57" s="21">
        <v>0</v>
      </c>
      <c r="BM57" s="21">
        <v>0</v>
      </c>
      <c r="BN57" s="21">
        <v>0</v>
      </c>
      <c r="BO57" s="21">
        <v>0</v>
      </c>
      <c r="BP57" s="21">
        <v>0</v>
      </c>
      <c r="BQ57" s="21">
        <v>0</v>
      </c>
      <c r="BR57" s="21">
        <v>0</v>
      </c>
      <c r="BS57" s="21">
        <v>0</v>
      </c>
      <c r="BT57" s="21">
        <v>0</v>
      </c>
      <c r="BU57" s="21">
        <v>0</v>
      </c>
      <c r="BV57" s="21">
        <v>0</v>
      </c>
      <c r="BW57" s="21">
        <v>0</v>
      </c>
      <c r="BX57" s="21">
        <v>0</v>
      </c>
      <c r="BY57" s="21">
        <v>0</v>
      </c>
      <c r="BZ57" s="21">
        <v>0</v>
      </c>
      <c r="CA57" s="21">
        <v>0</v>
      </c>
      <c r="CB57" s="21">
        <v>0</v>
      </c>
      <c r="CC57" s="21">
        <v>0</v>
      </c>
      <c r="CD57" s="21">
        <v>0</v>
      </c>
      <c r="CE57" s="21">
        <v>0</v>
      </c>
      <c r="CF57" s="21">
        <v>0</v>
      </c>
      <c r="CG57" s="21">
        <v>0</v>
      </c>
      <c r="CH57" s="21">
        <v>0</v>
      </c>
      <c r="CI57" s="21">
        <v>0</v>
      </c>
      <c r="CJ57" s="21">
        <v>0</v>
      </c>
      <c r="CK57" s="21">
        <v>0</v>
      </c>
      <c r="CL57" s="21">
        <v>0</v>
      </c>
      <c r="CM57" s="21">
        <v>0</v>
      </c>
      <c r="CN57" s="21">
        <v>0</v>
      </c>
      <c r="CO57" s="21">
        <v>0</v>
      </c>
      <c r="CP57" s="21">
        <v>0</v>
      </c>
      <c r="CQ57" s="21">
        <v>0</v>
      </c>
      <c r="CR57" s="21">
        <v>0</v>
      </c>
      <c r="CS57" s="21">
        <v>0</v>
      </c>
      <c r="CT57" s="21">
        <v>0</v>
      </c>
      <c r="CU57" s="21">
        <v>0</v>
      </c>
      <c r="CV57" s="21">
        <v>0</v>
      </c>
      <c r="CW57" s="21">
        <v>0</v>
      </c>
      <c r="CX57" s="21">
        <v>0</v>
      </c>
      <c r="CY57" s="21">
        <v>0</v>
      </c>
      <c r="CZ57" s="21">
        <v>0</v>
      </c>
      <c r="DA57" s="21">
        <v>0</v>
      </c>
      <c r="DB57" s="21">
        <v>0</v>
      </c>
      <c r="DC57" s="21">
        <v>0</v>
      </c>
      <c r="DD57" s="21">
        <v>0</v>
      </c>
      <c r="DE57" s="72"/>
      <c r="DG57" s="76"/>
      <c r="DI57" s="76"/>
    </row>
    <row r="58" spans="1:113">
      <c r="A58" s="23"/>
      <c r="B58" s="19" t="s">
        <v>264</v>
      </c>
      <c r="C58" s="19" t="s">
        <v>265</v>
      </c>
      <c r="D58" s="20">
        <f t="shared" si="0"/>
        <v>49</v>
      </c>
      <c r="E58" s="21">
        <v>8</v>
      </c>
      <c r="F58" s="21">
        <v>1</v>
      </c>
      <c r="G58" s="21">
        <v>0</v>
      </c>
      <c r="H58" s="21">
        <v>0</v>
      </c>
      <c r="I58" s="21">
        <v>0</v>
      </c>
      <c r="J58" s="21">
        <v>0</v>
      </c>
      <c r="K58" s="21">
        <v>5</v>
      </c>
      <c r="L58" s="21">
        <v>0</v>
      </c>
      <c r="M58" s="21">
        <v>0</v>
      </c>
      <c r="N58" s="21">
        <v>0</v>
      </c>
      <c r="O58" s="21">
        <v>0</v>
      </c>
      <c r="P58" s="21">
        <v>0</v>
      </c>
      <c r="Q58" s="21">
        <v>0</v>
      </c>
      <c r="R58" s="21">
        <v>0</v>
      </c>
      <c r="S58" s="21">
        <v>0</v>
      </c>
      <c r="T58" s="21">
        <v>0</v>
      </c>
      <c r="U58" s="21">
        <v>0</v>
      </c>
      <c r="V58" s="21">
        <v>0</v>
      </c>
      <c r="W58" s="21">
        <v>0</v>
      </c>
      <c r="X58" s="21">
        <v>0</v>
      </c>
      <c r="Y58" s="21">
        <v>0</v>
      </c>
      <c r="Z58" s="21">
        <v>0</v>
      </c>
      <c r="AA58" s="21">
        <v>0</v>
      </c>
      <c r="AB58" s="21">
        <v>0</v>
      </c>
      <c r="AC58" s="21">
        <v>0</v>
      </c>
      <c r="AD58" s="21">
        <v>0</v>
      </c>
      <c r="AE58" s="21">
        <v>0</v>
      </c>
      <c r="AF58" s="21">
        <v>0</v>
      </c>
      <c r="AG58" s="21">
        <v>0</v>
      </c>
      <c r="AH58" s="21">
        <v>0</v>
      </c>
      <c r="AI58" s="21">
        <v>0</v>
      </c>
      <c r="AJ58" s="21">
        <v>0</v>
      </c>
      <c r="AK58" s="21">
        <v>0</v>
      </c>
      <c r="AL58" s="21">
        <v>0</v>
      </c>
      <c r="AM58" s="21">
        <v>1</v>
      </c>
      <c r="AN58" s="21">
        <v>1</v>
      </c>
      <c r="AO58" s="21">
        <v>0</v>
      </c>
      <c r="AP58" s="21">
        <v>0</v>
      </c>
      <c r="AQ58" s="21">
        <v>0</v>
      </c>
      <c r="AR58" s="21">
        <v>0</v>
      </c>
      <c r="AS58" s="21">
        <v>0</v>
      </c>
      <c r="AT58" s="21">
        <v>0</v>
      </c>
      <c r="AU58" s="21">
        <v>0</v>
      </c>
      <c r="AV58" s="21">
        <v>0</v>
      </c>
      <c r="AW58" s="21">
        <v>0</v>
      </c>
      <c r="AX58" s="21">
        <v>0</v>
      </c>
      <c r="AY58" s="21">
        <v>1</v>
      </c>
      <c r="AZ58" s="21">
        <v>0</v>
      </c>
      <c r="BA58" s="21">
        <v>0</v>
      </c>
      <c r="BB58" s="21">
        <v>0</v>
      </c>
      <c r="BC58" s="21">
        <v>0</v>
      </c>
      <c r="BD58" s="21">
        <v>0</v>
      </c>
      <c r="BE58" s="21">
        <v>0</v>
      </c>
      <c r="BF58" s="21">
        <v>0</v>
      </c>
      <c r="BG58" s="21">
        <v>0</v>
      </c>
      <c r="BH58" s="21">
        <v>0</v>
      </c>
      <c r="BI58" s="21">
        <v>5</v>
      </c>
      <c r="BJ58" s="21">
        <v>15</v>
      </c>
      <c r="BK58" s="21">
        <v>3</v>
      </c>
      <c r="BL58" s="21">
        <v>1</v>
      </c>
      <c r="BM58" s="21">
        <v>0</v>
      </c>
      <c r="BN58" s="21">
        <v>0</v>
      </c>
      <c r="BO58" s="21">
        <v>0</v>
      </c>
      <c r="BP58" s="21">
        <v>1</v>
      </c>
      <c r="BQ58" s="21">
        <v>0</v>
      </c>
      <c r="BR58" s="21">
        <v>0</v>
      </c>
      <c r="BS58" s="21">
        <v>0</v>
      </c>
      <c r="BT58" s="21">
        <v>0</v>
      </c>
      <c r="BU58" s="21">
        <v>3</v>
      </c>
      <c r="BV58" s="21">
        <v>0</v>
      </c>
      <c r="BW58" s="21">
        <v>0</v>
      </c>
      <c r="BX58" s="21">
        <v>0</v>
      </c>
      <c r="BY58" s="21">
        <v>1</v>
      </c>
      <c r="BZ58" s="21">
        <v>0</v>
      </c>
      <c r="CA58" s="21">
        <v>0</v>
      </c>
      <c r="CB58" s="21">
        <v>0</v>
      </c>
      <c r="CC58" s="21">
        <v>0</v>
      </c>
      <c r="CD58" s="21">
        <v>0</v>
      </c>
      <c r="CE58" s="21">
        <v>0</v>
      </c>
      <c r="CF58" s="21">
        <v>0</v>
      </c>
      <c r="CG58" s="21">
        <v>0</v>
      </c>
      <c r="CH58" s="21">
        <v>2</v>
      </c>
      <c r="CI58" s="21">
        <v>0</v>
      </c>
      <c r="CJ58" s="21">
        <v>0</v>
      </c>
      <c r="CK58" s="21">
        <v>0</v>
      </c>
      <c r="CL58" s="21">
        <v>0</v>
      </c>
      <c r="CM58" s="21">
        <v>0</v>
      </c>
      <c r="CN58" s="21">
        <v>0</v>
      </c>
      <c r="CO58" s="21">
        <v>0</v>
      </c>
      <c r="CP58" s="21">
        <v>0</v>
      </c>
      <c r="CQ58" s="21">
        <v>0</v>
      </c>
      <c r="CR58" s="21">
        <v>0</v>
      </c>
      <c r="CS58" s="21">
        <v>0</v>
      </c>
      <c r="CT58" s="21">
        <v>0</v>
      </c>
      <c r="CU58" s="21">
        <v>1</v>
      </c>
      <c r="CV58" s="21">
        <v>0</v>
      </c>
      <c r="CW58" s="21">
        <v>0</v>
      </c>
      <c r="CX58" s="21">
        <v>0</v>
      </c>
      <c r="CY58" s="21">
        <v>0</v>
      </c>
      <c r="CZ58" s="21">
        <v>0</v>
      </c>
      <c r="DA58" s="21">
        <v>0</v>
      </c>
      <c r="DB58" s="21">
        <v>0</v>
      </c>
      <c r="DC58" s="21">
        <v>0</v>
      </c>
      <c r="DD58" s="21">
        <v>0</v>
      </c>
      <c r="DE58" s="72"/>
      <c r="DG58" s="76"/>
      <c r="DI58" s="76"/>
    </row>
    <row r="59" spans="1:113">
      <c r="A59" s="23" t="s">
        <v>262</v>
      </c>
      <c r="B59" s="19" t="s">
        <v>266</v>
      </c>
      <c r="C59" s="19" t="s">
        <v>265</v>
      </c>
      <c r="D59" s="20">
        <f t="shared" si="0"/>
        <v>20</v>
      </c>
      <c r="E59" s="21">
        <v>4</v>
      </c>
      <c r="F59" s="21">
        <v>0</v>
      </c>
      <c r="G59" s="21">
        <v>0</v>
      </c>
      <c r="H59" s="21">
        <v>0</v>
      </c>
      <c r="I59" s="21">
        <v>0</v>
      </c>
      <c r="J59" s="21">
        <v>0</v>
      </c>
      <c r="K59" s="21">
        <v>2</v>
      </c>
      <c r="L59" s="21">
        <v>0</v>
      </c>
      <c r="M59" s="21">
        <v>0</v>
      </c>
      <c r="N59" s="21">
        <v>0</v>
      </c>
      <c r="O59" s="21">
        <v>0</v>
      </c>
      <c r="P59" s="21">
        <v>1</v>
      </c>
      <c r="Q59" s="21">
        <v>0</v>
      </c>
      <c r="R59" s="21">
        <v>0</v>
      </c>
      <c r="S59" s="21">
        <v>0</v>
      </c>
      <c r="T59" s="21">
        <v>0</v>
      </c>
      <c r="U59" s="21">
        <v>0</v>
      </c>
      <c r="V59" s="21">
        <v>0</v>
      </c>
      <c r="W59" s="21">
        <v>0</v>
      </c>
      <c r="X59" s="21">
        <v>0</v>
      </c>
      <c r="Y59" s="21">
        <v>0</v>
      </c>
      <c r="Z59" s="21">
        <v>0</v>
      </c>
      <c r="AA59" s="21">
        <v>0</v>
      </c>
      <c r="AB59" s="21">
        <v>0</v>
      </c>
      <c r="AC59" s="21">
        <v>0</v>
      </c>
      <c r="AD59" s="21">
        <v>0</v>
      </c>
      <c r="AE59" s="21">
        <v>0</v>
      </c>
      <c r="AF59" s="21">
        <v>0</v>
      </c>
      <c r="AG59" s="21">
        <v>0</v>
      </c>
      <c r="AH59" s="21">
        <v>0</v>
      </c>
      <c r="AI59" s="21">
        <v>0</v>
      </c>
      <c r="AJ59" s="21">
        <v>0</v>
      </c>
      <c r="AK59" s="21">
        <v>0</v>
      </c>
      <c r="AL59" s="21">
        <v>0</v>
      </c>
      <c r="AM59" s="21">
        <v>0</v>
      </c>
      <c r="AN59" s="21">
        <v>0</v>
      </c>
      <c r="AO59" s="21">
        <v>0</v>
      </c>
      <c r="AP59" s="21">
        <v>0</v>
      </c>
      <c r="AQ59" s="21">
        <v>0</v>
      </c>
      <c r="AR59" s="21">
        <v>2</v>
      </c>
      <c r="AS59" s="21">
        <v>0</v>
      </c>
      <c r="AT59" s="21">
        <v>0</v>
      </c>
      <c r="AU59" s="21">
        <v>0</v>
      </c>
      <c r="AV59" s="21">
        <v>0</v>
      </c>
      <c r="AW59" s="21">
        <v>0</v>
      </c>
      <c r="AX59" s="21">
        <v>0</v>
      </c>
      <c r="AY59" s="21">
        <v>0</v>
      </c>
      <c r="AZ59" s="21">
        <v>0</v>
      </c>
      <c r="BA59" s="21">
        <v>0</v>
      </c>
      <c r="BB59" s="21">
        <v>0</v>
      </c>
      <c r="BC59" s="21">
        <v>0</v>
      </c>
      <c r="BD59" s="21">
        <v>0</v>
      </c>
      <c r="BE59" s="21">
        <v>0</v>
      </c>
      <c r="BF59" s="21">
        <v>0</v>
      </c>
      <c r="BG59" s="21">
        <v>0</v>
      </c>
      <c r="BH59" s="21">
        <v>0</v>
      </c>
      <c r="BI59" s="21">
        <v>0</v>
      </c>
      <c r="BJ59" s="21">
        <v>6</v>
      </c>
      <c r="BK59" s="21">
        <v>5</v>
      </c>
      <c r="BL59" s="21">
        <v>0</v>
      </c>
      <c r="BM59" s="21">
        <v>0</v>
      </c>
      <c r="BN59" s="21">
        <v>0</v>
      </c>
      <c r="BO59" s="21">
        <v>0</v>
      </c>
      <c r="BP59" s="21">
        <v>0</v>
      </c>
      <c r="BQ59" s="21">
        <v>0</v>
      </c>
      <c r="BR59" s="21">
        <v>0</v>
      </c>
      <c r="BS59" s="21">
        <v>0</v>
      </c>
      <c r="BT59" s="21">
        <v>0</v>
      </c>
      <c r="BU59" s="21">
        <v>0</v>
      </c>
      <c r="BV59" s="21">
        <v>0</v>
      </c>
      <c r="BW59" s="21">
        <v>0</v>
      </c>
      <c r="BX59" s="21">
        <v>0</v>
      </c>
      <c r="BY59" s="21">
        <v>0</v>
      </c>
      <c r="BZ59" s="21">
        <v>0</v>
      </c>
      <c r="CA59" s="21">
        <v>0</v>
      </c>
      <c r="CB59" s="21">
        <v>0</v>
      </c>
      <c r="CC59" s="21">
        <v>0</v>
      </c>
      <c r="CD59" s="21">
        <v>0</v>
      </c>
      <c r="CE59" s="21">
        <v>0</v>
      </c>
      <c r="CF59" s="21">
        <v>0</v>
      </c>
      <c r="CG59" s="21">
        <v>0</v>
      </c>
      <c r="CH59" s="21">
        <v>0</v>
      </c>
      <c r="CI59" s="21">
        <v>0</v>
      </c>
      <c r="CJ59" s="21">
        <v>0</v>
      </c>
      <c r="CK59" s="21">
        <v>0</v>
      </c>
      <c r="CL59" s="21">
        <v>0</v>
      </c>
      <c r="CM59" s="21">
        <v>0</v>
      </c>
      <c r="CN59" s="21">
        <v>0</v>
      </c>
      <c r="CO59" s="21">
        <v>0</v>
      </c>
      <c r="CP59" s="21">
        <v>0</v>
      </c>
      <c r="CQ59" s="21">
        <v>0</v>
      </c>
      <c r="CR59" s="21">
        <v>0</v>
      </c>
      <c r="CS59" s="21">
        <v>0</v>
      </c>
      <c r="CT59" s="21">
        <v>0</v>
      </c>
      <c r="CU59" s="21">
        <v>0</v>
      </c>
      <c r="CV59" s="21">
        <v>0</v>
      </c>
      <c r="CW59" s="21">
        <v>0</v>
      </c>
      <c r="CX59" s="21">
        <v>0</v>
      </c>
      <c r="CY59" s="21">
        <v>0</v>
      </c>
      <c r="CZ59" s="21">
        <v>0</v>
      </c>
      <c r="DA59" s="21">
        <v>0</v>
      </c>
      <c r="DB59" s="21">
        <v>0</v>
      </c>
      <c r="DC59" s="21">
        <v>0</v>
      </c>
      <c r="DD59" s="21">
        <v>0</v>
      </c>
      <c r="DE59" s="72"/>
      <c r="DG59" s="76"/>
      <c r="DI59" s="76"/>
    </row>
    <row r="60" spans="1:113">
      <c r="A60" s="23" t="s">
        <v>262</v>
      </c>
      <c r="B60" s="19" t="s">
        <v>267</v>
      </c>
      <c r="C60" s="19" t="s">
        <v>265</v>
      </c>
      <c r="D60" s="20">
        <f t="shared" si="0"/>
        <v>11</v>
      </c>
      <c r="E60" s="21">
        <v>2</v>
      </c>
      <c r="F60" s="21">
        <v>1</v>
      </c>
      <c r="G60" s="21">
        <v>0</v>
      </c>
      <c r="H60" s="21">
        <v>0</v>
      </c>
      <c r="I60" s="21">
        <v>0</v>
      </c>
      <c r="J60" s="21">
        <v>0</v>
      </c>
      <c r="K60" s="21">
        <v>0</v>
      </c>
      <c r="L60" s="21">
        <v>0</v>
      </c>
      <c r="M60" s="21">
        <v>0</v>
      </c>
      <c r="N60" s="21">
        <v>0</v>
      </c>
      <c r="O60" s="21">
        <v>0</v>
      </c>
      <c r="P60" s="21">
        <v>0</v>
      </c>
      <c r="Q60" s="21">
        <v>0</v>
      </c>
      <c r="R60" s="21">
        <v>0</v>
      </c>
      <c r="S60" s="21">
        <v>0</v>
      </c>
      <c r="T60" s="21">
        <v>0</v>
      </c>
      <c r="U60" s="21">
        <v>0</v>
      </c>
      <c r="V60" s="21">
        <v>0</v>
      </c>
      <c r="W60" s="21">
        <v>0</v>
      </c>
      <c r="X60" s="21">
        <v>0</v>
      </c>
      <c r="Y60" s="21">
        <v>0</v>
      </c>
      <c r="Z60" s="21">
        <v>0</v>
      </c>
      <c r="AA60" s="21">
        <v>0</v>
      </c>
      <c r="AB60" s="21">
        <v>0</v>
      </c>
      <c r="AC60" s="21">
        <v>0</v>
      </c>
      <c r="AD60" s="21">
        <v>0</v>
      </c>
      <c r="AE60" s="21">
        <v>0</v>
      </c>
      <c r="AF60" s="21">
        <v>0</v>
      </c>
      <c r="AG60" s="21">
        <v>0</v>
      </c>
      <c r="AH60" s="21">
        <v>0</v>
      </c>
      <c r="AI60" s="21">
        <v>0</v>
      </c>
      <c r="AJ60" s="21">
        <v>0</v>
      </c>
      <c r="AK60" s="21">
        <v>0</v>
      </c>
      <c r="AL60" s="21">
        <v>0</v>
      </c>
      <c r="AM60" s="21">
        <v>0</v>
      </c>
      <c r="AN60" s="21">
        <v>0</v>
      </c>
      <c r="AO60" s="21">
        <v>0</v>
      </c>
      <c r="AP60" s="21">
        <v>0</v>
      </c>
      <c r="AQ60" s="21">
        <v>0</v>
      </c>
      <c r="AR60" s="21">
        <v>0</v>
      </c>
      <c r="AS60" s="21">
        <v>0</v>
      </c>
      <c r="AT60" s="21">
        <v>0</v>
      </c>
      <c r="AU60" s="21">
        <v>0</v>
      </c>
      <c r="AV60" s="21">
        <v>0</v>
      </c>
      <c r="AW60" s="21">
        <v>0</v>
      </c>
      <c r="AX60" s="21">
        <v>0</v>
      </c>
      <c r="AY60" s="21">
        <v>0</v>
      </c>
      <c r="AZ60" s="21">
        <v>0</v>
      </c>
      <c r="BA60" s="21">
        <v>0</v>
      </c>
      <c r="BB60" s="21">
        <v>0</v>
      </c>
      <c r="BC60" s="21">
        <v>0</v>
      </c>
      <c r="BD60" s="21">
        <v>0</v>
      </c>
      <c r="BE60" s="21">
        <v>0</v>
      </c>
      <c r="BF60" s="21">
        <v>0</v>
      </c>
      <c r="BG60" s="21">
        <v>0</v>
      </c>
      <c r="BH60" s="21">
        <v>0</v>
      </c>
      <c r="BI60" s="21">
        <v>2</v>
      </c>
      <c r="BJ60" s="21">
        <v>6</v>
      </c>
      <c r="BK60" s="21">
        <v>0</v>
      </c>
      <c r="BL60" s="21">
        <v>0</v>
      </c>
      <c r="BM60" s="21">
        <v>0</v>
      </c>
      <c r="BN60" s="21">
        <v>0</v>
      </c>
      <c r="BO60" s="21">
        <v>0</v>
      </c>
      <c r="BP60" s="21">
        <v>0</v>
      </c>
      <c r="BQ60" s="21">
        <v>0</v>
      </c>
      <c r="BR60" s="21">
        <v>0</v>
      </c>
      <c r="BS60" s="21">
        <v>0</v>
      </c>
      <c r="BT60" s="21">
        <v>0</v>
      </c>
      <c r="BU60" s="21">
        <v>0</v>
      </c>
      <c r="BV60" s="21">
        <v>0</v>
      </c>
      <c r="BW60" s="21">
        <v>0</v>
      </c>
      <c r="BX60" s="21">
        <v>0</v>
      </c>
      <c r="BY60" s="21">
        <v>0</v>
      </c>
      <c r="BZ60" s="21">
        <v>0</v>
      </c>
      <c r="CA60" s="21">
        <v>0</v>
      </c>
      <c r="CB60" s="21">
        <v>0</v>
      </c>
      <c r="CC60" s="21">
        <v>0</v>
      </c>
      <c r="CD60" s="21">
        <v>0</v>
      </c>
      <c r="CE60" s="21">
        <v>0</v>
      </c>
      <c r="CF60" s="21">
        <v>0</v>
      </c>
      <c r="CG60" s="21">
        <v>0</v>
      </c>
      <c r="CH60" s="21">
        <v>0</v>
      </c>
      <c r="CI60" s="21">
        <v>0</v>
      </c>
      <c r="CJ60" s="21">
        <v>0</v>
      </c>
      <c r="CK60" s="21">
        <v>0</v>
      </c>
      <c r="CL60" s="21">
        <v>0</v>
      </c>
      <c r="CM60" s="21">
        <v>0</v>
      </c>
      <c r="CN60" s="21">
        <v>0</v>
      </c>
      <c r="CO60" s="21">
        <v>0</v>
      </c>
      <c r="CP60" s="21">
        <v>0</v>
      </c>
      <c r="CQ60" s="21">
        <v>0</v>
      </c>
      <c r="CR60" s="21">
        <v>0</v>
      </c>
      <c r="CS60" s="21">
        <v>0</v>
      </c>
      <c r="CT60" s="21">
        <v>0</v>
      </c>
      <c r="CU60" s="21">
        <v>0</v>
      </c>
      <c r="CV60" s="21">
        <v>0</v>
      </c>
      <c r="CW60" s="21">
        <v>0</v>
      </c>
      <c r="CX60" s="21">
        <v>0</v>
      </c>
      <c r="CY60" s="21">
        <v>0</v>
      </c>
      <c r="CZ60" s="21">
        <v>0</v>
      </c>
      <c r="DA60" s="21">
        <v>0</v>
      </c>
      <c r="DB60" s="21">
        <v>0</v>
      </c>
      <c r="DC60" s="21">
        <v>0</v>
      </c>
      <c r="DD60" s="21">
        <v>0</v>
      </c>
      <c r="DE60" s="72"/>
      <c r="DG60" s="76"/>
      <c r="DI60" s="76"/>
    </row>
    <row r="61" spans="1:113">
      <c r="A61" s="23" t="s">
        <v>262</v>
      </c>
      <c r="B61" s="19" t="s">
        <v>268</v>
      </c>
      <c r="C61" s="19" t="s">
        <v>265</v>
      </c>
      <c r="D61" s="20">
        <f t="shared" si="0"/>
        <v>8</v>
      </c>
      <c r="E61" s="21">
        <v>2</v>
      </c>
      <c r="F61" s="21">
        <v>0</v>
      </c>
      <c r="G61" s="21">
        <v>0</v>
      </c>
      <c r="H61" s="21">
        <v>0</v>
      </c>
      <c r="I61" s="21">
        <v>0</v>
      </c>
      <c r="J61" s="21">
        <v>0</v>
      </c>
      <c r="K61" s="21">
        <v>0</v>
      </c>
      <c r="L61" s="21">
        <v>0</v>
      </c>
      <c r="M61" s="21">
        <v>0</v>
      </c>
      <c r="N61" s="21">
        <v>0</v>
      </c>
      <c r="O61" s="21">
        <v>0</v>
      </c>
      <c r="P61" s="21">
        <v>0</v>
      </c>
      <c r="Q61" s="21">
        <v>0</v>
      </c>
      <c r="R61" s="21">
        <v>0</v>
      </c>
      <c r="S61" s="21">
        <v>0</v>
      </c>
      <c r="T61" s="21">
        <v>0</v>
      </c>
      <c r="U61" s="21">
        <v>0</v>
      </c>
      <c r="V61" s="21">
        <v>0</v>
      </c>
      <c r="W61" s="21">
        <v>0</v>
      </c>
      <c r="X61" s="21">
        <v>0</v>
      </c>
      <c r="Y61" s="21">
        <v>0</v>
      </c>
      <c r="Z61" s="21">
        <v>0</v>
      </c>
      <c r="AA61" s="21">
        <v>0</v>
      </c>
      <c r="AB61" s="21">
        <v>0</v>
      </c>
      <c r="AC61" s="21">
        <v>0</v>
      </c>
      <c r="AD61" s="21">
        <v>0</v>
      </c>
      <c r="AE61" s="21">
        <v>0</v>
      </c>
      <c r="AF61" s="21">
        <v>0</v>
      </c>
      <c r="AG61" s="21">
        <v>0</v>
      </c>
      <c r="AH61" s="21">
        <v>0</v>
      </c>
      <c r="AI61" s="21">
        <v>0</v>
      </c>
      <c r="AJ61" s="21">
        <v>0</v>
      </c>
      <c r="AK61" s="21">
        <v>0</v>
      </c>
      <c r="AL61" s="21">
        <v>0</v>
      </c>
      <c r="AM61" s="21">
        <v>0</v>
      </c>
      <c r="AN61" s="21">
        <v>0</v>
      </c>
      <c r="AO61" s="21">
        <v>0</v>
      </c>
      <c r="AP61" s="21">
        <v>0</v>
      </c>
      <c r="AQ61" s="21">
        <v>0</v>
      </c>
      <c r="AR61" s="21">
        <v>0</v>
      </c>
      <c r="AS61" s="21">
        <v>0</v>
      </c>
      <c r="AT61" s="21">
        <v>0</v>
      </c>
      <c r="AU61" s="21">
        <v>0</v>
      </c>
      <c r="AV61" s="21">
        <v>0</v>
      </c>
      <c r="AW61" s="21">
        <v>0</v>
      </c>
      <c r="AX61" s="21">
        <v>0</v>
      </c>
      <c r="AY61" s="21">
        <v>0</v>
      </c>
      <c r="AZ61" s="21">
        <v>0</v>
      </c>
      <c r="BA61" s="21">
        <v>0</v>
      </c>
      <c r="BB61" s="21">
        <v>0</v>
      </c>
      <c r="BC61" s="21">
        <v>0</v>
      </c>
      <c r="BD61" s="21">
        <v>0</v>
      </c>
      <c r="BE61" s="21">
        <v>0</v>
      </c>
      <c r="BF61" s="21">
        <v>0</v>
      </c>
      <c r="BG61" s="21">
        <v>0</v>
      </c>
      <c r="BH61" s="21">
        <v>0</v>
      </c>
      <c r="BI61" s="21">
        <v>0</v>
      </c>
      <c r="BJ61" s="21">
        <v>6</v>
      </c>
      <c r="BK61" s="21">
        <v>0</v>
      </c>
      <c r="BL61" s="21">
        <v>0</v>
      </c>
      <c r="BM61" s="21">
        <v>0</v>
      </c>
      <c r="BN61" s="21">
        <v>0</v>
      </c>
      <c r="BO61" s="21">
        <v>0</v>
      </c>
      <c r="BP61" s="21">
        <v>0</v>
      </c>
      <c r="BQ61" s="21">
        <v>0</v>
      </c>
      <c r="BR61" s="21">
        <v>0</v>
      </c>
      <c r="BS61" s="21">
        <v>0</v>
      </c>
      <c r="BT61" s="21">
        <v>0</v>
      </c>
      <c r="BU61" s="21">
        <v>0</v>
      </c>
      <c r="BV61" s="21">
        <v>0</v>
      </c>
      <c r="BW61" s="21">
        <v>0</v>
      </c>
      <c r="BX61" s="21">
        <v>0</v>
      </c>
      <c r="BY61" s="21">
        <v>0</v>
      </c>
      <c r="BZ61" s="21">
        <v>0</v>
      </c>
      <c r="CA61" s="21">
        <v>0</v>
      </c>
      <c r="CB61" s="21">
        <v>0</v>
      </c>
      <c r="CC61" s="21">
        <v>0</v>
      </c>
      <c r="CD61" s="21">
        <v>0</v>
      </c>
      <c r="CE61" s="21">
        <v>0</v>
      </c>
      <c r="CF61" s="21">
        <v>0</v>
      </c>
      <c r="CG61" s="21">
        <v>0</v>
      </c>
      <c r="CH61" s="21">
        <v>0</v>
      </c>
      <c r="CI61" s="21">
        <v>0</v>
      </c>
      <c r="CJ61" s="21">
        <v>0</v>
      </c>
      <c r="CK61" s="21">
        <v>0</v>
      </c>
      <c r="CL61" s="21">
        <v>0</v>
      </c>
      <c r="CM61" s="21">
        <v>0</v>
      </c>
      <c r="CN61" s="21">
        <v>0</v>
      </c>
      <c r="CO61" s="21">
        <v>0</v>
      </c>
      <c r="CP61" s="21">
        <v>0</v>
      </c>
      <c r="CQ61" s="21">
        <v>0</v>
      </c>
      <c r="CR61" s="21">
        <v>0</v>
      </c>
      <c r="CS61" s="21">
        <v>0</v>
      </c>
      <c r="CT61" s="21">
        <v>0</v>
      </c>
      <c r="CU61" s="21">
        <v>0</v>
      </c>
      <c r="CV61" s="21">
        <v>0</v>
      </c>
      <c r="CW61" s="21">
        <v>0</v>
      </c>
      <c r="CX61" s="21">
        <v>0</v>
      </c>
      <c r="CY61" s="21">
        <v>0</v>
      </c>
      <c r="CZ61" s="21">
        <v>0</v>
      </c>
      <c r="DA61" s="21">
        <v>0</v>
      </c>
      <c r="DB61" s="21">
        <v>0</v>
      </c>
      <c r="DC61" s="21">
        <v>0</v>
      </c>
      <c r="DD61" s="21">
        <v>0</v>
      </c>
      <c r="DE61" s="72"/>
      <c r="DG61" s="76"/>
      <c r="DI61" s="76"/>
    </row>
    <row r="62" spans="1:113">
      <c r="A62" s="23" t="s">
        <v>262</v>
      </c>
      <c r="B62" s="19" t="s">
        <v>269</v>
      </c>
      <c r="C62" s="19" t="s">
        <v>265</v>
      </c>
      <c r="D62" s="20">
        <f t="shared" si="0"/>
        <v>5</v>
      </c>
      <c r="E62" s="21">
        <v>3</v>
      </c>
      <c r="F62" s="21">
        <v>0</v>
      </c>
      <c r="G62" s="21">
        <v>0</v>
      </c>
      <c r="H62" s="21">
        <v>0</v>
      </c>
      <c r="I62" s="21">
        <v>0</v>
      </c>
      <c r="J62" s="21">
        <v>0</v>
      </c>
      <c r="K62" s="21">
        <v>0</v>
      </c>
      <c r="L62" s="21">
        <v>0</v>
      </c>
      <c r="M62" s="21">
        <v>0</v>
      </c>
      <c r="N62" s="21">
        <v>0</v>
      </c>
      <c r="O62" s="21">
        <v>0</v>
      </c>
      <c r="P62" s="21">
        <v>0</v>
      </c>
      <c r="Q62" s="21">
        <v>0</v>
      </c>
      <c r="R62" s="21">
        <v>0</v>
      </c>
      <c r="S62" s="21">
        <v>0</v>
      </c>
      <c r="T62" s="21">
        <v>0</v>
      </c>
      <c r="U62" s="21">
        <v>0</v>
      </c>
      <c r="V62" s="21">
        <v>0</v>
      </c>
      <c r="W62" s="21">
        <v>0</v>
      </c>
      <c r="X62" s="21">
        <v>0</v>
      </c>
      <c r="Y62" s="21">
        <v>0</v>
      </c>
      <c r="Z62" s="21">
        <v>0</v>
      </c>
      <c r="AA62" s="21">
        <v>0</v>
      </c>
      <c r="AB62" s="21">
        <v>0</v>
      </c>
      <c r="AC62" s="21">
        <v>0</v>
      </c>
      <c r="AD62" s="21">
        <v>0</v>
      </c>
      <c r="AE62" s="21">
        <v>0</v>
      </c>
      <c r="AF62" s="21">
        <v>0</v>
      </c>
      <c r="AG62" s="21">
        <v>0</v>
      </c>
      <c r="AH62" s="21">
        <v>0</v>
      </c>
      <c r="AI62" s="21">
        <v>0</v>
      </c>
      <c r="AJ62" s="21">
        <v>0</v>
      </c>
      <c r="AK62" s="21">
        <v>0</v>
      </c>
      <c r="AL62" s="21">
        <v>0</v>
      </c>
      <c r="AM62" s="21">
        <v>1</v>
      </c>
      <c r="AN62" s="21">
        <v>0</v>
      </c>
      <c r="AO62" s="21">
        <v>0</v>
      </c>
      <c r="AP62" s="21">
        <v>0</v>
      </c>
      <c r="AQ62" s="21">
        <v>0</v>
      </c>
      <c r="AR62" s="21">
        <v>0</v>
      </c>
      <c r="AS62" s="21">
        <v>0</v>
      </c>
      <c r="AT62" s="21">
        <v>0</v>
      </c>
      <c r="AU62" s="21">
        <v>0</v>
      </c>
      <c r="AV62" s="21">
        <v>0</v>
      </c>
      <c r="AW62" s="21">
        <v>0</v>
      </c>
      <c r="AX62" s="21">
        <v>0</v>
      </c>
      <c r="AY62" s="21">
        <v>0</v>
      </c>
      <c r="AZ62" s="21">
        <v>0</v>
      </c>
      <c r="BA62" s="21">
        <v>0</v>
      </c>
      <c r="BB62" s="21">
        <v>0</v>
      </c>
      <c r="BC62" s="21">
        <v>0</v>
      </c>
      <c r="BD62" s="21">
        <v>0</v>
      </c>
      <c r="BE62" s="21">
        <v>0</v>
      </c>
      <c r="BF62" s="21">
        <v>0</v>
      </c>
      <c r="BG62" s="21">
        <v>0</v>
      </c>
      <c r="BH62" s="21">
        <v>0</v>
      </c>
      <c r="BI62" s="21">
        <v>0</v>
      </c>
      <c r="BJ62" s="21">
        <v>1</v>
      </c>
      <c r="BK62" s="21">
        <v>0</v>
      </c>
      <c r="BL62" s="21">
        <v>0</v>
      </c>
      <c r="BM62" s="21">
        <v>0</v>
      </c>
      <c r="BN62" s="21">
        <v>0</v>
      </c>
      <c r="BO62" s="21">
        <v>0</v>
      </c>
      <c r="BP62" s="21">
        <v>0</v>
      </c>
      <c r="BQ62" s="21">
        <v>0</v>
      </c>
      <c r="BR62" s="21">
        <v>0</v>
      </c>
      <c r="BS62" s="21">
        <v>0</v>
      </c>
      <c r="BT62" s="21">
        <v>0</v>
      </c>
      <c r="BU62" s="21">
        <v>0</v>
      </c>
      <c r="BV62" s="21">
        <v>0</v>
      </c>
      <c r="BW62" s="21">
        <v>0</v>
      </c>
      <c r="BX62" s="21">
        <v>0</v>
      </c>
      <c r="BY62" s="21">
        <v>0</v>
      </c>
      <c r="BZ62" s="21">
        <v>0</v>
      </c>
      <c r="CA62" s="21">
        <v>0</v>
      </c>
      <c r="CB62" s="21">
        <v>0</v>
      </c>
      <c r="CC62" s="21">
        <v>0</v>
      </c>
      <c r="CD62" s="21">
        <v>0</v>
      </c>
      <c r="CE62" s="21">
        <v>0</v>
      </c>
      <c r="CF62" s="21">
        <v>0</v>
      </c>
      <c r="CG62" s="21">
        <v>0</v>
      </c>
      <c r="CH62" s="21">
        <v>0</v>
      </c>
      <c r="CI62" s="21">
        <v>0</v>
      </c>
      <c r="CJ62" s="21">
        <v>0</v>
      </c>
      <c r="CK62" s="21">
        <v>0</v>
      </c>
      <c r="CL62" s="21">
        <v>0</v>
      </c>
      <c r="CM62" s="21">
        <v>0</v>
      </c>
      <c r="CN62" s="21">
        <v>0</v>
      </c>
      <c r="CO62" s="21">
        <v>0</v>
      </c>
      <c r="CP62" s="21">
        <v>0</v>
      </c>
      <c r="CQ62" s="21">
        <v>0</v>
      </c>
      <c r="CR62" s="21">
        <v>0</v>
      </c>
      <c r="CS62" s="21">
        <v>0</v>
      </c>
      <c r="CT62" s="21">
        <v>0</v>
      </c>
      <c r="CU62" s="21">
        <v>0</v>
      </c>
      <c r="CV62" s="21">
        <v>0</v>
      </c>
      <c r="CW62" s="21">
        <v>0</v>
      </c>
      <c r="CX62" s="21">
        <v>0</v>
      </c>
      <c r="CY62" s="21">
        <v>0</v>
      </c>
      <c r="CZ62" s="21">
        <v>0</v>
      </c>
      <c r="DA62" s="21">
        <v>0</v>
      </c>
      <c r="DB62" s="21">
        <v>0</v>
      </c>
      <c r="DC62" s="21">
        <v>0</v>
      </c>
      <c r="DD62" s="21">
        <v>0</v>
      </c>
      <c r="DE62" s="72"/>
      <c r="DG62" s="76"/>
      <c r="DI62" s="76"/>
    </row>
    <row r="63" spans="1:113">
      <c r="A63" s="23" t="s">
        <v>270</v>
      </c>
      <c r="B63" s="19" t="s">
        <v>271</v>
      </c>
      <c r="C63" s="19" t="s">
        <v>272</v>
      </c>
      <c r="D63" s="20">
        <f t="shared" si="0"/>
        <v>171.03</v>
      </c>
      <c r="E63" s="21">
        <v>0</v>
      </c>
      <c r="F63" s="21">
        <v>0</v>
      </c>
      <c r="G63" s="21">
        <v>0</v>
      </c>
      <c r="H63" s="21">
        <v>0</v>
      </c>
      <c r="I63" s="21">
        <v>0</v>
      </c>
      <c r="J63" s="21">
        <v>0</v>
      </c>
      <c r="K63" s="21">
        <v>0</v>
      </c>
      <c r="L63" s="21">
        <v>0</v>
      </c>
      <c r="M63" s="21">
        <v>0</v>
      </c>
      <c r="N63" s="21">
        <v>0</v>
      </c>
      <c r="O63" s="21">
        <v>0</v>
      </c>
      <c r="P63" s="21">
        <v>0</v>
      </c>
      <c r="Q63" s="21">
        <v>0</v>
      </c>
      <c r="R63" s="21">
        <v>0</v>
      </c>
      <c r="S63" s="21">
        <v>0</v>
      </c>
      <c r="T63" s="21">
        <v>0</v>
      </c>
      <c r="U63" s="21">
        <v>0</v>
      </c>
      <c r="V63" s="21">
        <v>0</v>
      </c>
      <c r="W63" s="21">
        <v>0</v>
      </c>
      <c r="X63" s="21">
        <v>0</v>
      </c>
      <c r="Y63" s="21">
        <v>0</v>
      </c>
      <c r="Z63" s="21">
        <v>28</v>
      </c>
      <c r="AA63" s="21">
        <v>0</v>
      </c>
      <c r="AB63" s="21">
        <v>0</v>
      </c>
      <c r="AC63" s="21">
        <v>0</v>
      </c>
      <c r="AD63" s="21">
        <v>0</v>
      </c>
      <c r="AE63" s="21">
        <v>0</v>
      </c>
      <c r="AF63" s="21">
        <v>0</v>
      </c>
      <c r="AG63" s="21">
        <v>0</v>
      </c>
      <c r="AH63" s="21">
        <v>0</v>
      </c>
      <c r="AI63" s="21">
        <v>0</v>
      </c>
      <c r="AJ63" s="21">
        <v>0</v>
      </c>
      <c r="AK63" s="21">
        <v>0</v>
      </c>
      <c r="AL63" s="21">
        <v>0</v>
      </c>
      <c r="AM63" s="21">
        <v>0</v>
      </c>
      <c r="AN63" s="21">
        <v>0</v>
      </c>
      <c r="AO63" s="21">
        <v>0</v>
      </c>
      <c r="AP63" s="21">
        <v>0</v>
      </c>
      <c r="AQ63" s="21">
        <v>0</v>
      </c>
      <c r="AR63" s="21">
        <v>0</v>
      </c>
      <c r="AS63" s="21">
        <v>0</v>
      </c>
      <c r="AT63" s="21">
        <v>0</v>
      </c>
      <c r="AU63" s="21">
        <v>0</v>
      </c>
      <c r="AV63" s="21">
        <v>0</v>
      </c>
      <c r="AW63" s="21">
        <v>0</v>
      </c>
      <c r="AX63" s="21">
        <v>0</v>
      </c>
      <c r="AY63" s="21">
        <v>0</v>
      </c>
      <c r="AZ63" s="21">
        <v>0</v>
      </c>
      <c r="BA63" s="21">
        <v>0</v>
      </c>
      <c r="BB63" s="21">
        <v>0</v>
      </c>
      <c r="BC63" s="21">
        <v>0</v>
      </c>
      <c r="BD63" s="21">
        <v>15</v>
      </c>
      <c r="BE63" s="21">
        <v>0</v>
      </c>
      <c r="BF63" s="21">
        <v>0</v>
      </c>
      <c r="BG63" s="21">
        <v>0</v>
      </c>
      <c r="BH63" s="21">
        <v>0</v>
      </c>
      <c r="BI63" s="21">
        <v>76.22</v>
      </c>
      <c r="BJ63" s="21">
        <v>0</v>
      </c>
      <c r="BK63" s="21">
        <v>38.880000000000003</v>
      </c>
      <c r="BL63" s="21">
        <v>0</v>
      </c>
      <c r="BM63" s="21">
        <v>0</v>
      </c>
      <c r="BN63" s="21">
        <v>0</v>
      </c>
      <c r="BO63" s="21">
        <v>0</v>
      </c>
      <c r="BP63" s="21">
        <v>0</v>
      </c>
      <c r="BQ63" s="21">
        <v>0</v>
      </c>
      <c r="BR63" s="21">
        <v>0</v>
      </c>
      <c r="BS63" s="21">
        <v>0</v>
      </c>
      <c r="BT63" s="21">
        <v>0</v>
      </c>
      <c r="BU63" s="21">
        <v>0</v>
      </c>
      <c r="BV63" s="21">
        <v>0</v>
      </c>
      <c r="BW63" s="21">
        <v>0</v>
      </c>
      <c r="BX63" s="21">
        <v>0</v>
      </c>
      <c r="BY63" s="21">
        <v>0</v>
      </c>
      <c r="BZ63" s="21">
        <v>12.93</v>
      </c>
      <c r="CA63" s="21">
        <v>0</v>
      </c>
      <c r="CB63" s="21">
        <v>0</v>
      </c>
      <c r="CC63" s="21">
        <v>0</v>
      </c>
      <c r="CD63" s="21">
        <v>0</v>
      </c>
      <c r="CE63" s="21">
        <v>0</v>
      </c>
      <c r="CF63" s="21">
        <v>0</v>
      </c>
      <c r="CG63" s="21">
        <v>0</v>
      </c>
      <c r="CH63" s="21">
        <v>0</v>
      </c>
      <c r="CI63" s="21">
        <v>0</v>
      </c>
      <c r="CJ63" s="21">
        <v>0</v>
      </c>
      <c r="CK63" s="21">
        <v>0</v>
      </c>
      <c r="CL63" s="21">
        <v>0</v>
      </c>
      <c r="CM63" s="21">
        <v>0</v>
      </c>
      <c r="CN63" s="21">
        <v>0</v>
      </c>
      <c r="CO63" s="21">
        <v>0</v>
      </c>
      <c r="CP63" s="21">
        <v>0</v>
      </c>
      <c r="CQ63" s="21">
        <v>0</v>
      </c>
      <c r="CR63" s="21">
        <v>0</v>
      </c>
      <c r="CS63" s="21">
        <v>0</v>
      </c>
      <c r="CT63" s="21">
        <v>0</v>
      </c>
      <c r="CU63" s="21">
        <v>0</v>
      </c>
      <c r="CV63" s="21">
        <v>0</v>
      </c>
      <c r="CW63" s="21">
        <v>0</v>
      </c>
      <c r="CX63" s="21">
        <v>0</v>
      </c>
      <c r="CY63" s="21">
        <v>0</v>
      </c>
      <c r="CZ63" s="21">
        <v>0</v>
      </c>
      <c r="DA63" s="21">
        <v>0</v>
      </c>
      <c r="DB63" s="21">
        <v>0</v>
      </c>
      <c r="DC63" s="21">
        <v>0</v>
      </c>
      <c r="DD63" s="21">
        <v>0</v>
      </c>
      <c r="DE63" s="72"/>
      <c r="DG63" s="76"/>
      <c r="DI63" s="76"/>
    </row>
    <row r="64" spans="1:113">
      <c r="A64" s="23" t="s">
        <v>273</v>
      </c>
      <c r="B64" s="19" t="s">
        <v>274</v>
      </c>
      <c r="C64" s="19" t="s">
        <v>275</v>
      </c>
      <c r="D64" s="20">
        <f t="shared" si="0"/>
        <v>649</v>
      </c>
      <c r="E64" s="21">
        <v>0</v>
      </c>
      <c r="F64" s="21">
        <v>0</v>
      </c>
      <c r="G64" s="21">
        <v>0</v>
      </c>
      <c r="H64" s="21">
        <v>0</v>
      </c>
      <c r="I64" s="21">
        <v>0</v>
      </c>
      <c r="J64" s="21">
        <v>0</v>
      </c>
      <c r="K64" s="21">
        <v>0</v>
      </c>
      <c r="L64" s="21">
        <v>0</v>
      </c>
      <c r="M64" s="21">
        <v>0</v>
      </c>
      <c r="N64" s="21">
        <v>0</v>
      </c>
      <c r="O64" s="21">
        <v>0</v>
      </c>
      <c r="P64" s="21">
        <v>0</v>
      </c>
      <c r="Q64" s="21">
        <v>0</v>
      </c>
      <c r="R64" s="21">
        <v>0</v>
      </c>
      <c r="S64" s="21">
        <v>0</v>
      </c>
      <c r="T64" s="21">
        <v>0</v>
      </c>
      <c r="U64" s="21">
        <v>0</v>
      </c>
      <c r="V64" s="21">
        <v>0</v>
      </c>
      <c r="W64" s="21">
        <v>0</v>
      </c>
      <c r="X64" s="21">
        <v>0</v>
      </c>
      <c r="Y64" s="21">
        <v>0</v>
      </c>
      <c r="Z64" s="21">
        <v>0</v>
      </c>
      <c r="AA64" s="21">
        <v>0</v>
      </c>
      <c r="AB64" s="21">
        <v>0</v>
      </c>
      <c r="AC64" s="21">
        <v>0</v>
      </c>
      <c r="AD64" s="21">
        <v>0</v>
      </c>
      <c r="AE64" s="21">
        <v>0</v>
      </c>
      <c r="AF64" s="21">
        <v>0</v>
      </c>
      <c r="AG64" s="21">
        <v>0</v>
      </c>
      <c r="AH64" s="21">
        <v>0</v>
      </c>
      <c r="AI64" s="21">
        <v>0</v>
      </c>
      <c r="AJ64" s="21">
        <v>0</v>
      </c>
      <c r="AK64" s="21">
        <v>0</v>
      </c>
      <c r="AL64" s="21">
        <v>0</v>
      </c>
      <c r="AM64" s="21">
        <v>0</v>
      </c>
      <c r="AN64" s="21">
        <v>0</v>
      </c>
      <c r="AO64" s="21">
        <v>0</v>
      </c>
      <c r="AP64" s="21">
        <v>0</v>
      </c>
      <c r="AQ64" s="21">
        <v>0</v>
      </c>
      <c r="AR64" s="21">
        <v>0</v>
      </c>
      <c r="AS64" s="21">
        <v>0</v>
      </c>
      <c r="AT64" s="21">
        <v>0</v>
      </c>
      <c r="AU64" s="21">
        <v>0</v>
      </c>
      <c r="AV64" s="21">
        <v>0</v>
      </c>
      <c r="AW64" s="21">
        <v>0</v>
      </c>
      <c r="AX64" s="21">
        <v>0</v>
      </c>
      <c r="AY64" s="21">
        <v>0</v>
      </c>
      <c r="AZ64" s="21">
        <v>0</v>
      </c>
      <c r="BA64" s="21">
        <v>0</v>
      </c>
      <c r="BB64" s="21">
        <v>0</v>
      </c>
      <c r="BC64" s="21">
        <v>0</v>
      </c>
      <c r="BD64" s="21">
        <v>0</v>
      </c>
      <c r="BE64" s="21">
        <v>0</v>
      </c>
      <c r="BF64" s="21">
        <v>0</v>
      </c>
      <c r="BG64" s="21">
        <v>0</v>
      </c>
      <c r="BH64" s="21">
        <v>0</v>
      </c>
      <c r="BI64" s="21">
        <v>159</v>
      </c>
      <c r="BJ64" s="21">
        <v>343</v>
      </c>
      <c r="BK64" s="21">
        <v>40</v>
      </c>
      <c r="BL64" s="21">
        <v>0</v>
      </c>
      <c r="BM64" s="21">
        <v>0</v>
      </c>
      <c r="BN64" s="21">
        <v>0</v>
      </c>
      <c r="BO64" s="21">
        <v>0</v>
      </c>
      <c r="BP64" s="21">
        <v>0</v>
      </c>
      <c r="BQ64" s="21">
        <v>0</v>
      </c>
      <c r="BR64" s="21">
        <v>7</v>
      </c>
      <c r="BS64" s="21" t="s">
        <v>683</v>
      </c>
      <c r="BT64" s="21">
        <v>15</v>
      </c>
      <c r="BU64" s="21">
        <v>15</v>
      </c>
      <c r="BV64" s="21">
        <v>0</v>
      </c>
      <c r="BW64" s="21">
        <v>0</v>
      </c>
      <c r="BX64" s="21">
        <v>4</v>
      </c>
      <c r="BY64" s="21">
        <v>0</v>
      </c>
      <c r="BZ64" s="21">
        <v>0</v>
      </c>
      <c r="CA64" s="21">
        <v>0</v>
      </c>
      <c r="CB64" s="21">
        <v>0</v>
      </c>
      <c r="CC64" s="21">
        <v>0</v>
      </c>
      <c r="CD64" s="21">
        <v>6</v>
      </c>
      <c r="CE64" s="21">
        <v>0</v>
      </c>
      <c r="CF64" s="21">
        <v>5</v>
      </c>
      <c r="CG64" s="21">
        <v>0</v>
      </c>
      <c r="CH64" s="21">
        <v>11</v>
      </c>
      <c r="CI64" s="21">
        <v>0</v>
      </c>
      <c r="CJ64" s="21">
        <v>1</v>
      </c>
      <c r="CK64" s="21">
        <v>15</v>
      </c>
      <c r="CL64" s="21">
        <v>0</v>
      </c>
      <c r="CM64" s="21">
        <v>0</v>
      </c>
      <c r="CN64" s="21">
        <v>3</v>
      </c>
      <c r="CO64" s="21">
        <v>0</v>
      </c>
      <c r="CP64" s="21">
        <v>0</v>
      </c>
      <c r="CQ64" s="21">
        <v>10</v>
      </c>
      <c r="CR64" s="21">
        <v>0</v>
      </c>
      <c r="CS64" s="21">
        <v>0</v>
      </c>
      <c r="CT64" s="21">
        <v>0</v>
      </c>
      <c r="CU64" s="21">
        <v>0</v>
      </c>
      <c r="CV64" s="21">
        <v>0</v>
      </c>
      <c r="CW64" s="21">
        <v>0</v>
      </c>
      <c r="CX64" s="21">
        <v>3</v>
      </c>
      <c r="CY64" s="21" t="s">
        <v>683</v>
      </c>
      <c r="CZ64" s="21">
        <v>10</v>
      </c>
      <c r="DA64" s="21">
        <v>0</v>
      </c>
      <c r="DB64" s="21">
        <v>0</v>
      </c>
      <c r="DC64" s="21">
        <v>0</v>
      </c>
      <c r="DD64" s="21">
        <v>2</v>
      </c>
      <c r="DE64" s="72"/>
      <c r="DG64" s="76"/>
      <c r="DI64" s="76"/>
    </row>
    <row r="65" spans="1:113">
      <c r="A65" s="23" t="s">
        <v>273</v>
      </c>
      <c r="B65" s="19" t="s">
        <v>276</v>
      </c>
      <c r="C65" s="19" t="s">
        <v>196</v>
      </c>
      <c r="D65" s="20">
        <f t="shared" si="0"/>
        <v>421411.69</v>
      </c>
      <c r="E65" s="22">
        <v>45917.7</v>
      </c>
      <c r="F65" s="22">
        <v>2213.67</v>
      </c>
      <c r="G65" s="22">
        <v>794.67</v>
      </c>
      <c r="H65" s="22">
        <v>5999.28</v>
      </c>
      <c r="I65" s="22">
        <v>542.99</v>
      </c>
      <c r="J65" s="22">
        <v>911.38</v>
      </c>
      <c r="K65" s="22">
        <v>3396.09</v>
      </c>
      <c r="L65" s="21">
        <v>87.68</v>
      </c>
      <c r="M65" s="22">
        <v>4211.33</v>
      </c>
      <c r="N65" s="22">
        <v>135.19</v>
      </c>
      <c r="O65" s="22">
        <v>149.21</v>
      </c>
      <c r="P65" s="22">
        <v>5898.79</v>
      </c>
      <c r="Q65" s="22">
        <v>1444.99</v>
      </c>
      <c r="R65" s="22">
        <v>3513.82</v>
      </c>
      <c r="S65" s="22">
        <v>273.36</v>
      </c>
      <c r="T65" s="22">
        <v>706.91</v>
      </c>
      <c r="U65" s="22">
        <v>355.58</v>
      </c>
      <c r="V65" s="22">
        <v>600.5</v>
      </c>
      <c r="W65" s="22">
        <v>207.42</v>
      </c>
      <c r="X65" s="22">
        <v>63.01</v>
      </c>
      <c r="Y65" s="22">
        <v>462.96</v>
      </c>
      <c r="Z65" s="22">
        <v>4650.12</v>
      </c>
      <c r="AA65" s="22">
        <v>2805.97</v>
      </c>
      <c r="AB65" s="22">
        <v>485.84</v>
      </c>
      <c r="AC65" s="22">
        <v>3536.17</v>
      </c>
      <c r="AD65" s="22">
        <v>488.53</v>
      </c>
      <c r="AE65" s="22">
        <v>342</v>
      </c>
      <c r="AF65" s="22">
        <v>248.46</v>
      </c>
      <c r="AG65" s="22">
        <v>499.49</v>
      </c>
      <c r="AH65" s="22">
        <v>690.86</v>
      </c>
      <c r="AI65" s="22">
        <v>744.64</v>
      </c>
      <c r="AJ65" s="22">
        <v>3004.52</v>
      </c>
      <c r="AK65" s="22">
        <v>320.85000000000002</v>
      </c>
      <c r="AL65" s="22">
        <v>1031.55</v>
      </c>
      <c r="AM65" s="22">
        <v>1183.5</v>
      </c>
      <c r="AN65" s="22">
        <v>865.22</v>
      </c>
      <c r="AO65" s="22">
        <v>1060.8499999999999</v>
      </c>
      <c r="AP65" s="22">
        <v>470.67</v>
      </c>
      <c r="AQ65" s="22">
        <v>77.19</v>
      </c>
      <c r="AR65" s="22">
        <v>6562.81</v>
      </c>
      <c r="AS65" s="22">
        <v>1208.47</v>
      </c>
      <c r="AT65" s="22">
        <v>187.18</v>
      </c>
      <c r="AU65" s="22">
        <v>813.96</v>
      </c>
      <c r="AV65" s="22">
        <v>72.91</v>
      </c>
      <c r="AW65" s="22">
        <v>2462.16</v>
      </c>
      <c r="AX65" s="22">
        <v>541.66999999999996</v>
      </c>
      <c r="AY65" s="22">
        <v>1595.46</v>
      </c>
      <c r="AZ65" s="22">
        <v>0</v>
      </c>
      <c r="BA65" s="22">
        <v>5474.66</v>
      </c>
      <c r="BB65" s="22">
        <v>633.4</v>
      </c>
      <c r="BC65" s="22">
        <v>318.2</v>
      </c>
      <c r="BD65" s="22">
        <v>701</v>
      </c>
      <c r="BE65" s="22">
        <v>1100</v>
      </c>
      <c r="BF65" s="22">
        <v>864</v>
      </c>
      <c r="BG65" s="22">
        <v>701</v>
      </c>
      <c r="BH65" s="22">
        <v>580</v>
      </c>
      <c r="BI65" s="22">
        <v>86199.76</v>
      </c>
      <c r="BJ65" s="22">
        <v>122020.22</v>
      </c>
      <c r="BK65" s="22">
        <v>14474.38</v>
      </c>
      <c r="BL65" s="22">
        <v>6151.9</v>
      </c>
      <c r="BM65" s="22">
        <v>335.11</v>
      </c>
      <c r="BN65" s="22">
        <v>86.97</v>
      </c>
      <c r="BO65" s="22">
        <v>193.4</v>
      </c>
      <c r="BP65" s="22">
        <v>681.04</v>
      </c>
      <c r="BQ65" s="22">
        <v>564.97</v>
      </c>
      <c r="BR65" s="22">
        <v>455.11</v>
      </c>
      <c r="BS65" s="22">
        <v>919.68</v>
      </c>
      <c r="BT65" s="22">
        <v>1309.18</v>
      </c>
      <c r="BU65" s="22">
        <v>11427.14</v>
      </c>
      <c r="BV65" s="22">
        <v>128.87</v>
      </c>
      <c r="BW65" s="22">
        <v>251.98</v>
      </c>
      <c r="BX65" s="22">
        <v>804.53</v>
      </c>
      <c r="BY65" s="22">
        <v>430.92</v>
      </c>
      <c r="BZ65" s="22">
        <v>4174.46</v>
      </c>
      <c r="CA65" s="22">
        <v>309.66000000000003</v>
      </c>
      <c r="CB65" s="22">
        <v>413.93</v>
      </c>
      <c r="CC65" s="22">
        <v>127.85</v>
      </c>
      <c r="CD65" s="22">
        <v>635.34</v>
      </c>
      <c r="CE65" s="22">
        <v>117.87</v>
      </c>
      <c r="CF65" s="22">
        <v>323.82</v>
      </c>
      <c r="CG65" s="22">
        <v>1355.36</v>
      </c>
      <c r="CH65" s="22">
        <v>677.76</v>
      </c>
      <c r="CI65" s="22">
        <v>1666.18</v>
      </c>
      <c r="CJ65" s="22">
        <v>743.84</v>
      </c>
      <c r="CK65" s="22">
        <v>2735.9</v>
      </c>
      <c r="CL65" s="22">
        <v>874.61</v>
      </c>
      <c r="CM65" s="22">
        <v>116.16</v>
      </c>
      <c r="CN65" s="22">
        <v>1136.74</v>
      </c>
      <c r="CO65" s="22">
        <v>3635.68</v>
      </c>
      <c r="CP65" s="22">
        <v>2621.12</v>
      </c>
      <c r="CQ65" s="22">
        <v>2925.29</v>
      </c>
      <c r="CR65" s="22">
        <v>100.38</v>
      </c>
      <c r="CS65" s="22">
        <v>5015.26</v>
      </c>
      <c r="CT65" s="22">
        <v>1820.56</v>
      </c>
      <c r="CU65" s="22">
        <v>1711.18</v>
      </c>
      <c r="CV65" s="22">
        <v>212.46</v>
      </c>
      <c r="CW65" s="22">
        <v>229.96</v>
      </c>
      <c r="CX65" s="22">
        <v>804.1</v>
      </c>
      <c r="CY65" s="22">
        <v>550.11</v>
      </c>
      <c r="CZ65" s="22">
        <v>6630.9</v>
      </c>
      <c r="DA65" s="22">
        <v>2751.95</v>
      </c>
      <c r="DB65" s="22">
        <v>2600.71</v>
      </c>
      <c r="DC65" s="22">
        <v>73.33</v>
      </c>
      <c r="DD65" s="22">
        <v>3674.22</v>
      </c>
      <c r="DE65" s="72"/>
      <c r="DG65" s="76"/>
      <c r="DI65" s="76"/>
    </row>
    <row r="66" spans="1:113">
      <c r="A66" s="23" t="s">
        <v>277</v>
      </c>
      <c r="B66" s="19" t="s">
        <v>278</v>
      </c>
      <c r="C66" s="19" t="s">
        <v>279</v>
      </c>
      <c r="D66" s="20">
        <f t="shared" si="0"/>
        <v>15</v>
      </c>
      <c r="E66" s="22">
        <v>1</v>
      </c>
      <c r="F66" s="22">
        <v>0</v>
      </c>
      <c r="G66" s="22">
        <v>0</v>
      </c>
      <c r="H66" s="22">
        <v>0</v>
      </c>
      <c r="I66" s="22">
        <v>0</v>
      </c>
      <c r="J66" s="22">
        <v>0</v>
      </c>
      <c r="K66" s="22">
        <v>1</v>
      </c>
      <c r="L66" s="21">
        <v>0</v>
      </c>
      <c r="M66" s="22">
        <v>0</v>
      </c>
      <c r="N66" s="22">
        <v>0</v>
      </c>
      <c r="O66" s="22">
        <v>0</v>
      </c>
      <c r="P66" s="22">
        <v>1</v>
      </c>
      <c r="Q66" s="22">
        <v>0</v>
      </c>
      <c r="R66" s="22">
        <v>1</v>
      </c>
      <c r="S66" s="22">
        <v>0</v>
      </c>
      <c r="T66" s="22">
        <v>0</v>
      </c>
      <c r="U66" s="22">
        <v>0</v>
      </c>
      <c r="V66" s="22">
        <v>0</v>
      </c>
      <c r="W66" s="22">
        <v>0</v>
      </c>
      <c r="X66" s="22">
        <v>0</v>
      </c>
      <c r="Y66" s="22">
        <v>0</v>
      </c>
      <c r="Z66" s="22">
        <v>0</v>
      </c>
      <c r="AA66" s="22">
        <v>0</v>
      </c>
      <c r="AB66" s="22">
        <v>0</v>
      </c>
      <c r="AC66" s="22">
        <v>1</v>
      </c>
      <c r="AD66" s="22">
        <v>0</v>
      </c>
      <c r="AE66" s="22">
        <v>0</v>
      </c>
      <c r="AF66" s="22">
        <v>0</v>
      </c>
      <c r="AG66" s="22">
        <v>0</v>
      </c>
      <c r="AH66" s="22">
        <v>0</v>
      </c>
      <c r="AI66" s="22">
        <v>0</v>
      </c>
      <c r="AJ66" s="22">
        <v>1</v>
      </c>
      <c r="AK66" s="22">
        <v>0</v>
      </c>
      <c r="AL66" s="22">
        <v>0</v>
      </c>
      <c r="AM66" s="22">
        <v>0</v>
      </c>
      <c r="AN66" s="22">
        <v>0</v>
      </c>
      <c r="AO66" s="22">
        <v>0</v>
      </c>
      <c r="AP66" s="22">
        <v>0</v>
      </c>
      <c r="AQ66" s="22">
        <v>0</v>
      </c>
      <c r="AR66" s="22">
        <v>0</v>
      </c>
      <c r="AS66" s="22">
        <v>0</v>
      </c>
      <c r="AT66" s="22">
        <v>0</v>
      </c>
      <c r="AU66" s="22">
        <v>0</v>
      </c>
      <c r="AV66" s="22">
        <v>0</v>
      </c>
      <c r="AW66" s="22">
        <v>1</v>
      </c>
      <c r="AX66" s="22">
        <v>0</v>
      </c>
      <c r="AY66" s="22">
        <v>0</v>
      </c>
      <c r="AZ66" s="22">
        <v>0</v>
      </c>
      <c r="BA66" s="22">
        <v>1</v>
      </c>
      <c r="BB66" s="22">
        <v>0</v>
      </c>
      <c r="BC66" s="22">
        <v>0</v>
      </c>
      <c r="BD66" s="22">
        <v>0</v>
      </c>
      <c r="BE66" s="22">
        <v>1</v>
      </c>
      <c r="BF66" s="22">
        <v>1</v>
      </c>
      <c r="BG66" s="22">
        <v>0</v>
      </c>
      <c r="BH66" s="22">
        <v>0</v>
      </c>
      <c r="BI66" s="22">
        <v>1</v>
      </c>
      <c r="BJ66" s="22">
        <v>3</v>
      </c>
      <c r="BK66" s="22">
        <v>1</v>
      </c>
      <c r="BL66" s="21">
        <v>0</v>
      </c>
      <c r="BM66" s="21">
        <v>0</v>
      </c>
      <c r="BN66" s="21">
        <v>0</v>
      </c>
      <c r="BO66" s="21">
        <v>0</v>
      </c>
      <c r="BP66" s="21">
        <v>0</v>
      </c>
      <c r="BQ66" s="21">
        <v>0</v>
      </c>
      <c r="BR66" s="21">
        <v>0</v>
      </c>
      <c r="BS66" s="21">
        <v>0</v>
      </c>
      <c r="BT66" s="21">
        <v>0</v>
      </c>
      <c r="BU66" s="21">
        <v>0</v>
      </c>
      <c r="BV66" s="21">
        <v>0</v>
      </c>
      <c r="BW66" s="21">
        <v>0</v>
      </c>
      <c r="BX66" s="21">
        <v>0</v>
      </c>
      <c r="BY66" s="21">
        <v>0</v>
      </c>
      <c r="BZ66" s="21">
        <v>0</v>
      </c>
      <c r="CA66" s="21">
        <v>0</v>
      </c>
      <c r="CB66" s="21">
        <v>0</v>
      </c>
      <c r="CC66" s="21">
        <v>0</v>
      </c>
      <c r="CD66" s="21">
        <v>0</v>
      </c>
      <c r="CE66" s="21">
        <v>0</v>
      </c>
      <c r="CF66" s="21">
        <v>0</v>
      </c>
      <c r="CG66" s="21">
        <v>0</v>
      </c>
      <c r="CH66" s="21">
        <v>0</v>
      </c>
      <c r="CI66" s="21">
        <v>0</v>
      </c>
      <c r="CJ66" s="21">
        <v>0</v>
      </c>
      <c r="CK66" s="21">
        <v>0</v>
      </c>
      <c r="CL66" s="21">
        <v>0</v>
      </c>
      <c r="CM66" s="21">
        <v>0</v>
      </c>
      <c r="CN66" s="21">
        <v>0</v>
      </c>
      <c r="CO66" s="21">
        <v>0</v>
      </c>
      <c r="CP66" s="21">
        <v>0</v>
      </c>
      <c r="CQ66" s="21">
        <v>0</v>
      </c>
      <c r="CR66" s="21">
        <v>0</v>
      </c>
      <c r="CS66" s="21">
        <v>0</v>
      </c>
      <c r="CT66" s="21">
        <v>0</v>
      </c>
      <c r="CU66" s="21">
        <v>0</v>
      </c>
      <c r="CV66" s="21">
        <v>0</v>
      </c>
      <c r="CW66" s="21">
        <v>0</v>
      </c>
      <c r="CX66" s="21">
        <v>0</v>
      </c>
      <c r="CY66" s="21">
        <v>0</v>
      </c>
      <c r="CZ66" s="21">
        <v>0</v>
      </c>
      <c r="DA66" s="21">
        <v>0</v>
      </c>
      <c r="DB66" s="21">
        <v>0</v>
      </c>
      <c r="DC66" s="21">
        <v>0</v>
      </c>
      <c r="DD66" s="21">
        <v>0</v>
      </c>
      <c r="DE66" s="72"/>
      <c r="DG66" s="76"/>
      <c r="DI66" s="76"/>
    </row>
    <row r="67" spans="1:113">
      <c r="A67" s="23" t="s">
        <v>280</v>
      </c>
      <c r="B67" s="19" t="s">
        <v>281</v>
      </c>
      <c r="C67" s="19" t="s">
        <v>282</v>
      </c>
      <c r="D67" s="20">
        <f t="shared" si="0"/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1">
        <v>0</v>
      </c>
      <c r="AZ67" s="21">
        <v>0</v>
      </c>
      <c r="BA67" s="21">
        <v>0</v>
      </c>
      <c r="BB67" s="21">
        <v>0</v>
      </c>
      <c r="BC67" s="21">
        <v>0</v>
      </c>
      <c r="BD67" s="21">
        <v>0</v>
      </c>
      <c r="BE67" s="21">
        <v>0</v>
      </c>
      <c r="BF67" s="21">
        <v>0</v>
      </c>
      <c r="BG67" s="21">
        <v>0</v>
      </c>
      <c r="BH67" s="21">
        <v>0</v>
      </c>
      <c r="BI67" s="21">
        <v>0</v>
      </c>
      <c r="BJ67" s="21">
        <v>0</v>
      </c>
      <c r="BK67" s="21">
        <v>0</v>
      </c>
      <c r="BL67" s="21">
        <v>0</v>
      </c>
      <c r="BM67" s="21">
        <v>0</v>
      </c>
      <c r="BN67" s="21">
        <v>0</v>
      </c>
      <c r="BO67" s="21">
        <v>0</v>
      </c>
      <c r="BP67" s="21">
        <v>0</v>
      </c>
      <c r="BQ67" s="21">
        <v>0</v>
      </c>
      <c r="BR67" s="21">
        <v>0</v>
      </c>
      <c r="BS67" s="21">
        <v>0</v>
      </c>
      <c r="BT67" s="21">
        <v>0</v>
      </c>
      <c r="BU67" s="21">
        <v>0</v>
      </c>
      <c r="BV67" s="21">
        <v>0</v>
      </c>
      <c r="BW67" s="21">
        <v>0</v>
      </c>
      <c r="BX67" s="21">
        <v>0</v>
      </c>
      <c r="BY67" s="21">
        <v>0</v>
      </c>
      <c r="BZ67" s="21">
        <v>0</v>
      </c>
      <c r="CA67" s="21">
        <v>0</v>
      </c>
      <c r="CB67" s="21">
        <v>0</v>
      </c>
      <c r="CC67" s="21">
        <v>0</v>
      </c>
      <c r="CD67" s="21">
        <v>0</v>
      </c>
      <c r="CE67" s="21">
        <v>0</v>
      </c>
      <c r="CF67" s="21">
        <v>0</v>
      </c>
      <c r="CG67" s="21">
        <v>0</v>
      </c>
      <c r="CH67" s="21">
        <v>0</v>
      </c>
      <c r="CI67" s="21">
        <v>0</v>
      </c>
      <c r="CJ67" s="21">
        <v>0</v>
      </c>
      <c r="CK67" s="21">
        <v>0</v>
      </c>
      <c r="CL67" s="21">
        <v>0</v>
      </c>
      <c r="CM67" s="21">
        <v>0</v>
      </c>
      <c r="CN67" s="21">
        <v>0</v>
      </c>
      <c r="CO67" s="21">
        <v>0</v>
      </c>
      <c r="CP67" s="21">
        <v>0</v>
      </c>
      <c r="CQ67" s="21">
        <v>0</v>
      </c>
      <c r="CR67" s="21">
        <v>0</v>
      </c>
      <c r="CS67" s="21">
        <v>0</v>
      </c>
      <c r="CT67" s="21">
        <v>0</v>
      </c>
      <c r="CU67" s="21">
        <v>0</v>
      </c>
      <c r="CV67" s="21">
        <v>0</v>
      </c>
      <c r="CW67" s="21">
        <v>0</v>
      </c>
      <c r="CX67" s="21">
        <v>0</v>
      </c>
      <c r="CY67" s="21">
        <v>0</v>
      </c>
      <c r="CZ67" s="21">
        <v>0</v>
      </c>
      <c r="DA67" s="21">
        <v>0</v>
      </c>
      <c r="DB67" s="21">
        <v>0</v>
      </c>
      <c r="DC67" s="21">
        <v>0</v>
      </c>
      <c r="DD67" s="21">
        <v>0</v>
      </c>
      <c r="DE67" s="73"/>
      <c r="DG67" s="76"/>
      <c r="DI67" s="76"/>
    </row>
    <row r="68" spans="1:113">
      <c r="A68" s="23" t="s">
        <v>283</v>
      </c>
      <c r="B68" s="19" t="s">
        <v>284</v>
      </c>
      <c r="C68" s="19" t="s">
        <v>285</v>
      </c>
      <c r="D68" s="20">
        <f t="shared" si="0"/>
        <v>1</v>
      </c>
      <c r="E68" s="21">
        <v>1</v>
      </c>
      <c r="F68" s="21">
        <v>0</v>
      </c>
      <c r="G68" s="21">
        <v>0</v>
      </c>
      <c r="H68" s="21">
        <v>0</v>
      </c>
      <c r="I68" s="21">
        <v>0</v>
      </c>
      <c r="J68" s="21">
        <v>0</v>
      </c>
      <c r="K68" s="21">
        <v>0</v>
      </c>
      <c r="L68" s="21">
        <v>0</v>
      </c>
      <c r="M68" s="21">
        <v>0</v>
      </c>
      <c r="N68" s="21">
        <v>0</v>
      </c>
      <c r="O68" s="21">
        <v>0</v>
      </c>
      <c r="P68" s="21">
        <v>0</v>
      </c>
      <c r="Q68" s="21">
        <v>0</v>
      </c>
      <c r="R68" s="21">
        <v>0</v>
      </c>
      <c r="S68" s="21">
        <v>0</v>
      </c>
      <c r="T68" s="21">
        <v>0</v>
      </c>
      <c r="U68" s="21">
        <v>0</v>
      </c>
      <c r="V68" s="21">
        <v>0</v>
      </c>
      <c r="W68" s="21">
        <v>0</v>
      </c>
      <c r="X68" s="21">
        <v>0</v>
      </c>
      <c r="Y68" s="21">
        <v>0</v>
      </c>
      <c r="Z68" s="21">
        <v>0</v>
      </c>
      <c r="AA68" s="21">
        <v>0</v>
      </c>
      <c r="AB68" s="21">
        <v>0</v>
      </c>
      <c r="AC68" s="21">
        <v>0</v>
      </c>
      <c r="AD68" s="21">
        <v>0</v>
      </c>
      <c r="AE68" s="21">
        <v>0</v>
      </c>
      <c r="AF68" s="21">
        <v>0</v>
      </c>
      <c r="AG68" s="21">
        <v>0</v>
      </c>
      <c r="AH68" s="21">
        <v>0</v>
      </c>
      <c r="AI68" s="21">
        <v>0</v>
      </c>
      <c r="AJ68" s="21">
        <v>0</v>
      </c>
      <c r="AK68" s="21">
        <v>0</v>
      </c>
      <c r="AL68" s="21">
        <v>0</v>
      </c>
      <c r="AM68" s="21">
        <v>0</v>
      </c>
      <c r="AN68" s="21">
        <v>0</v>
      </c>
      <c r="AO68" s="21">
        <v>0</v>
      </c>
      <c r="AP68" s="21">
        <v>0</v>
      </c>
      <c r="AQ68" s="21">
        <v>0</v>
      </c>
      <c r="AR68" s="21">
        <v>0</v>
      </c>
      <c r="AS68" s="21">
        <v>0</v>
      </c>
      <c r="AT68" s="21">
        <v>0</v>
      </c>
      <c r="AU68" s="21">
        <v>0</v>
      </c>
      <c r="AV68" s="21">
        <v>0</v>
      </c>
      <c r="AW68" s="21">
        <v>0</v>
      </c>
      <c r="AX68" s="21">
        <v>0</v>
      </c>
      <c r="AY68" s="21">
        <v>0</v>
      </c>
      <c r="AZ68" s="21">
        <v>0</v>
      </c>
      <c r="BA68" s="21">
        <v>0</v>
      </c>
      <c r="BB68" s="21">
        <v>0</v>
      </c>
      <c r="BC68" s="21">
        <v>0</v>
      </c>
      <c r="BD68" s="21">
        <v>0</v>
      </c>
      <c r="BE68" s="21">
        <v>0</v>
      </c>
      <c r="BF68" s="21">
        <v>0</v>
      </c>
      <c r="BG68" s="21">
        <v>0</v>
      </c>
      <c r="BH68" s="21">
        <v>0</v>
      </c>
      <c r="BI68" s="21">
        <v>0</v>
      </c>
      <c r="BJ68" s="21">
        <v>0</v>
      </c>
      <c r="BK68" s="21">
        <v>0</v>
      </c>
      <c r="BL68" s="21">
        <v>0</v>
      </c>
      <c r="BM68" s="21">
        <v>0</v>
      </c>
      <c r="BN68" s="21">
        <v>0</v>
      </c>
      <c r="BO68" s="21">
        <v>0</v>
      </c>
      <c r="BP68" s="21">
        <v>0</v>
      </c>
      <c r="BQ68" s="21">
        <v>0</v>
      </c>
      <c r="BR68" s="21">
        <v>0</v>
      </c>
      <c r="BS68" s="21">
        <v>0</v>
      </c>
      <c r="BT68" s="21">
        <v>0</v>
      </c>
      <c r="BU68" s="21">
        <v>0</v>
      </c>
      <c r="BV68" s="21">
        <v>0</v>
      </c>
      <c r="BW68" s="21">
        <v>0</v>
      </c>
      <c r="BX68" s="21">
        <v>0</v>
      </c>
      <c r="BY68" s="21">
        <v>0</v>
      </c>
      <c r="BZ68" s="21">
        <v>0</v>
      </c>
      <c r="CA68" s="21">
        <v>0</v>
      </c>
      <c r="CB68" s="21">
        <v>0</v>
      </c>
      <c r="CC68" s="21">
        <v>0</v>
      </c>
      <c r="CD68" s="21">
        <v>0</v>
      </c>
      <c r="CE68" s="21">
        <v>0</v>
      </c>
      <c r="CF68" s="21">
        <v>0</v>
      </c>
      <c r="CG68" s="21">
        <v>0</v>
      </c>
      <c r="CH68" s="21">
        <v>0</v>
      </c>
      <c r="CI68" s="21">
        <v>0</v>
      </c>
      <c r="CJ68" s="21">
        <v>0</v>
      </c>
      <c r="CK68" s="21">
        <v>0</v>
      </c>
      <c r="CL68" s="21">
        <v>0</v>
      </c>
      <c r="CM68" s="21">
        <v>0</v>
      </c>
      <c r="CN68" s="21">
        <v>0</v>
      </c>
      <c r="CO68" s="21">
        <v>0</v>
      </c>
      <c r="CP68" s="21">
        <v>0</v>
      </c>
      <c r="CQ68" s="21">
        <v>0</v>
      </c>
      <c r="CR68" s="21">
        <v>0</v>
      </c>
      <c r="CS68" s="21">
        <v>0</v>
      </c>
      <c r="CT68" s="21">
        <v>0</v>
      </c>
      <c r="CU68" s="21">
        <v>0</v>
      </c>
      <c r="CV68" s="21">
        <v>0</v>
      </c>
      <c r="CW68" s="21">
        <v>0</v>
      </c>
      <c r="CX68" s="21">
        <v>0</v>
      </c>
      <c r="CY68" s="21">
        <v>0</v>
      </c>
      <c r="CZ68" s="21">
        <v>0</v>
      </c>
      <c r="DA68" s="21">
        <v>0</v>
      </c>
      <c r="DB68" s="21">
        <v>0</v>
      </c>
      <c r="DC68" s="21">
        <v>0</v>
      </c>
      <c r="DD68" s="21">
        <v>0</v>
      </c>
      <c r="DE68" s="72"/>
      <c r="DG68" s="76"/>
      <c r="DI68" s="76"/>
    </row>
    <row r="69" spans="1:113">
      <c r="A69" s="23"/>
      <c r="B69" s="19" t="s">
        <v>286</v>
      </c>
      <c r="C69" s="19" t="s">
        <v>287</v>
      </c>
      <c r="D69" s="20">
        <f t="shared" si="0"/>
        <v>1</v>
      </c>
      <c r="E69" s="21">
        <v>1</v>
      </c>
      <c r="F69" s="21">
        <v>0</v>
      </c>
      <c r="G69" s="21">
        <v>0</v>
      </c>
      <c r="H69" s="21">
        <v>0</v>
      </c>
      <c r="I69" s="21">
        <v>0</v>
      </c>
      <c r="J69" s="21">
        <v>0</v>
      </c>
      <c r="K69" s="21">
        <v>0</v>
      </c>
      <c r="L69" s="21">
        <v>0</v>
      </c>
      <c r="M69" s="21">
        <v>0</v>
      </c>
      <c r="N69" s="21">
        <v>0</v>
      </c>
      <c r="O69" s="21">
        <v>0</v>
      </c>
      <c r="P69" s="21">
        <v>0</v>
      </c>
      <c r="Q69" s="21">
        <v>0</v>
      </c>
      <c r="R69" s="21">
        <v>0</v>
      </c>
      <c r="S69" s="21">
        <v>0</v>
      </c>
      <c r="T69" s="21">
        <v>0</v>
      </c>
      <c r="U69" s="21">
        <v>0</v>
      </c>
      <c r="V69" s="21">
        <v>0</v>
      </c>
      <c r="W69" s="21">
        <v>0</v>
      </c>
      <c r="X69" s="21">
        <v>0</v>
      </c>
      <c r="Y69" s="21">
        <v>0</v>
      </c>
      <c r="Z69" s="21">
        <v>0</v>
      </c>
      <c r="AA69" s="21">
        <v>0</v>
      </c>
      <c r="AB69" s="21">
        <v>0</v>
      </c>
      <c r="AC69" s="21">
        <v>0</v>
      </c>
      <c r="AD69" s="21">
        <v>0</v>
      </c>
      <c r="AE69" s="21">
        <v>0</v>
      </c>
      <c r="AF69" s="21">
        <v>0</v>
      </c>
      <c r="AG69" s="21">
        <v>0</v>
      </c>
      <c r="AH69" s="21">
        <v>0</v>
      </c>
      <c r="AI69" s="21">
        <v>0</v>
      </c>
      <c r="AJ69" s="21">
        <v>0</v>
      </c>
      <c r="AK69" s="21">
        <v>0</v>
      </c>
      <c r="AL69" s="21">
        <v>0</v>
      </c>
      <c r="AM69" s="21">
        <v>0</v>
      </c>
      <c r="AN69" s="21">
        <v>0</v>
      </c>
      <c r="AO69" s="21">
        <v>0</v>
      </c>
      <c r="AP69" s="21">
        <v>0</v>
      </c>
      <c r="AQ69" s="21">
        <v>0</v>
      </c>
      <c r="AR69" s="21">
        <v>0</v>
      </c>
      <c r="AS69" s="21">
        <v>0</v>
      </c>
      <c r="AT69" s="21">
        <v>0</v>
      </c>
      <c r="AU69" s="21">
        <v>0</v>
      </c>
      <c r="AV69" s="21">
        <v>0</v>
      </c>
      <c r="AW69" s="21">
        <v>0</v>
      </c>
      <c r="AX69" s="21">
        <v>0</v>
      </c>
      <c r="AY69" s="21">
        <v>0</v>
      </c>
      <c r="AZ69" s="21">
        <v>0</v>
      </c>
      <c r="BA69" s="21">
        <v>0</v>
      </c>
      <c r="BB69" s="21">
        <v>0</v>
      </c>
      <c r="BC69" s="21">
        <v>0</v>
      </c>
      <c r="BD69" s="21">
        <v>0</v>
      </c>
      <c r="BE69" s="21">
        <v>0</v>
      </c>
      <c r="BF69" s="21">
        <v>0</v>
      </c>
      <c r="BG69" s="21">
        <v>0</v>
      </c>
      <c r="BH69" s="21">
        <v>0</v>
      </c>
      <c r="BI69" s="21">
        <v>0</v>
      </c>
      <c r="BJ69" s="21">
        <v>0</v>
      </c>
      <c r="BK69" s="21">
        <v>0</v>
      </c>
      <c r="BL69" s="21">
        <v>0</v>
      </c>
      <c r="BM69" s="21">
        <v>0</v>
      </c>
      <c r="BN69" s="21">
        <v>0</v>
      </c>
      <c r="BO69" s="21">
        <v>0</v>
      </c>
      <c r="BP69" s="21">
        <v>0</v>
      </c>
      <c r="BQ69" s="21">
        <v>0</v>
      </c>
      <c r="BR69" s="21">
        <v>0</v>
      </c>
      <c r="BS69" s="21">
        <v>0</v>
      </c>
      <c r="BT69" s="21">
        <v>0</v>
      </c>
      <c r="BU69" s="21">
        <v>0</v>
      </c>
      <c r="BV69" s="21">
        <v>0</v>
      </c>
      <c r="BW69" s="21">
        <v>0</v>
      </c>
      <c r="BX69" s="21">
        <v>0</v>
      </c>
      <c r="BY69" s="21">
        <v>0</v>
      </c>
      <c r="BZ69" s="21">
        <v>0</v>
      </c>
      <c r="CA69" s="21">
        <v>0</v>
      </c>
      <c r="CB69" s="21">
        <v>0</v>
      </c>
      <c r="CC69" s="21">
        <v>0</v>
      </c>
      <c r="CD69" s="21">
        <v>0</v>
      </c>
      <c r="CE69" s="21">
        <v>0</v>
      </c>
      <c r="CF69" s="21">
        <v>0</v>
      </c>
      <c r="CG69" s="21">
        <v>0</v>
      </c>
      <c r="CH69" s="21">
        <v>0</v>
      </c>
      <c r="CI69" s="21">
        <v>0</v>
      </c>
      <c r="CJ69" s="21">
        <v>0</v>
      </c>
      <c r="CK69" s="21">
        <v>0</v>
      </c>
      <c r="CL69" s="21">
        <v>0</v>
      </c>
      <c r="CM69" s="21">
        <v>0</v>
      </c>
      <c r="CN69" s="21">
        <v>0</v>
      </c>
      <c r="CO69" s="21">
        <v>0</v>
      </c>
      <c r="CP69" s="21">
        <v>0</v>
      </c>
      <c r="CQ69" s="21">
        <v>0</v>
      </c>
      <c r="CR69" s="21">
        <v>0</v>
      </c>
      <c r="CS69" s="21">
        <v>0</v>
      </c>
      <c r="CT69" s="21">
        <v>0</v>
      </c>
      <c r="CU69" s="21">
        <v>0</v>
      </c>
      <c r="CV69" s="21">
        <v>0</v>
      </c>
      <c r="CW69" s="21">
        <v>0</v>
      </c>
      <c r="CX69" s="21">
        <v>0</v>
      </c>
      <c r="CY69" s="21">
        <v>0</v>
      </c>
      <c r="CZ69" s="21">
        <v>0</v>
      </c>
      <c r="DA69" s="21">
        <v>0</v>
      </c>
      <c r="DB69" s="21">
        <v>0</v>
      </c>
      <c r="DC69" s="21">
        <v>0</v>
      </c>
      <c r="DD69" s="21">
        <v>0</v>
      </c>
      <c r="DE69" s="73"/>
      <c r="DG69" s="76"/>
      <c r="DI69" s="76"/>
    </row>
    <row r="70" spans="1:113" ht="32.1">
      <c r="A70" s="23"/>
      <c r="B70" s="19" t="s">
        <v>288</v>
      </c>
      <c r="C70" s="19" t="s">
        <v>227</v>
      </c>
      <c r="D70" s="20">
        <f t="shared" si="0"/>
        <v>3</v>
      </c>
      <c r="E70" s="21">
        <v>1</v>
      </c>
      <c r="F70" s="21">
        <v>0</v>
      </c>
      <c r="G70" s="21">
        <v>0</v>
      </c>
      <c r="H70" s="21">
        <v>0</v>
      </c>
      <c r="I70" s="21">
        <v>0</v>
      </c>
      <c r="J70" s="21">
        <v>0</v>
      </c>
      <c r="K70" s="21">
        <v>0</v>
      </c>
      <c r="L70" s="21">
        <v>0</v>
      </c>
      <c r="M70" s="21">
        <v>0</v>
      </c>
      <c r="N70" s="21">
        <v>0</v>
      </c>
      <c r="O70" s="21">
        <v>0</v>
      </c>
      <c r="P70" s="21">
        <v>0</v>
      </c>
      <c r="Q70" s="21">
        <v>0</v>
      </c>
      <c r="R70" s="21">
        <v>0</v>
      </c>
      <c r="S70" s="21">
        <v>0</v>
      </c>
      <c r="T70" s="21">
        <v>0</v>
      </c>
      <c r="U70" s="21">
        <v>0</v>
      </c>
      <c r="V70" s="21">
        <v>0</v>
      </c>
      <c r="W70" s="21">
        <v>0</v>
      </c>
      <c r="X70" s="21">
        <v>0</v>
      </c>
      <c r="Y70" s="21">
        <v>0</v>
      </c>
      <c r="Z70" s="21">
        <v>0</v>
      </c>
      <c r="AA70" s="21">
        <v>0</v>
      </c>
      <c r="AB70" s="21">
        <v>0</v>
      </c>
      <c r="AC70" s="21">
        <v>0</v>
      </c>
      <c r="AD70" s="21">
        <v>0</v>
      </c>
      <c r="AE70" s="21">
        <v>0</v>
      </c>
      <c r="AF70" s="21">
        <v>0</v>
      </c>
      <c r="AG70" s="21">
        <v>0</v>
      </c>
      <c r="AH70" s="21">
        <v>0</v>
      </c>
      <c r="AI70" s="21">
        <v>0</v>
      </c>
      <c r="AJ70" s="21">
        <v>0</v>
      </c>
      <c r="AK70" s="21">
        <v>0</v>
      </c>
      <c r="AL70" s="21">
        <v>0</v>
      </c>
      <c r="AM70" s="21">
        <v>0</v>
      </c>
      <c r="AN70" s="21">
        <v>0</v>
      </c>
      <c r="AO70" s="21">
        <v>0</v>
      </c>
      <c r="AP70" s="21">
        <v>0</v>
      </c>
      <c r="AQ70" s="21">
        <v>0</v>
      </c>
      <c r="AR70" s="21">
        <v>0</v>
      </c>
      <c r="AS70" s="21">
        <v>0</v>
      </c>
      <c r="AT70" s="21">
        <v>0</v>
      </c>
      <c r="AU70" s="21">
        <v>0</v>
      </c>
      <c r="AV70" s="21">
        <v>0</v>
      </c>
      <c r="AW70" s="21">
        <v>0</v>
      </c>
      <c r="AX70" s="21">
        <v>0</v>
      </c>
      <c r="AY70" s="21">
        <v>0</v>
      </c>
      <c r="AZ70" s="21">
        <v>0</v>
      </c>
      <c r="BA70" s="21">
        <v>0</v>
      </c>
      <c r="BB70" s="21">
        <v>0</v>
      </c>
      <c r="BC70" s="21">
        <v>0</v>
      </c>
      <c r="BD70" s="21">
        <v>0</v>
      </c>
      <c r="BE70" s="21">
        <v>0</v>
      </c>
      <c r="BF70" s="21">
        <v>0</v>
      </c>
      <c r="BG70" s="21">
        <v>0</v>
      </c>
      <c r="BH70" s="21">
        <v>0</v>
      </c>
      <c r="BI70" s="21">
        <v>1</v>
      </c>
      <c r="BJ70" s="21">
        <v>1</v>
      </c>
      <c r="BK70" s="21">
        <v>0</v>
      </c>
      <c r="BL70" s="21">
        <v>0</v>
      </c>
      <c r="BM70" s="21">
        <v>0</v>
      </c>
      <c r="BN70" s="21">
        <v>0</v>
      </c>
      <c r="BO70" s="21">
        <v>0</v>
      </c>
      <c r="BP70" s="21">
        <v>0</v>
      </c>
      <c r="BQ70" s="21">
        <v>0</v>
      </c>
      <c r="BR70" s="21">
        <v>0</v>
      </c>
      <c r="BS70" s="21">
        <v>0</v>
      </c>
      <c r="BT70" s="21">
        <v>0</v>
      </c>
      <c r="BU70" s="21">
        <v>0</v>
      </c>
      <c r="BV70" s="21">
        <v>0</v>
      </c>
      <c r="BW70" s="21">
        <v>0</v>
      </c>
      <c r="BX70" s="21">
        <v>0</v>
      </c>
      <c r="BY70" s="21">
        <v>0</v>
      </c>
      <c r="BZ70" s="21">
        <v>0</v>
      </c>
      <c r="CA70" s="21">
        <v>0</v>
      </c>
      <c r="CB70" s="21">
        <v>0</v>
      </c>
      <c r="CC70" s="21">
        <v>0</v>
      </c>
      <c r="CD70" s="21">
        <v>0</v>
      </c>
      <c r="CE70" s="21">
        <v>0</v>
      </c>
      <c r="CF70" s="21">
        <v>0</v>
      </c>
      <c r="CG70" s="21">
        <v>0</v>
      </c>
      <c r="CH70" s="21">
        <v>0</v>
      </c>
      <c r="CI70" s="21">
        <v>0</v>
      </c>
      <c r="CJ70" s="21">
        <v>0</v>
      </c>
      <c r="CK70" s="21">
        <v>0</v>
      </c>
      <c r="CL70" s="21">
        <v>0</v>
      </c>
      <c r="CM70" s="21">
        <v>0</v>
      </c>
      <c r="CN70" s="21">
        <v>0</v>
      </c>
      <c r="CO70" s="21">
        <v>0</v>
      </c>
      <c r="CP70" s="21">
        <v>0</v>
      </c>
      <c r="CQ70" s="21">
        <v>0</v>
      </c>
      <c r="CR70" s="21">
        <v>0</v>
      </c>
      <c r="CS70" s="21">
        <v>0</v>
      </c>
      <c r="CT70" s="21">
        <v>0</v>
      </c>
      <c r="CU70" s="21">
        <v>0</v>
      </c>
      <c r="CV70" s="21">
        <v>0</v>
      </c>
      <c r="CW70" s="21">
        <v>0</v>
      </c>
      <c r="CX70" s="21">
        <v>0</v>
      </c>
      <c r="CY70" s="21">
        <v>0</v>
      </c>
      <c r="CZ70" s="21">
        <v>0</v>
      </c>
      <c r="DA70" s="21">
        <v>0</v>
      </c>
      <c r="DB70" s="21">
        <v>0</v>
      </c>
      <c r="DC70" s="21">
        <v>0</v>
      </c>
      <c r="DD70" s="21">
        <v>0</v>
      </c>
      <c r="DE70" s="73"/>
      <c r="DG70" s="76"/>
      <c r="DI70" s="76"/>
    </row>
    <row r="71" spans="1:113">
      <c r="A71" s="23" t="s">
        <v>289</v>
      </c>
      <c r="B71" s="19" t="s">
        <v>290</v>
      </c>
      <c r="C71" s="27" t="s">
        <v>248</v>
      </c>
      <c r="D71" s="20">
        <f t="shared" si="0"/>
        <v>7</v>
      </c>
      <c r="E71" s="99">
        <v>7</v>
      </c>
      <c r="F71" s="99"/>
      <c r="G71" s="99"/>
      <c r="H71" s="99"/>
      <c r="I71" s="99"/>
      <c r="J71" s="99"/>
      <c r="K71" s="99"/>
      <c r="L71" s="99"/>
      <c r="M71" s="99"/>
      <c r="N71" s="99"/>
      <c r="O71" s="99"/>
      <c r="P71" s="99"/>
      <c r="Q71" s="99"/>
      <c r="R71" s="99"/>
      <c r="S71" s="99"/>
      <c r="T71" s="99"/>
      <c r="U71" s="99"/>
      <c r="V71" s="99"/>
      <c r="W71" s="99"/>
      <c r="X71" s="99"/>
      <c r="Y71" s="99"/>
      <c r="Z71" s="99"/>
      <c r="AA71" s="99"/>
      <c r="AB71" s="99"/>
      <c r="AC71" s="99"/>
      <c r="AD71" s="99"/>
      <c r="AE71" s="99"/>
      <c r="AF71" s="99"/>
      <c r="AG71" s="99"/>
      <c r="AH71" s="99"/>
      <c r="AI71" s="99"/>
      <c r="AJ71" s="99"/>
      <c r="AK71" s="99"/>
      <c r="AL71" s="99"/>
      <c r="AM71" s="99"/>
      <c r="AN71" s="99"/>
      <c r="AO71" s="99"/>
      <c r="AP71" s="99"/>
      <c r="AQ71" s="99"/>
      <c r="AR71" s="99"/>
      <c r="AS71" s="99"/>
      <c r="AT71" s="99"/>
      <c r="AU71" s="99"/>
      <c r="AV71" s="99"/>
      <c r="AW71" s="99"/>
      <c r="AX71" s="99"/>
      <c r="AY71" s="99"/>
      <c r="AZ71" s="99"/>
      <c r="BA71" s="99"/>
      <c r="BB71" s="99"/>
      <c r="BC71" s="99"/>
      <c r="BD71" s="99"/>
      <c r="BE71" s="99"/>
      <c r="BF71" s="99"/>
      <c r="BG71" s="99"/>
      <c r="BH71" s="99"/>
      <c r="BI71" s="99"/>
      <c r="BJ71" s="99"/>
      <c r="BK71" s="99"/>
      <c r="BL71" s="99"/>
      <c r="BM71" s="99"/>
      <c r="BN71" s="99"/>
      <c r="BO71" s="99"/>
      <c r="BP71" s="99"/>
      <c r="BQ71" s="99"/>
      <c r="BR71" s="99"/>
      <c r="BS71" s="99"/>
      <c r="BT71" s="99"/>
      <c r="BU71" s="99"/>
      <c r="BV71" s="99"/>
      <c r="BW71" s="99"/>
      <c r="BX71" s="99"/>
      <c r="BY71" s="99"/>
      <c r="BZ71" s="99"/>
      <c r="CA71" s="99"/>
      <c r="CB71" s="99"/>
      <c r="CC71" s="99"/>
      <c r="CD71" s="99"/>
      <c r="CE71" s="99"/>
      <c r="CF71" s="99"/>
      <c r="CG71" s="99"/>
      <c r="CH71" s="99"/>
      <c r="CI71" s="99"/>
      <c r="CJ71" s="99"/>
      <c r="CK71" s="99"/>
      <c r="CL71" s="99"/>
      <c r="CM71" s="99"/>
      <c r="CN71" s="99"/>
      <c r="CO71" s="99"/>
      <c r="CP71" s="99"/>
      <c r="CQ71" s="99"/>
      <c r="CR71" s="99"/>
      <c r="CS71" s="99"/>
      <c r="CT71" s="99"/>
      <c r="CU71" s="99"/>
      <c r="CV71" s="99"/>
      <c r="CW71" s="99"/>
      <c r="CX71" s="99"/>
      <c r="CY71" s="99"/>
      <c r="CZ71" s="99"/>
      <c r="DA71" s="99"/>
      <c r="DB71" s="99"/>
      <c r="DC71" s="99"/>
      <c r="DD71" s="99"/>
      <c r="DE71" s="73"/>
      <c r="DG71" s="76"/>
      <c r="DI71" s="76"/>
    </row>
    <row r="72" spans="1:113">
      <c r="A72" s="23" t="s">
        <v>289</v>
      </c>
      <c r="B72" s="19" t="s">
        <v>291</v>
      </c>
      <c r="C72" s="27" t="s">
        <v>248</v>
      </c>
      <c r="D72" s="20">
        <f t="shared" si="0"/>
        <v>7</v>
      </c>
      <c r="E72" s="99">
        <v>7</v>
      </c>
      <c r="F72" s="99"/>
      <c r="G72" s="99"/>
      <c r="H72" s="99"/>
      <c r="I72" s="99"/>
      <c r="J72" s="99"/>
      <c r="K72" s="99"/>
      <c r="L72" s="99"/>
      <c r="M72" s="99"/>
      <c r="N72" s="99"/>
      <c r="O72" s="99"/>
      <c r="P72" s="99"/>
      <c r="Q72" s="99"/>
      <c r="R72" s="99"/>
      <c r="S72" s="99"/>
      <c r="T72" s="99"/>
      <c r="U72" s="99"/>
      <c r="V72" s="99"/>
      <c r="W72" s="99"/>
      <c r="X72" s="99"/>
      <c r="Y72" s="99"/>
      <c r="Z72" s="99"/>
      <c r="AA72" s="99"/>
      <c r="AB72" s="99"/>
      <c r="AC72" s="99"/>
      <c r="AD72" s="99"/>
      <c r="AE72" s="99"/>
      <c r="AF72" s="99"/>
      <c r="AG72" s="99"/>
      <c r="AH72" s="99"/>
      <c r="AI72" s="99"/>
      <c r="AJ72" s="99"/>
      <c r="AK72" s="99"/>
      <c r="AL72" s="99"/>
      <c r="AM72" s="99"/>
      <c r="AN72" s="99"/>
      <c r="AO72" s="99"/>
      <c r="AP72" s="99"/>
      <c r="AQ72" s="99"/>
      <c r="AR72" s="99"/>
      <c r="AS72" s="99"/>
      <c r="AT72" s="99"/>
      <c r="AU72" s="99"/>
      <c r="AV72" s="99"/>
      <c r="AW72" s="99"/>
      <c r="AX72" s="99"/>
      <c r="AY72" s="99"/>
      <c r="AZ72" s="99"/>
      <c r="BA72" s="99"/>
      <c r="BB72" s="99"/>
      <c r="BC72" s="99"/>
      <c r="BD72" s="99"/>
      <c r="BE72" s="99"/>
      <c r="BF72" s="99"/>
      <c r="BG72" s="99"/>
      <c r="BH72" s="99"/>
      <c r="BI72" s="99"/>
      <c r="BJ72" s="99"/>
      <c r="BK72" s="99"/>
      <c r="BL72" s="99"/>
      <c r="BM72" s="99"/>
      <c r="BN72" s="99"/>
      <c r="BO72" s="99"/>
      <c r="BP72" s="99"/>
      <c r="BQ72" s="99"/>
      <c r="BR72" s="99"/>
      <c r="BS72" s="99"/>
      <c r="BT72" s="99"/>
      <c r="BU72" s="99"/>
      <c r="BV72" s="99"/>
      <c r="BW72" s="99"/>
      <c r="BX72" s="99"/>
      <c r="BY72" s="99"/>
      <c r="BZ72" s="99"/>
      <c r="CA72" s="99"/>
      <c r="CB72" s="99"/>
      <c r="CC72" s="99"/>
      <c r="CD72" s="99"/>
      <c r="CE72" s="99"/>
      <c r="CF72" s="99"/>
      <c r="CG72" s="99"/>
      <c r="CH72" s="99"/>
      <c r="CI72" s="99"/>
      <c r="CJ72" s="99"/>
      <c r="CK72" s="99"/>
      <c r="CL72" s="99"/>
      <c r="CM72" s="99"/>
      <c r="CN72" s="99"/>
      <c r="CO72" s="99"/>
      <c r="CP72" s="99"/>
      <c r="CQ72" s="99"/>
      <c r="CR72" s="99"/>
      <c r="CS72" s="99"/>
      <c r="CT72" s="99"/>
      <c r="CU72" s="99"/>
      <c r="CV72" s="99"/>
      <c r="CW72" s="99"/>
      <c r="CX72" s="99"/>
      <c r="CY72" s="99"/>
      <c r="CZ72" s="99"/>
      <c r="DA72" s="99"/>
      <c r="DB72" s="99"/>
      <c r="DC72" s="99"/>
      <c r="DD72" s="99"/>
      <c r="DE72" s="73"/>
      <c r="DG72" s="76"/>
      <c r="DI72" s="76"/>
    </row>
    <row r="73" spans="1:113">
      <c r="A73" s="26" t="s">
        <v>292</v>
      </c>
      <c r="B73" s="27" t="s">
        <v>293</v>
      </c>
      <c r="C73" s="27" t="s">
        <v>294</v>
      </c>
      <c r="D73" s="20">
        <f t="shared" si="0"/>
        <v>10</v>
      </c>
      <c r="E73" s="21">
        <v>10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1">
        <v>0</v>
      </c>
      <c r="BI73" s="21">
        <v>0</v>
      </c>
      <c r="BJ73" s="21">
        <v>0</v>
      </c>
      <c r="BK73" s="21">
        <v>0</v>
      </c>
      <c r="BL73" s="21">
        <v>0</v>
      </c>
      <c r="BM73" s="21">
        <v>0</v>
      </c>
      <c r="BN73" s="21">
        <v>0</v>
      </c>
      <c r="BO73" s="21">
        <v>0</v>
      </c>
      <c r="BP73" s="21">
        <v>0</v>
      </c>
      <c r="BQ73" s="21">
        <v>0</v>
      </c>
      <c r="BR73" s="21">
        <v>0</v>
      </c>
      <c r="BS73" s="21">
        <v>0</v>
      </c>
      <c r="BT73" s="21">
        <v>0</v>
      </c>
      <c r="BU73" s="21">
        <v>0</v>
      </c>
      <c r="BV73" s="21">
        <v>0</v>
      </c>
      <c r="BW73" s="21">
        <v>0</v>
      </c>
      <c r="BX73" s="21">
        <v>0</v>
      </c>
      <c r="BY73" s="21">
        <v>0</v>
      </c>
      <c r="BZ73" s="21">
        <v>0</v>
      </c>
      <c r="CA73" s="21">
        <v>0</v>
      </c>
      <c r="CB73" s="21">
        <v>0</v>
      </c>
      <c r="CC73" s="21">
        <v>0</v>
      </c>
      <c r="CD73" s="21">
        <v>0</v>
      </c>
      <c r="CE73" s="21">
        <v>0</v>
      </c>
      <c r="CF73" s="21">
        <v>0</v>
      </c>
      <c r="CG73" s="21">
        <v>0</v>
      </c>
      <c r="CH73" s="21">
        <v>0</v>
      </c>
      <c r="CI73" s="21">
        <v>0</v>
      </c>
      <c r="CJ73" s="21">
        <v>0</v>
      </c>
      <c r="CK73" s="21">
        <v>0</v>
      </c>
      <c r="CL73" s="21">
        <v>0</v>
      </c>
      <c r="CM73" s="21">
        <v>0</v>
      </c>
      <c r="CN73" s="21">
        <v>0</v>
      </c>
      <c r="CO73" s="21">
        <v>0</v>
      </c>
      <c r="CP73" s="21">
        <v>0</v>
      </c>
      <c r="CQ73" s="21">
        <v>0</v>
      </c>
      <c r="CR73" s="21">
        <v>0</v>
      </c>
      <c r="CS73" s="21">
        <v>0</v>
      </c>
      <c r="CT73" s="21">
        <v>0</v>
      </c>
      <c r="CU73" s="21">
        <v>0</v>
      </c>
      <c r="CV73" s="21">
        <v>0</v>
      </c>
      <c r="CW73" s="21">
        <v>0</v>
      </c>
      <c r="CX73" s="21">
        <v>0</v>
      </c>
      <c r="CY73" s="21">
        <v>0</v>
      </c>
      <c r="CZ73" s="21">
        <v>0</v>
      </c>
      <c r="DA73" s="21">
        <v>0</v>
      </c>
      <c r="DB73" s="21">
        <v>0</v>
      </c>
      <c r="DC73" s="21">
        <v>0</v>
      </c>
      <c r="DD73" s="21">
        <v>0</v>
      </c>
      <c r="DE73" s="73"/>
      <c r="DG73" s="76"/>
      <c r="DI73" s="76"/>
    </row>
    <row r="74" spans="1:113">
      <c r="A74" s="26" t="s">
        <v>295</v>
      </c>
      <c r="B74" s="27" t="s">
        <v>296</v>
      </c>
      <c r="C74" s="27" t="s">
        <v>297</v>
      </c>
      <c r="D74" s="20">
        <f t="shared" si="0"/>
        <v>0</v>
      </c>
      <c r="E74" s="21">
        <v>0</v>
      </c>
      <c r="F74" s="21">
        <v>0</v>
      </c>
      <c r="G74" s="21">
        <v>0</v>
      </c>
      <c r="H74" s="21">
        <v>0</v>
      </c>
      <c r="I74" s="21">
        <v>0</v>
      </c>
      <c r="J74" s="21">
        <v>0</v>
      </c>
      <c r="K74" s="21">
        <v>0</v>
      </c>
      <c r="L74" s="21">
        <v>0</v>
      </c>
      <c r="M74" s="21">
        <v>0</v>
      </c>
      <c r="N74" s="21">
        <v>0</v>
      </c>
      <c r="O74" s="21">
        <v>0</v>
      </c>
      <c r="P74" s="21">
        <v>0</v>
      </c>
      <c r="Q74" s="21">
        <v>0</v>
      </c>
      <c r="R74" s="21">
        <v>0</v>
      </c>
      <c r="S74" s="21">
        <v>0</v>
      </c>
      <c r="T74" s="21">
        <v>0</v>
      </c>
      <c r="U74" s="21">
        <v>0</v>
      </c>
      <c r="V74" s="21">
        <v>0</v>
      </c>
      <c r="W74" s="21">
        <v>0</v>
      </c>
      <c r="X74" s="21">
        <v>0</v>
      </c>
      <c r="Y74" s="21">
        <v>0</v>
      </c>
      <c r="Z74" s="21">
        <v>0</v>
      </c>
      <c r="AA74" s="21">
        <v>0</v>
      </c>
      <c r="AB74" s="21">
        <v>0</v>
      </c>
      <c r="AC74" s="21">
        <v>0</v>
      </c>
      <c r="AD74" s="21">
        <v>0</v>
      </c>
      <c r="AE74" s="21">
        <v>0</v>
      </c>
      <c r="AF74" s="21">
        <v>0</v>
      </c>
      <c r="AG74" s="21">
        <v>0</v>
      </c>
      <c r="AH74" s="21">
        <v>0</v>
      </c>
      <c r="AI74" s="21">
        <v>0</v>
      </c>
      <c r="AJ74" s="21">
        <v>0</v>
      </c>
      <c r="AK74" s="21">
        <v>0</v>
      </c>
      <c r="AL74" s="21">
        <v>0</v>
      </c>
      <c r="AM74" s="21">
        <v>0</v>
      </c>
      <c r="AN74" s="21">
        <v>0</v>
      </c>
      <c r="AO74" s="21">
        <v>0</v>
      </c>
      <c r="AP74" s="21">
        <v>0</v>
      </c>
      <c r="AQ74" s="21">
        <v>0</v>
      </c>
      <c r="AR74" s="21">
        <v>0</v>
      </c>
      <c r="AS74" s="21">
        <v>0</v>
      </c>
      <c r="AT74" s="21">
        <v>0</v>
      </c>
      <c r="AU74" s="21">
        <v>0</v>
      </c>
      <c r="AV74" s="21">
        <v>0</v>
      </c>
      <c r="AW74" s="21">
        <v>0</v>
      </c>
      <c r="AX74" s="21">
        <v>0</v>
      </c>
      <c r="AY74" s="21">
        <v>0</v>
      </c>
      <c r="AZ74" s="21">
        <v>0</v>
      </c>
      <c r="BA74" s="21">
        <v>0</v>
      </c>
      <c r="BB74" s="21">
        <v>0</v>
      </c>
      <c r="BC74" s="21">
        <v>0</v>
      </c>
      <c r="BD74" s="21">
        <v>0</v>
      </c>
      <c r="BE74" s="21">
        <v>0</v>
      </c>
      <c r="BF74" s="21">
        <v>0</v>
      </c>
      <c r="BG74" s="21">
        <v>0</v>
      </c>
      <c r="BH74" s="21">
        <v>0</v>
      </c>
      <c r="BI74" s="21">
        <v>0</v>
      </c>
      <c r="BJ74" s="21">
        <v>0</v>
      </c>
      <c r="BK74" s="21">
        <v>0</v>
      </c>
      <c r="BL74" s="21">
        <v>0</v>
      </c>
      <c r="BM74" s="21">
        <v>0</v>
      </c>
      <c r="BN74" s="21">
        <v>0</v>
      </c>
      <c r="BO74" s="21">
        <v>0</v>
      </c>
      <c r="BP74" s="21">
        <v>0</v>
      </c>
      <c r="BQ74" s="21">
        <v>0</v>
      </c>
      <c r="BR74" s="21">
        <v>0</v>
      </c>
      <c r="BS74" s="21">
        <v>0</v>
      </c>
      <c r="BT74" s="21">
        <v>0</v>
      </c>
      <c r="BU74" s="21">
        <v>0</v>
      </c>
      <c r="BV74" s="21">
        <v>0</v>
      </c>
      <c r="BW74" s="21">
        <v>0</v>
      </c>
      <c r="BX74" s="21">
        <v>0</v>
      </c>
      <c r="BY74" s="21">
        <v>0</v>
      </c>
      <c r="BZ74" s="21">
        <v>0</v>
      </c>
      <c r="CA74" s="21">
        <v>0</v>
      </c>
      <c r="CB74" s="21">
        <v>0</v>
      </c>
      <c r="CC74" s="21">
        <v>0</v>
      </c>
      <c r="CD74" s="21">
        <v>0</v>
      </c>
      <c r="CE74" s="21">
        <v>0</v>
      </c>
      <c r="CF74" s="21">
        <v>0</v>
      </c>
      <c r="CG74" s="21">
        <v>0</v>
      </c>
      <c r="CH74" s="21">
        <v>0</v>
      </c>
      <c r="CI74" s="21">
        <v>0</v>
      </c>
      <c r="CJ74" s="21">
        <v>0</v>
      </c>
      <c r="CK74" s="21">
        <v>0</v>
      </c>
      <c r="CL74" s="21">
        <v>0</v>
      </c>
      <c r="CM74" s="21">
        <v>0</v>
      </c>
      <c r="CN74" s="21">
        <v>0</v>
      </c>
      <c r="CO74" s="21">
        <v>0</v>
      </c>
      <c r="CP74" s="21">
        <v>0</v>
      </c>
      <c r="CQ74" s="21">
        <v>0</v>
      </c>
      <c r="CR74" s="21">
        <v>0</v>
      </c>
      <c r="CS74" s="21">
        <v>0</v>
      </c>
      <c r="CT74" s="21">
        <v>0</v>
      </c>
      <c r="CU74" s="21">
        <v>0</v>
      </c>
      <c r="CV74" s="21">
        <v>0</v>
      </c>
      <c r="CW74" s="21">
        <v>0</v>
      </c>
      <c r="CX74" s="21">
        <v>0</v>
      </c>
      <c r="CY74" s="21">
        <v>0</v>
      </c>
      <c r="CZ74" s="21">
        <v>0</v>
      </c>
      <c r="DA74" s="21">
        <v>0</v>
      </c>
      <c r="DB74" s="21">
        <v>0</v>
      </c>
      <c r="DC74" s="21">
        <v>0</v>
      </c>
      <c r="DD74" s="21">
        <v>0</v>
      </c>
      <c r="DE74" s="72"/>
      <c r="DG74" s="76"/>
      <c r="DI74" s="76"/>
    </row>
    <row r="75" spans="1:113">
      <c r="A75" s="24" t="s">
        <v>298</v>
      </c>
      <c r="B75" s="25"/>
      <c r="C75" s="25"/>
      <c r="D75" s="56"/>
      <c r="E75" s="28"/>
      <c r="F75" s="28"/>
      <c r="G75" s="28"/>
      <c r="H75" s="28"/>
      <c r="I75" s="28"/>
      <c r="J75" s="28"/>
      <c r="K75" s="28"/>
      <c r="L75" s="64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  <c r="BM75" s="28"/>
      <c r="BN75" s="28"/>
      <c r="BO75" s="28"/>
      <c r="BP75" s="28"/>
      <c r="BQ75" s="28"/>
      <c r="BR75" s="28"/>
      <c r="BS75" s="28"/>
      <c r="BT75" s="28"/>
      <c r="BU75" s="28"/>
      <c r="BV75" s="28"/>
      <c r="BW75" s="28"/>
      <c r="BX75" s="28"/>
      <c r="BY75" s="28"/>
      <c r="BZ75" s="28"/>
      <c r="CA75" s="28"/>
      <c r="CB75" s="28"/>
      <c r="CC75" s="28"/>
      <c r="CD75" s="28"/>
      <c r="CE75" s="28"/>
      <c r="CF75" s="28"/>
      <c r="CG75" s="28"/>
      <c r="CH75" s="28"/>
      <c r="CI75" s="28"/>
      <c r="CJ75" s="28"/>
      <c r="CK75" s="28"/>
      <c r="CL75" s="28"/>
      <c r="CM75" s="28"/>
      <c r="CN75" s="28"/>
      <c r="CO75" s="28"/>
      <c r="CP75" s="28"/>
      <c r="CQ75" s="28"/>
      <c r="CR75" s="28"/>
      <c r="CS75" s="28"/>
      <c r="CT75" s="28"/>
      <c r="CU75" s="28"/>
      <c r="CV75" s="28"/>
      <c r="CW75" s="28"/>
      <c r="CX75" s="28"/>
      <c r="CY75" s="28"/>
      <c r="CZ75" s="28"/>
      <c r="DA75" s="28"/>
      <c r="DB75" s="28"/>
      <c r="DC75" s="28"/>
      <c r="DD75" s="28"/>
      <c r="DE75" s="72"/>
      <c r="DG75" s="76"/>
      <c r="DI75" s="76"/>
    </row>
    <row r="76" spans="1:113">
      <c r="A76" s="23" t="s">
        <v>299</v>
      </c>
      <c r="B76" s="19" t="s">
        <v>300</v>
      </c>
      <c r="C76" s="19" t="s">
        <v>301</v>
      </c>
      <c r="D76" s="20">
        <f t="shared" si="0"/>
        <v>25</v>
      </c>
      <c r="E76" s="22">
        <v>2</v>
      </c>
      <c r="F76" s="22">
        <v>0</v>
      </c>
      <c r="G76" s="22">
        <v>0</v>
      </c>
      <c r="H76" s="22">
        <v>0</v>
      </c>
      <c r="I76" s="22">
        <v>0</v>
      </c>
      <c r="J76" s="22">
        <v>0</v>
      </c>
      <c r="K76" s="22">
        <v>0</v>
      </c>
      <c r="L76" s="21">
        <v>0</v>
      </c>
      <c r="M76" s="22">
        <v>0</v>
      </c>
      <c r="N76" s="22">
        <v>0</v>
      </c>
      <c r="O76" s="22">
        <v>0</v>
      </c>
      <c r="P76" s="22">
        <v>0</v>
      </c>
      <c r="Q76" s="22">
        <v>0</v>
      </c>
      <c r="R76" s="22">
        <v>0</v>
      </c>
      <c r="S76" s="22">
        <v>0</v>
      </c>
      <c r="T76" s="22">
        <v>0</v>
      </c>
      <c r="U76" s="22">
        <v>0</v>
      </c>
      <c r="V76" s="22">
        <v>0</v>
      </c>
      <c r="W76" s="22">
        <v>0</v>
      </c>
      <c r="X76" s="22">
        <v>0</v>
      </c>
      <c r="Y76" s="22">
        <v>0</v>
      </c>
      <c r="Z76" s="22">
        <v>0</v>
      </c>
      <c r="AA76" s="22">
        <v>0</v>
      </c>
      <c r="AB76" s="22">
        <v>0</v>
      </c>
      <c r="AC76" s="22">
        <v>0</v>
      </c>
      <c r="AD76" s="22">
        <v>0</v>
      </c>
      <c r="AE76" s="22">
        <v>0</v>
      </c>
      <c r="AF76" s="22">
        <v>0</v>
      </c>
      <c r="AG76" s="22">
        <v>0</v>
      </c>
      <c r="AH76" s="22">
        <v>0</v>
      </c>
      <c r="AI76" s="22">
        <v>0</v>
      </c>
      <c r="AJ76" s="22">
        <v>0</v>
      </c>
      <c r="AK76" s="22">
        <v>0</v>
      </c>
      <c r="AL76" s="22">
        <v>0</v>
      </c>
      <c r="AM76" s="22">
        <v>0</v>
      </c>
      <c r="AN76" s="22">
        <v>0</v>
      </c>
      <c r="AO76" s="22">
        <v>0</v>
      </c>
      <c r="AP76" s="22">
        <v>0</v>
      </c>
      <c r="AQ76" s="22">
        <v>0</v>
      </c>
      <c r="AR76" s="22">
        <v>0</v>
      </c>
      <c r="AS76" s="22">
        <v>0</v>
      </c>
      <c r="AT76" s="22">
        <v>0</v>
      </c>
      <c r="AU76" s="22">
        <v>0</v>
      </c>
      <c r="AV76" s="22">
        <v>0</v>
      </c>
      <c r="AW76" s="22">
        <v>0</v>
      </c>
      <c r="AX76" s="22">
        <v>0</v>
      </c>
      <c r="AY76" s="22">
        <v>0</v>
      </c>
      <c r="AZ76" s="22">
        <v>0</v>
      </c>
      <c r="BA76" s="22">
        <v>0</v>
      </c>
      <c r="BB76" s="22">
        <v>0</v>
      </c>
      <c r="BC76" s="22">
        <v>0</v>
      </c>
      <c r="BD76" s="22">
        <v>0</v>
      </c>
      <c r="BE76" s="22">
        <v>0</v>
      </c>
      <c r="BF76" s="22">
        <v>0</v>
      </c>
      <c r="BG76" s="22">
        <v>0</v>
      </c>
      <c r="BH76" s="22">
        <v>0</v>
      </c>
      <c r="BI76" s="22">
        <v>2</v>
      </c>
      <c r="BJ76" s="22">
        <v>21</v>
      </c>
      <c r="BK76" s="21">
        <v>0</v>
      </c>
      <c r="BL76" s="21">
        <v>0</v>
      </c>
      <c r="BM76" s="21">
        <v>0</v>
      </c>
      <c r="BN76" s="21">
        <v>0</v>
      </c>
      <c r="BO76" s="21">
        <v>0</v>
      </c>
      <c r="BP76" s="21">
        <v>0</v>
      </c>
      <c r="BQ76" s="21">
        <v>0</v>
      </c>
      <c r="BR76" s="21">
        <v>0</v>
      </c>
      <c r="BS76" s="21">
        <v>0</v>
      </c>
      <c r="BT76" s="21">
        <v>0</v>
      </c>
      <c r="BU76" s="21">
        <v>0</v>
      </c>
      <c r="BV76" s="21">
        <v>0</v>
      </c>
      <c r="BW76" s="21">
        <v>0</v>
      </c>
      <c r="BX76" s="21">
        <v>0</v>
      </c>
      <c r="BY76" s="21">
        <v>0</v>
      </c>
      <c r="BZ76" s="21">
        <v>0</v>
      </c>
      <c r="CA76" s="21">
        <v>0</v>
      </c>
      <c r="CB76" s="21">
        <v>0</v>
      </c>
      <c r="CC76" s="21">
        <v>0</v>
      </c>
      <c r="CD76" s="21">
        <v>0</v>
      </c>
      <c r="CE76" s="21">
        <v>0</v>
      </c>
      <c r="CF76" s="21">
        <v>0</v>
      </c>
      <c r="CG76" s="21">
        <v>0</v>
      </c>
      <c r="CH76" s="21">
        <v>0</v>
      </c>
      <c r="CI76" s="21">
        <v>0</v>
      </c>
      <c r="CJ76" s="21">
        <v>0</v>
      </c>
      <c r="CK76" s="21">
        <v>0</v>
      </c>
      <c r="CL76" s="21">
        <v>0</v>
      </c>
      <c r="CM76" s="21">
        <v>0</v>
      </c>
      <c r="CN76" s="21">
        <v>0</v>
      </c>
      <c r="CO76" s="21">
        <v>0</v>
      </c>
      <c r="CP76" s="21">
        <v>0</v>
      </c>
      <c r="CQ76" s="21">
        <v>0</v>
      </c>
      <c r="CR76" s="21">
        <v>0</v>
      </c>
      <c r="CS76" s="21">
        <v>0</v>
      </c>
      <c r="CT76" s="21">
        <v>0</v>
      </c>
      <c r="CU76" s="21">
        <v>0</v>
      </c>
      <c r="CV76" s="21">
        <v>0</v>
      </c>
      <c r="CW76" s="21">
        <v>0</v>
      </c>
      <c r="CX76" s="21">
        <v>0</v>
      </c>
      <c r="CY76" s="21">
        <v>0</v>
      </c>
      <c r="CZ76" s="21">
        <v>0</v>
      </c>
      <c r="DA76" s="21">
        <v>0</v>
      </c>
      <c r="DB76" s="21">
        <v>0</v>
      </c>
      <c r="DC76" s="21">
        <v>0</v>
      </c>
      <c r="DD76" s="21">
        <v>0</v>
      </c>
      <c r="DE76" s="72"/>
      <c r="DG76" s="76"/>
      <c r="DI76" s="76"/>
    </row>
    <row r="77" spans="1:113">
      <c r="A77" s="23" t="s">
        <v>302</v>
      </c>
      <c r="B77" s="19" t="s">
        <v>303</v>
      </c>
      <c r="C77" s="19" t="s">
        <v>304</v>
      </c>
      <c r="D77" s="20">
        <f t="shared" ref="D77:D136" si="1">SUM(E77:DD77)</f>
        <v>14</v>
      </c>
      <c r="E77" s="21">
        <v>1</v>
      </c>
      <c r="F77" s="21">
        <v>0</v>
      </c>
      <c r="G77" s="21">
        <v>0</v>
      </c>
      <c r="H77" s="21">
        <v>0</v>
      </c>
      <c r="I77" s="21">
        <v>0</v>
      </c>
      <c r="J77" s="21">
        <v>0</v>
      </c>
      <c r="K77" s="21">
        <v>0</v>
      </c>
      <c r="L77" s="21">
        <v>0</v>
      </c>
      <c r="M77" s="21">
        <v>0</v>
      </c>
      <c r="N77" s="21">
        <v>0</v>
      </c>
      <c r="O77" s="21">
        <v>0</v>
      </c>
      <c r="P77" s="21">
        <v>0</v>
      </c>
      <c r="Q77" s="21">
        <v>0</v>
      </c>
      <c r="R77" s="21">
        <v>0</v>
      </c>
      <c r="S77" s="21">
        <v>0</v>
      </c>
      <c r="T77" s="21">
        <v>0</v>
      </c>
      <c r="U77" s="21">
        <v>0</v>
      </c>
      <c r="V77" s="21">
        <v>0</v>
      </c>
      <c r="W77" s="21">
        <v>0</v>
      </c>
      <c r="X77" s="21">
        <v>0</v>
      </c>
      <c r="Y77" s="21">
        <v>0</v>
      </c>
      <c r="Z77" s="21">
        <v>0</v>
      </c>
      <c r="AA77" s="21">
        <v>0</v>
      </c>
      <c r="AB77" s="21">
        <v>0</v>
      </c>
      <c r="AC77" s="21">
        <v>0</v>
      </c>
      <c r="AD77" s="21">
        <v>0</v>
      </c>
      <c r="AE77" s="21">
        <v>0</v>
      </c>
      <c r="AF77" s="21">
        <v>0</v>
      </c>
      <c r="AG77" s="21">
        <v>0</v>
      </c>
      <c r="AH77" s="21">
        <v>0</v>
      </c>
      <c r="AI77" s="21">
        <v>0</v>
      </c>
      <c r="AJ77" s="21">
        <v>0</v>
      </c>
      <c r="AK77" s="21">
        <v>0</v>
      </c>
      <c r="AL77" s="21">
        <v>0</v>
      </c>
      <c r="AM77" s="21">
        <v>0</v>
      </c>
      <c r="AN77" s="21">
        <v>0</v>
      </c>
      <c r="AO77" s="21">
        <v>0</v>
      </c>
      <c r="AP77" s="21">
        <v>0</v>
      </c>
      <c r="AQ77" s="21">
        <v>0</v>
      </c>
      <c r="AR77" s="21">
        <v>0</v>
      </c>
      <c r="AS77" s="21">
        <v>0</v>
      </c>
      <c r="AT77" s="21">
        <v>0</v>
      </c>
      <c r="AU77" s="21">
        <v>0</v>
      </c>
      <c r="AV77" s="21">
        <v>0</v>
      </c>
      <c r="AW77" s="21">
        <v>0</v>
      </c>
      <c r="AX77" s="21">
        <v>0</v>
      </c>
      <c r="AY77" s="21">
        <v>0</v>
      </c>
      <c r="AZ77" s="21">
        <v>0</v>
      </c>
      <c r="BA77" s="21">
        <v>0</v>
      </c>
      <c r="BB77" s="21">
        <v>0</v>
      </c>
      <c r="BC77" s="21">
        <v>0</v>
      </c>
      <c r="BD77" s="21">
        <v>0</v>
      </c>
      <c r="BE77" s="21">
        <v>0</v>
      </c>
      <c r="BF77" s="21">
        <v>0</v>
      </c>
      <c r="BG77" s="21">
        <v>0</v>
      </c>
      <c r="BH77" s="21">
        <v>0</v>
      </c>
      <c r="BI77" s="21">
        <v>2</v>
      </c>
      <c r="BJ77" s="21">
        <v>7</v>
      </c>
      <c r="BK77" s="21">
        <v>3</v>
      </c>
      <c r="BL77" s="21">
        <v>0</v>
      </c>
      <c r="BM77" s="21">
        <v>0</v>
      </c>
      <c r="BN77" s="21">
        <v>0</v>
      </c>
      <c r="BO77" s="21">
        <v>0</v>
      </c>
      <c r="BP77" s="21">
        <v>0</v>
      </c>
      <c r="BQ77" s="21">
        <v>0</v>
      </c>
      <c r="BR77" s="21">
        <v>0</v>
      </c>
      <c r="BS77" s="21">
        <v>0</v>
      </c>
      <c r="BT77" s="21">
        <v>0</v>
      </c>
      <c r="BU77" s="21">
        <v>0</v>
      </c>
      <c r="BV77" s="21">
        <v>0</v>
      </c>
      <c r="BW77" s="21">
        <v>0</v>
      </c>
      <c r="BX77" s="21">
        <v>0</v>
      </c>
      <c r="BY77" s="21">
        <v>0</v>
      </c>
      <c r="BZ77" s="21">
        <v>0</v>
      </c>
      <c r="CA77" s="21">
        <v>0</v>
      </c>
      <c r="CB77" s="21">
        <v>0</v>
      </c>
      <c r="CC77" s="21">
        <v>0</v>
      </c>
      <c r="CD77" s="21">
        <v>0</v>
      </c>
      <c r="CE77" s="21">
        <v>0</v>
      </c>
      <c r="CF77" s="21">
        <v>0</v>
      </c>
      <c r="CG77" s="21">
        <v>0</v>
      </c>
      <c r="CH77" s="21">
        <v>0</v>
      </c>
      <c r="CI77" s="21">
        <v>0</v>
      </c>
      <c r="CJ77" s="21">
        <v>0</v>
      </c>
      <c r="CK77" s="21">
        <v>1</v>
      </c>
      <c r="CL77" s="21">
        <v>0</v>
      </c>
      <c r="CM77" s="21">
        <v>0</v>
      </c>
      <c r="CN77" s="21">
        <v>0</v>
      </c>
      <c r="CO77" s="21">
        <v>0</v>
      </c>
      <c r="CP77" s="21">
        <v>0</v>
      </c>
      <c r="CQ77" s="21">
        <v>0</v>
      </c>
      <c r="CR77" s="21">
        <v>0</v>
      </c>
      <c r="CS77" s="21">
        <v>0</v>
      </c>
      <c r="CT77" s="21">
        <v>0</v>
      </c>
      <c r="CU77" s="21">
        <v>0</v>
      </c>
      <c r="CV77" s="21">
        <v>0</v>
      </c>
      <c r="CW77" s="21">
        <v>0</v>
      </c>
      <c r="CX77" s="21">
        <v>0</v>
      </c>
      <c r="CY77" s="21">
        <v>0</v>
      </c>
      <c r="CZ77" s="21">
        <v>0</v>
      </c>
      <c r="DA77" s="21">
        <v>0</v>
      </c>
      <c r="DB77" s="21">
        <v>0</v>
      </c>
      <c r="DC77" s="21">
        <v>0</v>
      </c>
      <c r="DD77" s="21">
        <v>0</v>
      </c>
      <c r="DE77" s="73"/>
      <c r="DG77" s="76"/>
      <c r="DI77" s="76"/>
    </row>
    <row r="78" spans="1:113">
      <c r="A78" s="23" t="s">
        <v>305</v>
      </c>
      <c r="B78" s="19" t="s">
        <v>306</v>
      </c>
      <c r="C78" s="19" t="s">
        <v>307</v>
      </c>
      <c r="D78" s="20">
        <f t="shared" si="1"/>
        <v>29</v>
      </c>
      <c r="E78" s="22">
        <v>3</v>
      </c>
      <c r="F78" s="22">
        <v>0</v>
      </c>
      <c r="G78" s="22">
        <v>0</v>
      </c>
      <c r="H78" s="22">
        <v>0</v>
      </c>
      <c r="I78" s="22">
        <v>0</v>
      </c>
      <c r="J78" s="22">
        <v>0</v>
      </c>
      <c r="K78" s="22">
        <v>0</v>
      </c>
      <c r="L78" s="21">
        <v>0</v>
      </c>
      <c r="M78" s="22">
        <v>0</v>
      </c>
      <c r="N78" s="22">
        <v>0</v>
      </c>
      <c r="O78" s="22">
        <v>0</v>
      </c>
      <c r="P78" s="22">
        <v>0</v>
      </c>
      <c r="Q78" s="22">
        <v>0</v>
      </c>
      <c r="R78" s="22">
        <v>0</v>
      </c>
      <c r="S78" s="22">
        <v>0</v>
      </c>
      <c r="T78" s="22">
        <v>0</v>
      </c>
      <c r="U78" s="22">
        <v>0</v>
      </c>
      <c r="V78" s="22">
        <v>0</v>
      </c>
      <c r="W78" s="22">
        <v>0</v>
      </c>
      <c r="X78" s="22">
        <v>0</v>
      </c>
      <c r="Y78" s="22">
        <v>0</v>
      </c>
      <c r="Z78" s="22">
        <v>0</v>
      </c>
      <c r="AA78" s="22">
        <v>0</v>
      </c>
      <c r="AB78" s="22">
        <v>0</v>
      </c>
      <c r="AC78" s="22">
        <v>0</v>
      </c>
      <c r="AD78" s="22">
        <v>0</v>
      </c>
      <c r="AE78" s="22">
        <v>0</v>
      </c>
      <c r="AF78" s="22">
        <v>0</v>
      </c>
      <c r="AG78" s="22">
        <v>0</v>
      </c>
      <c r="AH78" s="22">
        <v>0</v>
      </c>
      <c r="AI78" s="22">
        <v>0</v>
      </c>
      <c r="AJ78" s="22">
        <v>0</v>
      </c>
      <c r="AK78" s="22">
        <v>0</v>
      </c>
      <c r="AL78" s="22">
        <v>0</v>
      </c>
      <c r="AM78" s="22">
        <v>0</v>
      </c>
      <c r="AN78" s="22">
        <v>0</v>
      </c>
      <c r="AO78" s="22">
        <v>0</v>
      </c>
      <c r="AP78" s="22">
        <v>0</v>
      </c>
      <c r="AQ78" s="22">
        <v>0</v>
      </c>
      <c r="AR78" s="22">
        <v>0</v>
      </c>
      <c r="AS78" s="22">
        <v>0</v>
      </c>
      <c r="AT78" s="22">
        <v>0</v>
      </c>
      <c r="AU78" s="22">
        <v>0</v>
      </c>
      <c r="AV78" s="22">
        <v>0</v>
      </c>
      <c r="AW78" s="22">
        <v>0</v>
      </c>
      <c r="AX78" s="22">
        <v>0</v>
      </c>
      <c r="AY78" s="22">
        <v>0</v>
      </c>
      <c r="AZ78" s="22">
        <v>0</v>
      </c>
      <c r="BA78" s="22">
        <v>0</v>
      </c>
      <c r="BB78" s="22">
        <v>0</v>
      </c>
      <c r="BC78" s="22">
        <v>0</v>
      </c>
      <c r="BD78" s="22">
        <v>1</v>
      </c>
      <c r="BE78" s="22">
        <v>1</v>
      </c>
      <c r="BF78" s="22">
        <v>1</v>
      </c>
      <c r="BG78" s="22">
        <v>1</v>
      </c>
      <c r="BH78" s="22">
        <v>0</v>
      </c>
      <c r="BI78" s="22">
        <v>7</v>
      </c>
      <c r="BJ78" s="22">
        <v>10</v>
      </c>
      <c r="BK78" s="22">
        <v>4</v>
      </c>
      <c r="BL78" s="21">
        <v>0</v>
      </c>
      <c r="BM78" s="21">
        <v>0</v>
      </c>
      <c r="BN78" s="21">
        <v>0</v>
      </c>
      <c r="BO78" s="21">
        <v>0</v>
      </c>
      <c r="BP78" s="21">
        <v>0</v>
      </c>
      <c r="BQ78" s="21">
        <v>0</v>
      </c>
      <c r="BR78" s="21">
        <v>0</v>
      </c>
      <c r="BS78" s="21">
        <v>0</v>
      </c>
      <c r="BT78" s="21">
        <v>0</v>
      </c>
      <c r="BU78" s="21">
        <v>0</v>
      </c>
      <c r="BV78" s="21">
        <v>0</v>
      </c>
      <c r="BW78" s="21">
        <v>0</v>
      </c>
      <c r="BX78" s="21">
        <v>0</v>
      </c>
      <c r="BY78" s="21">
        <v>0</v>
      </c>
      <c r="BZ78" s="21">
        <v>0</v>
      </c>
      <c r="CA78" s="21">
        <v>0</v>
      </c>
      <c r="CB78" s="21">
        <v>0</v>
      </c>
      <c r="CC78" s="21">
        <v>0</v>
      </c>
      <c r="CD78" s="22">
        <v>1</v>
      </c>
      <c r="CE78" s="21">
        <v>0</v>
      </c>
      <c r="CF78" s="21">
        <v>0</v>
      </c>
      <c r="CG78" s="21">
        <v>0</v>
      </c>
      <c r="CH78" s="21">
        <v>0</v>
      </c>
      <c r="CI78" s="21">
        <v>0</v>
      </c>
      <c r="CJ78" s="21">
        <v>0</v>
      </c>
      <c r="CK78" s="21">
        <v>0</v>
      </c>
      <c r="CL78" s="21">
        <v>0</v>
      </c>
      <c r="CM78" s="21">
        <v>0</v>
      </c>
      <c r="CN78" s="21">
        <v>0</v>
      </c>
      <c r="CO78" s="21">
        <v>0</v>
      </c>
      <c r="CP78" s="21">
        <v>0</v>
      </c>
      <c r="CQ78" s="21">
        <v>0</v>
      </c>
      <c r="CR78" s="21">
        <v>0</v>
      </c>
      <c r="CS78" s="21">
        <v>0</v>
      </c>
      <c r="CT78" s="21">
        <v>0</v>
      </c>
      <c r="CU78" s="21">
        <v>0</v>
      </c>
      <c r="CV78" s="21">
        <v>0</v>
      </c>
      <c r="CW78" s="21">
        <v>0</v>
      </c>
      <c r="CX78" s="21">
        <v>0</v>
      </c>
      <c r="CY78" s="21">
        <v>0</v>
      </c>
      <c r="CZ78" s="21">
        <v>0</v>
      </c>
      <c r="DA78" s="21">
        <v>0</v>
      </c>
      <c r="DB78" s="21">
        <v>0</v>
      </c>
      <c r="DC78" s="21">
        <v>0</v>
      </c>
      <c r="DD78" s="21">
        <v>0</v>
      </c>
      <c r="DE78" s="72"/>
      <c r="DG78" s="76"/>
      <c r="DI78" s="76"/>
    </row>
    <row r="79" spans="1:113">
      <c r="A79" s="23" t="s">
        <v>305</v>
      </c>
      <c r="B79" s="19" t="s">
        <v>308</v>
      </c>
      <c r="C79" s="19" t="s">
        <v>309</v>
      </c>
      <c r="D79" s="20">
        <f t="shared" si="1"/>
        <v>6</v>
      </c>
      <c r="E79" s="21">
        <v>3</v>
      </c>
      <c r="F79" s="21">
        <v>0</v>
      </c>
      <c r="G79" s="21">
        <v>0</v>
      </c>
      <c r="H79" s="21">
        <v>0</v>
      </c>
      <c r="I79" s="21">
        <v>0</v>
      </c>
      <c r="J79" s="21">
        <v>0</v>
      </c>
      <c r="K79" s="21">
        <v>0</v>
      </c>
      <c r="L79" s="21">
        <v>0</v>
      </c>
      <c r="M79" s="21">
        <v>0</v>
      </c>
      <c r="N79" s="21">
        <v>0</v>
      </c>
      <c r="O79" s="21">
        <v>0</v>
      </c>
      <c r="P79" s="21">
        <v>0</v>
      </c>
      <c r="Q79" s="21">
        <v>0</v>
      </c>
      <c r="R79" s="21">
        <v>0</v>
      </c>
      <c r="S79" s="21">
        <v>0</v>
      </c>
      <c r="T79" s="21">
        <v>0</v>
      </c>
      <c r="U79" s="21">
        <v>0</v>
      </c>
      <c r="V79" s="21">
        <v>0</v>
      </c>
      <c r="W79" s="21">
        <v>0</v>
      </c>
      <c r="X79" s="21">
        <v>0</v>
      </c>
      <c r="Y79" s="21">
        <v>0</v>
      </c>
      <c r="Z79" s="21">
        <v>0</v>
      </c>
      <c r="AA79" s="21">
        <v>0</v>
      </c>
      <c r="AB79" s="21">
        <v>0</v>
      </c>
      <c r="AC79" s="21">
        <v>0</v>
      </c>
      <c r="AD79" s="21">
        <v>0</v>
      </c>
      <c r="AE79" s="21">
        <v>0</v>
      </c>
      <c r="AF79" s="21">
        <v>0</v>
      </c>
      <c r="AG79" s="21">
        <v>0</v>
      </c>
      <c r="AH79" s="21">
        <v>0</v>
      </c>
      <c r="AI79" s="21">
        <v>0</v>
      </c>
      <c r="AJ79" s="21">
        <v>0</v>
      </c>
      <c r="AK79" s="21">
        <v>0</v>
      </c>
      <c r="AL79" s="21">
        <v>0</v>
      </c>
      <c r="AM79" s="21">
        <v>0</v>
      </c>
      <c r="AN79" s="21">
        <v>0</v>
      </c>
      <c r="AO79" s="21">
        <v>0</v>
      </c>
      <c r="AP79" s="21">
        <v>0</v>
      </c>
      <c r="AQ79" s="21">
        <v>0</v>
      </c>
      <c r="AR79" s="21">
        <v>0</v>
      </c>
      <c r="AS79" s="21">
        <v>0</v>
      </c>
      <c r="AT79" s="21">
        <v>0</v>
      </c>
      <c r="AU79" s="21">
        <v>0</v>
      </c>
      <c r="AV79" s="21">
        <v>0</v>
      </c>
      <c r="AW79" s="21">
        <v>0</v>
      </c>
      <c r="AX79" s="21">
        <v>0</v>
      </c>
      <c r="AY79" s="21">
        <v>0</v>
      </c>
      <c r="AZ79" s="21">
        <v>0</v>
      </c>
      <c r="BA79" s="21">
        <v>0</v>
      </c>
      <c r="BB79" s="21">
        <v>0</v>
      </c>
      <c r="BC79" s="21">
        <v>0</v>
      </c>
      <c r="BD79" s="21">
        <v>0</v>
      </c>
      <c r="BE79" s="21">
        <v>0</v>
      </c>
      <c r="BF79" s="21">
        <v>0</v>
      </c>
      <c r="BG79" s="21">
        <v>0</v>
      </c>
      <c r="BH79" s="21">
        <v>1</v>
      </c>
      <c r="BI79" s="21">
        <v>0</v>
      </c>
      <c r="BJ79" s="21">
        <v>2</v>
      </c>
      <c r="BK79" s="21">
        <v>0</v>
      </c>
      <c r="BL79" s="21">
        <v>0</v>
      </c>
      <c r="BM79" s="21">
        <v>0</v>
      </c>
      <c r="BN79" s="21">
        <v>0</v>
      </c>
      <c r="BO79" s="21">
        <v>0</v>
      </c>
      <c r="BP79" s="21">
        <v>0</v>
      </c>
      <c r="BQ79" s="21">
        <v>0</v>
      </c>
      <c r="BR79" s="21">
        <v>0</v>
      </c>
      <c r="BS79" s="21">
        <v>0</v>
      </c>
      <c r="BT79" s="21">
        <v>0</v>
      </c>
      <c r="BU79" s="21">
        <v>0</v>
      </c>
      <c r="BV79" s="21">
        <v>0</v>
      </c>
      <c r="BW79" s="21">
        <v>0</v>
      </c>
      <c r="BX79" s="21">
        <v>0</v>
      </c>
      <c r="BY79" s="21">
        <v>0</v>
      </c>
      <c r="BZ79" s="21">
        <v>0</v>
      </c>
      <c r="CA79" s="21">
        <v>0</v>
      </c>
      <c r="CB79" s="21">
        <v>0</v>
      </c>
      <c r="CC79" s="21">
        <v>0</v>
      </c>
      <c r="CD79" s="21">
        <v>0</v>
      </c>
      <c r="CE79" s="21">
        <v>0</v>
      </c>
      <c r="CF79" s="21">
        <v>0</v>
      </c>
      <c r="CG79" s="21">
        <v>0</v>
      </c>
      <c r="CH79" s="21">
        <v>0</v>
      </c>
      <c r="CI79" s="21">
        <v>0</v>
      </c>
      <c r="CJ79" s="21">
        <v>0</v>
      </c>
      <c r="CK79" s="21">
        <v>0</v>
      </c>
      <c r="CL79" s="21">
        <v>0</v>
      </c>
      <c r="CM79" s="21">
        <v>0</v>
      </c>
      <c r="CN79" s="21">
        <v>0</v>
      </c>
      <c r="CO79" s="21">
        <v>0</v>
      </c>
      <c r="CP79" s="21">
        <v>0</v>
      </c>
      <c r="CQ79" s="21">
        <v>0</v>
      </c>
      <c r="CR79" s="21">
        <v>0</v>
      </c>
      <c r="CS79" s="21">
        <v>0</v>
      </c>
      <c r="CT79" s="21">
        <v>0</v>
      </c>
      <c r="CU79" s="21">
        <v>0</v>
      </c>
      <c r="CV79" s="21">
        <v>0</v>
      </c>
      <c r="CW79" s="21">
        <v>0</v>
      </c>
      <c r="CX79" s="21">
        <v>0</v>
      </c>
      <c r="CY79" s="21">
        <v>0</v>
      </c>
      <c r="CZ79" s="21">
        <v>0</v>
      </c>
      <c r="DA79" s="21">
        <v>0</v>
      </c>
      <c r="DB79" s="21">
        <v>0</v>
      </c>
      <c r="DC79" s="21">
        <v>0</v>
      </c>
      <c r="DD79" s="21">
        <v>0</v>
      </c>
      <c r="DE79" s="72"/>
      <c r="DG79" s="76"/>
      <c r="DI79" s="76"/>
    </row>
    <row r="80" spans="1:113">
      <c r="A80" s="23" t="s">
        <v>310</v>
      </c>
      <c r="B80" s="19" t="s">
        <v>311</v>
      </c>
      <c r="C80" s="19" t="s">
        <v>312</v>
      </c>
      <c r="D80" s="20">
        <f t="shared" si="1"/>
        <v>0</v>
      </c>
      <c r="E80" s="21">
        <v>0</v>
      </c>
      <c r="F80" s="21">
        <v>0</v>
      </c>
      <c r="G80" s="21">
        <v>0</v>
      </c>
      <c r="H80" s="21">
        <v>0</v>
      </c>
      <c r="I80" s="21">
        <v>0</v>
      </c>
      <c r="J80" s="21">
        <v>0</v>
      </c>
      <c r="K80" s="21">
        <v>0</v>
      </c>
      <c r="L80" s="21">
        <v>0</v>
      </c>
      <c r="M80" s="21">
        <v>0</v>
      </c>
      <c r="N80" s="21">
        <v>0</v>
      </c>
      <c r="O80" s="21">
        <v>0</v>
      </c>
      <c r="P80" s="21">
        <v>0</v>
      </c>
      <c r="Q80" s="21">
        <v>0</v>
      </c>
      <c r="R80" s="21">
        <v>0</v>
      </c>
      <c r="S80" s="21">
        <v>0</v>
      </c>
      <c r="T80" s="21">
        <v>0</v>
      </c>
      <c r="U80" s="21">
        <v>0</v>
      </c>
      <c r="V80" s="21">
        <v>0</v>
      </c>
      <c r="W80" s="21">
        <v>0</v>
      </c>
      <c r="X80" s="21">
        <v>0</v>
      </c>
      <c r="Y80" s="21">
        <v>0</v>
      </c>
      <c r="Z80" s="21">
        <v>0</v>
      </c>
      <c r="AA80" s="21">
        <v>0</v>
      </c>
      <c r="AB80" s="21">
        <v>0</v>
      </c>
      <c r="AC80" s="21">
        <v>0</v>
      </c>
      <c r="AD80" s="21">
        <v>0</v>
      </c>
      <c r="AE80" s="21">
        <v>0</v>
      </c>
      <c r="AF80" s="21">
        <v>0</v>
      </c>
      <c r="AG80" s="21">
        <v>0</v>
      </c>
      <c r="AH80" s="21">
        <v>0</v>
      </c>
      <c r="AI80" s="21">
        <v>0</v>
      </c>
      <c r="AJ80" s="21">
        <v>0</v>
      </c>
      <c r="AK80" s="21">
        <v>0</v>
      </c>
      <c r="AL80" s="21">
        <v>0</v>
      </c>
      <c r="AM80" s="21">
        <v>0</v>
      </c>
      <c r="AN80" s="21">
        <v>0</v>
      </c>
      <c r="AO80" s="21">
        <v>0</v>
      </c>
      <c r="AP80" s="21">
        <v>0</v>
      </c>
      <c r="AQ80" s="21">
        <v>0</v>
      </c>
      <c r="AR80" s="21">
        <v>0</v>
      </c>
      <c r="AS80" s="21">
        <v>0</v>
      </c>
      <c r="AT80" s="21">
        <v>0</v>
      </c>
      <c r="AU80" s="21">
        <v>0</v>
      </c>
      <c r="AV80" s="21">
        <v>0</v>
      </c>
      <c r="AW80" s="21">
        <v>0</v>
      </c>
      <c r="AX80" s="21">
        <v>0</v>
      </c>
      <c r="AY80" s="21">
        <v>0</v>
      </c>
      <c r="AZ80" s="21">
        <v>0</v>
      </c>
      <c r="BA80" s="21">
        <v>0</v>
      </c>
      <c r="BB80" s="21">
        <v>0</v>
      </c>
      <c r="BC80" s="21">
        <v>0</v>
      </c>
      <c r="BD80" s="21">
        <v>0</v>
      </c>
      <c r="BE80" s="21">
        <v>0</v>
      </c>
      <c r="BF80" s="21">
        <v>0</v>
      </c>
      <c r="BG80" s="21">
        <v>0</v>
      </c>
      <c r="BH80" s="21">
        <v>0</v>
      </c>
      <c r="BI80" s="21">
        <v>0</v>
      </c>
      <c r="BJ80" s="21">
        <v>0</v>
      </c>
      <c r="BK80" s="21">
        <v>0</v>
      </c>
      <c r="BL80" s="21">
        <v>0</v>
      </c>
      <c r="BM80" s="21">
        <v>0</v>
      </c>
      <c r="BN80" s="21">
        <v>0</v>
      </c>
      <c r="BO80" s="21">
        <v>0</v>
      </c>
      <c r="BP80" s="21">
        <v>0</v>
      </c>
      <c r="BQ80" s="21">
        <v>0</v>
      </c>
      <c r="BR80" s="21">
        <v>0</v>
      </c>
      <c r="BS80" s="21">
        <v>0</v>
      </c>
      <c r="BT80" s="21">
        <v>0</v>
      </c>
      <c r="BU80" s="21">
        <v>0</v>
      </c>
      <c r="BV80" s="21">
        <v>0</v>
      </c>
      <c r="BW80" s="21">
        <v>0</v>
      </c>
      <c r="BX80" s="21">
        <v>0</v>
      </c>
      <c r="BY80" s="21">
        <v>0</v>
      </c>
      <c r="BZ80" s="21">
        <v>0</v>
      </c>
      <c r="CA80" s="21">
        <v>0</v>
      </c>
      <c r="CB80" s="21">
        <v>0</v>
      </c>
      <c r="CC80" s="21">
        <v>0</v>
      </c>
      <c r="CD80" s="21">
        <v>0</v>
      </c>
      <c r="CE80" s="21">
        <v>0</v>
      </c>
      <c r="CF80" s="21">
        <v>0</v>
      </c>
      <c r="CG80" s="21">
        <v>0</v>
      </c>
      <c r="CH80" s="21">
        <v>0</v>
      </c>
      <c r="CI80" s="21">
        <v>0</v>
      </c>
      <c r="CJ80" s="21">
        <v>0</v>
      </c>
      <c r="CK80" s="21">
        <v>0</v>
      </c>
      <c r="CL80" s="21">
        <v>0</v>
      </c>
      <c r="CM80" s="21">
        <v>0</v>
      </c>
      <c r="CN80" s="21">
        <v>0</v>
      </c>
      <c r="CO80" s="21">
        <v>0</v>
      </c>
      <c r="CP80" s="21">
        <v>0</v>
      </c>
      <c r="CQ80" s="21">
        <v>0</v>
      </c>
      <c r="CR80" s="21">
        <v>0</v>
      </c>
      <c r="CS80" s="21">
        <v>0</v>
      </c>
      <c r="CT80" s="21">
        <v>0</v>
      </c>
      <c r="CU80" s="21">
        <v>0</v>
      </c>
      <c r="CV80" s="21">
        <v>0</v>
      </c>
      <c r="CW80" s="21">
        <v>0</v>
      </c>
      <c r="CX80" s="21">
        <v>0</v>
      </c>
      <c r="CY80" s="21">
        <v>0</v>
      </c>
      <c r="CZ80" s="21">
        <v>0</v>
      </c>
      <c r="DA80" s="21">
        <v>0</v>
      </c>
      <c r="DB80" s="21">
        <v>0</v>
      </c>
      <c r="DC80" s="21">
        <v>0</v>
      </c>
      <c r="DD80" s="21">
        <v>0</v>
      </c>
      <c r="DE80" s="72"/>
      <c r="DG80" s="76"/>
      <c r="DI80" s="76"/>
    </row>
    <row r="81" spans="1:113">
      <c r="A81" s="23" t="s">
        <v>313</v>
      </c>
      <c r="B81" s="19" t="s">
        <v>314</v>
      </c>
      <c r="C81" s="19" t="s">
        <v>196</v>
      </c>
      <c r="D81" s="20">
        <f t="shared" si="1"/>
        <v>374958.05</v>
      </c>
      <c r="E81" s="21">
        <v>45917.7</v>
      </c>
      <c r="F81" s="21">
        <v>2213.67</v>
      </c>
      <c r="G81" s="21">
        <v>794.67</v>
      </c>
      <c r="H81" s="21">
        <v>5999.28</v>
      </c>
      <c r="I81" s="21">
        <v>542.99</v>
      </c>
      <c r="J81" s="21">
        <v>911.38</v>
      </c>
      <c r="K81" s="21">
        <v>3396.09</v>
      </c>
      <c r="L81" s="21">
        <v>87.68</v>
      </c>
      <c r="M81" s="21">
        <v>4211.33</v>
      </c>
      <c r="N81" s="21">
        <v>135.19</v>
      </c>
      <c r="O81" s="21">
        <v>149.21</v>
      </c>
      <c r="P81" s="21">
        <v>5898.79</v>
      </c>
      <c r="Q81" s="21">
        <v>1444.99</v>
      </c>
      <c r="R81" s="21">
        <v>3513.82</v>
      </c>
      <c r="S81" s="21">
        <v>273.36</v>
      </c>
      <c r="T81" s="21">
        <v>706.91</v>
      </c>
      <c r="U81" s="21">
        <v>355.58</v>
      </c>
      <c r="V81" s="21">
        <v>600.5</v>
      </c>
      <c r="W81" s="21">
        <v>207.42</v>
      </c>
      <c r="X81" s="21">
        <v>63.01</v>
      </c>
      <c r="Y81" s="21">
        <v>462.96</v>
      </c>
      <c r="Z81" s="21">
        <v>4650.12</v>
      </c>
      <c r="AA81" s="21">
        <v>2805.97</v>
      </c>
      <c r="AB81" s="21">
        <v>485.84</v>
      </c>
      <c r="AC81" s="21">
        <v>3536.17</v>
      </c>
      <c r="AD81" s="21">
        <v>488.53</v>
      </c>
      <c r="AE81" s="21">
        <v>342</v>
      </c>
      <c r="AF81" s="21">
        <v>248.46</v>
      </c>
      <c r="AG81" s="21">
        <v>499.49</v>
      </c>
      <c r="AH81" s="21">
        <v>690.86</v>
      </c>
      <c r="AI81" s="21">
        <v>744.64</v>
      </c>
      <c r="AJ81" s="21">
        <v>3004.52</v>
      </c>
      <c r="AK81" s="21">
        <v>320.85000000000002</v>
      </c>
      <c r="AL81" s="21">
        <v>1031.55</v>
      </c>
      <c r="AM81" s="21">
        <v>1183.5</v>
      </c>
      <c r="AN81" s="21">
        <v>865.22</v>
      </c>
      <c r="AO81" s="21">
        <v>1060.8499999999999</v>
      </c>
      <c r="AP81" s="21">
        <v>470.67</v>
      </c>
      <c r="AQ81" s="21">
        <v>77.19</v>
      </c>
      <c r="AR81" s="21">
        <v>6562.81</v>
      </c>
      <c r="AS81" s="21">
        <v>1208.47</v>
      </c>
      <c r="AT81" s="21">
        <v>187.18</v>
      </c>
      <c r="AU81" s="21">
        <v>813.96</v>
      </c>
      <c r="AV81" s="21">
        <v>72.91</v>
      </c>
      <c r="AW81" s="21">
        <v>2462.16</v>
      </c>
      <c r="AX81" s="21">
        <v>541.66999999999996</v>
      </c>
      <c r="AY81" s="21">
        <v>1595.46</v>
      </c>
      <c r="AZ81" s="21">
        <v>0</v>
      </c>
      <c r="BA81" s="21">
        <v>5474.66</v>
      </c>
      <c r="BB81" s="21">
        <v>633.4</v>
      </c>
      <c r="BC81" s="21">
        <v>318.2</v>
      </c>
      <c r="BD81" s="21">
        <v>701</v>
      </c>
      <c r="BE81" s="21">
        <v>1100</v>
      </c>
      <c r="BF81" s="21">
        <v>864</v>
      </c>
      <c r="BG81" s="21">
        <v>701</v>
      </c>
      <c r="BH81" s="21">
        <v>580</v>
      </c>
      <c r="BI81" s="21">
        <v>72257.11</v>
      </c>
      <c r="BJ81" s="21">
        <v>104522.83</v>
      </c>
      <c r="BK81" s="21">
        <v>13704.75</v>
      </c>
      <c r="BL81" s="21">
        <v>5915.15</v>
      </c>
      <c r="BM81" s="21">
        <v>335.11</v>
      </c>
      <c r="BN81" s="21">
        <v>86.97</v>
      </c>
      <c r="BO81" s="21">
        <v>191.22</v>
      </c>
      <c r="BP81" s="21">
        <v>681.04</v>
      </c>
      <c r="BQ81" s="21">
        <v>564.97</v>
      </c>
      <c r="BR81" s="21">
        <v>453.92</v>
      </c>
      <c r="BS81" s="21">
        <v>919.68</v>
      </c>
      <c r="BT81" s="21">
        <v>1309.18</v>
      </c>
      <c r="BU81" s="21">
        <v>7631.8</v>
      </c>
      <c r="BV81" s="21">
        <v>128.87</v>
      </c>
      <c r="BW81" s="21">
        <v>251.96</v>
      </c>
      <c r="BX81" s="21">
        <v>804.53</v>
      </c>
      <c r="BY81" s="21">
        <v>430.92</v>
      </c>
      <c r="BZ81" s="21">
        <v>4174.46</v>
      </c>
      <c r="CA81" s="21">
        <v>309.66000000000003</v>
      </c>
      <c r="CB81" s="21">
        <v>165.2</v>
      </c>
      <c r="CC81" s="21">
        <v>124.93</v>
      </c>
      <c r="CD81" s="21">
        <v>635.34</v>
      </c>
      <c r="CE81" s="21">
        <v>117.87</v>
      </c>
      <c r="CF81" s="21">
        <v>323.82</v>
      </c>
      <c r="CG81" s="21">
        <v>1355.36</v>
      </c>
      <c r="CH81" s="21">
        <v>677.76</v>
      </c>
      <c r="CI81" s="21">
        <v>1601.77</v>
      </c>
      <c r="CJ81" s="21">
        <v>743.84</v>
      </c>
      <c r="CK81" s="21">
        <v>2143.5100000000002</v>
      </c>
      <c r="CL81" s="21">
        <v>789.45</v>
      </c>
      <c r="CM81" s="21">
        <v>116.16</v>
      </c>
      <c r="CN81" s="21">
        <v>569.75</v>
      </c>
      <c r="CO81" s="21">
        <v>1147.75</v>
      </c>
      <c r="CP81" s="21">
        <v>2426.83</v>
      </c>
      <c r="CQ81" s="21">
        <v>2037.38</v>
      </c>
      <c r="CR81" s="21">
        <v>100.38</v>
      </c>
      <c r="CS81" s="21">
        <v>4089.1</v>
      </c>
      <c r="CT81" s="21">
        <v>1820.56</v>
      </c>
      <c r="CU81" s="21">
        <v>1711.18</v>
      </c>
      <c r="CV81" s="21">
        <v>212.46</v>
      </c>
      <c r="CW81" s="21">
        <v>229.96</v>
      </c>
      <c r="CX81" s="21">
        <v>804.1</v>
      </c>
      <c r="CY81" s="21">
        <v>550.11</v>
      </c>
      <c r="CZ81" s="21">
        <v>5537.92</v>
      </c>
      <c r="DA81" s="21">
        <v>2456.0700000000002</v>
      </c>
      <c r="DB81" s="21">
        <v>1508.39</v>
      </c>
      <c r="DC81" s="21">
        <v>73.33</v>
      </c>
      <c r="DD81" s="21">
        <v>2003.8</v>
      </c>
      <c r="DE81" s="72"/>
      <c r="DG81" s="76"/>
      <c r="DI81" s="76"/>
    </row>
    <row r="82" spans="1:113" ht="32.1">
      <c r="A82" s="23" t="s">
        <v>315</v>
      </c>
      <c r="B82" s="19" t="s">
        <v>316</v>
      </c>
      <c r="C82" s="19" t="s">
        <v>317</v>
      </c>
      <c r="D82" s="20">
        <f t="shared" si="1"/>
        <v>16</v>
      </c>
      <c r="E82" s="21">
        <v>2</v>
      </c>
      <c r="F82" s="21">
        <v>0</v>
      </c>
      <c r="G82" s="21">
        <v>0</v>
      </c>
      <c r="H82" s="21">
        <v>0</v>
      </c>
      <c r="I82" s="21">
        <v>0</v>
      </c>
      <c r="J82" s="21">
        <v>0</v>
      </c>
      <c r="K82" s="21">
        <v>0</v>
      </c>
      <c r="L82" s="21">
        <v>0</v>
      </c>
      <c r="M82" s="21">
        <v>0</v>
      </c>
      <c r="N82" s="21">
        <v>0</v>
      </c>
      <c r="O82" s="21">
        <v>0</v>
      </c>
      <c r="P82" s="21">
        <v>0</v>
      </c>
      <c r="Q82" s="21">
        <v>0</v>
      </c>
      <c r="R82" s="21">
        <v>0</v>
      </c>
      <c r="S82" s="21">
        <v>0</v>
      </c>
      <c r="T82" s="21">
        <v>0</v>
      </c>
      <c r="U82" s="21">
        <v>0</v>
      </c>
      <c r="V82" s="21">
        <v>0</v>
      </c>
      <c r="W82" s="21">
        <v>0</v>
      </c>
      <c r="X82" s="21">
        <v>0</v>
      </c>
      <c r="Y82" s="21">
        <v>0</v>
      </c>
      <c r="Z82" s="21">
        <v>0</v>
      </c>
      <c r="AA82" s="21">
        <v>0</v>
      </c>
      <c r="AB82" s="21">
        <v>0</v>
      </c>
      <c r="AC82" s="21">
        <v>0</v>
      </c>
      <c r="AD82" s="21">
        <v>0</v>
      </c>
      <c r="AE82" s="21">
        <v>0</v>
      </c>
      <c r="AF82" s="21">
        <v>0</v>
      </c>
      <c r="AG82" s="21">
        <v>0</v>
      </c>
      <c r="AH82" s="21">
        <v>0</v>
      </c>
      <c r="AI82" s="21">
        <v>0</v>
      </c>
      <c r="AJ82" s="21">
        <v>0</v>
      </c>
      <c r="AK82" s="21">
        <v>0</v>
      </c>
      <c r="AL82" s="21">
        <v>0</v>
      </c>
      <c r="AM82" s="21">
        <v>0</v>
      </c>
      <c r="AN82" s="21">
        <v>0</v>
      </c>
      <c r="AO82" s="21">
        <v>0</v>
      </c>
      <c r="AP82" s="21">
        <v>0</v>
      </c>
      <c r="AQ82" s="21">
        <v>0</v>
      </c>
      <c r="AR82" s="21">
        <v>0</v>
      </c>
      <c r="AS82" s="21">
        <v>0</v>
      </c>
      <c r="AT82" s="21">
        <v>0</v>
      </c>
      <c r="AU82" s="21">
        <v>0</v>
      </c>
      <c r="AV82" s="21">
        <v>0</v>
      </c>
      <c r="AW82" s="21">
        <v>0</v>
      </c>
      <c r="AX82" s="21">
        <v>0</v>
      </c>
      <c r="AY82" s="21">
        <v>0</v>
      </c>
      <c r="AZ82" s="21">
        <v>0</v>
      </c>
      <c r="BA82" s="21">
        <v>0</v>
      </c>
      <c r="BB82" s="21">
        <v>0</v>
      </c>
      <c r="BC82" s="21">
        <v>0</v>
      </c>
      <c r="BD82" s="21">
        <v>0</v>
      </c>
      <c r="BE82" s="21">
        <v>0</v>
      </c>
      <c r="BF82" s="21">
        <v>0</v>
      </c>
      <c r="BG82" s="21">
        <v>0</v>
      </c>
      <c r="BH82" s="21">
        <v>0</v>
      </c>
      <c r="BI82" s="21">
        <v>1</v>
      </c>
      <c r="BJ82" s="21">
        <v>9</v>
      </c>
      <c r="BK82" s="21">
        <v>3</v>
      </c>
      <c r="BL82" s="21">
        <v>0</v>
      </c>
      <c r="BM82" s="21">
        <v>0</v>
      </c>
      <c r="BN82" s="21">
        <v>0</v>
      </c>
      <c r="BO82" s="21">
        <v>0</v>
      </c>
      <c r="BP82" s="21">
        <v>0</v>
      </c>
      <c r="BQ82" s="21">
        <v>0</v>
      </c>
      <c r="BR82" s="21">
        <v>0</v>
      </c>
      <c r="BS82" s="21">
        <v>0</v>
      </c>
      <c r="BT82" s="21">
        <v>0</v>
      </c>
      <c r="BU82" s="21">
        <v>0</v>
      </c>
      <c r="BV82" s="21">
        <v>0</v>
      </c>
      <c r="BW82" s="21">
        <v>0</v>
      </c>
      <c r="BX82" s="21">
        <v>0</v>
      </c>
      <c r="BY82" s="21">
        <v>0</v>
      </c>
      <c r="BZ82" s="21">
        <v>0</v>
      </c>
      <c r="CA82" s="21">
        <v>0</v>
      </c>
      <c r="CB82" s="21">
        <v>0</v>
      </c>
      <c r="CC82" s="21">
        <v>0</v>
      </c>
      <c r="CD82" s="21">
        <v>0</v>
      </c>
      <c r="CE82" s="21">
        <v>0</v>
      </c>
      <c r="CF82" s="21">
        <v>0</v>
      </c>
      <c r="CG82" s="21">
        <v>0</v>
      </c>
      <c r="CH82" s="21">
        <v>0</v>
      </c>
      <c r="CI82" s="21">
        <v>0</v>
      </c>
      <c r="CJ82" s="21">
        <v>0</v>
      </c>
      <c r="CK82" s="21">
        <v>1</v>
      </c>
      <c r="CL82" s="21">
        <v>0</v>
      </c>
      <c r="CM82" s="21">
        <v>0</v>
      </c>
      <c r="CN82" s="21">
        <v>0</v>
      </c>
      <c r="CO82" s="21">
        <v>0</v>
      </c>
      <c r="CP82" s="21">
        <v>0</v>
      </c>
      <c r="CQ82" s="21">
        <v>0</v>
      </c>
      <c r="CR82" s="21">
        <v>0</v>
      </c>
      <c r="CS82" s="21">
        <v>0</v>
      </c>
      <c r="CT82" s="21">
        <v>0</v>
      </c>
      <c r="CU82" s="21">
        <v>0</v>
      </c>
      <c r="CV82" s="21">
        <v>0</v>
      </c>
      <c r="CW82" s="21">
        <v>0</v>
      </c>
      <c r="CX82" s="21">
        <v>0</v>
      </c>
      <c r="CY82" s="21">
        <v>0</v>
      </c>
      <c r="CZ82" s="21">
        <v>0</v>
      </c>
      <c r="DA82" s="21">
        <v>0</v>
      </c>
      <c r="DB82" s="21">
        <v>0</v>
      </c>
      <c r="DC82" s="21">
        <v>0</v>
      </c>
      <c r="DD82" s="21">
        <v>0</v>
      </c>
      <c r="DE82" s="73"/>
      <c r="DG82" s="76"/>
      <c r="DI82" s="76"/>
    </row>
    <row r="83" spans="1:113">
      <c r="A83" s="23" t="s">
        <v>318</v>
      </c>
      <c r="B83" s="19" t="s">
        <v>319</v>
      </c>
      <c r="C83" s="19" t="s">
        <v>320</v>
      </c>
      <c r="D83" s="20">
        <f t="shared" si="1"/>
        <v>331</v>
      </c>
      <c r="E83" s="21">
        <v>2</v>
      </c>
      <c r="F83" s="21">
        <v>1</v>
      </c>
      <c r="G83" s="21">
        <v>1</v>
      </c>
      <c r="H83" s="21">
        <v>1</v>
      </c>
      <c r="I83" s="21">
        <v>1</v>
      </c>
      <c r="J83" s="21">
        <v>1</v>
      </c>
      <c r="K83" s="21">
        <v>1</v>
      </c>
      <c r="L83" s="21">
        <v>1</v>
      </c>
      <c r="M83" s="21">
        <v>1</v>
      </c>
      <c r="N83" s="21">
        <v>1</v>
      </c>
      <c r="O83" s="21">
        <v>1</v>
      </c>
      <c r="P83" s="21">
        <v>1</v>
      </c>
      <c r="Q83" s="21">
        <v>1</v>
      </c>
      <c r="R83" s="21">
        <v>1</v>
      </c>
      <c r="S83" s="21">
        <v>1</v>
      </c>
      <c r="T83" s="21">
        <v>1</v>
      </c>
      <c r="U83" s="21">
        <v>1</v>
      </c>
      <c r="V83" s="21">
        <v>1</v>
      </c>
      <c r="W83" s="21">
        <v>1</v>
      </c>
      <c r="X83" s="21">
        <v>1</v>
      </c>
      <c r="Y83" s="21">
        <v>1</v>
      </c>
      <c r="Z83" s="21">
        <v>1</v>
      </c>
      <c r="AA83" s="21">
        <v>1</v>
      </c>
      <c r="AB83" s="21">
        <v>1</v>
      </c>
      <c r="AC83" s="21">
        <v>1</v>
      </c>
      <c r="AD83" s="21">
        <v>1</v>
      </c>
      <c r="AE83" s="21">
        <v>1</v>
      </c>
      <c r="AF83" s="21">
        <v>1</v>
      </c>
      <c r="AG83" s="21">
        <v>1</v>
      </c>
      <c r="AH83" s="21">
        <v>1</v>
      </c>
      <c r="AI83" s="21">
        <v>1</v>
      </c>
      <c r="AJ83" s="21">
        <v>1</v>
      </c>
      <c r="AK83" s="21">
        <v>1</v>
      </c>
      <c r="AL83" s="21">
        <v>1</v>
      </c>
      <c r="AM83" s="21">
        <v>1</v>
      </c>
      <c r="AN83" s="21">
        <v>1</v>
      </c>
      <c r="AO83" s="21">
        <v>1</v>
      </c>
      <c r="AP83" s="21">
        <v>1</v>
      </c>
      <c r="AQ83" s="21">
        <v>1</v>
      </c>
      <c r="AR83" s="21">
        <v>1</v>
      </c>
      <c r="AS83" s="21">
        <v>0</v>
      </c>
      <c r="AT83" s="21">
        <v>0</v>
      </c>
      <c r="AU83" s="21">
        <v>0</v>
      </c>
      <c r="AV83" s="21">
        <v>0</v>
      </c>
      <c r="AW83" s="21">
        <v>0</v>
      </c>
      <c r="AX83" s="21">
        <v>0</v>
      </c>
      <c r="AY83" s="21">
        <v>0</v>
      </c>
      <c r="AZ83" s="21">
        <v>0</v>
      </c>
      <c r="BA83" s="21">
        <v>0</v>
      </c>
      <c r="BB83" s="21">
        <v>1</v>
      </c>
      <c r="BC83" s="21">
        <v>1</v>
      </c>
      <c r="BD83" s="21">
        <v>0</v>
      </c>
      <c r="BE83" s="21">
        <v>0</v>
      </c>
      <c r="BF83" s="21">
        <v>0</v>
      </c>
      <c r="BG83" s="21">
        <v>0</v>
      </c>
      <c r="BH83" s="21">
        <v>0</v>
      </c>
      <c r="BI83" s="21">
        <v>36</v>
      </c>
      <c r="BJ83" s="21">
        <v>180</v>
      </c>
      <c r="BK83" s="21">
        <v>36</v>
      </c>
      <c r="BL83" s="21">
        <v>0</v>
      </c>
      <c r="BM83" s="21">
        <v>0</v>
      </c>
      <c r="BN83" s="21">
        <v>0</v>
      </c>
      <c r="BO83" s="21">
        <v>0</v>
      </c>
      <c r="BP83" s="21">
        <v>0</v>
      </c>
      <c r="BQ83" s="21">
        <v>0</v>
      </c>
      <c r="BR83" s="21">
        <v>0</v>
      </c>
      <c r="BS83" s="21">
        <v>0</v>
      </c>
      <c r="BT83" s="21">
        <v>0</v>
      </c>
      <c r="BU83" s="21">
        <v>0</v>
      </c>
      <c r="BV83" s="21">
        <v>0</v>
      </c>
      <c r="BW83" s="21">
        <v>0</v>
      </c>
      <c r="BX83" s="21">
        <v>0</v>
      </c>
      <c r="BY83" s="21">
        <v>0</v>
      </c>
      <c r="BZ83" s="21">
        <v>0</v>
      </c>
      <c r="CA83" s="21">
        <v>0</v>
      </c>
      <c r="CB83" s="21">
        <v>0</v>
      </c>
      <c r="CC83" s="21">
        <v>0</v>
      </c>
      <c r="CD83" s="21">
        <v>0</v>
      </c>
      <c r="CE83" s="21">
        <v>0</v>
      </c>
      <c r="CF83" s="21">
        <v>0</v>
      </c>
      <c r="CG83" s="21">
        <v>0</v>
      </c>
      <c r="CH83" s="21">
        <v>0</v>
      </c>
      <c r="CI83" s="21">
        <v>0</v>
      </c>
      <c r="CJ83" s="21">
        <v>0</v>
      </c>
      <c r="CK83" s="21">
        <v>0</v>
      </c>
      <c r="CL83" s="21">
        <v>0</v>
      </c>
      <c r="CM83" s="21">
        <v>0</v>
      </c>
      <c r="CN83" s="21">
        <v>0</v>
      </c>
      <c r="CO83" s="21">
        <v>0</v>
      </c>
      <c r="CP83" s="21">
        <v>0</v>
      </c>
      <c r="CQ83" s="21">
        <v>0</v>
      </c>
      <c r="CR83" s="21">
        <v>0</v>
      </c>
      <c r="CS83" s="21">
        <v>0</v>
      </c>
      <c r="CT83" s="21">
        <v>0</v>
      </c>
      <c r="CU83" s="21">
        <v>0</v>
      </c>
      <c r="CV83" s="21">
        <v>0</v>
      </c>
      <c r="CW83" s="21">
        <v>0</v>
      </c>
      <c r="CX83" s="21">
        <v>0</v>
      </c>
      <c r="CY83" s="21">
        <v>0</v>
      </c>
      <c r="CZ83" s="21">
        <v>36</v>
      </c>
      <c r="DA83" s="21">
        <v>0</v>
      </c>
      <c r="DB83" s="21">
        <v>0</v>
      </c>
      <c r="DC83" s="21">
        <v>0</v>
      </c>
      <c r="DD83" s="21">
        <v>0</v>
      </c>
      <c r="DE83" s="73"/>
      <c r="DG83" s="76"/>
      <c r="DI83" s="76"/>
    </row>
    <row r="84" spans="1:113">
      <c r="A84" s="23" t="s">
        <v>321</v>
      </c>
      <c r="B84" s="19" t="s">
        <v>322</v>
      </c>
      <c r="C84" s="19" t="s">
        <v>323</v>
      </c>
      <c r="D84" s="20">
        <f t="shared" si="1"/>
        <v>5</v>
      </c>
      <c r="E84" s="21">
        <v>1</v>
      </c>
      <c r="F84" s="21">
        <v>0</v>
      </c>
      <c r="G84" s="21">
        <v>0</v>
      </c>
      <c r="H84" s="21">
        <v>0</v>
      </c>
      <c r="I84" s="21">
        <v>0</v>
      </c>
      <c r="J84" s="21">
        <v>0</v>
      </c>
      <c r="K84" s="21">
        <v>1</v>
      </c>
      <c r="L84" s="21">
        <v>0</v>
      </c>
      <c r="M84" s="21">
        <v>0</v>
      </c>
      <c r="N84" s="21">
        <v>0</v>
      </c>
      <c r="O84" s="21">
        <v>0</v>
      </c>
      <c r="P84" s="21">
        <v>0</v>
      </c>
      <c r="Q84" s="21">
        <v>0</v>
      </c>
      <c r="R84" s="21">
        <v>0</v>
      </c>
      <c r="S84" s="21">
        <v>0</v>
      </c>
      <c r="T84" s="21">
        <v>0</v>
      </c>
      <c r="U84" s="21">
        <v>0</v>
      </c>
      <c r="V84" s="21">
        <v>0</v>
      </c>
      <c r="W84" s="21">
        <v>0</v>
      </c>
      <c r="X84" s="21">
        <v>0</v>
      </c>
      <c r="Y84" s="21">
        <v>0</v>
      </c>
      <c r="Z84" s="21">
        <v>0</v>
      </c>
      <c r="AA84" s="21">
        <v>0</v>
      </c>
      <c r="AB84" s="21">
        <v>0</v>
      </c>
      <c r="AC84" s="21">
        <v>0</v>
      </c>
      <c r="AD84" s="21">
        <v>0</v>
      </c>
      <c r="AE84" s="21">
        <v>0</v>
      </c>
      <c r="AF84" s="21">
        <v>0</v>
      </c>
      <c r="AG84" s="21">
        <v>0</v>
      </c>
      <c r="AH84" s="21">
        <v>0</v>
      </c>
      <c r="AI84" s="21">
        <v>0</v>
      </c>
      <c r="AJ84" s="21">
        <v>0</v>
      </c>
      <c r="AK84" s="21">
        <v>0</v>
      </c>
      <c r="AL84" s="21">
        <v>0</v>
      </c>
      <c r="AM84" s="21">
        <v>0</v>
      </c>
      <c r="AN84" s="21">
        <v>0</v>
      </c>
      <c r="AO84" s="21">
        <v>0</v>
      </c>
      <c r="AP84" s="21">
        <v>0</v>
      </c>
      <c r="AQ84" s="21">
        <v>0</v>
      </c>
      <c r="AR84" s="21">
        <v>0</v>
      </c>
      <c r="AS84" s="21">
        <v>0</v>
      </c>
      <c r="AT84" s="21">
        <v>0</v>
      </c>
      <c r="AU84" s="21">
        <v>0</v>
      </c>
      <c r="AV84" s="21">
        <v>0</v>
      </c>
      <c r="AW84" s="21">
        <v>0</v>
      </c>
      <c r="AX84" s="21">
        <v>0</v>
      </c>
      <c r="AY84" s="21">
        <v>0</v>
      </c>
      <c r="AZ84" s="21">
        <v>0</v>
      </c>
      <c r="BA84" s="21">
        <v>0</v>
      </c>
      <c r="BB84" s="21">
        <v>0</v>
      </c>
      <c r="BC84" s="21">
        <v>0</v>
      </c>
      <c r="BD84" s="21">
        <v>0</v>
      </c>
      <c r="BE84" s="21">
        <v>0</v>
      </c>
      <c r="BF84" s="21">
        <v>0</v>
      </c>
      <c r="BG84" s="21">
        <v>0</v>
      </c>
      <c r="BH84" s="21">
        <v>0</v>
      </c>
      <c r="BI84" s="21">
        <v>1</v>
      </c>
      <c r="BJ84" s="21">
        <v>1</v>
      </c>
      <c r="BK84" s="21">
        <v>1</v>
      </c>
      <c r="BL84" s="21">
        <v>0</v>
      </c>
      <c r="BM84" s="21">
        <v>0</v>
      </c>
      <c r="BN84" s="21">
        <v>0</v>
      </c>
      <c r="BO84" s="21">
        <v>0</v>
      </c>
      <c r="BP84" s="21">
        <v>0</v>
      </c>
      <c r="BQ84" s="21">
        <v>0</v>
      </c>
      <c r="BR84" s="21">
        <v>0</v>
      </c>
      <c r="BS84" s="21">
        <v>0</v>
      </c>
      <c r="BT84" s="21">
        <v>0</v>
      </c>
      <c r="BU84" s="21">
        <v>0</v>
      </c>
      <c r="BV84" s="21">
        <v>0</v>
      </c>
      <c r="BW84" s="21">
        <v>0</v>
      </c>
      <c r="BX84" s="21">
        <v>0</v>
      </c>
      <c r="BY84" s="21">
        <v>0</v>
      </c>
      <c r="BZ84" s="21">
        <v>0</v>
      </c>
      <c r="CA84" s="21">
        <v>0</v>
      </c>
      <c r="CB84" s="21">
        <v>0</v>
      </c>
      <c r="CC84" s="21">
        <v>0</v>
      </c>
      <c r="CD84" s="21">
        <v>0</v>
      </c>
      <c r="CE84" s="21">
        <v>0</v>
      </c>
      <c r="CF84" s="21">
        <v>0</v>
      </c>
      <c r="CG84" s="21">
        <v>0</v>
      </c>
      <c r="CH84" s="21">
        <v>0</v>
      </c>
      <c r="CI84" s="21">
        <v>0</v>
      </c>
      <c r="CJ84" s="21">
        <v>0</v>
      </c>
      <c r="CK84" s="21">
        <v>0</v>
      </c>
      <c r="CL84" s="21">
        <v>0</v>
      </c>
      <c r="CM84" s="21">
        <v>0</v>
      </c>
      <c r="CN84" s="21">
        <v>0</v>
      </c>
      <c r="CO84" s="21">
        <v>0</v>
      </c>
      <c r="CP84" s="21">
        <v>0</v>
      </c>
      <c r="CQ84" s="21">
        <v>0</v>
      </c>
      <c r="CR84" s="21">
        <v>0</v>
      </c>
      <c r="CS84" s="21">
        <v>0</v>
      </c>
      <c r="CT84" s="21">
        <v>0</v>
      </c>
      <c r="CU84" s="21">
        <v>0</v>
      </c>
      <c r="CV84" s="21">
        <v>0</v>
      </c>
      <c r="CW84" s="21">
        <v>0</v>
      </c>
      <c r="CX84" s="21">
        <v>0</v>
      </c>
      <c r="CY84" s="21">
        <v>0</v>
      </c>
      <c r="CZ84" s="21">
        <v>0</v>
      </c>
      <c r="DA84" s="21">
        <v>0</v>
      </c>
      <c r="DB84" s="21">
        <v>0</v>
      </c>
      <c r="DC84" s="21">
        <v>0</v>
      </c>
      <c r="DD84" s="21">
        <v>0</v>
      </c>
      <c r="DE84" s="73"/>
      <c r="DG84" s="76"/>
      <c r="DI84" s="76"/>
    </row>
    <row r="85" spans="1:113">
      <c r="A85" s="23" t="s">
        <v>324</v>
      </c>
      <c r="B85" s="19" t="s">
        <v>325</v>
      </c>
      <c r="C85" s="19" t="s">
        <v>326</v>
      </c>
      <c r="D85" s="20">
        <f t="shared" si="1"/>
        <v>79</v>
      </c>
      <c r="E85" s="21">
        <v>24</v>
      </c>
      <c r="F85" s="21">
        <v>0</v>
      </c>
      <c r="G85" s="21">
        <v>0</v>
      </c>
      <c r="H85" s="21">
        <v>0</v>
      </c>
      <c r="I85" s="21">
        <v>0</v>
      </c>
      <c r="J85" s="21">
        <v>0</v>
      </c>
      <c r="K85" s="21">
        <v>15</v>
      </c>
      <c r="L85" s="21">
        <v>0</v>
      </c>
      <c r="M85" s="21">
        <v>0</v>
      </c>
      <c r="N85" s="21">
        <v>0</v>
      </c>
      <c r="O85" s="21">
        <v>0</v>
      </c>
      <c r="P85" s="21">
        <v>0</v>
      </c>
      <c r="Q85" s="21">
        <v>0</v>
      </c>
      <c r="R85" s="21">
        <v>0</v>
      </c>
      <c r="S85" s="21">
        <v>0</v>
      </c>
      <c r="T85" s="21">
        <v>0</v>
      </c>
      <c r="U85" s="21">
        <v>0</v>
      </c>
      <c r="V85" s="21">
        <v>0</v>
      </c>
      <c r="W85" s="21">
        <v>0</v>
      </c>
      <c r="X85" s="21">
        <v>0</v>
      </c>
      <c r="Y85" s="21">
        <v>0</v>
      </c>
      <c r="Z85" s="21">
        <v>0</v>
      </c>
      <c r="AA85" s="21">
        <v>0</v>
      </c>
      <c r="AB85" s="21">
        <v>0</v>
      </c>
      <c r="AC85" s="21">
        <v>0</v>
      </c>
      <c r="AD85" s="21">
        <v>0</v>
      </c>
      <c r="AE85" s="21">
        <v>0</v>
      </c>
      <c r="AF85" s="21">
        <v>0</v>
      </c>
      <c r="AG85" s="21">
        <v>0</v>
      </c>
      <c r="AH85" s="21">
        <v>0</v>
      </c>
      <c r="AI85" s="21">
        <v>0</v>
      </c>
      <c r="AJ85" s="21">
        <v>0</v>
      </c>
      <c r="AK85" s="21">
        <v>0</v>
      </c>
      <c r="AL85" s="21">
        <v>0</v>
      </c>
      <c r="AM85" s="21">
        <v>0</v>
      </c>
      <c r="AN85" s="21">
        <v>0</v>
      </c>
      <c r="AO85" s="21">
        <v>0</v>
      </c>
      <c r="AP85" s="21">
        <v>0</v>
      </c>
      <c r="AQ85" s="21">
        <v>0</v>
      </c>
      <c r="AR85" s="21">
        <v>0</v>
      </c>
      <c r="AS85" s="21">
        <v>0</v>
      </c>
      <c r="AT85" s="21">
        <v>0</v>
      </c>
      <c r="AU85" s="21">
        <v>0</v>
      </c>
      <c r="AV85" s="21">
        <v>0</v>
      </c>
      <c r="AW85" s="21">
        <v>0</v>
      </c>
      <c r="AX85" s="21">
        <v>0</v>
      </c>
      <c r="AY85" s="21">
        <v>0</v>
      </c>
      <c r="AZ85" s="21">
        <v>0</v>
      </c>
      <c r="BA85" s="21">
        <v>0</v>
      </c>
      <c r="BB85" s="21">
        <v>0</v>
      </c>
      <c r="BC85" s="21">
        <v>0</v>
      </c>
      <c r="BD85" s="21">
        <v>0</v>
      </c>
      <c r="BE85" s="21">
        <v>0</v>
      </c>
      <c r="BF85" s="21">
        <v>0</v>
      </c>
      <c r="BG85" s="21">
        <v>0</v>
      </c>
      <c r="BH85" s="21">
        <v>0</v>
      </c>
      <c r="BI85" s="21">
        <v>10</v>
      </c>
      <c r="BJ85" s="21">
        <v>20</v>
      </c>
      <c r="BK85" s="21">
        <v>10</v>
      </c>
      <c r="BL85" s="21">
        <v>0</v>
      </c>
      <c r="BM85" s="21">
        <v>0</v>
      </c>
      <c r="BN85" s="21">
        <v>0</v>
      </c>
      <c r="BO85" s="21">
        <v>0</v>
      </c>
      <c r="BP85" s="21">
        <v>0</v>
      </c>
      <c r="BQ85" s="21">
        <v>0</v>
      </c>
      <c r="BR85" s="21">
        <v>0</v>
      </c>
      <c r="BS85" s="21">
        <v>0</v>
      </c>
      <c r="BT85" s="21">
        <v>0</v>
      </c>
      <c r="BU85" s="21">
        <v>0</v>
      </c>
      <c r="BV85" s="21">
        <v>0</v>
      </c>
      <c r="BW85" s="21">
        <v>0</v>
      </c>
      <c r="BX85" s="21">
        <v>0</v>
      </c>
      <c r="BY85" s="21">
        <v>0</v>
      </c>
      <c r="BZ85" s="21">
        <v>0</v>
      </c>
      <c r="CA85" s="21">
        <v>0</v>
      </c>
      <c r="CB85" s="21">
        <v>0</v>
      </c>
      <c r="CC85" s="21">
        <v>0</v>
      </c>
      <c r="CD85" s="21">
        <v>0</v>
      </c>
      <c r="CE85" s="21">
        <v>0</v>
      </c>
      <c r="CF85" s="21">
        <v>0</v>
      </c>
      <c r="CG85" s="21">
        <v>0</v>
      </c>
      <c r="CH85" s="21">
        <v>0</v>
      </c>
      <c r="CI85" s="21">
        <v>0</v>
      </c>
      <c r="CJ85" s="21">
        <v>0</v>
      </c>
      <c r="CK85" s="21">
        <v>0</v>
      </c>
      <c r="CL85" s="21">
        <v>0</v>
      </c>
      <c r="CM85" s="21">
        <v>0</v>
      </c>
      <c r="CN85" s="21">
        <v>0</v>
      </c>
      <c r="CO85" s="21">
        <v>0</v>
      </c>
      <c r="CP85" s="21">
        <v>0</v>
      </c>
      <c r="CQ85" s="21">
        <v>0</v>
      </c>
      <c r="CR85" s="21">
        <v>0</v>
      </c>
      <c r="CS85" s="21">
        <v>0</v>
      </c>
      <c r="CT85" s="21">
        <v>0</v>
      </c>
      <c r="CU85" s="21">
        <v>0</v>
      </c>
      <c r="CV85" s="21">
        <v>0</v>
      </c>
      <c r="CW85" s="21">
        <v>0</v>
      </c>
      <c r="CX85" s="21">
        <v>0</v>
      </c>
      <c r="CY85" s="21">
        <v>0</v>
      </c>
      <c r="CZ85" s="21">
        <v>0</v>
      </c>
      <c r="DA85" s="21">
        <v>0</v>
      </c>
      <c r="DB85" s="21">
        <v>0</v>
      </c>
      <c r="DC85" s="21">
        <v>0</v>
      </c>
      <c r="DD85" s="21">
        <v>0</v>
      </c>
      <c r="DE85" s="73"/>
      <c r="DG85" s="76"/>
      <c r="DI85" s="76"/>
    </row>
    <row r="86" spans="1:113">
      <c r="A86" s="23" t="s">
        <v>327</v>
      </c>
      <c r="B86" s="19" t="s">
        <v>328</v>
      </c>
      <c r="C86" s="19" t="s">
        <v>329</v>
      </c>
      <c r="D86" s="20">
        <f t="shared" si="1"/>
        <v>79</v>
      </c>
      <c r="E86" s="21">
        <v>24</v>
      </c>
      <c r="F86" s="21">
        <v>0</v>
      </c>
      <c r="G86" s="21">
        <v>0</v>
      </c>
      <c r="H86" s="21">
        <v>0</v>
      </c>
      <c r="I86" s="21">
        <v>0</v>
      </c>
      <c r="J86" s="21">
        <v>0</v>
      </c>
      <c r="K86" s="21">
        <v>15</v>
      </c>
      <c r="L86" s="21">
        <v>0</v>
      </c>
      <c r="M86" s="21">
        <v>0</v>
      </c>
      <c r="N86" s="21">
        <v>0</v>
      </c>
      <c r="O86" s="21">
        <v>0</v>
      </c>
      <c r="P86" s="21">
        <v>0</v>
      </c>
      <c r="Q86" s="21">
        <v>0</v>
      </c>
      <c r="R86" s="21">
        <v>0</v>
      </c>
      <c r="S86" s="21">
        <v>0</v>
      </c>
      <c r="T86" s="21">
        <v>0</v>
      </c>
      <c r="U86" s="21">
        <v>0</v>
      </c>
      <c r="V86" s="21">
        <v>0</v>
      </c>
      <c r="W86" s="21">
        <v>0</v>
      </c>
      <c r="X86" s="21">
        <v>0</v>
      </c>
      <c r="Y86" s="21">
        <v>0</v>
      </c>
      <c r="Z86" s="21">
        <v>0</v>
      </c>
      <c r="AA86" s="21">
        <v>0</v>
      </c>
      <c r="AB86" s="21">
        <v>0</v>
      </c>
      <c r="AC86" s="21">
        <v>0</v>
      </c>
      <c r="AD86" s="21">
        <v>0</v>
      </c>
      <c r="AE86" s="21">
        <v>0</v>
      </c>
      <c r="AF86" s="21">
        <v>0</v>
      </c>
      <c r="AG86" s="21">
        <v>0</v>
      </c>
      <c r="AH86" s="21">
        <v>0</v>
      </c>
      <c r="AI86" s="21">
        <v>0</v>
      </c>
      <c r="AJ86" s="21">
        <v>0</v>
      </c>
      <c r="AK86" s="21">
        <v>0</v>
      </c>
      <c r="AL86" s="21">
        <v>0</v>
      </c>
      <c r="AM86" s="21">
        <v>0</v>
      </c>
      <c r="AN86" s="21">
        <v>0</v>
      </c>
      <c r="AO86" s="21">
        <v>0</v>
      </c>
      <c r="AP86" s="21">
        <v>0</v>
      </c>
      <c r="AQ86" s="21">
        <v>0</v>
      </c>
      <c r="AR86" s="21">
        <v>0</v>
      </c>
      <c r="AS86" s="21">
        <v>0</v>
      </c>
      <c r="AT86" s="21">
        <v>0</v>
      </c>
      <c r="AU86" s="21">
        <v>0</v>
      </c>
      <c r="AV86" s="21">
        <v>0</v>
      </c>
      <c r="AW86" s="21">
        <v>0</v>
      </c>
      <c r="AX86" s="21">
        <v>0</v>
      </c>
      <c r="AY86" s="21">
        <v>0</v>
      </c>
      <c r="AZ86" s="21">
        <v>0</v>
      </c>
      <c r="BA86" s="21">
        <v>0</v>
      </c>
      <c r="BB86" s="21">
        <v>0</v>
      </c>
      <c r="BC86" s="21">
        <v>0</v>
      </c>
      <c r="BD86" s="21">
        <v>0</v>
      </c>
      <c r="BE86" s="21">
        <v>0</v>
      </c>
      <c r="BF86" s="21">
        <v>0</v>
      </c>
      <c r="BG86" s="21">
        <v>0</v>
      </c>
      <c r="BH86" s="21">
        <v>0</v>
      </c>
      <c r="BI86" s="21">
        <v>10</v>
      </c>
      <c r="BJ86" s="21">
        <v>20</v>
      </c>
      <c r="BK86" s="21">
        <v>10</v>
      </c>
      <c r="BL86" s="21">
        <v>0</v>
      </c>
      <c r="BM86" s="21">
        <v>0</v>
      </c>
      <c r="BN86" s="21">
        <v>0</v>
      </c>
      <c r="BO86" s="21">
        <v>0</v>
      </c>
      <c r="BP86" s="21">
        <v>0</v>
      </c>
      <c r="BQ86" s="21">
        <v>0</v>
      </c>
      <c r="BR86" s="21">
        <v>0</v>
      </c>
      <c r="BS86" s="21">
        <v>0</v>
      </c>
      <c r="BT86" s="21">
        <v>0</v>
      </c>
      <c r="BU86" s="21">
        <v>0</v>
      </c>
      <c r="BV86" s="21">
        <v>0</v>
      </c>
      <c r="BW86" s="21">
        <v>0</v>
      </c>
      <c r="BX86" s="21">
        <v>0</v>
      </c>
      <c r="BY86" s="21">
        <v>0</v>
      </c>
      <c r="BZ86" s="21">
        <v>0</v>
      </c>
      <c r="CA86" s="21">
        <v>0</v>
      </c>
      <c r="CB86" s="21">
        <v>0</v>
      </c>
      <c r="CC86" s="21">
        <v>0</v>
      </c>
      <c r="CD86" s="21">
        <v>0</v>
      </c>
      <c r="CE86" s="21">
        <v>0</v>
      </c>
      <c r="CF86" s="21">
        <v>0</v>
      </c>
      <c r="CG86" s="21">
        <v>0</v>
      </c>
      <c r="CH86" s="21">
        <v>0</v>
      </c>
      <c r="CI86" s="21">
        <v>0</v>
      </c>
      <c r="CJ86" s="21">
        <v>0</v>
      </c>
      <c r="CK86" s="21">
        <v>0</v>
      </c>
      <c r="CL86" s="21">
        <v>0</v>
      </c>
      <c r="CM86" s="21">
        <v>0</v>
      </c>
      <c r="CN86" s="21">
        <v>0</v>
      </c>
      <c r="CO86" s="21">
        <v>0</v>
      </c>
      <c r="CP86" s="21">
        <v>0</v>
      </c>
      <c r="CQ86" s="21">
        <v>0</v>
      </c>
      <c r="CR86" s="21">
        <v>0</v>
      </c>
      <c r="CS86" s="21">
        <v>0</v>
      </c>
      <c r="CT86" s="21">
        <v>0</v>
      </c>
      <c r="CU86" s="21">
        <v>0</v>
      </c>
      <c r="CV86" s="21">
        <v>0</v>
      </c>
      <c r="CW86" s="21">
        <v>0</v>
      </c>
      <c r="CX86" s="21">
        <v>0</v>
      </c>
      <c r="CY86" s="21">
        <v>0</v>
      </c>
      <c r="CZ86" s="21">
        <v>0</v>
      </c>
      <c r="DA86" s="21">
        <v>0</v>
      </c>
      <c r="DB86" s="21">
        <v>0</v>
      </c>
      <c r="DC86" s="21">
        <v>0</v>
      </c>
      <c r="DD86" s="21">
        <v>0</v>
      </c>
      <c r="DE86" s="73"/>
      <c r="DG86" s="76"/>
      <c r="DI86" s="76"/>
    </row>
    <row r="87" spans="1:113">
      <c r="A87" s="23" t="s">
        <v>330</v>
      </c>
      <c r="B87" s="19" t="s">
        <v>331</v>
      </c>
      <c r="C87" s="19" t="s">
        <v>332</v>
      </c>
      <c r="D87" s="20">
        <f t="shared" si="1"/>
        <v>0</v>
      </c>
      <c r="E87" s="21">
        <v>0</v>
      </c>
      <c r="F87" s="21">
        <v>0</v>
      </c>
      <c r="G87" s="21">
        <v>0</v>
      </c>
      <c r="H87" s="21">
        <v>0</v>
      </c>
      <c r="I87" s="21">
        <v>0</v>
      </c>
      <c r="J87" s="21">
        <v>0</v>
      </c>
      <c r="K87" s="21">
        <v>0</v>
      </c>
      <c r="L87" s="21">
        <v>0</v>
      </c>
      <c r="M87" s="21">
        <v>0</v>
      </c>
      <c r="N87" s="21">
        <v>0</v>
      </c>
      <c r="O87" s="21">
        <v>0</v>
      </c>
      <c r="P87" s="21">
        <v>0</v>
      </c>
      <c r="Q87" s="21">
        <v>0</v>
      </c>
      <c r="R87" s="21">
        <v>0</v>
      </c>
      <c r="S87" s="21">
        <v>0</v>
      </c>
      <c r="T87" s="21">
        <v>0</v>
      </c>
      <c r="U87" s="21">
        <v>0</v>
      </c>
      <c r="V87" s="21">
        <v>0</v>
      </c>
      <c r="W87" s="21">
        <v>0</v>
      </c>
      <c r="X87" s="21">
        <v>0</v>
      </c>
      <c r="Y87" s="21">
        <v>0</v>
      </c>
      <c r="Z87" s="21">
        <v>0</v>
      </c>
      <c r="AA87" s="21">
        <v>0</v>
      </c>
      <c r="AB87" s="21">
        <v>0</v>
      </c>
      <c r="AC87" s="21">
        <v>0</v>
      </c>
      <c r="AD87" s="21">
        <v>0</v>
      </c>
      <c r="AE87" s="21">
        <v>0</v>
      </c>
      <c r="AF87" s="21">
        <v>0</v>
      </c>
      <c r="AG87" s="21">
        <v>0</v>
      </c>
      <c r="AH87" s="21">
        <v>0</v>
      </c>
      <c r="AI87" s="21">
        <v>0</v>
      </c>
      <c r="AJ87" s="21">
        <v>0</v>
      </c>
      <c r="AK87" s="21">
        <v>0</v>
      </c>
      <c r="AL87" s="21">
        <v>0</v>
      </c>
      <c r="AM87" s="21">
        <v>0</v>
      </c>
      <c r="AN87" s="21">
        <v>0</v>
      </c>
      <c r="AO87" s="21">
        <v>0</v>
      </c>
      <c r="AP87" s="21">
        <v>0</v>
      </c>
      <c r="AQ87" s="21">
        <v>0</v>
      </c>
      <c r="AR87" s="21">
        <v>0</v>
      </c>
      <c r="AS87" s="21">
        <v>0</v>
      </c>
      <c r="AT87" s="21">
        <v>0</v>
      </c>
      <c r="AU87" s="21">
        <v>0</v>
      </c>
      <c r="AV87" s="21">
        <v>0</v>
      </c>
      <c r="AW87" s="21">
        <v>0</v>
      </c>
      <c r="AX87" s="21">
        <v>0</v>
      </c>
      <c r="AY87" s="21">
        <v>0</v>
      </c>
      <c r="AZ87" s="21">
        <v>0</v>
      </c>
      <c r="BA87" s="21">
        <v>0</v>
      </c>
      <c r="BB87" s="21">
        <v>0</v>
      </c>
      <c r="BC87" s="21">
        <v>0</v>
      </c>
      <c r="BD87" s="21">
        <v>0</v>
      </c>
      <c r="BE87" s="21">
        <v>0</v>
      </c>
      <c r="BF87" s="21">
        <v>0</v>
      </c>
      <c r="BG87" s="21">
        <v>0</v>
      </c>
      <c r="BH87" s="21">
        <v>0</v>
      </c>
      <c r="BI87" s="21">
        <v>0</v>
      </c>
      <c r="BJ87" s="21">
        <v>0</v>
      </c>
      <c r="BK87" s="21">
        <v>0</v>
      </c>
      <c r="BL87" s="21">
        <v>0</v>
      </c>
      <c r="BM87" s="21">
        <v>0</v>
      </c>
      <c r="BN87" s="21">
        <v>0</v>
      </c>
      <c r="BO87" s="21">
        <v>0</v>
      </c>
      <c r="BP87" s="21">
        <v>0</v>
      </c>
      <c r="BQ87" s="21">
        <v>0</v>
      </c>
      <c r="BR87" s="21">
        <v>0</v>
      </c>
      <c r="BS87" s="21">
        <v>0</v>
      </c>
      <c r="BT87" s="21">
        <v>0</v>
      </c>
      <c r="BU87" s="21">
        <v>0</v>
      </c>
      <c r="BV87" s="21">
        <v>0</v>
      </c>
      <c r="BW87" s="21">
        <v>0</v>
      </c>
      <c r="BX87" s="21">
        <v>0</v>
      </c>
      <c r="BY87" s="21">
        <v>0</v>
      </c>
      <c r="BZ87" s="21">
        <v>0</v>
      </c>
      <c r="CA87" s="21">
        <v>0</v>
      </c>
      <c r="CB87" s="21">
        <v>0</v>
      </c>
      <c r="CC87" s="21">
        <v>0</v>
      </c>
      <c r="CD87" s="21">
        <v>0</v>
      </c>
      <c r="CE87" s="21">
        <v>0</v>
      </c>
      <c r="CF87" s="21">
        <v>0</v>
      </c>
      <c r="CG87" s="21">
        <v>0</v>
      </c>
      <c r="CH87" s="21">
        <v>0</v>
      </c>
      <c r="CI87" s="21">
        <v>0</v>
      </c>
      <c r="CJ87" s="21">
        <v>0</v>
      </c>
      <c r="CK87" s="21">
        <v>0</v>
      </c>
      <c r="CL87" s="21">
        <v>0</v>
      </c>
      <c r="CM87" s="21">
        <v>0</v>
      </c>
      <c r="CN87" s="21">
        <v>0</v>
      </c>
      <c r="CO87" s="21">
        <v>0</v>
      </c>
      <c r="CP87" s="21">
        <v>0</v>
      </c>
      <c r="CQ87" s="21">
        <v>0</v>
      </c>
      <c r="CR87" s="21">
        <v>0</v>
      </c>
      <c r="CS87" s="21">
        <v>0</v>
      </c>
      <c r="CT87" s="21">
        <v>0</v>
      </c>
      <c r="CU87" s="21">
        <v>0</v>
      </c>
      <c r="CV87" s="21">
        <v>0</v>
      </c>
      <c r="CW87" s="21">
        <v>0</v>
      </c>
      <c r="CX87" s="21">
        <v>0</v>
      </c>
      <c r="CY87" s="21">
        <v>0</v>
      </c>
      <c r="CZ87" s="21">
        <v>0</v>
      </c>
      <c r="DA87" s="21">
        <v>0</v>
      </c>
      <c r="DB87" s="21">
        <v>0</v>
      </c>
      <c r="DC87" s="21">
        <v>0</v>
      </c>
      <c r="DD87" s="21">
        <v>0</v>
      </c>
      <c r="DE87" s="73"/>
      <c r="DG87" s="76"/>
      <c r="DI87" s="76"/>
    </row>
    <row r="88" spans="1:113">
      <c r="A88" s="24" t="s">
        <v>333</v>
      </c>
      <c r="B88" s="25"/>
      <c r="C88" s="25"/>
      <c r="D88" s="16"/>
      <c r="E88" s="28"/>
      <c r="F88" s="28"/>
      <c r="G88" s="28"/>
      <c r="H88" s="28"/>
      <c r="I88" s="28"/>
      <c r="J88" s="28"/>
      <c r="K88" s="28"/>
      <c r="L88" s="64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  <c r="BM88" s="28"/>
      <c r="BN88" s="28"/>
      <c r="BO88" s="28"/>
      <c r="BP88" s="28"/>
      <c r="BQ88" s="28"/>
      <c r="BR88" s="28"/>
      <c r="BS88" s="28"/>
      <c r="BT88" s="28"/>
      <c r="BU88" s="28"/>
      <c r="BV88" s="28"/>
      <c r="BW88" s="28"/>
      <c r="BX88" s="28"/>
      <c r="BY88" s="28"/>
      <c r="BZ88" s="28"/>
      <c r="CA88" s="28"/>
      <c r="CB88" s="28"/>
      <c r="CC88" s="28"/>
      <c r="CD88" s="28"/>
      <c r="CE88" s="28"/>
      <c r="CF88" s="28"/>
      <c r="CG88" s="28"/>
      <c r="CH88" s="28"/>
      <c r="CI88" s="28"/>
      <c r="CJ88" s="28"/>
      <c r="CK88" s="28"/>
      <c r="CL88" s="28"/>
      <c r="CM88" s="28"/>
      <c r="CN88" s="28"/>
      <c r="CO88" s="28"/>
      <c r="CP88" s="28"/>
      <c r="CQ88" s="28"/>
      <c r="CR88" s="28"/>
      <c r="CS88" s="28"/>
      <c r="CT88" s="28"/>
      <c r="CU88" s="28"/>
      <c r="CV88" s="28"/>
      <c r="CW88" s="28"/>
      <c r="CX88" s="28"/>
      <c r="CY88" s="28"/>
      <c r="CZ88" s="28"/>
      <c r="DA88" s="28"/>
      <c r="DB88" s="28"/>
      <c r="DC88" s="28"/>
      <c r="DD88" s="28"/>
      <c r="DE88" s="72"/>
      <c r="DG88" s="76"/>
      <c r="DI88" s="76"/>
    </row>
    <row r="89" spans="1:113">
      <c r="A89" s="19" t="s">
        <v>334</v>
      </c>
      <c r="B89" s="19" t="s">
        <v>335</v>
      </c>
      <c r="C89" s="19" t="s">
        <v>336</v>
      </c>
      <c r="D89" s="20">
        <f t="shared" si="1"/>
        <v>202663.01</v>
      </c>
      <c r="E89" s="22">
        <v>45917.7</v>
      </c>
      <c r="F89" s="22">
        <v>0</v>
      </c>
      <c r="G89" s="22">
        <v>0</v>
      </c>
      <c r="H89" s="22">
        <v>0</v>
      </c>
      <c r="I89" s="22">
        <v>0</v>
      </c>
      <c r="J89" s="22">
        <v>0</v>
      </c>
      <c r="K89" s="22">
        <v>0</v>
      </c>
      <c r="L89" s="21">
        <v>0</v>
      </c>
      <c r="M89" s="22">
        <v>0</v>
      </c>
      <c r="N89" s="22">
        <v>0</v>
      </c>
      <c r="O89" s="22">
        <v>0</v>
      </c>
      <c r="P89" s="22">
        <v>0</v>
      </c>
      <c r="Q89" s="22">
        <v>0</v>
      </c>
      <c r="R89" s="22">
        <v>0</v>
      </c>
      <c r="S89" s="22">
        <v>0</v>
      </c>
      <c r="T89" s="22">
        <v>0</v>
      </c>
      <c r="U89" s="22">
        <v>0</v>
      </c>
      <c r="V89" s="22">
        <v>0</v>
      </c>
      <c r="W89" s="22">
        <v>0</v>
      </c>
      <c r="X89" s="22">
        <v>0</v>
      </c>
      <c r="Y89" s="22">
        <v>0</v>
      </c>
      <c r="Z89" s="22">
        <v>0</v>
      </c>
      <c r="AA89" s="22">
        <v>0</v>
      </c>
      <c r="AB89" s="22">
        <v>0</v>
      </c>
      <c r="AC89" s="22">
        <v>0</v>
      </c>
      <c r="AD89" s="22">
        <v>0</v>
      </c>
      <c r="AE89" s="22">
        <v>0</v>
      </c>
      <c r="AF89" s="22">
        <v>0</v>
      </c>
      <c r="AG89" s="22">
        <v>0</v>
      </c>
      <c r="AH89" s="22">
        <v>0</v>
      </c>
      <c r="AI89" s="22">
        <v>0</v>
      </c>
      <c r="AJ89" s="22">
        <v>0</v>
      </c>
      <c r="AK89" s="22">
        <v>0</v>
      </c>
      <c r="AL89" s="22">
        <v>0</v>
      </c>
      <c r="AM89" s="22">
        <v>0</v>
      </c>
      <c r="AN89" s="22">
        <v>0</v>
      </c>
      <c r="AO89" s="22">
        <v>0</v>
      </c>
      <c r="AP89" s="22">
        <v>0</v>
      </c>
      <c r="AQ89" s="22">
        <v>0</v>
      </c>
      <c r="AR89" s="22">
        <v>0</v>
      </c>
      <c r="AS89" s="22">
        <v>0</v>
      </c>
      <c r="AT89" s="22">
        <v>0</v>
      </c>
      <c r="AU89" s="22">
        <v>0</v>
      </c>
      <c r="AV89" s="22">
        <v>0</v>
      </c>
      <c r="AW89" s="22">
        <v>0</v>
      </c>
      <c r="AX89" s="22">
        <v>0</v>
      </c>
      <c r="AY89" s="22">
        <v>0</v>
      </c>
      <c r="AZ89" s="22">
        <v>0</v>
      </c>
      <c r="BA89" s="22">
        <v>0</v>
      </c>
      <c r="BB89" s="22">
        <v>0</v>
      </c>
      <c r="BC89" s="22">
        <v>0</v>
      </c>
      <c r="BD89" s="22">
        <v>540</v>
      </c>
      <c r="BE89" s="22">
        <v>909</v>
      </c>
      <c r="BF89" s="22">
        <v>786</v>
      </c>
      <c r="BG89" s="22">
        <v>540</v>
      </c>
      <c r="BH89" s="22">
        <v>497</v>
      </c>
      <c r="BI89" s="22">
        <v>40343.93</v>
      </c>
      <c r="BJ89" s="22">
        <v>65252.18</v>
      </c>
      <c r="BK89" s="22">
        <v>7668.24</v>
      </c>
      <c r="BL89" s="22">
        <v>3763.83</v>
      </c>
      <c r="BM89" s="22">
        <v>325.83999999999997</v>
      </c>
      <c r="BN89" s="22">
        <v>86.97</v>
      </c>
      <c r="BO89" s="22">
        <v>191.22</v>
      </c>
      <c r="BP89" s="22">
        <v>587.13</v>
      </c>
      <c r="BQ89" s="22">
        <v>463.39</v>
      </c>
      <c r="BR89" s="22">
        <v>443.62</v>
      </c>
      <c r="BS89" s="22">
        <v>365.97</v>
      </c>
      <c r="BT89" s="22">
        <v>1098.33</v>
      </c>
      <c r="BU89" s="22">
        <v>6123.62</v>
      </c>
      <c r="BV89" s="22">
        <v>128.87</v>
      </c>
      <c r="BW89" s="22">
        <v>251.98</v>
      </c>
      <c r="BX89" s="22">
        <v>490.16</v>
      </c>
      <c r="BY89" s="22">
        <v>426.28</v>
      </c>
      <c r="BZ89" s="22">
        <v>1477.13</v>
      </c>
      <c r="CA89" s="22">
        <v>279.36</v>
      </c>
      <c r="CB89" s="22">
        <v>88.48</v>
      </c>
      <c r="CC89" s="22">
        <v>95.93</v>
      </c>
      <c r="CD89" s="22">
        <v>444.11</v>
      </c>
      <c r="CE89" s="22">
        <v>104.11</v>
      </c>
      <c r="CF89" s="22">
        <v>323.82</v>
      </c>
      <c r="CG89" s="22">
        <v>1075.79</v>
      </c>
      <c r="CH89" s="22">
        <v>478.48</v>
      </c>
      <c r="CI89" s="22">
        <v>1272.79</v>
      </c>
      <c r="CJ89" s="22">
        <v>502.25</v>
      </c>
      <c r="CK89" s="22">
        <v>1401.16</v>
      </c>
      <c r="CL89" s="22">
        <v>649.64</v>
      </c>
      <c r="CM89" s="22">
        <v>99.73</v>
      </c>
      <c r="CN89" s="22">
        <v>324.85000000000002</v>
      </c>
      <c r="CO89" s="22">
        <v>232.05</v>
      </c>
      <c r="CP89" s="22">
        <v>1673.78</v>
      </c>
      <c r="CQ89" s="22">
        <v>1549.35</v>
      </c>
      <c r="CR89" s="22">
        <v>91.24</v>
      </c>
      <c r="CS89" s="22">
        <v>1495.7</v>
      </c>
      <c r="CT89" s="22">
        <v>1237.03</v>
      </c>
      <c r="CU89" s="22">
        <v>623.61</v>
      </c>
      <c r="CV89" s="22">
        <v>212.46</v>
      </c>
      <c r="CW89" s="22">
        <v>229.96</v>
      </c>
      <c r="CX89" s="22">
        <v>416.72</v>
      </c>
      <c r="CY89" s="22">
        <v>503.44</v>
      </c>
      <c r="CZ89" s="22">
        <v>5115.2299999999996</v>
      </c>
      <c r="DA89" s="22">
        <v>2001.95</v>
      </c>
      <c r="DB89" s="22">
        <v>559.89</v>
      </c>
      <c r="DC89" s="22">
        <v>73.33</v>
      </c>
      <c r="DD89" s="22">
        <v>828.38</v>
      </c>
      <c r="DE89" s="72"/>
      <c r="DG89" s="76"/>
      <c r="DI89" s="76"/>
    </row>
    <row r="90" spans="1:113">
      <c r="A90" s="19" t="s">
        <v>337</v>
      </c>
      <c r="B90" s="19" t="s">
        <v>338</v>
      </c>
      <c r="C90" s="19" t="s">
        <v>336</v>
      </c>
      <c r="D90" s="20">
        <f t="shared" si="1"/>
        <v>154034.56</v>
      </c>
      <c r="E90" s="22">
        <v>45917.7</v>
      </c>
      <c r="F90" s="22">
        <v>0</v>
      </c>
      <c r="G90" s="22">
        <v>0</v>
      </c>
      <c r="H90" s="22">
        <v>0</v>
      </c>
      <c r="I90" s="22">
        <v>0</v>
      </c>
      <c r="J90" s="22">
        <v>0</v>
      </c>
      <c r="K90" s="22">
        <v>0</v>
      </c>
      <c r="L90" s="21">
        <v>0</v>
      </c>
      <c r="M90" s="22">
        <v>0</v>
      </c>
      <c r="N90" s="22">
        <v>0</v>
      </c>
      <c r="O90" s="22">
        <v>0</v>
      </c>
      <c r="P90" s="22">
        <v>0</v>
      </c>
      <c r="Q90" s="22">
        <v>0</v>
      </c>
      <c r="R90" s="22">
        <v>0</v>
      </c>
      <c r="S90" s="22">
        <v>0</v>
      </c>
      <c r="T90" s="22">
        <v>0</v>
      </c>
      <c r="U90" s="22">
        <v>0</v>
      </c>
      <c r="V90" s="22">
        <v>0</v>
      </c>
      <c r="W90" s="22">
        <v>0</v>
      </c>
      <c r="X90" s="22">
        <v>0</v>
      </c>
      <c r="Y90" s="22">
        <v>0</v>
      </c>
      <c r="Z90" s="22">
        <v>0</v>
      </c>
      <c r="AA90" s="22">
        <v>0</v>
      </c>
      <c r="AB90" s="22">
        <v>0</v>
      </c>
      <c r="AC90" s="22">
        <v>0</v>
      </c>
      <c r="AD90" s="22">
        <v>0</v>
      </c>
      <c r="AE90" s="22">
        <v>0</v>
      </c>
      <c r="AF90" s="22">
        <v>0</v>
      </c>
      <c r="AG90" s="22">
        <v>0</v>
      </c>
      <c r="AH90" s="22">
        <v>0</v>
      </c>
      <c r="AI90" s="22">
        <v>0</v>
      </c>
      <c r="AJ90" s="22">
        <v>0</v>
      </c>
      <c r="AK90" s="22">
        <v>0</v>
      </c>
      <c r="AL90" s="22">
        <v>0</v>
      </c>
      <c r="AM90" s="22">
        <v>0</v>
      </c>
      <c r="AN90" s="22">
        <v>0</v>
      </c>
      <c r="AO90" s="22">
        <v>0</v>
      </c>
      <c r="AP90" s="22">
        <v>0</v>
      </c>
      <c r="AQ90" s="22">
        <v>0</v>
      </c>
      <c r="AR90" s="22">
        <v>0</v>
      </c>
      <c r="AS90" s="22">
        <v>0</v>
      </c>
      <c r="AT90" s="22">
        <v>0</v>
      </c>
      <c r="AU90" s="22">
        <v>0</v>
      </c>
      <c r="AV90" s="22">
        <v>0</v>
      </c>
      <c r="AW90" s="22">
        <v>0</v>
      </c>
      <c r="AX90" s="22">
        <v>0</v>
      </c>
      <c r="AY90" s="22">
        <v>0</v>
      </c>
      <c r="AZ90" s="22">
        <v>0</v>
      </c>
      <c r="BA90" s="22">
        <v>0</v>
      </c>
      <c r="BB90" s="22">
        <v>0</v>
      </c>
      <c r="BC90" s="22">
        <v>0</v>
      </c>
      <c r="BD90" s="22">
        <v>540</v>
      </c>
      <c r="BE90" s="22">
        <v>909</v>
      </c>
      <c r="BF90" s="22">
        <v>786</v>
      </c>
      <c r="BG90" s="22">
        <v>540</v>
      </c>
      <c r="BH90" s="22">
        <v>497</v>
      </c>
      <c r="BI90" s="22">
        <v>28206.1</v>
      </c>
      <c r="BJ90" s="22">
        <v>48615.82</v>
      </c>
      <c r="BK90" s="22">
        <v>5644.77</v>
      </c>
      <c r="BL90" s="22">
        <v>2761.87</v>
      </c>
      <c r="BM90" s="22">
        <v>0</v>
      </c>
      <c r="BN90" s="22">
        <v>0</v>
      </c>
      <c r="BO90" s="22">
        <v>0</v>
      </c>
      <c r="BP90" s="22">
        <v>464.08</v>
      </c>
      <c r="BQ90" s="22">
        <v>0</v>
      </c>
      <c r="BR90" s="22">
        <v>316.62</v>
      </c>
      <c r="BS90" s="22">
        <v>0</v>
      </c>
      <c r="BT90" s="22">
        <v>918.66</v>
      </c>
      <c r="BU90" s="22">
        <v>4825.43</v>
      </c>
      <c r="BV90" s="22">
        <v>0</v>
      </c>
      <c r="BW90" s="22">
        <v>0</v>
      </c>
      <c r="BX90" s="22">
        <v>0</v>
      </c>
      <c r="BY90" s="22">
        <v>0</v>
      </c>
      <c r="BZ90" s="22">
        <v>880.38</v>
      </c>
      <c r="CA90" s="22">
        <v>0</v>
      </c>
      <c r="CB90" s="22">
        <v>0</v>
      </c>
      <c r="CC90" s="22">
        <v>0</v>
      </c>
      <c r="CD90" s="22">
        <v>0</v>
      </c>
      <c r="CE90" s="22">
        <v>0</v>
      </c>
      <c r="CF90" s="22">
        <v>0</v>
      </c>
      <c r="CG90" s="22">
        <v>914.94</v>
      </c>
      <c r="CH90" s="22">
        <v>383.41</v>
      </c>
      <c r="CI90" s="22">
        <v>1023.55</v>
      </c>
      <c r="CJ90" s="22">
        <v>439.31</v>
      </c>
      <c r="CK90" s="22">
        <v>668.39</v>
      </c>
      <c r="CL90" s="22">
        <v>0</v>
      </c>
      <c r="CM90" s="22">
        <v>0</v>
      </c>
      <c r="CN90" s="22">
        <v>0</v>
      </c>
      <c r="CO90" s="22">
        <v>0</v>
      </c>
      <c r="CP90" s="22">
        <v>1455.76</v>
      </c>
      <c r="CQ90" s="22">
        <v>846.84</v>
      </c>
      <c r="CR90" s="22">
        <v>0</v>
      </c>
      <c r="CS90" s="22">
        <v>1178.23</v>
      </c>
      <c r="CT90" s="22">
        <v>967.51</v>
      </c>
      <c r="CU90" s="22">
        <v>475.05</v>
      </c>
      <c r="CV90" s="22">
        <v>0</v>
      </c>
      <c r="CW90" s="22">
        <v>0</v>
      </c>
      <c r="CX90" s="22">
        <v>0</v>
      </c>
      <c r="CY90" s="22">
        <v>0</v>
      </c>
      <c r="CZ90" s="22">
        <v>3263.92</v>
      </c>
      <c r="DA90" s="22">
        <v>0</v>
      </c>
      <c r="DB90" s="22">
        <v>173.57</v>
      </c>
      <c r="DC90" s="22">
        <v>64.47</v>
      </c>
      <c r="DD90" s="22">
        <v>356.18</v>
      </c>
      <c r="DE90" s="72"/>
      <c r="DG90" s="76"/>
      <c r="DI90" s="76"/>
    </row>
    <row r="91" spans="1:113">
      <c r="A91" s="23" t="s">
        <v>339</v>
      </c>
      <c r="B91" s="19" t="s">
        <v>340</v>
      </c>
      <c r="C91" s="19" t="s">
        <v>196</v>
      </c>
      <c r="D91" s="20">
        <f t="shared" si="1"/>
        <v>184954.09000000008</v>
      </c>
      <c r="E91" s="22">
        <v>45917.7</v>
      </c>
      <c r="F91" s="22">
        <v>2213.67</v>
      </c>
      <c r="G91" s="22">
        <v>794.67</v>
      </c>
      <c r="H91" s="22">
        <v>5999.28</v>
      </c>
      <c r="I91" s="22">
        <v>542.99</v>
      </c>
      <c r="J91" s="22">
        <v>911.38</v>
      </c>
      <c r="K91" s="22">
        <v>3396.09</v>
      </c>
      <c r="L91" s="21">
        <v>87.68</v>
      </c>
      <c r="M91" s="22">
        <v>4211.33</v>
      </c>
      <c r="N91" s="22">
        <v>135.19</v>
      </c>
      <c r="O91" s="22">
        <v>149.21</v>
      </c>
      <c r="P91" s="22">
        <v>5898.79</v>
      </c>
      <c r="Q91" s="22">
        <v>1444.99</v>
      </c>
      <c r="R91" s="22">
        <v>3513.82</v>
      </c>
      <c r="S91" s="22">
        <v>273.36</v>
      </c>
      <c r="T91" s="22">
        <v>706.91</v>
      </c>
      <c r="U91" s="22">
        <v>355.58</v>
      </c>
      <c r="V91" s="22">
        <v>600.5</v>
      </c>
      <c r="W91" s="22">
        <v>207.42</v>
      </c>
      <c r="X91" s="22">
        <v>63.01</v>
      </c>
      <c r="Y91" s="22">
        <v>462.96</v>
      </c>
      <c r="Z91" s="22">
        <v>4650.12</v>
      </c>
      <c r="AA91" s="22">
        <v>2805.97</v>
      </c>
      <c r="AB91" s="22">
        <v>485.84</v>
      </c>
      <c r="AC91" s="22">
        <v>3536.17</v>
      </c>
      <c r="AD91" s="22">
        <v>488.53</v>
      </c>
      <c r="AE91" s="22">
        <v>342</v>
      </c>
      <c r="AF91" s="22">
        <v>248.46</v>
      </c>
      <c r="AG91" s="22">
        <v>499.49</v>
      </c>
      <c r="AH91" s="22">
        <v>690.86</v>
      </c>
      <c r="AI91" s="22">
        <v>744.64</v>
      </c>
      <c r="AJ91" s="22">
        <v>3004.52</v>
      </c>
      <c r="AK91" s="22">
        <v>320.85000000000002</v>
      </c>
      <c r="AL91" s="22">
        <v>1031.55</v>
      </c>
      <c r="AM91" s="22">
        <v>1183.5</v>
      </c>
      <c r="AN91" s="22">
        <v>865.22</v>
      </c>
      <c r="AO91" s="22">
        <v>1060.8499999999999</v>
      </c>
      <c r="AP91" s="22">
        <v>470.67</v>
      </c>
      <c r="AQ91" s="22">
        <v>77.19</v>
      </c>
      <c r="AR91" s="22">
        <v>6562.81</v>
      </c>
      <c r="AS91" s="22">
        <v>1208.47</v>
      </c>
      <c r="AT91" s="22">
        <v>187.18</v>
      </c>
      <c r="AU91" s="22">
        <v>813.96</v>
      </c>
      <c r="AV91" s="22">
        <v>72.91</v>
      </c>
      <c r="AW91" s="22">
        <v>2462.16</v>
      </c>
      <c r="AX91" s="22">
        <v>541.66999999999996</v>
      </c>
      <c r="AY91" s="22">
        <v>1595.46</v>
      </c>
      <c r="AZ91" s="22">
        <v>0</v>
      </c>
      <c r="BA91" s="22">
        <v>5474.66</v>
      </c>
      <c r="BB91" s="22">
        <v>633.4</v>
      </c>
      <c r="BC91" s="22">
        <v>318.2</v>
      </c>
      <c r="BD91" s="22">
        <v>701</v>
      </c>
      <c r="BE91" s="22">
        <v>1100</v>
      </c>
      <c r="BF91" s="22">
        <v>864</v>
      </c>
      <c r="BG91" s="22">
        <v>701</v>
      </c>
      <c r="BH91" s="22">
        <v>580</v>
      </c>
      <c r="BI91" s="22">
        <v>13734.59</v>
      </c>
      <c r="BJ91" s="22">
        <v>33081.31</v>
      </c>
      <c r="BK91" s="22">
        <v>3071.56</v>
      </c>
      <c r="BL91" s="22">
        <v>1072.48</v>
      </c>
      <c r="BM91" s="22">
        <v>139.88999999999999</v>
      </c>
      <c r="BN91" s="22">
        <v>12.01</v>
      </c>
      <c r="BO91" s="22">
        <v>36.049999999999997</v>
      </c>
      <c r="BP91" s="22">
        <v>167.22</v>
      </c>
      <c r="BQ91" s="22">
        <v>60.74</v>
      </c>
      <c r="BR91" s="22">
        <v>132.19999999999999</v>
      </c>
      <c r="BS91" s="22">
        <v>117.89</v>
      </c>
      <c r="BT91" s="22">
        <v>254.6</v>
      </c>
      <c r="BU91" s="22">
        <v>1507.45</v>
      </c>
      <c r="BV91" s="22">
        <v>0</v>
      </c>
      <c r="BW91" s="22">
        <v>55.09</v>
      </c>
      <c r="BX91" s="22">
        <v>137.1</v>
      </c>
      <c r="BY91" s="22">
        <v>169.79</v>
      </c>
      <c r="BZ91" s="22">
        <v>369.22</v>
      </c>
      <c r="CA91" s="22">
        <v>92.45</v>
      </c>
      <c r="CB91" s="22">
        <v>30.06</v>
      </c>
      <c r="CC91" s="22">
        <v>15.59</v>
      </c>
      <c r="CD91" s="22">
        <v>132.85</v>
      </c>
      <c r="CE91" s="22">
        <v>26.05</v>
      </c>
      <c r="CF91" s="22">
        <v>117.31</v>
      </c>
      <c r="CG91" s="22">
        <v>422.94</v>
      </c>
      <c r="CH91" s="22">
        <v>90.91</v>
      </c>
      <c r="CI91" s="22">
        <v>350.66</v>
      </c>
      <c r="CJ91" s="22">
        <v>142.86000000000001</v>
      </c>
      <c r="CK91" s="22">
        <v>601.74</v>
      </c>
      <c r="CL91" s="22">
        <v>159.78</v>
      </c>
      <c r="CM91" s="22">
        <v>11.56</v>
      </c>
      <c r="CN91" s="22">
        <v>101.32</v>
      </c>
      <c r="CO91" s="22">
        <v>52.23</v>
      </c>
      <c r="CP91" s="22">
        <v>505.21</v>
      </c>
      <c r="CQ91" s="22">
        <v>278.45</v>
      </c>
      <c r="CR91" s="22">
        <v>13.01</v>
      </c>
      <c r="CS91" s="22">
        <v>426.98</v>
      </c>
      <c r="CT91" s="22">
        <v>376.32</v>
      </c>
      <c r="CU91" s="22">
        <v>211.13</v>
      </c>
      <c r="CV91" s="22">
        <v>56.74</v>
      </c>
      <c r="CW91" s="22">
        <v>69.8</v>
      </c>
      <c r="CX91" s="22">
        <v>161.02000000000001</v>
      </c>
      <c r="CY91" s="22">
        <v>186.37</v>
      </c>
      <c r="CZ91" s="22">
        <v>1417.76</v>
      </c>
      <c r="DA91" s="22">
        <v>254.91</v>
      </c>
      <c r="DB91" s="22">
        <v>135.58000000000001</v>
      </c>
      <c r="DC91" s="22">
        <v>28.8</v>
      </c>
      <c r="DD91" s="22">
        <v>154.66999999999999</v>
      </c>
      <c r="DE91" s="72"/>
      <c r="DG91" s="76"/>
      <c r="DI91" s="76"/>
    </row>
    <row r="92" spans="1:113">
      <c r="A92" s="23" t="s">
        <v>341</v>
      </c>
      <c r="B92" s="19" t="s">
        <v>342</v>
      </c>
      <c r="C92" s="19" t="s">
        <v>196</v>
      </c>
      <c r="D92" s="20">
        <f t="shared" si="1"/>
        <v>228759.35</v>
      </c>
      <c r="E92" s="22">
        <v>45917.7</v>
      </c>
      <c r="F92" s="22">
        <v>2213.67</v>
      </c>
      <c r="G92" s="22">
        <v>794.67</v>
      </c>
      <c r="H92" s="22">
        <v>5999.28</v>
      </c>
      <c r="I92" s="22">
        <v>542.99</v>
      </c>
      <c r="J92" s="22">
        <v>911.38</v>
      </c>
      <c r="K92" s="22">
        <v>3396.09</v>
      </c>
      <c r="L92" s="21">
        <v>87.68</v>
      </c>
      <c r="M92" s="22">
        <v>4211.33</v>
      </c>
      <c r="N92" s="22">
        <v>135.19</v>
      </c>
      <c r="O92" s="22">
        <v>149.21</v>
      </c>
      <c r="P92" s="22">
        <v>5898.79</v>
      </c>
      <c r="Q92" s="22">
        <v>1444.99</v>
      </c>
      <c r="R92" s="22">
        <v>3513.82</v>
      </c>
      <c r="S92" s="22">
        <v>273.36</v>
      </c>
      <c r="T92" s="22">
        <v>706.91</v>
      </c>
      <c r="U92" s="22">
        <v>355.58</v>
      </c>
      <c r="V92" s="22">
        <v>600.5</v>
      </c>
      <c r="W92" s="22">
        <v>207.42</v>
      </c>
      <c r="X92" s="22">
        <v>63.01</v>
      </c>
      <c r="Y92" s="22">
        <v>462.96</v>
      </c>
      <c r="Z92" s="22">
        <v>4650.12</v>
      </c>
      <c r="AA92" s="22">
        <v>2805.97</v>
      </c>
      <c r="AB92" s="22">
        <v>485.84</v>
      </c>
      <c r="AC92" s="22">
        <v>3536.17</v>
      </c>
      <c r="AD92" s="22">
        <v>488.53</v>
      </c>
      <c r="AE92" s="22">
        <v>342</v>
      </c>
      <c r="AF92" s="22">
        <v>248.46</v>
      </c>
      <c r="AG92" s="22">
        <v>499.49</v>
      </c>
      <c r="AH92" s="22">
        <v>690.86</v>
      </c>
      <c r="AI92" s="22">
        <v>744.64</v>
      </c>
      <c r="AJ92" s="22">
        <v>3004.52</v>
      </c>
      <c r="AK92" s="22">
        <v>320.85000000000002</v>
      </c>
      <c r="AL92" s="22">
        <v>1031.55</v>
      </c>
      <c r="AM92" s="22">
        <v>1183.5</v>
      </c>
      <c r="AN92" s="22">
        <v>865.22</v>
      </c>
      <c r="AO92" s="22">
        <v>1060.8499999999999</v>
      </c>
      <c r="AP92" s="22">
        <v>470.67</v>
      </c>
      <c r="AQ92" s="22">
        <v>77.19</v>
      </c>
      <c r="AR92" s="22">
        <v>6562.81</v>
      </c>
      <c r="AS92" s="22">
        <v>1208.47</v>
      </c>
      <c r="AT92" s="22">
        <v>187.18</v>
      </c>
      <c r="AU92" s="22">
        <v>813.96</v>
      </c>
      <c r="AV92" s="22">
        <v>72.91</v>
      </c>
      <c r="AW92" s="22">
        <v>2462.16</v>
      </c>
      <c r="AX92" s="22">
        <v>541.66999999999996</v>
      </c>
      <c r="AY92" s="22">
        <v>1595.46</v>
      </c>
      <c r="AZ92" s="22">
        <v>0</v>
      </c>
      <c r="BA92" s="22">
        <v>5474.66</v>
      </c>
      <c r="BB92" s="22">
        <v>633.4</v>
      </c>
      <c r="BC92" s="22">
        <v>318.2</v>
      </c>
      <c r="BD92" s="22">
        <v>701</v>
      </c>
      <c r="BE92" s="22">
        <v>1100</v>
      </c>
      <c r="BF92" s="22">
        <v>864</v>
      </c>
      <c r="BG92" s="22">
        <v>701</v>
      </c>
      <c r="BH92" s="22">
        <v>580</v>
      </c>
      <c r="BI92" s="22">
        <v>26718.67</v>
      </c>
      <c r="BJ92" s="22">
        <v>42944.9</v>
      </c>
      <c r="BK92" s="22">
        <v>8144.01</v>
      </c>
      <c r="BL92" s="22">
        <v>3012.65</v>
      </c>
      <c r="BM92" s="22">
        <v>166.67</v>
      </c>
      <c r="BN92" s="22">
        <v>0</v>
      </c>
      <c r="BO92" s="22">
        <v>0</v>
      </c>
      <c r="BP92" s="22">
        <v>265.76</v>
      </c>
      <c r="BQ92" s="22">
        <v>190.1</v>
      </c>
      <c r="BR92" s="22">
        <v>340.24</v>
      </c>
      <c r="BS92" s="22">
        <v>179.47</v>
      </c>
      <c r="BT92" s="22">
        <v>600.36</v>
      </c>
      <c r="BU92" s="22">
        <v>5222.3500000000004</v>
      </c>
      <c r="BV92" s="22">
        <v>0</v>
      </c>
      <c r="BW92" s="22">
        <v>92.95</v>
      </c>
      <c r="BX92" s="22">
        <v>397.36</v>
      </c>
      <c r="BY92" s="22">
        <v>0</v>
      </c>
      <c r="BZ92" s="22">
        <v>748.89</v>
      </c>
      <c r="CA92" s="22">
        <v>81.430000000000007</v>
      </c>
      <c r="CB92" s="22">
        <v>36.79</v>
      </c>
      <c r="CC92" s="22">
        <v>0</v>
      </c>
      <c r="CD92" s="22">
        <v>368.4</v>
      </c>
      <c r="CE92" s="22">
        <v>97.91</v>
      </c>
      <c r="CF92" s="22">
        <v>116.12</v>
      </c>
      <c r="CG92" s="22">
        <v>900.6</v>
      </c>
      <c r="CH92" s="22">
        <v>633.55999999999995</v>
      </c>
      <c r="CI92" s="22">
        <v>1078.56</v>
      </c>
      <c r="CJ92" s="22">
        <v>336.41</v>
      </c>
      <c r="CK92" s="22">
        <v>1010.36</v>
      </c>
      <c r="CL92" s="22">
        <v>149.15</v>
      </c>
      <c r="CM92" s="22">
        <v>94.61</v>
      </c>
      <c r="CN92" s="22">
        <v>181.46</v>
      </c>
      <c r="CO92" s="22">
        <v>48.53</v>
      </c>
      <c r="CP92" s="22">
        <v>1524.59</v>
      </c>
      <c r="CQ92" s="22">
        <v>1169.54</v>
      </c>
      <c r="CR92" s="22">
        <v>24</v>
      </c>
      <c r="CS92" s="22">
        <v>452.92</v>
      </c>
      <c r="CT92" s="22">
        <v>1719.35</v>
      </c>
      <c r="CU92" s="22">
        <v>159.02000000000001</v>
      </c>
      <c r="CV92" s="22">
        <v>128.56</v>
      </c>
      <c r="CW92" s="22">
        <v>120.51</v>
      </c>
      <c r="CX92" s="22">
        <v>38.950000000000003</v>
      </c>
      <c r="CY92" s="22">
        <v>23.41</v>
      </c>
      <c r="CZ92" s="22">
        <v>3949.53</v>
      </c>
      <c r="DA92" s="22">
        <v>563.24</v>
      </c>
      <c r="DB92" s="22">
        <v>77.040000000000006</v>
      </c>
      <c r="DC92" s="22">
        <v>70.459999999999994</v>
      </c>
      <c r="DD92" s="22">
        <v>370.12</v>
      </c>
      <c r="DE92" s="72"/>
      <c r="DG92" s="76"/>
      <c r="DI92" s="76"/>
    </row>
    <row r="93" spans="1:113">
      <c r="A93" s="23" t="s">
        <v>343</v>
      </c>
      <c r="B93" s="19" t="s">
        <v>344</v>
      </c>
      <c r="C93" s="19" t="s">
        <v>345</v>
      </c>
      <c r="D93" s="20">
        <f t="shared" si="1"/>
        <v>2014</v>
      </c>
      <c r="E93" s="22">
        <v>354</v>
      </c>
      <c r="F93" s="22">
        <v>20</v>
      </c>
      <c r="G93" s="22">
        <v>3</v>
      </c>
      <c r="H93" s="22">
        <v>42</v>
      </c>
      <c r="I93" s="22">
        <v>1</v>
      </c>
      <c r="J93" s="22">
        <v>5</v>
      </c>
      <c r="K93" s="22">
        <v>44</v>
      </c>
      <c r="L93" s="21">
        <v>0</v>
      </c>
      <c r="M93" s="22">
        <v>4</v>
      </c>
      <c r="N93" s="22">
        <v>0</v>
      </c>
      <c r="O93" s="22">
        <v>0</v>
      </c>
      <c r="P93" s="22">
        <v>42</v>
      </c>
      <c r="Q93" s="22">
        <v>8</v>
      </c>
      <c r="R93" s="22">
        <v>31</v>
      </c>
      <c r="S93" s="22">
        <v>0</v>
      </c>
      <c r="T93" s="22">
        <v>0</v>
      </c>
      <c r="U93" s="22">
        <v>0</v>
      </c>
      <c r="V93" s="22">
        <v>1</v>
      </c>
      <c r="W93" s="22">
        <v>0</v>
      </c>
      <c r="X93" s="22">
        <v>0</v>
      </c>
      <c r="Y93" s="22">
        <v>2</v>
      </c>
      <c r="Z93" s="22">
        <v>28</v>
      </c>
      <c r="AA93" s="22">
        <v>12</v>
      </c>
      <c r="AB93" s="22">
        <v>0</v>
      </c>
      <c r="AC93" s="22">
        <v>54</v>
      </c>
      <c r="AD93" s="22">
        <v>7</v>
      </c>
      <c r="AE93" s="22">
        <v>0</v>
      </c>
      <c r="AF93" s="22">
        <v>1</v>
      </c>
      <c r="AG93" s="22">
        <v>7</v>
      </c>
      <c r="AH93" s="22">
        <v>7</v>
      </c>
      <c r="AI93" s="22">
        <v>0</v>
      </c>
      <c r="AJ93" s="22">
        <v>9</v>
      </c>
      <c r="AK93" s="22">
        <v>0</v>
      </c>
      <c r="AL93" s="22">
        <v>7</v>
      </c>
      <c r="AM93" s="22">
        <v>12</v>
      </c>
      <c r="AN93" s="22">
        <v>0</v>
      </c>
      <c r="AO93" s="22">
        <v>2</v>
      </c>
      <c r="AP93" s="22">
        <v>1</v>
      </c>
      <c r="AQ93" s="22">
        <v>0</v>
      </c>
      <c r="AR93" s="22">
        <v>45</v>
      </c>
      <c r="AS93" s="22">
        <v>6</v>
      </c>
      <c r="AT93" s="22">
        <v>0</v>
      </c>
      <c r="AU93" s="22">
        <v>0</v>
      </c>
      <c r="AV93" s="22">
        <v>0</v>
      </c>
      <c r="AW93" s="22">
        <v>55</v>
      </c>
      <c r="AX93" s="22">
        <v>0</v>
      </c>
      <c r="AY93" s="22">
        <v>5</v>
      </c>
      <c r="AZ93" s="22">
        <v>2</v>
      </c>
      <c r="BA93" s="22">
        <v>5</v>
      </c>
      <c r="BB93" s="22">
        <v>0</v>
      </c>
      <c r="BC93" s="22">
        <v>0</v>
      </c>
      <c r="BD93" s="22">
        <v>9</v>
      </c>
      <c r="BE93" s="22">
        <v>28</v>
      </c>
      <c r="BF93" s="22">
        <v>7</v>
      </c>
      <c r="BG93" s="22">
        <v>9</v>
      </c>
      <c r="BH93" s="22">
        <v>14</v>
      </c>
      <c r="BI93" s="22">
        <v>284</v>
      </c>
      <c r="BJ93" s="22">
        <v>657</v>
      </c>
      <c r="BK93" s="22">
        <v>49</v>
      </c>
      <c r="BL93" s="22">
        <v>36</v>
      </c>
      <c r="BM93" s="22">
        <v>1</v>
      </c>
      <c r="BN93" s="22">
        <v>0</v>
      </c>
      <c r="BO93" s="22">
        <v>0</v>
      </c>
      <c r="BP93" s="22">
        <v>2</v>
      </c>
      <c r="BQ93" s="22">
        <v>0</v>
      </c>
      <c r="BR93" s="22">
        <v>0</v>
      </c>
      <c r="BS93" s="22">
        <v>0</v>
      </c>
      <c r="BT93" s="22">
        <v>13</v>
      </c>
      <c r="BU93" s="22">
        <v>12</v>
      </c>
      <c r="BV93" s="22">
        <v>0</v>
      </c>
      <c r="BW93" s="22">
        <v>0</v>
      </c>
      <c r="BX93" s="22">
        <v>0</v>
      </c>
      <c r="BY93" s="22">
        <v>0</v>
      </c>
      <c r="BZ93" s="22">
        <v>8</v>
      </c>
      <c r="CA93" s="22">
        <v>0</v>
      </c>
      <c r="CB93" s="22">
        <v>0</v>
      </c>
      <c r="CC93" s="22">
        <v>0</v>
      </c>
      <c r="CD93" s="22">
        <v>0</v>
      </c>
      <c r="CE93" s="22">
        <v>0</v>
      </c>
      <c r="CF93" s="22">
        <v>0</v>
      </c>
      <c r="CG93" s="22">
        <v>2</v>
      </c>
      <c r="CH93" s="22">
        <v>2</v>
      </c>
      <c r="CI93" s="22">
        <v>0</v>
      </c>
      <c r="CJ93" s="22">
        <v>1</v>
      </c>
      <c r="CK93" s="22">
        <v>9</v>
      </c>
      <c r="CL93" s="22">
        <v>1</v>
      </c>
      <c r="CM93" s="22">
        <v>0</v>
      </c>
      <c r="CN93" s="22">
        <v>0</v>
      </c>
      <c r="CO93" s="22">
        <v>0</v>
      </c>
      <c r="CP93" s="22">
        <v>1</v>
      </c>
      <c r="CQ93" s="22">
        <v>10</v>
      </c>
      <c r="CR93" s="22">
        <v>0</v>
      </c>
      <c r="CS93" s="22">
        <v>2</v>
      </c>
      <c r="CT93" s="22">
        <v>3</v>
      </c>
      <c r="CU93" s="22">
        <v>3</v>
      </c>
      <c r="CV93" s="22">
        <v>0</v>
      </c>
      <c r="CW93" s="22">
        <v>0</v>
      </c>
      <c r="CX93" s="22">
        <v>0</v>
      </c>
      <c r="CY93" s="22">
        <v>0</v>
      </c>
      <c r="CZ93" s="22">
        <v>28</v>
      </c>
      <c r="DA93" s="22">
        <v>1</v>
      </c>
      <c r="DB93" s="22">
        <v>0</v>
      </c>
      <c r="DC93" s="22">
        <v>0</v>
      </c>
      <c r="DD93" s="22">
        <v>0</v>
      </c>
      <c r="DE93" s="72"/>
      <c r="DG93" s="76"/>
      <c r="DI93" s="76"/>
    </row>
    <row r="94" spans="1:113">
      <c r="A94" s="23" t="s">
        <v>346</v>
      </c>
      <c r="B94" s="19" t="s">
        <v>347</v>
      </c>
      <c r="C94" s="19" t="s">
        <v>348</v>
      </c>
      <c r="D94" s="20">
        <f t="shared" si="1"/>
        <v>2958</v>
      </c>
      <c r="E94" s="22">
        <v>426</v>
      </c>
      <c r="F94" s="22">
        <v>45</v>
      </c>
      <c r="G94" s="22">
        <v>10</v>
      </c>
      <c r="H94" s="22">
        <v>50</v>
      </c>
      <c r="I94" s="22">
        <v>8</v>
      </c>
      <c r="J94" s="22">
        <v>11</v>
      </c>
      <c r="K94" s="22">
        <v>55</v>
      </c>
      <c r="L94" s="21">
        <v>1</v>
      </c>
      <c r="M94" s="22">
        <v>51</v>
      </c>
      <c r="N94" s="22">
        <v>1</v>
      </c>
      <c r="O94" s="22">
        <v>1</v>
      </c>
      <c r="P94" s="22">
        <v>60</v>
      </c>
      <c r="Q94" s="22">
        <v>11</v>
      </c>
      <c r="R94" s="22">
        <v>52</v>
      </c>
      <c r="S94" s="22">
        <v>3</v>
      </c>
      <c r="T94" s="22">
        <v>7</v>
      </c>
      <c r="U94" s="22">
        <v>6</v>
      </c>
      <c r="V94" s="22">
        <v>11</v>
      </c>
      <c r="W94" s="22">
        <v>4</v>
      </c>
      <c r="X94" s="22">
        <v>1</v>
      </c>
      <c r="Y94" s="22">
        <v>7</v>
      </c>
      <c r="Z94" s="22">
        <v>50</v>
      </c>
      <c r="AA94" s="22">
        <v>28</v>
      </c>
      <c r="AB94" s="22">
        <v>10</v>
      </c>
      <c r="AC94" s="22">
        <v>51</v>
      </c>
      <c r="AD94" s="22">
        <v>10</v>
      </c>
      <c r="AE94" s="22">
        <v>0</v>
      </c>
      <c r="AF94" s="22">
        <v>6</v>
      </c>
      <c r="AG94" s="22">
        <v>10</v>
      </c>
      <c r="AH94" s="22">
        <v>15</v>
      </c>
      <c r="AI94" s="22">
        <v>13</v>
      </c>
      <c r="AJ94" s="22">
        <v>45</v>
      </c>
      <c r="AK94" s="22">
        <v>12</v>
      </c>
      <c r="AL94" s="22">
        <v>24</v>
      </c>
      <c r="AM94" s="22">
        <v>51</v>
      </c>
      <c r="AN94" s="22">
        <v>0</v>
      </c>
      <c r="AO94" s="22">
        <v>16</v>
      </c>
      <c r="AP94" s="22">
        <v>20</v>
      </c>
      <c r="AQ94" s="22">
        <v>0</v>
      </c>
      <c r="AR94" s="22">
        <v>61</v>
      </c>
      <c r="AS94" s="22">
        <v>14</v>
      </c>
      <c r="AT94" s="22">
        <v>3</v>
      </c>
      <c r="AU94" s="22">
        <v>15</v>
      </c>
      <c r="AV94" s="22">
        <v>3</v>
      </c>
      <c r="AW94" s="22">
        <v>46</v>
      </c>
      <c r="AX94" s="22">
        <v>12</v>
      </c>
      <c r="AY94" s="22">
        <v>10</v>
      </c>
      <c r="AZ94" s="22">
        <v>3</v>
      </c>
      <c r="BA94" s="22">
        <v>45</v>
      </c>
      <c r="BB94" s="22">
        <v>6</v>
      </c>
      <c r="BC94" s="22">
        <v>12</v>
      </c>
      <c r="BD94" s="22">
        <v>10</v>
      </c>
      <c r="BE94" s="22">
        <v>12</v>
      </c>
      <c r="BF94" s="22">
        <v>5</v>
      </c>
      <c r="BG94" s="22">
        <v>10</v>
      </c>
      <c r="BH94" s="22">
        <v>12</v>
      </c>
      <c r="BI94" s="22">
        <v>294</v>
      </c>
      <c r="BJ94" s="22">
        <v>604</v>
      </c>
      <c r="BK94" s="22">
        <v>55</v>
      </c>
      <c r="BL94" s="22">
        <v>47</v>
      </c>
      <c r="BM94" s="22">
        <v>2</v>
      </c>
      <c r="BN94" s="22">
        <v>1</v>
      </c>
      <c r="BO94" s="22">
        <v>2</v>
      </c>
      <c r="BP94" s="22">
        <v>6</v>
      </c>
      <c r="BQ94" s="22">
        <v>9</v>
      </c>
      <c r="BR94" s="22">
        <v>11</v>
      </c>
      <c r="BS94" s="22">
        <v>7</v>
      </c>
      <c r="BT94" s="22">
        <v>18</v>
      </c>
      <c r="BU94" s="22">
        <v>82</v>
      </c>
      <c r="BV94" s="22">
        <v>0</v>
      </c>
      <c r="BW94" s="22">
        <v>4</v>
      </c>
      <c r="BX94" s="22">
        <v>6</v>
      </c>
      <c r="BY94" s="22">
        <v>6</v>
      </c>
      <c r="BZ94" s="22">
        <v>25</v>
      </c>
      <c r="CA94" s="22">
        <v>6</v>
      </c>
      <c r="CB94" s="22">
        <v>3</v>
      </c>
      <c r="CC94" s="22">
        <v>2</v>
      </c>
      <c r="CD94" s="22">
        <v>8</v>
      </c>
      <c r="CE94" s="22">
        <v>2</v>
      </c>
      <c r="CF94" s="22">
        <v>4</v>
      </c>
      <c r="CG94" s="22">
        <v>10</v>
      </c>
      <c r="CH94" s="22">
        <v>6</v>
      </c>
      <c r="CI94" s="22">
        <v>13</v>
      </c>
      <c r="CJ94" s="22">
        <v>8</v>
      </c>
      <c r="CK94" s="22">
        <v>11</v>
      </c>
      <c r="CL94" s="22">
        <v>6</v>
      </c>
      <c r="CM94" s="22">
        <v>3</v>
      </c>
      <c r="CN94" s="22">
        <v>5</v>
      </c>
      <c r="CO94" s="22">
        <v>5</v>
      </c>
      <c r="CP94" s="22">
        <v>22</v>
      </c>
      <c r="CQ94" s="22">
        <v>18</v>
      </c>
      <c r="CR94" s="22">
        <v>2</v>
      </c>
      <c r="CS94" s="22">
        <v>15</v>
      </c>
      <c r="CT94" s="22">
        <v>21</v>
      </c>
      <c r="CU94" s="22">
        <v>17</v>
      </c>
      <c r="CV94" s="22">
        <v>3</v>
      </c>
      <c r="CW94" s="22">
        <v>3</v>
      </c>
      <c r="CX94" s="22">
        <v>6</v>
      </c>
      <c r="CY94" s="22">
        <v>10</v>
      </c>
      <c r="CZ94" s="22">
        <v>58</v>
      </c>
      <c r="DA94" s="22">
        <v>13</v>
      </c>
      <c r="DB94" s="22">
        <v>21</v>
      </c>
      <c r="DC94" s="22">
        <v>1</v>
      </c>
      <c r="DD94" s="22">
        <v>16</v>
      </c>
      <c r="DE94" s="72"/>
      <c r="DG94" s="76"/>
      <c r="DI94" s="76"/>
    </row>
    <row r="95" spans="1:113">
      <c r="A95" s="23" t="s">
        <v>349</v>
      </c>
      <c r="B95" s="19" t="s">
        <v>350</v>
      </c>
      <c r="C95" s="19" t="s">
        <v>351</v>
      </c>
      <c r="D95" s="20">
        <f t="shared" si="1"/>
        <v>18</v>
      </c>
      <c r="E95" s="22">
        <v>0</v>
      </c>
      <c r="F95" s="22">
        <v>0</v>
      </c>
      <c r="G95" s="22">
        <v>0</v>
      </c>
      <c r="H95" s="22">
        <v>0</v>
      </c>
      <c r="I95" s="22">
        <v>0</v>
      </c>
      <c r="J95" s="22">
        <v>0</v>
      </c>
      <c r="K95" s="22">
        <v>0</v>
      </c>
      <c r="L95" s="21">
        <v>0</v>
      </c>
      <c r="M95" s="22">
        <v>0</v>
      </c>
      <c r="N95" s="22">
        <v>0</v>
      </c>
      <c r="O95" s="22">
        <v>0</v>
      </c>
      <c r="P95" s="22">
        <v>0</v>
      </c>
      <c r="Q95" s="22">
        <v>0</v>
      </c>
      <c r="R95" s="22">
        <v>0</v>
      </c>
      <c r="S95" s="22">
        <v>0</v>
      </c>
      <c r="T95" s="22">
        <v>0</v>
      </c>
      <c r="U95" s="22">
        <v>0</v>
      </c>
      <c r="V95" s="22">
        <v>0</v>
      </c>
      <c r="W95" s="22">
        <v>0</v>
      </c>
      <c r="X95" s="22">
        <v>0</v>
      </c>
      <c r="Y95" s="22">
        <v>0</v>
      </c>
      <c r="Z95" s="22">
        <v>0</v>
      </c>
      <c r="AA95" s="22">
        <v>0</v>
      </c>
      <c r="AB95" s="22">
        <v>0</v>
      </c>
      <c r="AC95" s="22">
        <v>0</v>
      </c>
      <c r="AD95" s="22">
        <v>0</v>
      </c>
      <c r="AE95" s="22">
        <v>0</v>
      </c>
      <c r="AF95" s="22">
        <v>0</v>
      </c>
      <c r="AG95" s="22">
        <v>0</v>
      </c>
      <c r="AH95" s="22">
        <v>0</v>
      </c>
      <c r="AI95" s="22">
        <v>0</v>
      </c>
      <c r="AJ95" s="22">
        <v>0</v>
      </c>
      <c r="AK95" s="22">
        <v>0</v>
      </c>
      <c r="AL95" s="22">
        <v>0</v>
      </c>
      <c r="AM95" s="22">
        <v>0</v>
      </c>
      <c r="AN95" s="22">
        <v>0</v>
      </c>
      <c r="AO95" s="22">
        <v>0</v>
      </c>
      <c r="AP95" s="22">
        <v>0</v>
      </c>
      <c r="AQ95" s="22">
        <v>0</v>
      </c>
      <c r="AR95" s="22">
        <v>0</v>
      </c>
      <c r="AS95" s="22">
        <v>0</v>
      </c>
      <c r="AT95" s="22">
        <v>0</v>
      </c>
      <c r="AU95" s="22">
        <v>0</v>
      </c>
      <c r="AV95" s="22">
        <v>0</v>
      </c>
      <c r="AW95" s="22">
        <v>0</v>
      </c>
      <c r="AX95" s="22">
        <v>0</v>
      </c>
      <c r="AY95" s="22">
        <v>0</v>
      </c>
      <c r="AZ95" s="22">
        <v>0</v>
      </c>
      <c r="BA95" s="22">
        <v>0</v>
      </c>
      <c r="BB95" s="22">
        <v>0</v>
      </c>
      <c r="BC95" s="22">
        <v>0</v>
      </c>
      <c r="BD95" s="22">
        <v>0</v>
      </c>
      <c r="BE95" s="22">
        <v>0</v>
      </c>
      <c r="BF95" s="22">
        <v>0</v>
      </c>
      <c r="BG95" s="22">
        <v>0</v>
      </c>
      <c r="BH95" s="22">
        <v>0</v>
      </c>
      <c r="BI95" s="22">
        <v>9</v>
      </c>
      <c r="BJ95" s="22">
        <v>8</v>
      </c>
      <c r="BK95" s="22">
        <v>0</v>
      </c>
      <c r="BL95" s="22">
        <v>1</v>
      </c>
      <c r="BM95" s="22">
        <v>0</v>
      </c>
      <c r="BN95" s="22">
        <v>0</v>
      </c>
      <c r="BO95" s="22">
        <v>0</v>
      </c>
      <c r="BP95" s="22">
        <v>0</v>
      </c>
      <c r="BQ95" s="22">
        <v>0</v>
      </c>
      <c r="BR95" s="22">
        <v>0</v>
      </c>
      <c r="BS95" s="22">
        <v>0</v>
      </c>
      <c r="BT95" s="22">
        <v>0</v>
      </c>
      <c r="BU95" s="22">
        <v>0</v>
      </c>
      <c r="BV95" s="22">
        <v>0</v>
      </c>
      <c r="BW95" s="22">
        <v>0</v>
      </c>
      <c r="BX95" s="22">
        <v>0</v>
      </c>
      <c r="BY95" s="22">
        <v>0</v>
      </c>
      <c r="BZ95" s="22">
        <v>0</v>
      </c>
      <c r="CA95" s="22">
        <v>0</v>
      </c>
      <c r="CB95" s="22">
        <v>0</v>
      </c>
      <c r="CC95" s="22">
        <v>0</v>
      </c>
      <c r="CD95" s="22">
        <v>0</v>
      </c>
      <c r="CE95" s="22">
        <v>0</v>
      </c>
      <c r="CF95" s="22">
        <v>0</v>
      </c>
      <c r="CG95" s="22">
        <v>0</v>
      </c>
      <c r="CH95" s="22">
        <v>0</v>
      </c>
      <c r="CI95" s="22">
        <v>0</v>
      </c>
      <c r="CJ95" s="22">
        <v>0</v>
      </c>
      <c r="CK95" s="22">
        <v>0</v>
      </c>
      <c r="CL95" s="22">
        <v>0</v>
      </c>
      <c r="CM95" s="22">
        <v>0</v>
      </c>
      <c r="CN95" s="22">
        <v>0</v>
      </c>
      <c r="CO95" s="22">
        <v>0</v>
      </c>
      <c r="CP95" s="22">
        <v>0</v>
      </c>
      <c r="CQ95" s="22">
        <v>0</v>
      </c>
      <c r="CR95" s="22">
        <v>0</v>
      </c>
      <c r="CS95" s="22">
        <v>0</v>
      </c>
      <c r="CT95" s="22">
        <v>0</v>
      </c>
      <c r="CU95" s="22">
        <v>0</v>
      </c>
      <c r="CV95" s="22">
        <v>0</v>
      </c>
      <c r="CW95" s="22">
        <v>0</v>
      </c>
      <c r="CX95" s="22">
        <v>0</v>
      </c>
      <c r="CY95" s="22">
        <v>0</v>
      </c>
      <c r="CZ95" s="22">
        <v>0</v>
      </c>
      <c r="DA95" s="22">
        <v>0</v>
      </c>
      <c r="DB95" s="22">
        <v>0</v>
      </c>
      <c r="DC95" s="22">
        <v>0</v>
      </c>
      <c r="DD95" s="22">
        <v>0</v>
      </c>
      <c r="DE95" s="72"/>
      <c r="DG95" s="76"/>
      <c r="DI95" s="76"/>
    </row>
    <row r="96" spans="1:113">
      <c r="A96" s="23" t="s">
        <v>352</v>
      </c>
      <c r="B96" s="19" t="s">
        <v>353</v>
      </c>
      <c r="C96" s="19" t="s">
        <v>242</v>
      </c>
      <c r="D96" s="20">
        <f t="shared" si="1"/>
        <v>9</v>
      </c>
      <c r="E96" s="22">
        <v>2</v>
      </c>
      <c r="F96" s="22">
        <v>0</v>
      </c>
      <c r="G96" s="22">
        <v>0</v>
      </c>
      <c r="H96" s="22">
        <v>0</v>
      </c>
      <c r="I96" s="22">
        <v>0</v>
      </c>
      <c r="J96" s="22">
        <v>0</v>
      </c>
      <c r="K96" s="22">
        <v>1</v>
      </c>
      <c r="L96" s="21">
        <v>0</v>
      </c>
      <c r="M96" s="22">
        <v>0</v>
      </c>
      <c r="N96" s="22">
        <v>0</v>
      </c>
      <c r="O96" s="22">
        <v>0</v>
      </c>
      <c r="P96" s="22">
        <v>0</v>
      </c>
      <c r="Q96" s="22">
        <v>0</v>
      </c>
      <c r="R96" s="22">
        <v>0</v>
      </c>
      <c r="S96" s="22">
        <v>0</v>
      </c>
      <c r="T96" s="22">
        <v>0</v>
      </c>
      <c r="U96" s="22">
        <v>0</v>
      </c>
      <c r="V96" s="22">
        <v>0</v>
      </c>
      <c r="W96" s="22">
        <v>0</v>
      </c>
      <c r="X96" s="22">
        <v>0</v>
      </c>
      <c r="Y96" s="22">
        <v>0</v>
      </c>
      <c r="Z96" s="22">
        <v>0</v>
      </c>
      <c r="AA96" s="22">
        <v>0</v>
      </c>
      <c r="AB96" s="22">
        <v>0</v>
      </c>
      <c r="AC96" s="22">
        <v>0</v>
      </c>
      <c r="AD96" s="22">
        <v>0</v>
      </c>
      <c r="AE96" s="22">
        <v>0</v>
      </c>
      <c r="AF96" s="22">
        <v>0</v>
      </c>
      <c r="AG96" s="22">
        <v>0</v>
      </c>
      <c r="AH96" s="22">
        <v>0</v>
      </c>
      <c r="AI96" s="22">
        <v>0</v>
      </c>
      <c r="AJ96" s="22">
        <v>0</v>
      </c>
      <c r="AK96" s="22">
        <v>0</v>
      </c>
      <c r="AL96" s="22">
        <v>0</v>
      </c>
      <c r="AM96" s="22">
        <v>0</v>
      </c>
      <c r="AN96" s="22">
        <v>0</v>
      </c>
      <c r="AO96" s="22">
        <v>0</v>
      </c>
      <c r="AP96" s="22">
        <v>0</v>
      </c>
      <c r="AQ96" s="22">
        <v>0</v>
      </c>
      <c r="AR96" s="22">
        <v>0</v>
      </c>
      <c r="AS96" s="22">
        <v>0</v>
      </c>
      <c r="AT96" s="22">
        <v>0</v>
      </c>
      <c r="AU96" s="22">
        <v>0</v>
      </c>
      <c r="AV96" s="22">
        <v>0</v>
      </c>
      <c r="AW96" s="22">
        <v>0</v>
      </c>
      <c r="AX96" s="22">
        <v>0</v>
      </c>
      <c r="AY96" s="22">
        <v>0</v>
      </c>
      <c r="AZ96" s="22">
        <v>0</v>
      </c>
      <c r="BA96" s="22">
        <v>0</v>
      </c>
      <c r="BB96" s="22">
        <v>0</v>
      </c>
      <c r="BC96" s="22">
        <v>0</v>
      </c>
      <c r="BD96" s="22">
        <v>0</v>
      </c>
      <c r="BE96" s="22">
        <v>0</v>
      </c>
      <c r="BF96" s="22">
        <v>0</v>
      </c>
      <c r="BG96" s="22">
        <v>0</v>
      </c>
      <c r="BH96" s="22">
        <v>0</v>
      </c>
      <c r="BI96" s="22">
        <v>2</v>
      </c>
      <c r="BJ96" s="22">
        <v>2</v>
      </c>
      <c r="BK96" s="22">
        <v>1</v>
      </c>
      <c r="BL96" s="22">
        <v>1</v>
      </c>
      <c r="BM96" s="22">
        <v>0</v>
      </c>
      <c r="BN96" s="22">
        <v>0</v>
      </c>
      <c r="BO96" s="22">
        <v>0</v>
      </c>
      <c r="BP96" s="22">
        <v>0</v>
      </c>
      <c r="BQ96" s="22">
        <v>0</v>
      </c>
      <c r="BR96" s="22">
        <v>0</v>
      </c>
      <c r="BS96" s="22">
        <v>0</v>
      </c>
      <c r="BT96" s="22">
        <v>0</v>
      </c>
      <c r="BU96" s="22">
        <v>0</v>
      </c>
      <c r="BV96" s="22">
        <v>0</v>
      </c>
      <c r="BW96" s="22">
        <v>0</v>
      </c>
      <c r="BX96" s="22">
        <v>0</v>
      </c>
      <c r="BY96" s="22">
        <v>0</v>
      </c>
      <c r="BZ96" s="22">
        <v>0</v>
      </c>
      <c r="CA96" s="22">
        <v>0</v>
      </c>
      <c r="CB96" s="22">
        <v>0</v>
      </c>
      <c r="CC96" s="22">
        <v>0</v>
      </c>
      <c r="CD96" s="22">
        <v>0</v>
      </c>
      <c r="CE96" s="22">
        <v>0</v>
      </c>
      <c r="CF96" s="22">
        <v>0</v>
      </c>
      <c r="CG96" s="22">
        <v>0</v>
      </c>
      <c r="CH96" s="22">
        <v>0</v>
      </c>
      <c r="CI96" s="22">
        <v>0</v>
      </c>
      <c r="CJ96" s="22">
        <v>0</v>
      </c>
      <c r="CK96" s="22">
        <v>0</v>
      </c>
      <c r="CL96" s="22">
        <v>0</v>
      </c>
      <c r="CM96" s="22">
        <v>0</v>
      </c>
      <c r="CN96" s="22">
        <v>0</v>
      </c>
      <c r="CO96" s="22">
        <v>0</v>
      </c>
      <c r="CP96" s="22">
        <v>0</v>
      </c>
      <c r="CQ96" s="22">
        <v>0</v>
      </c>
      <c r="CR96" s="22">
        <v>0</v>
      </c>
      <c r="CS96" s="22">
        <v>0</v>
      </c>
      <c r="CT96" s="22">
        <v>0</v>
      </c>
      <c r="CU96" s="22">
        <v>0</v>
      </c>
      <c r="CV96" s="22">
        <v>0</v>
      </c>
      <c r="CW96" s="22">
        <v>0</v>
      </c>
      <c r="CX96" s="22">
        <v>0</v>
      </c>
      <c r="CY96" s="22">
        <v>0</v>
      </c>
      <c r="CZ96" s="22">
        <v>0</v>
      </c>
      <c r="DA96" s="22">
        <v>0</v>
      </c>
      <c r="DB96" s="22">
        <v>0</v>
      </c>
      <c r="DC96" s="22">
        <v>0</v>
      </c>
      <c r="DD96" s="22">
        <v>0</v>
      </c>
      <c r="DE96" s="72"/>
      <c r="DG96" s="76"/>
      <c r="DI96" s="76"/>
    </row>
    <row r="97" spans="1:113">
      <c r="A97" s="23" t="s">
        <v>354</v>
      </c>
      <c r="B97" s="19" t="s">
        <v>355</v>
      </c>
      <c r="C97" s="19" t="s">
        <v>356</v>
      </c>
      <c r="D97" s="20">
        <f t="shared" si="1"/>
        <v>405</v>
      </c>
      <c r="E97" s="22">
        <v>26</v>
      </c>
      <c r="F97" s="22">
        <v>2</v>
      </c>
      <c r="G97" s="22">
        <v>0</v>
      </c>
      <c r="H97" s="22">
        <v>8</v>
      </c>
      <c r="I97" s="22">
        <v>0</v>
      </c>
      <c r="J97" s="22">
        <v>0</v>
      </c>
      <c r="K97" s="22">
        <v>5</v>
      </c>
      <c r="L97" s="21">
        <v>0</v>
      </c>
      <c r="M97" s="22">
        <v>0</v>
      </c>
      <c r="N97" s="22">
        <v>0</v>
      </c>
      <c r="O97" s="22">
        <v>0</v>
      </c>
      <c r="P97" s="22">
        <v>0</v>
      </c>
      <c r="Q97" s="22">
        <v>0</v>
      </c>
      <c r="R97" s="22">
        <v>0</v>
      </c>
      <c r="S97" s="22">
        <v>0</v>
      </c>
      <c r="T97" s="22">
        <v>0</v>
      </c>
      <c r="U97" s="22">
        <v>0</v>
      </c>
      <c r="V97" s="22">
        <v>0</v>
      </c>
      <c r="W97" s="22">
        <v>0</v>
      </c>
      <c r="X97" s="22">
        <v>0</v>
      </c>
      <c r="Y97" s="22">
        <v>0</v>
      </c>
      <c r="Z97" s="22">
        <v>7</v>
      </c>
      <c r="AA97" s="22">
        <v>0</v>
      </c>
      <c r="AB97" s="22">
        <v>0</v>
      </c>
      <c r="AC97" s="22">
        <v>7</v>
      </c>
      <c r="AD97" s="22">
        <v>0</v>
      </c>
      <c r="AE97" s="22">
        <v>0</v>
      </c>
      <c r="AF97" s="22">
        <v>0</v>
      </c>
      <c r="AG97" s="22">
        <v>0</v>
      </c>
      <c r="AH97" s="22">
        <v>0</v>
      </c>
      <c r="AI97" s="22">
        <v>0</v>
      </c>
      <c r="AJ97" s="22">
        <v>0</v>
      </c>
      <c r="AK97" s="22">
        <v>0</v>
      </c>
      <c r="AL97" s="22">
        <v>0</v>
      </c>
      <c r="AM97" s="22">
        <v>0</v>
      </c>
      <c r="AN97" s="22">
        <v>0</v>
      </c>
      <c r="AO97" s="22">
        <v>0</v>
      </c>
      <c r="AP97" s="22">
        <v>0</v>
      </c>
      <c r="AQ97" s="22">
        <v>0</v>
      </c>
      <c r="AR97" s="22">
        <v>0</v>
      </c>
      <c r="AS97" s="22">
        <v>0</v>
      </c>
      <c r="AT97" s="22">
        <v>0</v>
      </c>
      <c r="AU97" s="22">
        <v>0</v>
      </c>
      <c r="AV97" s="22">
        <v>0</v>
      </c>
      <c r="AW97" s="22">
        <v>12</v>
      </c>
      <c r="AX97" s="22">
        <v>0</v>
      </c>
      <c r="AY97" s="22">
        <v>0</v>
      </c>
      <c r="AZ97" s="22">
        <v>0</v>
      </c>
      <c r="BA97" s="22">
        <v>0</v>
      </c>
      <c r="BB97" s="22">
        <v>0</v>
      </c>
      <c r="BC97" s="22">
        <v>0</v>
      </c>
      <c r="BD97" s="22">
        <v>0</v>
      </c>
      <c r="BE97" s="22">
        <v>2</v>
      </c>
      <c r="BF97" s="22">
        <v>0</v>
      </c>
      <c r="BG97" s="22">
        <v>0</v>
      </c>
      <c r="BH97" s="22">
        <v>0</v>
      </c>
      <c r="BI97" s="22">
        <v>116</v>
      </c>
      <c r="BJ97" s="22">
        <v>153</v>
      </c>
      <c r="BK97" s="22">
        <v>24</v>
      </c>
      <c r="BL97" s="22">
        <v>8</v>
      </c>
      <c r="BM97" s="22">
        <v>0</v>
      </c>
      <c r="BN97" s="22">
        <v>0</v>
      </c>
      <c r="BO97" s="22">
        <v>0</v>
      </c>
      <c r="BP97" s="22">
        <v>0</v>
      </c>
      <c r="BQ97" s="22">
        <v>0</v>
      </c>
      <c r="BR97" s="22">
        <v>0</v>
      </c>
      <c r="BS97" s="22">
        <v>0</v>
      </c>
      <c r="BT97" s="22">
        <v>3</v>
      </c>
      <c r="BU97" s="22">
        <v>0</v>
      </c>
      <c r="BV97" s="22">
        <v>0</v>
      </c>
      <c r="BW97" s="22">
        <v>0</v>
      </c>
      <c r="BX97" s="22">
        <v>0</v>
      </c>
      <c r="BY97" s="22">
        <v>1</v>
      </c>
      <c r="BZ97" s="22">
        <v>0</v>
      </c>
      <c r="CA97" s="22">
        <v>0</v>
      </c>
      <c r="CB97" s="22">
        <v>0</v>
      </c>
      <c r="CC97" s="22">
        <v>0</v>
      </c>
      <c r="CD97" s="22">
        <v>1</v>
      </c>
      <c r="CE97" s="22">
        <v>0</v>
      </c>
      <c r="CF97" s="22">
        <v>0</v>
      </c>
      <c r="CG97" s="22">
        <v>0</v>
      </c>
      <c r="CH97" s="22">
        <v>0</v>
      </c>
      <c r="CI97" s="22">
        <v>0</v>
      </c>
      <c r="CJ97" s="22">
        <v>0</v>
      </c>
      <c r="CK97" s="22">
        <v>0</v>
      </c>
      <c r="CL97" s="22">
        <v>0</v>
      </c>
      <c r="CM97" s="22">
        <v>0</v>
      </c>
      <c r="CN97" s="22">
        <v>0</v>
      </c>
      <c r="CO97" s="22">
        <v>0</v>
      </c>
      <c r="CP97" s="22">
        <v>0</v>
      </c>
      <c r="CQ97" s="22">
        <v>3</v>
      </c>
      <c r="CR97" s="22">
        <v>0</v>
      </c>
      <c r="CS97" s="22">
        <v>4</v>
      </c>
      <c r="CT97" s="22">
        <v>0</v>
      </c>
      <c r="CU97" s="22">
        <v>0</v>
      </c>
      <c r="CV97" s="22">
        <v>0</v>
      </c>
      <c r="CW97" s="22">
        <v>0</v>
      </c>
      <c r="CX97" s="22">
        <v>0</v>
      </c>
      <c r="CY97" s="22">
        <v>1</v>
      </c>
      <c r="CZ97" s="22">
        <v>15</v>
      </c>
      <c r="DA97" s="22">
        <v>0</v>
      </c>
      <c r="DB97" s="22">
        <v>6</v>
      </c>
      <c r="DC97" s="22">
        <v>0</v>
      </c>
      <c r="DD97" s="22">
        <v>1</v>
      </c>
      <c r="DE97" s="72"/>
      <c r="DG97" s="76"/>
      <c r="DI97" s="76"/>
    </row>
    <row r="98" spans="1:113">
      <c r="A98" s="23" t="s">
        <v>357</v>
      </c>
      <c r="B98" s="19" t="s">
        <v>358</v>
      </c>
      <c r="C98" s="19" t="s">
        <v>359</v>
      </c>
      <c r="D98" s="20">
        <f t="shared" si="1"/>
        <v>1</v>
      </c>
      <c r="E98" s="21">
        <v>0</v>
      </c>
      <c r="F98" s="21">
        <v>0</v>
      </c>
      <c r="G98" s="21">
        <v>0</v>
      </c>
      <c r="H98" s="21">
        <v>0</v>
      </c>
      <c r="I98" s="21">
        <v>0</v>
      </c>
      <c r="J98" s="21">
        <v>0</v>
      </c>
      <c r="K98" s="21">
        <v>0</v>
      </c>
      <c r="L98" s="21">
        <v>0</v>
      </c>
      <c r="M98" s="21">
        <v>0</v>
      </c>
      <c r="N98" s="21">
        <v>0</v>
      </c>
      <c r="O98" s="21">
        <v>0</v>
      </c>
      <c r="P98" s="21">
        <v>0</v>
      </c>
      <c r="Q98" s="21">
        <v>0</v>
      </c>
      <c r="R98" s="21">
        <v>0</v>
      </c>
      <c r="S98" s="21">
        <v>0</v>
      </c>
      <c r="T98" s="21">
        <v>0</v>
      </c>
      <c r="U98" s="21">
        <v>0</v>
      </c>
      <c r="V98" s="21">
        <v>0</v>
      </c>
      <c r="W98" s="21">
        <v>0</v>
      </c>
      <c r="X98" s="21">
        <v>0</v>
      </c>
      <c r="Y98" s="21">
        <v>0</v>
      </c>
      <c r="Z98" s="21">
        <v>0</v>
      </c>
      <c r="AA98" s="21">
        <v>0</v>
      </c>
      <c r="AB98" s="21">
        <v>0</v>
      </c>
      <c r="AC98" s="21">
        <v>0</v>
      </c>
      <c r="AD98" s="21">
        <v>0</v>
      </c>
      <c r="AE98" s="21">
        <v>0</v>
      </c>
      <c r="AF98" s="21">
        <v>0</v>
      </c>
      <c r="AG98" s="21">
        <v>0</v>
      </c>
      <c r="AH98" s="21">
        <v>0</v>
      </c>
      <c r="AI98" s="21">
        <v>0</v>
      </c>
      <c r="AJ98" s="21">
        <v>0</v>
      </c>
      <c r="AK98" s="21">
        <v>0</v>
      </c>
      <c r="AL98" s="21">
        <v>0</v>
      </c>
      <c r="AM98" s="21">
        <v>0</v>
      </c>
      <c r="AN98" s="21">
        <v>0</v>
      </c>
      <c r="AO98" s="21">
        <v>0</v>
      </c>
      <c r="AP98" s="21">
        <v>0</v>
      </c>
      <c r="AQ98" s="21">
        <v>0</v>
      </c>
      <c r="AR98" s="21">
        <v>0</v>
      </c>
      <c r="AS98" s="21">
        <v>0</v>
      </c>
      <c r="AT98" s="21">
        <v>0</v>
      </c>
      <c r="AU98" s="21">
        <v>0</v>
      </c>
      <c r="AV98" s="21">
        <v>0</v>
      </c>
      <c r="AW98" s="21">
        <v>1</v>
      </c>
      <c r="AX98" s="21">
        <v>0</v>
      </c>
      <c r="AY98" s="21">
        <v>0</v>
      </c>
      <c r="AZ98" s="21">
        <v>0</v>
      </c>
      <c r="BA98" s="21">
        <v>0</v>
      </c>
      <c r="BB98" s="21">
        <v>0</v>
      </c>
      <c r="BC98" s="21">
        <v>0</v>
      </c>
      <c r="BD98" s="21">
        <v>0</v>
      </c>
      <c r="BE98" s="21">
        <v>0</v>
      </c>
      <c r="BF98" s="21">
        <v>0</v>
      </c>
      <c r="BG98" s="21">
        <v>0</v>
      </c>
      <c r="BH98" s="21">
        <v>0</v>
      </c>
      <c r="BI98" s="21">
        <v>0</v>
      </c>
      <c r="BJ98" s="21">
        <v>0</v>
      </c>
      <c r="BK98" s="21">
        <v>0</v>
      </c>
      <c r="BL98" s="21">
        <v>0</v>
      </c>
      <c r="BM98" s="21">
        <v>0</v>
      </c>
      <c r="BN98" s="21">
        <v>0</v>
      </c>
      <c r="BO98" s="21">
        <v>0</v>
      </c>
      <c r="BP98" s="21">
        <v>0</v>
      </c>
      <c r="BQ98" s="21">
        <v>0</v>
      </c>
      <c r="BR98" s="21">
        <v>0</v>
      </c>
      <c r="BS98" s="21">
        <v>0</v>
      </c>
      <c r="BT98" s="21">
        <v>0</v>
      </c>
      <c r="BU98" s="21">
        <v>0</v>
      </c>
      <c r="BV98" s="21">
        <v>0</v>
      </c>
      <c r="BW98" s="21">
        <v>0</v>
      </c>
      <c r="BX98" s="21">
        <v>0</v>
      </c>
      <c r="BY98" s="21">
        <v>0</v>
      </c>
      <c r="BZ98" s="21">
        <v>0</v>
      </c>
      <c r="CA98" s="21">
        <v>0</v>
      </c>
      <c r="CB98" s="21">
        <v>0</v>
      </c>
      <c r="CC98" s="21">
        <v>0</v>
      </c>
      <c r="CD98" s="21">
        <v>0</v>
      </c>
      <c r="CE98" s="21">
        <v>0</v>
      </c>
      <c r="CF98" s="21">
        <v>0</v>
      </c>
      <c r="CG98" s="21">
        <v>0</v>
      </c>
      <c r="CH98" s="21">
        <v>0</v>
      </c>
      <c r="CI98" s="21">
        <v>0</v>
      </c>
      <c r="CJ98" s="21">
        <v>0</v>
      </c>
      <c r="CK98" s="21">
        <v>0</v>
      </c>
      <c r="CL98" s="21">
        <v>0</v>
      </c>
      <c r="CM98" s="21">
        <v>0</v>
      </c>
      <c r="CN98" s="21">
        <v>0</v>
      </c>
      <c r="CO98" s="21">
        <v>0</v>
      </c>
      <c r="CP98" s="21">
        <v>0</v>
      </c>
      <c r="CQ98" s="21">
        <v>0</v>
      </c>
      <c r="CR98" s="21">
        <v>0</v>
      </c>
      <c r="CS98" s="21">
        <v>0</v>
      </c>
      <c r="CT98" s="21">
        <v>0</v>
      </c>
      <c r="CU98" s="21">
        <v>0</v>
      </c>
      <c r="CV98" s="21">
        <v>0</v>
      </c>
      <c r="CW98" s="21">
        <v>0</v>
      </c>
      <c r="CX98" s="21">
        <v>0</v>
      </c>
      <c r="CY98" s="21">
        <v>0</v>
      </c>
      <c r="CZ98" s="21">
        <v>0</v>
      </c>
      <c r="DA98" s="21">
        <v>0</v>
      </c>
      <c r="DB98" s="21">
        <v>0</v>
      </c>
      <c r="DC98" s="21">
        <v>0</v>
      </c>
      <c r="DD98" s="21">
        <v>0</v>
      </c>
      <c r="DE98" s="72"/>
      <c r="DG98" s="76"/>
      <c r="DI98" s="76"/>
    </row>
    <row r="99" spans="1:113" ht="32.1">
      <c r="A99" s="23" t="s">
        <v>360</v>
      </c>
      <c r="B99" s="19" t="s">
        <v>361</v>
      </c>
      <c r="C99" s="19" t="s">
        <v>362</v>
      </c>
      <c r="D99" s="20">
        <f t="shared" si="1"/>
        <v>668.54000000000008</v>
      </c>
      <c r="E99" s="21">
        <v>0</v>
      </c>
      <c r="F99" s="21">
        <v>0</v>
      </c>
      <c r="G99" s="21">
        <v>0</v>
      </c>
      <c r="H99" s="21">
        <v>0</v>
      </c>
      <c r="I99" s="21">
        <v>0</v>
      </c>
      <c r="J99" s="21">
        <v>0</v>
      </c>
      <c r="K99" s="21">
        <v>0</v>
      </c>
      <c r="L99" s="21">
        <v>0</v>
      </c>
      <c r="M99" s="21">
        <v>0</v>
      </c>
      <c r="N99" s="21">
        <v>0</v>
      </c>
      <c r="O99" s="21">
        <v>0</v>
      </c>
      <c r="P99" s="21">
        <v>0</v>
      </c>
      <c r="Q99" s="21">
        <v>0</v>
      </c>
      <c r="R99" s="21">
        <v>0</v>
      </c>
      <c r="S99" s="21">
        <v>0</v>
      </c>
      <c r="T99" s="21">
        <v>0</v>
      </c>
      <c r="U99" s="21">
        <v>0</v>
      </c>
      <c r="V99" s="21">
        <v>0</v>
      </c>
      <c r="W99" s="21">
        <v>0</v>
      </c>
      <c r="X99" s="21">
        <v>0</v>
      </c>
      <c r="Y99" s="21">
        <v>0</v>
      </c>
      <c r="Z99" s="21">
        <v>0</v>
      </c>
      <c r="AA99" s="21">
        <v>0</v>
      </c>
      <c r="AB99" s="21">
        <v>0</v>
      </c>
      <c r="AC99" s="21">
        <v>0</v>
      </c>
      <c r="AD99" s="21">
        <v>0</v>
      </c>
      <c r="AE99" s="21">
        <v>0</v>
      </c>
      <c r="AF99" s="21">
        <v>0</v>
      </c>
      <c r="AG99" s="21">
        <v>0</v>
      </c>
      <c r="AH99" s="21">
        <v>0</v>
      </c>
      <c r="AI99" s="21">
        <v>0</v>
      </c>
      <c r="AJ99" s="21">
        <v>0</v>
      </c>
      <c r="AK99" s="21">
        <v>0</v>
      </c>
      <c r="AL99" s="21">
        <v>0</v>
      </c>
      <c r="AM99" s="21">
        <v>0</v>
      </c>
      <c r="AN99" s="21">
        <v>0</v>
      </c>
      <c r="AO99" s="21">
        <v>0</v>
      </c>
      <c r="AP99" s="21">
        <v>0</v>
      </c>
      <c r="AQ99" s="21">
        <v>0</v>
      </c>
      <c r="AR99" s="21">
        <v>0</v>
      </c>
      <c r="AS99" s="21">
        <v>0</v>
      </c>
      <c r="AT99" s="21">
        <v>0</v>
      </c>
      <c r="AU99" s="21">
        <v>0</v>
      </c>
      <c r="AV99" s="21">
        <v>0</v>
      </c>
      <c r="AW99" s="21">
        <v>0</v>
      </c>
      <c r="AX99" s="21">
        <v>0</v>
      </c>
      <c r="AY99" s="21">
        <v>0</v>
      </c>
      <c r="AZ99" s="21">
        <v>0</v>
      </c>
      <c r="BA99" s="21">
        <v>0</v>
      </c>
      <c r="BB99" s="21">
        <v>0</v>
      </c>
      <c r="BC99" s="21">
        <v>0</v>
      </c>
      <c r="BD99" s="21">
        <v>0</v>
      </c>
      <c r="BE99" s="21">
        <v>0</v>
      </c>
      <c r="BF99" s="21">
        <v>0</v>
      </c>
      <c r="BG99" s="21">
        <v>0</v>
      </c>
      <c r="BH99" s="21">
        <v>0</v>
      </c>
      <c r="BI99" s="21">
        <v>0</v>
      </c>
      <c r="BJ99" s="21">
        <v>188.48</v>
      </c>
      <c r="BK99" s="21">
        <v>0</v>
      </c>
      <c r="BL99" s="21">
        <v>327.99</v>
      </c>
      <c r="BM99" s="21">
        <v>0</v>
      </c>
      <c r="BN99" s="21">
        <v>0</v>
      </c>
      <c r="BO99" s="21">
        <v>0</v>
      </c>
      <c r="BP99" s="21">
        <v>0</v>
      </c>
      <c r="BQ99" s="21">
        <v>0</v>
      </c>
      <c r="BR99" s="21">
        <v>0</v>
      </c>
      <c r="BS99" s="21">
        <v>0</v>
      </c>
      <c r="BT99" s="21">
        <v>37.85</v>
      </c>
      <c r="BU99" s="21">
        <v>0</v>
      </c>
      <c r="BV99" s="21">
        <v>0</v>
      </c>
      <c r="BW99" s="21">
        <v>0</v>
      </c>
      <c r="BX99" s="21">
        <v>0</v>
      </c>
      <c r="BY99" s="21">
        <v>0</v>
      </c>
      <c r="BZ99" s="21">
        <v>0</v>
      </c>
      <c r="CA99" s="21">
        <v>0</v>
      </c>
      <c r="CB99" s="21">
        <v>0</v>
      </c>
      <c r="CC99" s="21">
        <v>0</v>
      </c>
      <c r="CD99" s="21">
        <v>0</v>
      </c>
      <c r="CE99" s="21">
        <v>0</v>
      </c>
      <c r="CF99" s="21">
        <v>0</v>
      </c>
      <c r="CG99" s="21">
        <v>0</v>
      </c>
      <c r="CH99" s="21">
        <v>0</v>
      </c>
      <c r="CI99" s="21">
        <v>0</v>
      </c>
      <c r="CJ99" s="21">
        <v>0</v>
      </c>
      <c r="CK99" s="21">
        <v>0</v>
      </c>
      <c r="CL99" s="21">
        <v>0</v>
      </c>
      <c r="CM99" s="21">
        <v>0</v>
      </c>
      <c r="CN99" s="21">
        <v>0</v>
      </c>
      <c r="CO99" s="21">
        <v>0</v>
      </c>
      <c r="CP99" s="21">
        <v>0</v>
      </c>
      <c r="CQ99" s="21">
        <v>0</v>
      </c>
      <c r="CR99" s="21">
        <v>0</v>
      </c>
      <c r="CS99" s="21">
        <v>0</v>
      </c>
      <c r="CT99" s="21">
        <v>0</v>
      </c>
      <c r="CU99" s="21">
        <v>0</v>
      </c>
      <c r="CV99" s="21">
        <v>0</v>
      </c>
      <c r="CW99" s="21">
        <v>0</v>
      </c>
      <c r="CX99" s="21">
        <v>0</v>
      </c>
      <c r="CY99" s="21">
        <v>0</v>
      </c>
      <c r="CZ99" s="21">
        <v>0</v>
      </c>
      <c r="DA99" s="21">
        <v>0</v>
      </c>
      <c r="DB99" s="21">
        <v>114.22</v>
      </c>
      <c r="DC99" s="21">
        <v>0</v>
      </c>
      <c r="DD99" s="21">
        <v>0</v>
      </c>
      <c r="DE99" s="72"/>
      <c r="DG99" s="76"/>
      <c r="DI99" s="76"/>
    </row>
    <row r="100" spans="1:113">
      <c r="A100" s="23" t="s">
        <v>363</v>
      </c>
      <c r="B100" s="19" t="s">
        <v>364</v>
      </c>
      <c r="C100" s="19" t="s">
        <v>365</v>
      </c>
      <c r="D100" s="20">
        <f t="shared" si="1"/>
        <v>0</v>
      </c>
      <c r="E100" s="21">
        <v>0</v>
      </c>
      <c r="F100" s="21">
        <v>0</v>
      </c>
      <c r="G100" s="21">
        <v>0</v>
      </c>
      <c r="H100" s="21">
        <v>0</v>
      </c>
      <c r="I100" s="21">
        <v>0</v>
      </c>
      <c r="J100" s="21">
        <v>0</v>
      </c>
      <c r="K100" s="21">
        <v>0</v>
      </c>
      <c r="L100" s="21">
        <v>0</v>
      </c>
      <c r="M100" s="21">
        <v>0</v>
      </c>
      <c r="N100" s="21">
        <v>0</v>
      </c>
      <c r="O100" s="21">
        <v>0</v>
      </c>
      <c r="P100" s="21">
        <v>0</v>
      </c>
      <c r="Q100" s="21">
        <v>0</v>
      </c>
      <c r="R100" s="21">
        <v>0</v>
      </c>
      <c r="S100" s="21">
        <v>0</v>
      </c>
      <c r="T100" s="21">
        <v>0</v>
      </c>
      <c r="U100" s="21">
        <v>0</v>
      </c>
      <c r="V100" s="21">
        <v>0</v>
      </c>
      <c r="W100" s="21">
        <v>0</v>
      </c>
      <c r="X100" s="21">
        <v>0</v>
      </c>
      <c r="Y100" s="21">
        <v>0</v>
      </c>
      <c r="Z100" s="21">
        <v>0</v>
      </c>
      <c r="AA100" s="21">
        <v>0</v>
      </c>
      <c r="AB100" s="21">
        <v>0</v>
      </c>
      <c r="AC100" s="21">
        <v>0</v>
      </c>
      <c r="AD100" s="21">
        <v>0</v>
      </c>
      <c r="AE100" s="21">
        <v>0</v>
      </c>
      <c r="AF100" s="21">
        <v>0</v>
      </c>
      <c r="AG100" s="21">
        <v>0</v>
      </c>
      <c r="AH100" s="21">
        <v>0</v>
      </c>
      <c r="AI100" s="21">
        <v>0</v>
      </c>
      <c r="AJ100" s="21">
        <v>0</v>
      </c>
      <c r="AK100" s="21">
        <v>0</v>
      </c>
      <c r="AL100" s="21">
        <v>0</v>
      </c>
      <c r="AM100" s="21">
        <v>0</v>
      </c>
      <c r="AN100" s="21">
        <v>0</v>
      </c>
      <c r="AO100" s="21">
        <v>0</v>
      </c>
      <c r="AP100" s="21">
        <v>0</v>
      </c>
      <c r="AQ100" s="21">
        <v>0</v>
      </c>
      <c r="AR100" s="21">
        <v>0</v>
      </c>
      <c r="AS100" s="21">
        <v>0</v>
      </c>
      <c r="AT100" s="21">
        <v>0</v>
      </c>
      <c r="AU100" s="21">
        <v>0</v>
      </c>
      <c r="AV100" s="21">
        <v>0</v>
      </c>
      <c r="AW100" s="21">
        <v>0</v>
      </c>
      <c r="AX100" s="21">
        <v>0</v>
      </c>
      <c r="AY100" s="21">
        <v>0</v>
      </c>
      <c r="AZ100" s="21">
        <v>0</v>
      </c>
      <c r="BA100" s="21">
        <v>0</v>
      </c>
      <c r="BB100" s="21">
        <v>0</v>
      </c>
      <c r="BC100" s="21">
        <v>0</v>
      </c>
      <c r="BD100" s="21">
        <v>0</v>
      </c>
      <c r="BE100" s="21">
        <v>0</v>
      </c>
      <c r="BF100" s="21">
        <v>0</v>
      </c>
      <c r="BG100" s="21">
        <v>0</v>
      </c>
      <c r="BH100" s="21">
        <v>0</v>
      </c>
      <c r="BI100" s="21">
        <v>0</v>
      </c>
      <c r="BJ100" s="21">
        <v>0</v>
      </c>
      <c r="BK100" s="21">
        <v>0</v>
      </c>
      <c r="BL100" s="21">
        <v>0</v>
      </c>
      <c r="BM100" s="21">
        <v>0</v>
      </c>
      <c r="BN100" s="21">
        <v>0</v>
      </c>
      <c r="BO100" s="21">
        <v>0</v>
      </c>
      <c r="BP100" s="21">
        <v>0</v>
      </c>
      <c r="BQ100" s="21">
        <v>0</v>
      </c>
      <c r="BR100" s="21">
        <v>0</v>
      </c>
      <c r="BS100" s="21">
        <v>0</v>
      </c>
      <c r="BT100" s="21">
        <v>0</v>
      </c>
      <c r="BU100" s="21">
        <v>0</v>
      </c>
      <c r="BV100" s="21">
        <v>0</v>
      </c>
      <c r="BW100" s="21">
        <v>0</v>
      </c>
      <c r="BX100" s="21">
        <v>0</v>
      </c>
      <c r="BY100" s="21">
        <v>0</v>
      </c>
      <c r="BZ100" s="21">
        <v>0</v>
      </c>
      <c r="CA100" s="21">
        <v>0</v>
      </c>
      <c r="CB100" s="21">
        <v>0</v>
      </c>
      <c r="CC100" s="21">
        <v>0</v>
      </c>
      <c r="CD100" s="21">
        <v>0</v>
      </c>
      <c r="CE100" s="21">
        <v>0</v>
      </c>
      <c r="CF100" s="21">
        <v>0</v>
      </c>
      <c r="CG100" s="21">
        <v>0</v>
      </c>
      <c r="CH100" s="21">
        <v>0</v>
      </c>
      <c r="CI100" s="21">
        <v>0</v>
      </c>
      <c r="CJ100" s="21">
        <v>0</v>
      </c>
      <c r="CK100" s="21">
        <v>0</v>
      </c>
      <c r="CL100" s="21">
        <v>0</v>
      </c>
      <c r="CM100" s="21">
        <v>0</v>
      </c>
      <c r="CN100" s="21">
        <v>0</v>
      </c>
      <c r="CO100" s="21">
        <v>0</v>
      </c>
      <c r="CP100" s="21">
        <v>0</v>
      </c>
      <c r="CQ100" s="21">
        <v>0</v>
      </c>
      <c r="CR100" s="21">
        <v>0</v>
      </c>
      <c r="CS100" s="21">
        <v>0</v>
      </c>
      <c r="CT100" s="21">
        <v>0</v>
      </c>
      <c r="CU100" s="21">
        <v>0</v>
      </c>
      <c r="CV100" s="21">
        <v>0</v>
      </c>
      <c r="CW100" s="21">
        <v>0</v>
      </c>
      <c r="CX100" s="21">
        <v>0</v>
      </c>
      <c r="CY100" s="21">
        <v>0</v>
      </c>
      <c r="CZ100" s="21">
        <v>0</v>
      </c>
      <c r="DA100" s="21">
        <v>0</v>
      </c>
      <c r="DB100" s="21">
        <v>0</v>
      </c>
      <c r="DC100" s="21">
        <v>0</v>
      </c>
      <c r="DD100" s="21">
        <v>0</v>
      </c>
      <c r="DE100" s="72"/>
      <c r="DG100" s="76"/>
      <c r="DI100" s="76"/>
    </row>
    <row r="101" spans="1:113">
      <c r="A101" s="23" t="s">
        <v>366</v>
      </c>
      <c r="B101" s="19" t="s">
        <v>367</v>
      </c>
      <c r="C101" s="19" t="s">
        <v>368</v>
      </c>
      <c r="D101" s="20">
        <f t="shared" si="1"/>
        <v>0</v>
      </c>
      <c r="E101" s="21">
        <v>0</v>
      </c>
      <c r="F101" s="21">
        <v>0</v>
      </c>
      <c r="G101" s="21">
        <v>0</v>
      </c>
      <c r="H101" s="21">
        <v>0</v>
      </c>
      <c r="I101" s="21">
        <v>0</v>
      </c>
      <c r="J101" s="21">
        <v>0</v>
      </c>
      <c r="K101" s="21">
        <v>0</v>
      </c>
      <c r="L101" s="21">
        <v>0</v>
      </c>
      <c r="M101" s="21">
        <v>0</v>
      </c>
      <c r="N101" s="21">
        <v>0</v>
      </c>
      <c r="O101" s="21">
        <v>0</v>
      </c>
      <c r="P101" s="21">
        <v>0</v>
      </c>
      <c r="Q101" s="21">
        <v>0</v>
      </c>
      <c r="R101" s="21">
        <v>0</v>
      </c>
      <c r="S101" s="21">
        <v>0</v>
      </c>
      <c r="T101" s="21">
        <v>0</v>
      </c>
      <c r="U101" s="21">
        <v>0</v>
      </c>
      <c r="V101" s="21">
        <v>0</v>
      </c>
      <c r="W101" s="21">
        <v>0</v>
      </c>
      <c r="X101" s="21">
        <v>0</v>
      </c>
      <c r="Y101" s="21">
        <v>0</v>
      </c>
      <c r="Z101" s="21">
        <v>0</v>
      </c>
      <c r="AA101" s="21">
        <v>0</v>
      </c>
      <c r="AB101" s="21">
        <v>0</v>
      </c>
      <c r="AC101" s="21">
        <v>0</v>
      </c>
      <c r="AD101" s="21">
        <v>0</v>
      </c>
      <c r="AE101" s="21">
        <v>0</v>
      </c>
      <c r="AF101" s="21">
        <v>0</v>
      </c>
      <c r="AG101" s="21">
        <v>0</v>
      </c>
      <c r="AH101" s="21">
        <v>0</v>
      </c>
      <c r="AI101" s="21">
        <v>0</v>
      </c>
      <c r="AJ101" s="21">
        <v>0</v>
      </c>
      <c r="AK101" s="21">
        <v>0</v>
      </c>
      <c r="AL101" s="21">
        <v>0</v>
      </c>
      <c r="AM101" s="21">
        <v>0</v>
      </c>
      <c r="AN101" s="21">
        <v>0</v>
      </c>
      <c r="AO101" s="21">
        <v>0</v>
      </c>
      <c r="AP101" s="21">
        <v>0</v>
      </c>
      <c r="AQ101" s="21">
        <v>0</v>
      </c>
      <c r="AR101" s="21">
        <v>0</v>
      </c>
      <c r="AS101" s="21">
        <v>0</v>
      </c>
      <c r="AT101" s="21">
        <v>0</v>
      </c>
      <c r="AU101" s="21">
        <v>0</v>
      </c>
      <c r="AV101" s="21">
        <v>0</v>
      </c>
      <c r="AW101" s="21">
        <v>0</v>
      </c>
      <c r="AX101" s="21">
        <v>0</v>
      </c>
      <c r="AY101" s="21">
        <v>0</v>
      </c>
      <c r="AZ101" s="21">
        <v>0</v>
      </c>
      <c r="BA101" s="21">
        <v>0</v>
      </c>
      <c r="BB101" s="21">
        <v>0</v>
      </c>
      <c r="BC101" s="21">
        <v>0</v>
      </c>
      <c r="BD101" s="21">
        <v>0</v>
      </c>
      <c r="BE101" s="21">
        <v>0</v>
      </c>
      <c r="BF101" s="21">
        <v>0</v>
      </c>
      <c r="BG101" s="21">
        <v>0</v>
      </c>
      <c r="BH101" s="21">
        <v>0</v>
      </c>
      <c r="BI101" s="21">
        <v>0</v>
      </c>
      <c r="BJ101" s="21">
        <v>0</v>
      </c>
      <c r="BK101" s="21">
        <v>0</v>
      </c>
      <c r="BL101" s="21">
        <v>0</v>
      </c>
      <c r="BM101" s="21">
        <v>0</v>
      </c>
      <c r="BN101" s="21">
        <v>0</v>
      </c>
      <c r="BO101" s="21">
        <v>0</v>
      </c>
      <c r="BP101" s="21">
        <v>0</v>
      </c>
      <c r="BQ101" s="21">
        <v>0</v>
      </c>
      <c r="BR101" s="21">
        <v>0</v>
      </c>
      <c r="BS101" s="21">
        <v>0</v>
      </c>
      <c r="BT101" s="21">
        <v>0</v>
      </c>
      <c r="BU101" s="21">
        <v>0</v>
      </c>
      <c r="BV101" s="21">
        <v>0</v>
      </c>
      <c r="BW101" s="21">
        <v>0</v>
      </c>
      <c r="BX101" s="21">
        <v>0</v>
      </c>
      <c r="BY101" s="21">
        <v>0</v>
      </c>
      <c r="BZ101" s="21">
        <v>0</v>
      </c>
      <c r="CA101" s="21">
        <v>0</v>
      </c>
      <c r="CB101" s="21">
        <v>0</v>
      </c>
      <c r="CC101" s="21">
        <v>0</v>
      </c>
      <c r="CD101" s="21">
        <v>0</v>
      </c>
      <c r="CE101" s="21">
        <v>0</v>
      </c>
      <c r="CF101" s="21">
        <v>0</v>
      </c>
      <c r="CG101" s="21">
        <v>0</v>
      </c>
      <c r="CH101" s="21">
        <v>0</v>
      </c>
      <c r="CI101" s="21">
        <v>0</v>
      </c>
      <c r="CJ101" s="21">
        <v>0</v>
      </c>
      <c r="CK101" s="21">
        <v>0</v>
      </c>
      <c r="CL101" s="21">
        <v>0</v>
      </c>
      <c r="CM101" s="21">
        <v>0</v>
      </c>
      <c r="CN101" s="21">
        <v>0</v>
      </c>
      <c r="CO101" s="21">
        <v>0</v>
      </c>
      <c r="CP101" s="21">
        <v>0</v>
      </c>
      <c r="CQ101" s="21">
        <v>0</v>
      </c>
      <c r="CR101" s="21">
        <v>0</v>
      </c>
      <c r="CS101" s="21">
        <v>0</v>
      </c>
      <c r="CT101" s="21">
        <v>0</v>
      </c>
      <c r="CU101" s="21">
        <v>0</v>
      </c>
      <c r="CV101" s="21">
        <v>0</v>
      </c>
      <c r="CW101" s="21">
        <v>0</v>
      </c>
      <c r="CX101" s="21">
        <v>0</v>
      </c>
      <c r="CY101" s="21">
        <v>0</v>
      </c>
      <c r="CZ101" s="21">
        <v>0</v>
      </c>
      <c r="DA101" s="21">
        <v>0</v>
      </c>
      <c r="DB101" s="21">
        <v>0</v>
      </c>
      <c r="DC101" s="21">
        <v>0</v>
      </c>
      <c r="DD101" s="21">
        <v>0</v>
      </c>
      <c r="DE101" s="73"/>
      <c r="DG101" s="76"/>
      <c r="DI101" s="76"/>
    </row>
    <row r="102" spans="1:113" ht="32.1">
      <c r="A102" s="23" t="s">
        <v>357</v>
      </c>
      <c r="B102" s="19" t="s">
        <v>369</v>
      </c>
      <c r="C102" s="19" t="s">
        <v>370</v>
      </c>
      <c r="D102" s="20">
        <f t="shared" si="1"/>
        <v>0</v>
      </c>
      <c r="E102" s="21">
        <v>0</v>
      </c>
      <c r="F102" s="21">
        <v>0</v>
      </c>
      <c r="G102" s="21">
        <v>0</v>
      </c>
      <c r="H102" s="21">
        <v>0</v>
      </c>
      <c r="I102" s="21">
        <v>0</v>
      </c>
      <c r="J102" s="21">
        <v>0</v>
      </c>
      <c r="K102" s="21">
        <v>0</v>
      </c>
      <c r="L102" s="21">
        <v>0</v>
      </c>
      <c r="M102" s="21">
        <v>0</v>
      </c>
      <c r="N102" s="21">
        <v>0</v>
      </c>
      <c r="O102" s="21">
        <v>0</v>
      </c>
      <c r="P102" s="21">
        <v>0</v>
      </c>
      <c r="Q102" s="21">
        <v>0</v>
      </c>
      <c r="R102" s="21">
        <v>0</v>
      </c>
      <c r="S102" s="21">
        <v>0</v>
      </c>
      <c r="T102" s="21">
        <v>0</v>
      </c>
      <c r="U102" s="21">
        <v>0</v>
      </c>
      <c r="V102" s="21">
        <v>0</v>
      </c>
      <c r="W102" s="21">
        <v>0</v>
      </c>
      <c r="X102" s="21">
        <v>0</v>
      </c>
      <c r="Y102" s="21">
        <v>0</v>
      </c>
      <c r="Z102" s="21">
        <v>0</v>
      </c>
      <c r="AA102" s="21">
        <v>0</v>
      </c>
      <c r="AB102" s="21">
        <v>0</v>
      </c>
      <c r="AC102" s="21">
        <v>0</v>
      </c>
      <c r="AD102" s="21">
        <v>0</v>
      </c>
      <c r="AE102" s="21">
        <v>0</v>
      </c>
      <c r="AF102" s="21">
        <v>0</v>
      </c>
      <c r="AG102" s="21">
        <v>0</v>
      </c>
      <c r="AH102" s="21">
        <v>0</v>
      </c>
      <c r="AI102" s="21">
        <v>0</v>
      </c>
      <c r="AJ102" s="21">
        <v>0</v>
      </c>
      <c r="AK102" s="21">
        <v>0</v>
      </c>
      <c r="AL102" s="21">
        <v>0</v>
      </c>
      <c r="AM102" s="21">
        <v>0</v>
      </c>
      <c r="AN102" s="21">
        <v>0</v>
      </c>
      <c r="AO102" s="21">
        <v>0</v>
      </c>
      <c r="AP102" s="21">
        <v>0</v>
      </c>
      <c r="AQ102" s="21">
        <v>0</v>
      </c>
      <c r="AR102" s="21">
        <v>0</v>
      </c>
      <c r="AS102" s="21">
        <v>0</v>
      </c>
      <c r="AT102" s="21">
        <v>0</v>
      </c>
      <c r="AU102" s="21">
        <v>0</v>
      </c>
      <c r="AV102" s="21">
        <v>0</v>
      </c>
      <c r="AW102" s="21">
        <v>0</v>
      </c>
      <c r="AX102" s="21">
        <v>0</v>
      </c>
      <c r="AY102" s="21">
        <v>0</v>
      </c>
      <c r="AZ102" s="21">
        <v>0</v>
      </c>
      <c r="BA102" s="21">
        <v>0</v>
      </c>
      <c r="BB102" s="21">
        <v>0</v>
      </c>
      <c r="BC102" s="21">
        <v>0</v>
      </c>
      <c r="BD102" s="21">
        <v>0</v>
      </c>
      <c r="BE102" s="21">
        <v>0</v>
      </c>
      <c r="BF102" s="21">
        <v>0</v>
      </c>
      <c r="BG102" s="21">
        <v>0</v>
      </c>
      <c r="BH102" s="21">
        <v>0</v>
      </c>
      <c r="BI102" s="21">
        <v>0</v>
      </c>
      <c r="BJ102" s="21">
        <v>0</v>
      </c>
      <c r="BK102" s="21">
        <v>0</v>
      </c>
      <c r="BL102" s="21">
        <v>0</v>
      </c>
      <c r="BM102" s="21">
        <v>0</v>
      </c>
      <c r="BN102" s="21">
        <v>0</v>
      </c>
      <c r="BO102" s="21">
        <v>0</v>
      </c>
      <c r="BP102" s="21">
        <v>0</v>
      </c>
      <c r="BQ102" s="21">
        <v>0</v>
      </c>
      <c r="BR102" s="21">
        <v>0</v>
      </c>
      <c r="BS102" s="21">
        <v>0</v>
      </c>
      <c r="BT102" s="21">
        <v>0</v>
      </c>
      <c r="BU102" s="21">
        <v>0</v>
      </c>
      <c r="BV102" s="21">
        <v>0</v>
      </c>
      <c r="BW102" s="21">
        <v>0</v>
      </c>
      <c r="BX102" s="21">
        <v>0</v>
      </c>
      <c r="BY102" s="21">
        <v>0</v>
      </c>
      <c r="BZ102" s="21">
        <v>0</v>
      </c>
      <c r="CA102" s="21">
        <v>0</v>
      </c>
      <c r="CB102" s="21">
        <v>0</v>
      </c>
      <c r="CC102" s="21">
        <v>0</v>
      </c>
      <c r="CD102" s="21">
        <v>0</v>
      </c>
      <c r="CE102" s="21">
        <v>0</v>
      </c>
      <c r="CF102" s="21">
        <v>0</v>
      </c>
      <c r="CG102" s="21">
        <v>0</v>
      </c>
      <c r="CH102" s="21">
        <v>0</v>
      </c>
      <c r="CI102" s="21">
        <v>0</v>
      </c>
      <c r="CJ102" s="21">
        <v>0</v>
      </c>
      <c r="CK102" s="21">
        <v>0</v>
      </c>
      <c r="CL102" s="21">
        <v>0</v>
      </c>
      <c r="CM102" s="21">
        <v>0</v>
      </c>
      <c r="CN102" s="21">
        <v>0</v>
      </c>
      <c r="CO102" s="21">
        <v>0</v>
      </c>
      <c r="CP102" s="21">
        <v>0</v>
      </c>
      <c r="CQ102" s="21">
        <v>0</v>
      </c>
      <c r="CR102" s="21">
        <v>0</v>
      </c>
      <c r="CS102" s="21">
        <v>0</v>
      </c>
      <c r="CT102" s="21">
        <v>0</v>
      </c>
      <c r="CU102" s="21">
        <v>0</v>
      </c>
      <c r="CV102" s="21">
        <v>0</v>
      </c>
      <c r="CW102" s="21">
        <v>0</v>
      </c>
      <c r="CX102" s="21">
        <v>0</v>
      </c>
      <c r="CY102" s="21">
        <v>0</v>
      </c>
      <c r="CZ102" s="21">
        <v>0</v>
      </c>
      <c r="DA102" s="21">
        <v>0</v>
      </c>
      <c r="DB102" s="21">
        <v>0</v>
      </c>
      <c r="DC102" s="21">
        <v>0</v>
      </c>
      <c r="DD102" s="21">
        <v>0</v>
      </c>
      <c r="DE102" s="72"/>
      <c r="DG102" s="76"/>
      <c r="DI102" s="76"/>
    </row>
    <row r="103" spans="1:113">
      <c r="A103" s="24" t="s">
        <v>371</v>
      </c>
      <c r="B103" s="25"/>
      <c r="C103" s="25"/>
      <c r="D103" s="16"/>
      <c r="E103" s="28"/>
      <c r="F103" s="28"/>
      <c r="G103" s="28"/>
      <c r="H103" s="28"/>
      <c r="I103" s="28"/>
      <c r="J103" s="28"/>
      <c r="K103" s="28"/>
      <c r="L103" s="64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  <c r="BM103" s="28"/>
      <c r="BN103" s="28"/>
      <c r="BO103" s="28"/>
      <c r="BP103" s="28"/>
      <c r="BQ103" s="28"/>
      <c r="BR103" s="28"/>
      <c r="BS103" s="28"/>
      <c r="BT103" s="28"/>
      <c r="BU103" s="28"/>
      <c r="BV103" s="28"/>
      <c r="BW103" s="28"/>
      <c r="BX103" s="28"/>
      <c r="BY103" s="28"/>
      <c r="BZ103" s="28"/>
      <c r="CA103" s="28"/>
      <c r="CB103" s="28"/>
      <c r="CC103" s="28"/>
      <c r="CD103" s="28"/>
      <c r="CE103" s="28"/>
      <c r="CF103" s="28"/>
      <c r="CG103" s="28"/>
      <c r="CH103" s="28"/>
      <c r="CI103" s="28"/>
      <c r="CJ103" s="28"/>
      <c r="CK103" s="28"/>
      <c r="CL103" s="28"/>
      <c r="CM103" s="28"/>
      <c r="CN103" s="28"/>
      <c r="CO103" s="28"/>
      <c r="CP103" s="28"/>
      <c r="CQ103" s="28"/>
      <c r="CR103" s="28"/>
      <c r="CS103" s="28"/>
      <c r="CT103" s="28"/>
      <c r="CU103" s="28"/>
      <c r="CV103" s="28"/>
      <c r="CW103" s="28"/>
      <c r="CX103" s="28"/>
      <c r="CY103" s="28"/>
      <c r="CZ103" s="28"/>
      <c r="DA103" s="28"/>
      <c r="DB103" s="28"/>
      <c r="DC103" s="28"/>
      <c r="DD103" s="28"/>
      <c r="DE103" s="72"/>
      <c r="DG103" s="76"/>
      <c r="DI103" s="76"/>
    </row>
    <row r="104" spans="1:113">
      <c r="A104" s="23" t="s">
        <v>372</v>
      </c>
      <c r="B104" s="19" t="s">
        <v>373</v>
      </c>
      <c r="C104" s="19" t="s">
        <v>374</v>
      </c>
      <c r="D104" s="20">
        <f t="shared" si="1"/>
        <v>73</v>
      </c>
      <c r="E104" s="22">
        <v>22</v>
      </c>
      <c r="F104" s="22">
        <v>3</v>
      </c>
      <c r="G104" s="22">
        <v>0</v>
      </c>
      <c r="H104" s="22">
        <v>0</v>
      </c>
      <c r="I104" s="22">
        <v>0</v>
      </c>
      <c r="J104" s="22">
        <v>0</v>
      </c>
      <c r="K104" s="22">
        <v>1</v>
      </c>
      <c r="L104" s="21">
        <v>0</v>
      </c>
      <c r="M104" s="22">
        <v>0</v>
      </c>
      <c r="N104" s="22">
        <v>0</v>
      </c>
      <c r="O104" s="22">
        <v>0</v>
      </c>
      <c r="P104" s="22">
        <v>2</v>
      </c>
      <c r="Q104" s="22">
        <v>0</v>
      </c>
      <c r="R104" s="22">
        <v>1</v>
      </c>
      <c r="S104" s="22">
        <v>0</v>
      </c>
      <c r="T104" s="22">
        <v>1</v>
      </c>
      <c r="U104" s="22">
        <v>1</v>
      </c>
      <c r="V104" s="22">
        <v>0</v>
      </c>
      <c r="W104" s="22">
        <v>0</v>
      </c>
      <c r="X104" s="22">
        <v>0</v>
      </c>
      <c r="Y104" s="22">
        <v>0</v>
      </c>
      <c r="Z104" s="22">
        <v>3</v>
      </c>
      <c r="AA104" s="22">
        <v>1</v>
      </c>
      <c r="AB104" s="22">
        <v>0</v>
      </c>
      <c r="AC104" s="22">
        <v>3</v>
      </c>
      <c r="AD104" s="22">
        <v>0</v>
      </c>
      <c r="AE104" s="22">
        <v>0</v>
      </c>
      <c r="AF104" s="22">
        <v>0</v>
      </c>
      <c r="AG104" s="22">
        <v>0</v>
      </c>
      <c r="AH104" s="22">
        <v>0</v>
      </c>
      <c r="AI104" s="22">
        <v>1</v>
      </c>
      <c r="AJ104" s="22">
        <v>0</v>
      </c>
      <c r="AK104" s="22">
        <v>0</v>
      </c>
      <c r="AL104" s="22">
        <v>0</v>
      </c>
      <c r="AM104" s="22">
        <v>0</v>
      </c>
      <c r="AN104" s="22">
        <v>0</v>
      </c>
      <c r="AO104" s="22">
        <v>1</v>
      </c>
      <c r="AP104" s="22">
        <v>0</v>
      </c>
      <c r="AQ104" s="22">
        <v>0</v>
      </c>
      <c r="AR104" s="22">
        <v>0</v>
      </c>
      <c r="AS104" s="22">
        <v>1</v>
      </c>
      <c r="AT104" s="22">
        <v>0</v>
      </c>
      <c r="AU104" s="22">
        <v>0</v>
      </c>
      <c r="AV104" s="22">
        <v>0</v>
      </c>
      <c r="AW104" s="22">
        <v>0</v>
      </c>
      <c r="AX104" s="22">
        <v>1</v>
      </c>
      <c r="AY104" s="22">
        <v>1</v>
      </c>
      <c r="AZ104" s="22">
        <v>2</v>
      </c>
      <c r="BA104" s="22">
        <v>2</v>
      </c>
      <c r="BB104" s="22">
        <v>0</v>
      </c>
      <c r="BC104" s="22">
        <v>0</v>
      </c>
      <c r="BD104" s="22">
        <v>0</v>
      </c>
      <c r="BE104" s="22">
        <v>1</v>
      </c>
      <c r="BF104" s="22">
        <v>0</v>
      </c>
      <c r="BG104" s="22">
        <v>0</v>
      </c>
      <c r="BH104" s="22">
        <v>1</v>
      </c>
      <c r="BI104" s="22">
        <v>4</v>
      </c>
      <c r="BJ104" s="22">
        <v>3</v>
      </c>
      <c r="BK104" s="22">
        <v>4</v>
      </c>
      <c r="BL104" s="22">
        <v>1</v>
      </c>
      <c r="BM104" s="22">
        <v>0</v>
      </c>
      <c r="BN104" s="22">
        <v>0</v>
      </c>
      <c r="BO104" s="22">
        <v>0</v>
      </c>
      <c r="BP104" s="22">
        <v>0</v>
      </c>
      <c r="BQ104" s="22">
        <v>0</v>
      </c>
      <c r="BR104" s="22">
        <v>0</v>
      </c>
      <c r="BS104" s="22">
        <v>0</v>
      </c>
      <c r="BT104" s="22">
        <v>2</v>
      </c>
      <c r="BU104" s="22">
        <v>1</v>
      </c>
      <c r="BV104" s="22">
        <v>0</v>
      </c>
      <c r="BW104" s="22">
        <v>0</v>
      </c>
      <c r="BX104" s="22">
        <v>0</v>
      </c>
      <c r="BY104" s="22">
        <v>0</v>
      </c>
      <c r="BZ104" s="22">
        <v>0</v>
      </c>
      <c r="CA104" s="22">
        <v>0</v>
      </c>
      <c r="CB104" s="22">
        <v>0</v>
      </c>
      <c r="CC104" s="22">
        <v>0</v>
      </c>
      <c r="CD104" s="22">
        <v>0</v>
      </c>
      <c r="CE104" s="22">
        <v>0</v>
      </c>
      <c r="CF104" s="22">
        <v>0</v>
      </c>
      <c r="CG104" s="22">
        <v>0</v>
      </c>
      <c r="CH104" s="22">
        <v>1</v>
      </c>
      <c r="CI104" s="22">
        <v>1</v>
      </c>
      <c r="CJ104" s="22">
        <v>0</v>
      </c>
      <c r="CK104" s="22">
        <v>1</v>
      </c>
      <c r="CL104" s="22">
        <v>0</v>
      </c>
      <c r="CM104" s="22">
        <v>0</v>
      </c>
      <c r="CN104" s="22">
        <v>0</v>
      </c>
      <c r="CO104" s="22">
        <v>0</v>
      </c>
      <c r="CP104" s="22">
        <v>1</v>
      </c>
      <c r="CQ104" s="22">
        <v>1</v>
      </c>
      <c r="CR104" s="22">
        <v>0</v>
      </c>
      <c r="CS104" s="22">
        <v>0</v>
      </c>
      <c r="CT104" s="22">
        <v>1</v>
      </c>
      <c r="CU104" s="22">
        <v>0</v>
      </c>
      <c r="CV104" s="22">
        <v>0</v>
      </c>
      <c r="CW104" s="22">
        <v>0</v>
      </c>
      <c r="CX104" s="22">
        <v>0</v>
      </c>
      <c r="CY104" s="22">
        <v>0</v>
      </c>
      <c r="CZ104" s="22">
        <v>2</v>
      </c>
      <c r="DA104" s="22">
        <v>1</v>
      </c>
      <c r="DB104" s="22">
        <v>0</v>
      </c>
      <c r="DC104" s="22">
        <v>0</v>
      </c>
      <c r="DD104" s="22">
        <v>0</v>
      </c>
      <c r="DE104" s="72"/>
      <c r="DG104" s="76"/>
      <c r="DI104" s="76"/>
    </row>
    <row r="105" spans="1:113">
      <c r="A105" s="23" t="s">
        <v>372</v>
      </c>
      <c r="B105" s="19" t="s">
        <v>375</v>
      </c>
      <c r="C105" s="19" t="s">
        <v>374</v>
      </c>
      <c r="D105" s="20">
        <f t="shared" si="1"/>
        <v>23</v>
      </c>
      <c r="E105" s="22">
        <v>0</v>
      </c>
      <c r="F105" s="22">
        <v>0</v>
      </c>
      <c r="G105" s="22">
        <v>0</v>
      </c>
      <c r="H105" s="22">
        <v>0</v>
      </c>
      <c r="I105" s="22">
        <v>0</v>
      </c>
      <c r="J105" s="22">
        <v>0</v>
      </c>
      <c r="K105" s="22">
        <v>1</v>
      </c>
      <c r="L105" s="21">
        <v>0</v>
      </c>
      <c r="M105" s="22">
        <v>0</v>
      </c>
      <c r="N105" s="22">
        <v>0</v>
      </c>
      <c r="O105" s="22">
        <v>0</v>
      </c>
      <c r="P105" s="22">
        <v>0</v>
      </c>
      <c r="Q105" s="22">
        <v>0</v>
      </c>
      <c r="R105" s="22">
        <v>0</v>
      </c>
      <c r="S105" s="22">
        <v>0</v>
      </c>
      <c r="T105" s="22">
        <v>0</v>
      </c>
      <c r="U105" s="22">
        <v>0</v>
      </c>
      <c r="V105" s="22">
        <v>0</v>
      </c>
      <c r="W105" s="22">
        <v>0</v>
      </c>
      <c r="X105" s="22">
        <v>0</v>
      </c>
      <c r="Y105" s="22">
        <v>0</v>
      </c>
      <c r="Z105" s="22">
        <v>0</v>
      </c>
      <c r="AA105" s="22">
        <v>0</v>
      </c>
      <c r="AB105" s="22">
        <v>0</v>
      </c>
      <c r="AC105" s="22">
        <v>0</v>
      </c>
      <c r="AD105" s="22">
        <v>0</v>
      </c>
      <c r="AE105" s="22">
        <v>0</v>
      </c>
      <c r="AF105" s="22">
        <v>0</v>
      </c>
      <c r="AG105" s="22">
        <v>0</v>
      </c>
      <c r="AH105" s="22">
        <v>0</v>
      </c>
      <c r="AI105" s="22">
        <v>0</v>
      </c>
      <c r="AJ105" s="22">
        <v>0</v>
      </c>
      <c r="AK105" s="22">
        <v>0</v>
      </c>
      <c r="AL105" s="22">
        <v>0</v>
      </c>
      <c r="AM105" s="22">
        <v>0</v>
      </c>
      <c r="AN105" s="22">
        <v>0</v>
      </c>
      <c r="AO105" s="22">
        <v>0</v>
      </c>
      <c r="AP105" s="22">
        <v>0</v>
      </c>
      <c r="AQ105" s="22">
        <v>0</v>
      </c>
      <c r="AR105" s="22">
        <v>1</v>
      </c>
      <c r="AS105" s="22">
        <v>0</v>
      </c>
      <c r="AT105" s="22">
        <v>0</v>
      </c>
      <c r="AU105" s="22">
        <v>0</v>
      </c>
      <c r="AV105" s="22">
        <v>0</v>
      </c>
      <c r="AW105" s="22">
        <v>3</v>
      </c>
      <c r="AX105" s="22">
        <v>0</v>
      </c>
      <c r="AY105" s="22">
        <v>0</v>
      </c>
      <c r="AZ105" s="22">
        <v>0</v>
      </c>
      <c r="BA105" s="22">
        <v>0</v>
      </c>
      <c r="BB105" s="22">
        <v>0</v>
      </c>
      <c r="BC105" s="22">
        <v>0</v>
      </c>
      <c r="BD105" s="22">
        <v>0</v>
      </c>
      <c r="BE105" s="22">
        <v>0</v>
      </c>
      <c r="BF105" s="22">
        <v>0</v>
      </c>
      <c r="BG105" s="22">
        <v>0</v>
      </c>
      <c r="BH105" s="22">
        <v>0</v>
      </c>
      <c r="BI105" s="22">
        <v>6</v>
      </c>
      <c r="BJ105" s="22">
        <v>11</v>
      </c>
      <c r="BK105" s="22">
        <v>0</v>
      </c>
      <c r="BL105" s="22">
        <v>0</v>
      </c>
      <c r="BM105" s="22">
        <v>0</v>
      </c>
      <c r="BN105" s="22">
        <v>0</v>
      </c>
      <c r="BO105" s="22">
        <v>0</v>
      </c>
      <c r="BP105" s="22">
        <v>0</v>
      </c>
      <c r="BQ105" s="22">
        <v>0</v>
      </c>
      <c r="BR105" s="22">
        <v>0</v>
      </c>
      <c r="BS105" s="22">
        <v>0</v>
      </c>
      <c r="BT105" s="22">
        <v>0</v>
      </c>
      <c r="BU105" s="22">
        <v>0</v>
      </c>
      <c r="BV105" s="22">
        <v>0</v>
      </c>
      <c r="BW105" s="22">
        <v>0</v>
      </c>
      <c r="BX105" s="22">
        <v>0</v>
      </c>
      <c r="BY105" s="22">
        <v>0</v>
      </c>
      <c r="BZ105" s="22">
        <v>1</v>
      </c>
      <c r="CA105" s="22">
        <v>0</v>
      </c>
      <c r="CB105" s="22">
        <v>0</v>
      </c>
      <c r="CC105" s="22">
        <v>0</v>
      </c>
      <c r="CD105" s="22">
        <v>0</v>
      </c>
      <c r="CE105" s="22">
        <v>0</v>
      </c>
      <c r="CF105" s="22">
        <v>0</v>
      </c>
      <c r="CG105" s="22">
        <v>0</v>
      </c>
      <c r="CH105" s="22">
        <v>0</v>
      </c>
      <c r="CI105" s="22">
        <v>0</v>
      </c>
      <c r="CJ105" s="22">
        <v>0</v>
      </c>
      <c r="CK105" s="22">
        <v>0</v>
      </c>
      <c r="CL105" s="22">
        <v>0</v>
      </c>
      <c r="CM105" s="22">
        <v>0</v>
      </c>
      <c r="CN105" s="22">
        <v>0</v>
      </c>
      <c r="CO105" s="22">
        <v>0</v>
      </c>
      <c r="CP105" s="22">
        <v>0</v>
      </c>
      <c r="CQ105" s="22">
        <v>0</v>
      </c>
      <c r="CR105" s="22">
        <v>0</v>
      </c>
      <c r="CS105" s="22">
        <v>0</v>
      </c>
      <c r="CT105" s="22">
        <v>0</v>
      </c>
      <c r="CU105" s="22">
        <v>0</v>
      </c>
      <c r="CV105" s="22">
        <v>0</v>
      </c>
      <c r="CW105" s="22">
        <v>0</v>
      </c>
      <c r="CX105" s="22">
        <v>0</v>
      </c>
      <c r="CY105" s="22">
        <v>0</v>
      </c>
      <c r="CZ105" s="22">
        <v>0</v>
      </c>
      <c r="DA105" s="22">
        <v>0</v>
      </c>
      <c r="DB105" s="22">
        <v>0</v>
      </c>
      <c r="DC105" s="22">
        <v>0</v>
      </c>
      <c r="DD105" s="22">
        <v>0</v>
      </c>
      <c r="DE105" s="72"/>
      <c r="DG105" s="76"/>
      <c r="DI105" s="76"/>
    </row>
    <row r="106" spans="1:113">
      <c r="A106" s="23" t="s">
        <v>372</v>
      </c>
      <c r="B106" s="19" t="s">
        <v>376</v>
      </c>
      <c r="C106" s="19" t="s">
        <v>374</v>
      </c>
      <c r="D106" s="20">
        <f t="shared" si="1"/>
        <v>11</v>
      </c>
      <c r="E106" s="22">
        <v>0</v>
      </c>
      <c r="F106" s="22">
        <v>0</v>
      </c>
      <c r="G106" s="22">
        <v>0</v>
      </c>
      <c r="H106" s="22">
        <v>0</v>
      </c>
      <c r="I106" s="22">
        <v>0</v>
      </c>
      <c r="J106" s="22">
        <v>0</v>
      </c>
      <c r="K106" s="22">
        <v>0</v>
      </c>
      <c r="L106" s="21">
        <v>0</v>
      </c>
      <c r="M106" s="22">
        <v>0</v>
      </c>
      <c r="N106" s="22">
        <v>0</v>
      </c>
      <c r="O106" s="22">
        <v>0</v>
      </c>
      <c r="P106" s="22">
        <v>0</v>
      </c>
      <c r="Q106" s="22">
        <v>0</v>
      </c>
      <c r="R106" s="22">
        <v>0</v>
      </c>
      <c r="S106" s="22">
        <v>0</v>
      </c>
      <c r="T106" s="22">
        <v>0</v>
      </c>
      <c r="U106" s="22">
        <v>0</v>
      </c>
      <c r="V106" s="22">
        <v>0</v>
      </c>
      <c r="W106" s="22">
        <v>0</v>
      </c>
      <c r="X106" s="22">
        <v>0</v>
      </c>
      <c r="Y106" s="22">
        <v>0</v>
      </c>
      <c r="Z106" s="22">
        <v>0</v>
      </c>
      <c r="AA106" s="22">
        <v>0</v>
      </c>
      <c r="AB106" s="22">
        <v>0</v>
      </c>
      <c r="AC106" s="22">
        <v>0</v>
      </c>
      <c r="AD106" s="22">
        <v>0</v>
      </c>
      <c r="AE106" s="22">
        <v>0</v>
      </c>
      <c r="AF106" s="22">
        <v>0</v>
      </c>
      <c r="AG106" s="22">
        <v>0</v>
      </c>
      <c r="AH106" s="22">
        <v>0</v>
      </c>
      <c r="AI106" s="22">
        <v>0</v>
      </c>
      <c r="AJ106" s="22">
        <v>0</v>
      </c>
      <c r="AK106" s="22">
        <v>0</v>
      </c>
      <c r="AL106" s="22">
        <v>0</v>
      </c>
      <c r="AM106" s="22">
        <v>0</v>
      </c>
      <c r="AN106" s="22">
        <v>0</v>
      </c>
      <c r="AO106" s="22">
        <v>0</v>
      </c>
      <c r="AP106" s="22">
        <v>0</v>
      </c>
      <c r="AQ106" s="22">
        <v>0</v>
      </c>
      <c r="AR106" s="22">
        <v>0</v>
      </c>
      <c r="AS106" s="22">
        <v>0</v>
      </c>
      <c r="AT106" s="22">
        <v>0</v>
      </c>
      <c r="AU106" s="22">
        <v>0</v>
      </c>
      <c r="AV106" s="22">
        <v>0</v>
      </c>
      <c r="AW106" s="22">
        <v>0</v>
      </c>
      <c r="AX106" s="22">
        <v>0</v>
      </c>
      <c r="AY106" s="22">
        <v>0</v>
      </c>
      <c r="AZ106" s="22">
        <v>0</v>
      </c>
      <c r="BA106" s="22">
        <v>0</v>
      </c>
      <c r="BB106" s="22">
        <v>0</v>
      </c>
      <c r="BC106" s="22">
        <v>0</v>
      </c>
      <c r="BD106" s="22">
        <v>0</v>
      </c>
      <c r="BE106" s="22">
        <v>0</v>
      </c>
      <c r="BF106" s="22">
        <v>0</v>
      </c>
      <c r="BG106" s="22">
        <v>0</v>
      </c>
      <c r="BH106" s="22">
        <v>0</v>
      </c>
      <c r="BI106" s="22">
        <v>0</v>
      </c>
      <c r="BJ106" s="22">
        <v>11</v>
      </c>
      <c r="BK106" s="22">
        <v>0</v>
      </c>
      <c r="BL106" s="22">
        <v>0</v>
      </c>
      <c r="BM106" s="22">
        <v>0</v>
      </c>
      <c r="BN106" s="22">
        <v>0</v>
      </c>
      <c r="BO106" s="22">
        <v>0</v>
      </c>
      <c r="BP106" s="22">
        <v>0</v>
      </c>
      <c r="BQ106" s="22">
        <v>0</v>
      </c>
      <c r="BR106" s="22">
        <v>0</v>
      </c>
      <c r="BS106" s="22">
        <v>0</v>
      </c>
      <c r="BT106" s="22">
        <v>0</v>
      </c>
      <c r="BU106" s="22">
        <v>0</v>
      </c>
      <c r="BV106" s="22">
        <v>0</v>
      </c>
      <c r="BW106" s="22">
        <v>0</v>
      </c>
      <c r="BX106" s="22">
        <v>0</v>
      </c>
      <c r="BY106" s="22">
        <v>0</v>
      </c>
      <c r="BZ106" s="22">
        <v>0</v>
      </c>
      <c r="CA106" s="22">
        <v>0</v>
      </c>
      <c r="CB106" s="22">
        <v>0</v>
      </c>
      <c r="CC106" s="22">
        <v>0</v>
      </c>
      <c r="CD106" s="22">
        <v>0</v>
      </c>
      <c r="CE106" s="22">
        <v>0</v>
      </c>
      <c r="CF106" s="22">
        <v>0</v>
      </c>
      <c r="CG106" s="22">
        <v>0</v>
      </c>
      <c r="CH106" s="22">
        <v>0</v>
      </c>
      <c r="CI106" s="22">
        <v>0</v>
      </c>
      <c r="CJ106" s="22">
        <v>0</v>
      </c>
      <c r="CK106" s="22">
        <v>0</v>
      </c>
      <c r="CL106" s="22">
        <v>0</v>
      </c>
      <c r="CM106" s="22">
        <v>0</v>
      </c>
      <c r="CN106" s="22">
        <v>0</v>
      </c>
      <c r="CO106" s="22">
        <v>0</v>
      </c>
      <c r="CP106" s="22">
        <v>0</v>
      </c>
      <c r="CQ106" s="22">
        <v>0</v>
      </c>
      <c r="CR106" s="22">
        <v>0</v>
      </c>
      <c r="CS106" s="22">
        <v>0</v>
      </c>
      <c r="CT106" s="22">
        <v>0</v>
      </c>
      <c r="CU106" s="22">
        <v>0</v>
      </c>
      <c r="CV106" s="22">
        <v>0</v>
      </c>
      <c r="CW106" s="22">
        <v>0</v>
      </c>
      <c r="CX106" s="22">
        <v>0</v>
      </c>
      <c r="CY106" s="22">
        <v>0</v>
      </c>
      <c r="CZ106" s="22">
        <v>0</v>
      </c>
      <c r="DA106" s="22">
        <v>0</v>
      </c>
      <c r="DB106" s="22">
        <v>0</v>
      </c>
      <c r="DC106" s="22">
        <v>0</v>
      </c>
      <c r="DD106" s="22">
        <v>0</v>
      </c>
      <c r="DE106" s="72"/>
      <c r="DG106" s="76"/>
      <c r="DI106" s="76"/>
    </row>
    <row r="107" spans="1:113">
      <c r="A107" s="23" t="s">
        <v>377</v>
      </c>
      <c r="B107" s="19" t="s">
        <v>378</v>
      </c>
      <c r="C107" s="19" t="s">
        <v>379</v>
      </c>
      <c r="D107" s="20">
        <f t="shared" si="1"/>
        <v>11</v>
      </c>
      <c r="E107" s="22">
        <v>0</v>
      </c>
      <c r="F107" s="22">
        <v>1</v>
      </c>
      <c r="G107" s="22">
        <v>0</v>
      </c>
      <c r="H107" s="22">
        <v>1</v>
      </c>
      <c r="I107" s="22">
        <v>0</v>
      </c>
      <c r="J107" s="22">
        <v>0</v>
      </c>
      <c r="K107" s="22">
        <v>0</v>
      </c>
      <c r="L107" s="21">
        <v>0</v>
      </c>
      <c r="M107" s="22">
        <v>0</v>
      </c>
      <c r="N107" s="22">
        <v>0</v>
      </c>
      <c r="O107" s="22">
        <v>0</v>
      </c>
      <c r="P107" s="22">
        <v>0</v>
      </c>
      <c r="Q107" s="22">
        <v>0</v>
      </c>
      <c r="R107" s="22">
        <v>1</v>
      </c>
      <c r="S107" s="22">
        <v>0</v>
      </c>
      <c r="T107" s="22">
        <v>0</v>
      </c>
      <c r="U107" s="22">
        <v>0</v>
      </c>
      <c r="V107" s="22">
        <v>0</v>
      </c>
      <c r="W107" s="22">
        <v>0</v>
      </c>
      <c r="X107" s="22">
        <v>0</v>
      </c>
      <c r="Y107" s="22">
        <v>0</v>
      </c>
      <c r="Z107" s="22">
        <v>0</v>
      </c>
      <c r="AA107" s="22">
        <v>1</v>
      </c>
      <c r="AB107" s="22">
        <v>0</v>
      </c>
      <c r="AC107" s="22">
        <v>0</v>
      </c>
      <c r="AD107" s="22">
        <v>0</v>
      </c>
      <c r="AE107" s="22">
        <v>0</v>
      </c>
      <c r="AF107" s="22">
        <v>0</v>
      </c>
      <c r="AG107" s="22">
        <v>0</v>
      </c>
      <c r="AH107" s="22">
        <v>0</v>
      </c>
      <c r="AI107" s="22">
        <v>0</v>
      </c>
      <c r="AJ107" s="22">
        <v>0</v>
      </c>
      <c r="AK107" s="22">
        <v>0</v>
      </c>
      <c r="AL107" s="22">
        <v>0</v>
      </c>
      <c r="AM107" s="22">
        <v>0</v>
      </c>
      <c r="AN107" s="22">
        <v>0</v>
      </c>
      <c r="AO107" s="22">
        <v>0</v>
      </c>
      <c r="AP107" s="22">
        <v>0</v>
      </c>
      <c r="AQ107" s="22">
        <v>0</v>
      </c>
      <c r="AR107" s="22">
        <v>0</v>
      </c>
      <c r="AS107" s="22">
        <v>0</v>
      </c>
      <c r="AT107" s="22">
        <v>0</v>
      </c>
      <c r="AU107" s="22">
        <v>0</v>
      </c>
      <c r="AV107" s="22">
        <v>0</v>
      </c>
      <c r="AW107" s="22">
        <v>0</v>
      </c>
      <c r="AX107" s="22">
        <v>0</v>
      </c>
      <c r="AY107" s="22">
        <v>0</v>
      </c>
      <c r="AZ107" s="22">
        <v>0</v>
      </c>
      <c r="BA107" s="22">
        <v>0</v>
      </c>
      <c r="BB107" s="22">
        <v>0</v>
      </c>
      <c r="BC107" s="22">
        <v>0</v>
      </c>
      <c r="BD107" s="22">
        <v>0</v>
      </c>
      <c r="BE107" s="22">
        <v>0</v>
      </c>
      <c r="BF107" s="22">
        <v>0</v>
      </c>
      <c r="BG107" s="22">
        <v>0</v>
      </c>
      <c r="BH107" s="22">
        <v>0</v>
      </c>
      <c r="BI107" s="22">
        <v>0</v>
      </c>
      <c r="BJ107" s="22">
        <v>1</v>
      </c>
      <c r="BK107" s="22">
        <v>1</v>
      </c>
      <c r="BL107" s="22">
        <v>0</v>
      </c>
      <c r="BM107" s="22">
        <v>1</v>
      </c>
      <c r="BN107" s="22">
        <v>0</v>
      </c>
      <c r="BO107" s="22">
        <v>0</v>
      </c>
      <c r="BP107" s="22">
        <v>0</v>
      </c>
      <c r="BQ107" s="22">
        <v>0</v>
      </c>
      <c r="BR107" s="22">
        <v>0</v>
      </c>
      <c r="BS107" s="22">
        <v>0</v>
      </c>
      <c r="BT107" s="22">
        <v>0</v>
      </c>
      <c r="BU107" s="22">
        <v>0</v>
      </c>
      <c r="BV107" s="22">
        <v>0</v>
      </c>
      <c r="BW107" s="22">
        <v>0</v>
      </c>
      <c r="BX107" s="22">
        <v>1</v>
      </c>
      <c r="BY107" s="22">
        <v>0</v>
      </c>
      <c r="BZ107" s="22">
        <v>0</v>
      </c>
      <c r="CA107" s="22">
        <v>0</v>
      </c>
      <c r="CB107" s="22">
        <v>0</v>
      </c>
      <c r="CC107" s="22">
        <v>0</v>
      </c>
      <c r="CD107" s="22">
        <v>0</v>
      </c>
      <c r="CE107" s="22">
        <v>0</v>
      </c>
      <c r="CF107" s="22">
        <v>1</v>
      </c>
      <c r="CG107" s="22">
        <v>1</v>
      </c>
      <c r="CH107" s="22">
        <v>0</v>
      </c>
      <c r="CI107" s="22">
        <v>0</v>
      </c>
      <c r="CJ107" s="22">
        <v>0</v>
      </c>
      <c r="CK107" s="22">
        <v>0</v>
      </c>
      <c r="CL107" s="22">
        <v>0</v>
      </c>
      <c r="CM107" s="22">
        <v>0</v>
      </c>
      <c r="CN107" s="22">
        <v>0</v>
      </c>
      <c r="CO107" s="22">
        <v>0</v>
      </c>
      <c r="CP107" s="22">
        <v>0</v>
      </c>
      <c r="CQ107" s="22">
        <v>0</v>
      </c>
      <c r="CR107" s="22">
        <v>0</v>
      </c>
      <c r="CS107" s="22">
        <v>0</v>
      </c>
      <c r="CT107" s="22">
        <v>0</v>
      </c>
      <c r="CU107" s="22">
        <v>0</v>
      </c>
      <c r="CV107" s="22">
        <v>0</v>
      </c>
      <c r="CW107" s="22">
        <v>1</v>
      </c>
      <c r="CX107" s="22">
        <v>0</v>
      </c>
      <c r="CY107" s="22">
        <v>0</v>
      </c>
      <c r="CZ107" s="22">
        <v>0</v>
      </c>
      <c r="DA107" s="22">
        <v>0</v>
      </c>
      <c r="DB107" s="22">
        <v>0</v>
      </c>
      <c r="DC107" s="22">
        <v>0</v>
      </c>
      <c r="DD107" s="22">
        <v>0</v>
      </c>
      <c r="DE107" s="72"/>
      <c r="DG107" s="76"/>
      <c r="DI107" s="76"/>
    </row>
    <row r="108" spans="1:113">
      <c r="A108" s="23" t="s">
        <v>380</v>
      </c>
      <c r="B108" s="19" t="s">
        <v>381</v>
      </c>
      <c r="C108" s="19" t="s">
        <v>382</v>
      </c>
      <c r="D108" s="20">
        <f t="shared" si="1"/>
        <v>1</v>
      </c>
      <c r="E108" s="22">
        <v>0</v>
      </c>
      <c r="F108" s="22">
        <v>0</v>
      </c>
      <c r="G108" s="22">
        <v>0</v>
      </c>
      <c r="H108" s="22">
        <v>0</v>
      </c>
      <c r="I108" s="22">
        <v>0</v>
      </c>
      <c r="J108" s="22">
        <v>0</v>
      </c>
      <c r="K108" s="22">
        <v>0</v>
      </c>
      <c r="L108" s="21">
        <v>0</v>
      </c>
      <c r="M108" s="22">
        <v>0</v>
      </c>
      <c r="N108" s="22">
        <v>0</v>
      </c>
      <c r="O108" s="22">
        <v>0</v>
      </c>
      <c r="P108" s="22">
        <v>0</v>
      </c>
      <c r="Q108" s="22">
        <v>0</v>
      </c>
      <c r="R108" s="22">
        <v>0</v>
      </c>
      <c r="S108" s="22">
        <v>0</v>
      </c>
      <c r="T108" s="22">
        <v>0</v>
      </c>
      <c r="U108" s="22">
        <v>0</v>
      </c>
      <c r="V108" s="22">
        <v>0</v>
      </c>
      <c r="W108" s="22">
        <v>0</v>
      </c>
      <c r="X108" s="22">
        <v>0</v>
      </c>
      <c r="Y108" s="22">
        <v>0</v>
      </c>
      <c r="Z108" s="22">
        <v>0</v>
      </c>
      <c r="AA108" s="22">
        <v>0</v>
      </c>
      <c r="AB108" s="22">
        <v>0</v>
      </c>
      <c r="AC108" s="22">
        <v>0</v>
      </c>
      <c r="AD108" s="22">
        <v>0</v>
      </c>
      <c r="AE108" s="22">
        <v>0</v>
      </c>
      <c r="AF108" s="22">
        <v>0</v>
      </c>
      <c r="AG108" s="22">
        <v>0</v>
      </c>
      <c r="AH108" s="22">
        <v>0</v>
      </c>
      <c r="AI108" s="22">
        <v>0</v>
      </c>
      <c r="AJ108" s="22">
        <v>0</v>
      </c>
      <c r="AK108" s="22">
        <v>1</v>
      </c>
      <c r="AL108" s="22">
        <v>0</v>
      </c>
      <c r="AM108" s="22">
        <v>0</v>
      </c>
      <c r="AN108" s="22">
        <v>0</v>
      </c>
      <c r="AO108" s="22">
        <v>0</v>
      </c>
      <c r="AP108" s="22">
        <v>0</v>
      </c>
      <c r="AQ108" s="22">
        <v>0</v>
      </c>
      <c r="AR108" s="22">
        <v>0</v>
      </c>
      <c r="AS108" s="22">
        <v>0</v>
      </c>
      <c r="AT108" s="22">
        <v>0</v>
      </c>
      <c r="AU108" s="22">
        <v>0</v>
      </c>
      <c r="AV108" s="22">
        <v>0</v>
      </c>
      <c r="AW108" s="22">
        <v>0</v>
      </c>
      <c r="AX108" s="22">
        <v>0</v>
      </c>
      <c r="AY108" s="22">
        <v>0</v>
      </c>
      <c r="AZ108" s="22">
        <v>0</v>
      </c>
      <c r="BA108" s="22">
        <v>0</v>
      </c>
      <c r="BB108" s="22">
        <v>0</v>
      </c>
      <c r="BC108" s="22">
        <v>0</v>
      </c>
      <c r="BD108" s="22">
        <v>0</v>
      </c>
      <c r="BE108" s="22">
        <v>0</v>
      </c>
      <c r="BF108" s="22">
        <v>0</v>
      </c>
      <c r="BG108" s="22">
        <v>0</v>
      </c>
      <c r="BH108" s="22">
        <v>0</v>
      </c>
      <c r="BI108" s="22">
        <v>0</v>
      </c>
      <c r="BJ108" s="22">
        <v>0</v>
      </c>
      <c r="BK108" s="22">
        <v>0</v>
      </c>
      <c r="BL108" s="22">
        <v>0</v>
      </c>
      <c r="BM108" s="22">
        <v>0</v>
      </c>
      <c r="BN108" s="22">
        <v>0</v>
      </c>
      <c r="BO108" s="22">
        <v>0</v>
      </c>
      <c r="BP108" s="22">
        <v>0</v>
      </c>
      <c r="BQ108" s="22">
        <v>0</v>
      </c>
      <c r="BR108" s="22">
        <v>0</v>
      </c>
      <c r="BS108" s="22">
        <v>0</v>
      </c>
      <c r="BT108" s="22">
        <v>0</v>
      </c>
      <c r="BU108" s="22">
        <v>0</v>
      </c>
      <c r="BV108" s="22">
        <v>0</v>
      </c>
      <c r="BW108" s="22">
        <v>0</v>
      </c>
      <c r="BX108" s="22">
        <v>0</v>
      </c>
      <c r="BY108" s="22">
        <v>0</v>
      </c>
      <c r="BZ108" s="22">
        <v>0</v>
      </c>
      <c r="CA108" s="22">
        <v>0</v>
      </c>
      <c r="CB108" s="22">
        <v>0</v>
      </c>
      <c r="CC108" s="22">
        <v>0</v>
      </c>
      <c r="CD108" s="22">
        <v>0</v>
      </c>
      <c r="CE108" s="22">
        <v>0</v>
      </c>
      <c r="CF108" s="22">
        <v>0</v>
      </c>
      <c r="CG108" s="22">
        <v>0</v>
      </c>
      <c r="CH108" s="22">
        <v>0</v>
      </c>
      <c r="CI108" s="22">
        <v>0</v>
      </c>
      <c r="CJ108" s="22">
        <v>0</v>
      </c>
      <c r="CK108" s="22">
        <v>0</v>
      </c>
      <c r="CL108" s="22">
        <v>0</v>
      </c>
      <c r="CM108" s="22">
        <v>0</v>
      </c>
      <c r="CN108" s="22">
        <v>0</v>
      </c>
      <c r="CO108" s="22">
        <v>0</v>
      </c>
      <c r="CP108" s="22">
        <v>0</v>
      </c>
      <c r="CQ108" s="22">
        <v>0</v>
      </c>
      <c r="CR108" s="22">
        <v>0</v>
      </c>
      <c r="CS108" s="22">
        <v>0</v>
      </c>
      <c r="CT108" s="22">
        <v>0</v>
      </c>
      <c r="CU108" s="22">
        <v>0</v>
      </c>
      <c r="CV108" s="22">
        <v>0</v>
      </c>
      <c r="CW108" s="22">
        <v>0</v>
      </c>
      <c r="CX108" s="22">
        <v>0</v>
      </c>
      <c r="CY108" s="22">
        <v>0</v>
      </c>
      <c r="CZ108" s="22">
        <v>0</v>
      </c>
      <c r="DA108" s="22">
        <v>0</v>
      </c>
      <c r="DB108" s="22">
        <v>0</v>
      </c>
      <c r="DC108" s="22">
        <v>0</v>
      </c>
      <c r="DD108" s="22">
        <v>0</v>
      </c>
      <c r="DE108" s="72"/>
      <c r="DG108" s="76"/>
      <c r="DI108" s="76"/>
    </row>
    <row r="109" spans="1:113">
      <c r="A109" s="23"/>
      <c r="B109" s="19" t="s">
        <v>383</v>
      </c>
      <c r="C109" s="19" t="s">
        <v>384</v>
      </c>
      <c r="D109" s="20">
        <f t="shared" si="1"/>
        <v>0</v>
      </c>
      <c r="E109" s="22">
        <v>0</v>
      </c>
      <c r="F109" s="22">
        <v>0</v>
      </c>
      <c r="G109" s="22">
        <v>0</v>
      </c>
      <c r="H109" s="22">
        <v>0</v>
      </c>
      <c r="I109" s="22">
        <v>0</v>
      </c>
      <c r="J109" s="22">
        <v>0</v>
      </c>
      <c r="K109" s="22">
        <v>0</v>
      </c>
      <c r="L109" s="21">
        <v>0</v>
      </c>
      <c r="M109" s="22">
        <v>0</v>
      </c>
      <c r="N109" s="22">
        <v>0</v>
      </c>
      <c r="O109" s="22">
        <v>0</v>
      </c>
      <c r="P109" s="22">
        <v>0</v>
      </c>
      <c r="Q109" s="22">
        <v>0</v>
      </c>
      <c r="R109" s="22">
        <v>0</v>
      </c>
      <c r="S109" s="22">
        <v>0</v>
      </c>
      <c r="T109" s="22">
        <v>0</v>
      </c>
      <c r="U109" s="22">
        <v>0</v>
      </c>
      <c r="V109" s="22">
        <v>0</v>
      </c>
      <c r="W109" s="22">
        <v>0</v>
      </c>
      <c r="X109" s="22">
        <v>0</v>
      </c>
      <c r="Y109" s="22">
        <v>0</v>
      </c>
      <c r="Z109" s="22">
        <v>0</v>
      </c>
      <c r="AA109" s="22">
        <v>0</v>
      </c>
      <c r="AB109" s="22">
        <v>0</v>
      </c>
      <c r="AC109" s="22">
        <v>0</v>
      </c>
      <c r="AD109" s="22">
        <v>0</v>
      </c>
      <c r="AE109" s="22">
        <v>0</v>
      </c>
      <c r="AF109" s="22">
        <v>0</v>
      </c>
      <c r="AG109" s="22">
        <v>0</v>
      </c>
      <c r="AH109" s="22">
        <v>0</v>
      </c>
      <c r="AI109" s="22">
        <v>0</v>
      </c>
      <c r="AJ109" s="22">
        <v>0</v>
      </c>
      <c r="AK109" s="22">
        <v>0</v>
      </c>
      <c r="AL109" s="22">
        <v>0</v>
      </c>
      <c r="AM109" s="22">
        <v>0</v>
      </c>
      <c r="AN109" s="22">
        <v>0</v>
      </c>
      <c r="AO109" s="22">
        <v>0</v>
      </c>
      <c r="AP109" s="22">
        <v>0</v>
      </c>
      <c r="AQ109" s="22">
        <v>0</v>
      </c>
      <c r="AR109" s="22">
        <v>0</v>
      </c>
      <c r="AS109" s="22">
        <v>0</v>
      </c>
      <c r="AT109" s="22">
        <v>0</v>
      </c>
      <c r="AU109" s="22">
        <v>0</v>
      </c>
      <c r="AV109" s="22">
        <v>0</v>
      </c>
      <c r="AW109" s="22">
        <v>0</v>
      </c>
      <c r="AX109" s="22">
        <v>0</v>
      </c>
      <c r="AY109" s="22">
        <v>0</v>
      </c>
      <c r="AZ109" s="22">
        <v>0</v>
      </c>
      <c r="BA109" s="22">
        <v>0</v>
      </c>
      <c r="BB109" s="22">
        <v>0</v>
      </c>
      <c r="BC109" s="22">
        <v>0</v>
      </c>
      <c r="BD109" s="22">
        <v>0</v>
      </c>
      <c r="BE109" s="22">
        <v>0</v>
      </c>
      <c r="BF109" s="22">
        <v>0</v>
      </c>
      <c r="BG109" s="22">
        <v>0</v>
      </c>
      <c r="BH109" s="22">
        <v>0</v>
      </c>
      <c r="BI109" s="22">
        <v>0</v>
      </c>
      <c r="BJ109" s="22">
        <v>0</v>
      </c>
      <c r="BK109" s="22">
        <v>0</v>
      </c>
      <c r="BL109" s="22">
        <v>0</v>
      </c>
      <c r="BM109" s="22">
        <v>0</v>
      </c>
      <c r="BN109" s="22">
        <v>0</v>
      </c>
      <c r="BO109" s="22">
        <v>0</v>
      </c>
      <c r="BP109" s="22">
        <v>0</v>
      </c>
      <c r="BQ109" s="22">
        <v>0</v>
      </c>
      <c r="BR109" s="22">
        <v>0</v>
      </c>
      <c r="BS109" s="22">
        <v>0</v>
      </c>
      <c r="BT109" s="22">
        <v>0</v>
      </c>
      <c r="BU109" s="22">
        <v>0</v>
      </c>
      <c r="BV109" s="22">
        <v>0</v>
      </c>
      <c r="BW109" s="22">
        <v>0</v>
      </c>
      <c r="BX109" s="22">
        <v>0</v>
      </c>
      <c r="BY109" s="22">
        <v>0</v>
      </c>
      <c r="BZ109" s="22">
        <v>0</v>
      </c>
      <c r="CA109" s="22">
        <v>0</v>
      </c>
      <c r="CB109" s="22">
        <v>0</v>
      </c>
      <c r="CC109" s="22">
        <v>0</v>
      </c>
      <c r="CD109" s="22">
        <v>0</v>
      </c>
      <c r="CE109" s="22">
        <v>0</v>
      </c>
      <c r="CF109" s="22">
        <v>0</v>
      </c>
      <c r="CG109" s="22">
        <v>0</v>
      </c>
      <c r="CH109" s="22">
        <v>0</v>
      </c>
      <c r="CI109" s="22">
        <v>0</v>
      </c>
      <c r="CJ109" s="22">
        <v>0</v>
      </c>
      <c r="CK109" s="22">
        <v>0</v>
      </c>
      <c r="CL109" s="22">
        <v>0</v>
      </c>
      <c r="CM109" s="22">
        <v>0</v>
      </c>
      <c r="CN109" s="22">
        <v>0</v>
      </c>
      <c r="CO109" s="22">
        <v>0</v>
      </c>
      <c r="CP109" s="22">
        <v>0</v>
      </c>
      <c r="CQ109" s="22">
        <v>0</v>
      </c>
      <c r="CR109" s="22">
        <v>0</v>
      </c>
      <c r="CS109" s="22">
        <v>0</v>
      </c>
      <c r="CT109" s="22">
        <v>0</v>
      </c>
      <c r="CU109" s="22">
        <v>0</v>
      </c>
      <c r="CV109" s="22">
        <v>0</v>
      </c>
      <c r="CW109" s="22">
        <v>0</v>
      </c>
      <c r="CX109" s="22">
        <v>0</v>
      </c>
      <c r="CY109" s="22">
        <v>0</v>
      </c>
      <c r="CZ109" s="22">
        <v>0</v>
      </c>
      <c r="DA109" s="22">
        <v>0</v>
      </c>
      <c r="DB109" s="22">
        <v>0</v>
      </c>
      <c r="DC109" s="22">
        <v>0</v>
      </c>
      <c r="DD109" s="22">
        <v>0</v>
      </c>
      <c r="DE109" s="73"/>
      <c r="DG109" s="76"/>
      <c r="DI109" s="76"/>
    </row>
    <row r="110" spans="1:113">
      <c r="A110" s="23"/>
      <c r="B110" s="19" t="s">
        <v>385</v>
      </c>
      <c r="C110" s="19" t="s">
        <v>287</v>
      </c>
      <c r="D110" s="20">
        <f t="shared" si="1"/>
        <v>0</v>
      </c>
      <c r="E110" s="22">
        <v>0</v>
      </c>
      <c r="F110" s="22">
        <v>0</v>
      </c>
      <c r="G110" s="22">
        <v>0</v>
      </c>
      <c r="H110" s="22">
        <v>0</v>
      </c>
      <c r="I110" s="22">
        <v>0</v>
      </c>
      <c r="J110" s="22">
        <v>0</v>
      </c>
      <c r="K110" s="22">
        <v>0</v>
      </c>
      <c r="L110" s="22">
        <v>0</v>
      </c>
      <c r="M110" s="22">
        <v>0</v>
      </c>
      <c r="N110" s="22">
        <v>0</v>
      </c>
      <c r="O110" s="22">
        <v>0</v>
      </c>
      <c r="P110" s="22">
        <v>0</v>
      </c>
      <c r="Q110" s="22">
        <v>0</v>
      </c>
      <c r="R110" s="22">
        <v>0</v>
      </c>
      <c r="S110" s="22">
        <v>0</v>
      </c>
      <c r="T110" s="22">
        <v>0</v>
      </c>
      <c r="U110" s="22">
        <v>0</v>
      </c>
      <c r="V110" s="22">
        <v>0</v>
      </c>
      <c r="W110" s="22">
        <v>0</v>
      </c>
      <c r="X110" s="22">
        <v>0</v>
      </c>
      <c r="Y110" s="22">
        <v>0</v>
      </c>
      <c r="Z110" s="22">
        <v>0</v>
      </c>
      <c r="AA110" s="22">
        <v>0</v>
      </c>
      <c r="AB110" s="22">
        <v>0</v>
      </c>
      <c r="AC110" s="22">
        <v>0</v>
      </c>
      <c r="AD110" s="22">
        <v>0</v>
      </c>
      <c r="AE110" s="22">
        <v>0</v>
      </c>
      <c r="AF110" s="22">
        <v>0</v>
      </c>
      <c r="AG110" s="22">
        <v>0</v>
      </c>
      <c r="AH110" s="22">
        <v>0</v>
      </c>
      <c r="AI110" s="22">
        <v>0</v>
      </c>
      <c r="AJ110" s="22">
        <v>0</v>
      </c>
      <c r="AK110" s="22">
        <v>0</v>
      </c>
      <c r="AL110" s="22">
        <v>0</v>
      </c>
      <c r="AM110" s="22">
        <v>0</v>
      </c>
      <c r="AN110" s="22">
        <v>0</v>
      </c>
      <c r="AO110" s="22">
        <v>0</v>
      </c>
      <c r="AP110" s="22">
        <v>0</v>
      </c>
      <c r="AQ110" s="22">
        <v>0</v>
      </c>
      <c r="AR110" s="22">
        <v>0</v>
      </c>
      <c r="AS110" s="22">
        <v>0</v>
      </c>
      <c r="AT110" s="22">
        <v>0</v>
      </c>
      <c r="AU110" s="22">
        <v>0</v>
      </c>
      <c r="AV110" s="22">
        <v>0</v>
      </c>
      <c r="AW110" s="22">
        <v>0</v>
      </c>
      <c r="AX110" s="22">
        <v>0</v>
      </c>
      <c r="AY110" s="22">
        <v>0</v>
      </c>
      <c r="AZ110" s="22">
        <v>0</v>
      </c>
      <c r="BA110" s="22">
        <v>0</v>
      </c>
      <c r="BB110" s="22">
        <v>0</v>
      </c>
      <c r="BC110" s="22">
        <v>0</v>
      </c>
      <c r="BD110" s="22">
        <v>0</v>
      </c>
      <c r="BE110" s="22">
        <v>0</v>
      </c>
      <c r="BF110" s="22">
        <v>0</v>
      </c>
      <c r="BG110" s="22">
        <v>0</v>
      </c>
      <c r="BH110" s="22">
        <v>0</v>
      </c>
      <c r="BI110" s="22">
        <v>0</v>
      </c>
      <c r="BJ110" s="22">
        <v>0</v>
      </c>
      <c r="BK110" s="22">
        <v>0</v>
      </c>
      <c r="BL110" s="22">
        <v>0</v>
      </c>
      <c r="BM110" s="22">
        <v>0</v>
      </c>
      <c r="BN110" s="22">
        <v>0</v>
      </c>
      <c r="BO110" s="22">
        <v>0</v>
      </c>
      <c r="BP110" s="22">
        <v>0</v>
      </c>
      <c r="BQ110" s="22">
        <v>0</v>
      </c>
      <c r="BR110" s="22">
        <v>0</v>
      </c>
      <c r="BS110" s="22">
        <v>0</v>
      </c>
      <c r="BT110" s="22">
        <v>0</v>
      </c>
      <c r="BU110" s="22">
        <v>0</v>
      </c>
      <c r="BV110" s="22">
        <v>0</v>
      </c>
      <c r="BW110" s="22">
        <v>0</v>
      </c>
      <c r="BX110" s="22">
        <v>0</v>
      </c>
      <c r="BY110" s="22">
        <v>0</v>
      </c>
      <c r="BZ110" s="22">
        <v>0</v>
      </c>
      <c r="CA110" s="22">
        <v>0</v>
      </c>
      <c r="CB110" s="22">
        <v>0</v>
      </c>
      <c r="CC110" s="22">
        <v>0</v>
      </c>
      <c r="CD110" s="22">
        <v>0</v>
      </c>
      <c r="CE110" s="22">
        <v>0</v>
      </c>
      <c r="CF110" s="22">
        <v>0</v>
      </c>
      <c r="CG110" s="22">
        <v>0</v>
      </c>
      <c r="CH110" s="22">
        <v>0</v>
      </c>
      <c r="CI110" s="22">
        <v>0</v>
      </c>
      <c r="CJ110" s="22">
        <v>0</v>
      </c>
      <c r="CK110" s="22">
        <v>0</v>
      </c>
      <c r="CL110" s="22">
        <v>0</v>
      </c>
      <c r="CM110" s="22">
        <v>0</v>
      </c>
      <c r="CN110" s="22">
        <v>0</v>
      </c>
      <c r="CO110" s="22">
        <v>0</v>
      </c>
      <c r="CP110" s="22">
        <v>0</v>
      </c>
      <c r="CQ110" s="22">
        <v>0</v>
      </c>
      <c r="CR110" s="22">
        <v>0</v>
      </c>
      <c r="CS110" s="22">
        <v>0</v>
      </c>
      <c r="CT110" s="22">
        <v>0</v>
      </c>
      <c r="CU110" s="22">
        <v>0</v>
      </c>
      <c r="CV110" s="22">
        <v>0</v>
      </c>
      <c r="CW110" s="22">
        <v>0</v>
      </c>
      <c r="CX110" s="22">
        <v>0</v>
      </c>
      <c r="CY110" s="22">
        <v>0</v>
      </c>
      <c r="CZ110" s="22">
        <v>0</v>
      </c>
      <c r="DA110" s="22">
        <v>0</v>
      </c>
      <c r="DB110" s="22">
        <v>0</v>
      </c>
      <c r="DC110" s="22">
        <v>0</v>
      </c>
      <c r="DD110" s="22">
        <v>0</v>
      </c>
      <c r="DE110" s="73"/>
      <c r="DG110" s="76"/>
      <c r="DI110" s="76"/>
    </row>
    <row r="111" spans="1:113">
      <c r="A111" s="24" t="s">
        <v>386</v>
      </c>
      <c r="B111" s="25"/>
      <c r="C111" s="25"/>
      <c r="D111" s="16"/>
      <c r="E111" s="28"/>
      <c r="F111" s="28"/>
      <c r="G111" s="28"/>
      <c r="H111" s="28"/>
      <c r="I111" s="28"/>
      <c r="J111" s="28"/>
      <c r="K111" s="28"/>
      <c r="L111" s="64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28"/>
      <c r="AJ111" s="28"/>
      <c r="AK111" s="28"/>
      <c r="AL111" s="28"/>
      <c r="AM111" s="28"/>
      <c r="AN111" s="28"/>
      <c r="AO111" s="28"/>
      <c r="AP111" s="28"/>
      <c r="AQ111" s="28"/>
      <c r="AR111" s="28"/>
      <c r="AS111" s="28"/>
      <c r="AT111" s="28"/>
      <c r="AU111" s="28"/>
      <c r="AV111" s="28"/>
      <c r="AW111" s="28"/>
      <c r="AX111" s="28"/>
      <c r="AY111" s="28"/>
      <c r="AZ111" s="28"/>
      <c r="BA111" s="28"/>
      <c r="BB111" s="28"/>
      <c r="BC111" s="28"/>
      <c r="BD111" s="28"/>
      <c r="BE111" s="28"/>
      <c r="BF111" s="28"/>
      <c r="BG111" s="28"/>
      <c r="BH111" s="28"/>
      <c r="BI111" s="28"/>
      <c r="BJ111" s="28"/>
      <c r="BK111" s="28"/>
      <c r="BL111" s="28"/>
      <c r="BM111" s="28"/>
      <c r="BN111" s="28"/>
      <c r="BO111" s="28"/>
      <c r="BP111" s="28"/>
      <c r="BQ111" s="28"/>
      <c r="BR111" s="28"/>
      <c r="BS111" s="28"/>
      <c r="BT111" s="28"/>
      <c r="BU111" s="28"/>
      <c r="BV111" s="28"/>
      <c r="BW111" s="28"/>
      <c r="BX111" s="28"/>
      <c r="BY111" s="28"/>
      <c r="BZ111" s="28"/>
      <c r="CA111" s="28"/>
      <c r="CB111" s="28"/>
      <c r="CC111" s="28"/>
      <c r="CD111" s="28"/>
      <c r="CE111" s="28"/>
      <c r="CF111" s="28"/>
      <c r="CG111" s="28"/>
      <c r="CH111" s="28"/>
      <c r="CI111" s="28"/>
      <c r="CJ111" s="28"/>
      <c r="CK111" s="28"/>
      <c r="CL111" s="28"/>
      <c r="CM111" s="28"/>
      <c r="CN111" s="28"/>
      <c r="CO111" s="28"/>
      <c r="CP111" s="28"/>
      <c r="CQ111" s="28"/>
      <c r="CR111" s="28"/>
      <c r="CS111" s="28"/>
      <c r="CT111" s="28"/>
      <c r="CU111" s="28"/>
      <c r="CV111" s="28"/>
      <c r="CW111" s="28"/>
      <c r="CX111" s="28"/>
      <c r="CY111" s="28"/>
      <c r="CZ111" s="28"/>
      <c r="DA111" s="28"/>
      <c r="DB111" s="28"/>
      <c r="DC111" s="28"/>
      <c r="DD111" s="28"/>
      <c r="DE111" s="72"/>
      <c r="DG111" s="76"/>
      <c r="DI111" s="76"/>
    </row>
    <row r="112" spans="1:113">
      <c r="A112" s="83" t="s">
        <v>387</v>
      </c>
      <c r="B112" s="19" t="s">
        <v>388</v>
      </c>
      <c r="C112" s="19" t="s">
        <v>389</v>
      </c>
      <c r="D112" s="20">
        <f t="shared" si="1"/>
        <v>0</v>
      </c>
      <c r="E112" s="22">
        <v>0</v>
      </c>
      <c r="F112" s="22">
        <v>0</v>
      </c>
      <c r="G112" s="22">
        <v>0</v>
      </c>
      <c r="H112" s="22">
        <v>0</v>
      </c>
      <c r="I112" s="22">
        <v>0</v>
      </c>
      <c r="J112" s="22">
        <v>0</v>
      </c>
      <c r="K112" s="22">
        <v>0</v>
      </c>
      <c r="L112" s="21">
        <v>0</v>
      </c>
      <c r="M112" s="22">
        <v>0</v>
      </c>
      <c r="N112" s="22">
        <v>0</v>
      </c>
      <c r="O112" s="22">
        <v>0</v>
      </c>
      <c r="P112" s="22">
        <v>0</v>
      </c>
      <c r="Q112" s="22">
        <v>0</v>
      </c>
      <c r="R112" s="22">
        <v>0</v>
      </c>
      <c r="S112" s="22">
        <v>0</v>
      </c>
      <c r="T112" s="22">
        <v>0</v>
      </c>
      <c r="U112" s="22">
        <v>0</v>
      </c>
      <c r="V112" s="22">
        <v>0</v>
      </c>
      <c r="W112" s="22">
        <v>0</v>
      </c>
      <c r="X112" s="22">
        <v>0</v>
      </c>
      <c r="Y112" s="22">
        <v>0</v>
      </c>
      <c r="Z112" s="22">
        <v>0</v>
      </c>
      <c r="AA112" s="22">
        <v>0</v>
      </c>
      <c r="AB112" s="22">
        <v>0</v>
      </c>
      <c r="AC112" s="22">
        <v>0</v>
      </c>
      <c r="AD112" s="22">
        <v>0</v>
      </c>
      <c r="AE112" s="22">
        <v>0</v>
      </c>
      <c r="AF112" s="22">
        <v>0</v>
      </c>
      <c r="AG112" s="22">
        <v>0</v>
      </c>
      <c r="AH112" s="22">
        <v>0</v>
      </c>
      <c r="AI112" s="22">
        <v>0</v>
      </c>
      <c r="AJ112" s="22">
        <v>0</v>
      </c>
      <c r="AK112" s="22">
        <v>0</v>
      </c>
      <c r="AL112" s="22">
        <v>0</v>
      </c>
      <c r="AM112" s="22">
        <v>0</v>
      </c>
      <c r="AN112" s="22">
        <v>0</v>
      </c>
      <c r="AO112" s="22">
        <v>0</v>
      </c>
      <c r="AP112" s="22">
        <v>0</v>
      </c>
      <c r="AQ112" s="22">
        <v>0</v>
      </c>
      <c r="AR112" s="22">
        <v>0</v>
      </c>
      <c r="AS112" s="22">
        <v>0</v>
      </c>
      <c r="AT112" s="22">
        <v>0</v>
      </c>
      <c r="AU112" s="22">
        <v>0</v>
      </c>
      <c r="AV112" s="22">
        <v>0</v>
      </c>
      <c r="AW112" s="22">
        <v>0</v>
      </c>
      <c r="AX112" s="22">
        <v>0</v>
      </c>
      <c r="AY112" s="22">
        <v>0</v>
      </c>
      <c r="AZ112" s="22">
        <v>0</v>
      </c>
      <c r="BA112" s="22">
        <v>0</v>
      </c>
      <c r="BB112" s="22">
        <v>0</v>
      </c>
      <c r="BC112" s="22">
        <v>0</v>
      </c>
      <c r="BD112" s="22">
        <v>0</v>
      </c>
      <c r="BE112" s="22">
        <v>0</v>
      </c>
      <c r="BF112" s="22">
        <v>0</v>
      </c>
      <c r="BG112" s="22">
        <v>0</v>
      </c>
      <c r="BH112" s="22">
        <v>0</v>
      </c>
      <c r="BI112" s="21">
        <v>0</v>
      </c>
      <c r="BJ112" s="21">
        <v>0</v>
      </c>
      <c r="BK112" s="21">
        <v>0</v>
      </c>
      <c r="BL112" s="21">
        <v>0</v>
      </c>
      <c r="BM112" s="21">
        <v>0</v>
      </c>
      <c r="BN112" s="21">
        <v>0</v>
      </c>
      <c r="BO112" s="21">
        <v>0</v>
      </c>
      <c r="BP112" s="21">
        <v>0</v>
      </c>
      <c r="BQ112" s="21">
        <v>0</v>
      </c>
      <c r="BR112" s="21">
        <v>0</v>
      </c>
      <c r="BS112" s="21">
        <v>0</v>
      </c>
      <c r="BT112" s="21">
        <v>0</v>
      </c>
      <c r="BU112" s="21">
        <v>0</v>
      </c>
      <c r="BV112" s="21">
        <v>0</v>
      </c>
      <c r="BW112" s="21">
        <v>0</v>
      </c>
      <c r="BX112" s="21">
        <v>0</v>
      </c>
      <c r="BY112" s="21">
        <v>0</v>
      </c>
      <c r="BZ112" s="21">
        <v>0</v>
      </c>
      <c r="CA112" s="21">
        <v>0</v>
      </c>
      <c r="CB112" s="21">
        <v>0</v>
      </c>
      <c r="CC112" s="21">
        <v>0</v>
      </c>
      <c r="CD112" s="21">
        <v>0</v>
      </c>
      <c r="CE112" s="21">
        <v>0</v>
      </c>
      <c r="CF112" s="21">
        <v>0</v>
      </c>
      <c r="CG112" s="21">
        <v>0</v>
      </c>
      <c r="CH112" s="21">
        <v>0</v>
      </c>
      <c r="CI112" s="21">
        <v>0</v>
      </c>
      <c r="CJ112" s="21">
        <v>0</v>
      </c>
      <c r="CK112" s="21">
        <v>0</v>
      </c>
      <c r="CL112" s="21">
        <v>0</v>
      </c>
      <c r="CM112" s="21">
        <v>0</v>
      </c>
      <c r="CN112" s="21">
        <v>0</v>
      </c>
      <c r="CO112" s="21">
        <v>0</v>
      </c>
      <c r="CP112" s="21">
        <v>0</v>
      </c>
      <c r="CQ112" s="21">
        <v>0</v>
      </c>
      <c r="CR112" s="21">
        <v>0</v>
      </c>
      <c r="CS112" s="21">
        <v>0</v>
      </c>
      <c r="CT112" s="21">
        <v>0</v>
      </c>
      <c r="CU112" s="21">
        <v>0</v>
      </c>
      <c r="CV112" s="21">
        <v>0</v>
      </c>
      <c r="CW112" s="21">
        <v>0</v>
      </c>
      <c r="CX112" s="21">
        <v>0</v>
      </c>
      <c r="CY112" s="21">
        <v>0</v>
      </c>
      <c r="CZ112" s="21">
        <v>0</v>
      </c>
      <c r="DA112" s="21">
        <v>0</v>
      </c>
      <c r="DB112" s="21">
        <v>0</v>
      </c>
      <c r="DC112" s="21">
        <v>0</v>
      </c>
      <c r="DD112" s="21">
        <v>0</v>
      </c>
      <c r="DE112" s="72"/>
      <c r="DG112" s="76"/>
      <c r="DI112" s="76"/>
    </row>
    <row r="113" spans="1:113">
      <c r="A113" s="84" t="s">
        <v>390</v>
      </c>
      <c r="B113" s="19" t="s">
        <v>391</v>
      </c>
      <c r="C113" s="19" t="s">
        <v>392</v>
      </c>
      <c r="D113" s="20">
        <f>SUM(E113:DD113)</f>
        <v>0</v>
      </c>
      <c r="E113" s="22">
        <v>0</v>
      </c>
      <c r="F113" s="22">
        <v>0</v>
      </c>
      <c r="G113" s="22">
        <v>0</v>
      </c>
      <c r="H113" s="22">
        <v>0</v>
      </c>
      <c r="I113" s="22">
        <v>0</v>
      </c>
      <c r="J113" s="22">
        <v>0</v>
      </c>
      <c r="K113" s="22">
        <v>0</v>
      </c>
      <c r="L113" s="21">
        <v>0</v>
      </c>
      <c r="M113" s="22">
        <v>0</v>
      </c>
      <c r="N113" s="22">
        <v>0</v>
      </c>
      <c r="O113" s="22">
        <v>0</v>
      </c>
      <c r="P113" s="22">
        <v>0</v>
      </c>
      <c r="Q113" s="22">
        <v>0</v>
      </c>
      <c r="R113" s="22">
        <v>0</v>
      </c>
      <c r="S113" s="22">
        <v>0</v>
      </c>
      <c r="T113" s="22">
        <v>0</v>
      </c>
      <c r="U113" s="22">
        <v>0</v>
      </c>
      <c r="V113" s="22">
        <v>0</v>
      </c>
      <c r="W113" s="22">
        <v>0</v>
      </c>
      <c r="X113" s="22">
        <v>0</v>
      </c>
      <c r="Y113" s="22">
        <v>0</v>
      </c>
      <c r="Z113" s="22">
        <v>0</v>
      </c>
      <c r="AA113" s="22">
        <v>0</v>
      </c>
      <c r="AB113" s="22">
        <v>0</v>
      </c>
      <c r="AC113" s="22">
        <v>0</v>
      </c>
      <c r="AD113" s="22">
        <v>0</v>
      </c>
      <c r="AE113" s="22">
        <v>0</v>
      </c>
      <c r="AF113" s="22">
        <v>0</v>
      </c>
      <c r="AG113" s="22">
        <v>0</v>
      </c>
      <c r="AH113" s="22">
        <v>0</v>
      </c>
      <c r="AI113" s="22">
        <v>0</v>
      </c>
      <c r="AJ113" s="22">
        <v>0</v>
      </c>
      <c r="AK113" s="22">
        <v>0</v>
      </c>
      <c r="AL113" s="22">
        <v>0</v>
      </c>
      <c r="AM113" s="22">
        <v>0</v>
      </c>
      <c r="AN113" s="22">
        <v>0</v>
      </c>
      <c r="AO113" s="22">
        <v>0</v>
      </c>
      <c r="AP113" s="22">
        <v>0</v>
      </c>
      <c r="AQ113" s="22">
        <v>0</v>
      </c>
      <c r="AR113" s="22">
        <v>0</v>
      </c>
      <c r="AS113" s="22">
        <v>0</v>
      </c>
      <c r="AT113" s="22">
        <v>0</v>
      </c>
      <c r="AU113" s="22">
        <v>0</v>
      </c>
      <c r="AV113" s="22">
        <v>0</v>
      </c>
      <c r="AW113" s="22">
        <v>0</v>
      </c>
      <c r="AX113" s="22">
        <v>0</v>
      </c>
      <c r="AY113" s="22">
        <v>0</v>
      </c>
      <c r="AZ113" s="22">
        <v>0</v>
      </c>
      <c r="BA113" s="22">
        <v>0</v>
      </c>
      <c r="BB113" s="22">
        <v>0</v>
      </c>
      <c r="BC113" s="22">
        <v>0</v>
      </c>
      <c r="BD113" s="22">
        <v>0</v>
      </c>
      <c r="BE113" s="22">
        <v>0</v>
      </c>
      <c r="BF113" s="22">
        <v>0</v>
      </c>
      <c r="BG113" s="22">
        <v>0</v>
      </c>
      <c r="BH113" s="22">
        <v>0</v>
      </c>
      <c r="BI113" s="21">
        <v>0</v>
      </c>
      <c r="BJ113" s="21">
        <v>0</v>
      </c>
      <c r="BK113" s="21">
        <v>0</v>
      </c>
      <c r="BL113" s="21">
        <v>0</v>
      </c>
      <c r="BM113" s="21">
        <v>0</v>
      </c>
      <c r="BN113" s="21">
        <v>0</v>
      </c>
      <c r="BO113" s="21">
        <v>0</v>
      </c>
      <c r="BP113" s="21">
        <v>0</v>
      </c>
      <c r="BQ113" s="21">
        <v>0</v>
      </c>
      <c r="BR113" s="21">
        <v>0</v>
      </c>
      <c r="BS113" s="21">
        <v>0</v>
      </c>
      <c r="BT113" s="21">
        <v>0</v>
      </c>
      <c r="BU113" s="21">
        <v>0</v>
      </c>
      <c r="BV113" s="21">
        <v>0</v>
      </c>
      <c r="BW113" s="21">
        <v>0</v>
      </c>
      <c r="BX113" s="21">
        <v>0</v>
      </c>
      <c r="BY113" s="21">
        <v>0</v>
      </c>
      <c r="BZ113" s="21">
        <v>0</v>
      </c>
      <c r="CA113" s="21">
        <v>0</v>
      </c>
      <c r="CB113" s="21">
        <v>0</v>
      </c>
      <c r="CC113" s="21">
        <v>0</v>
      </c>
      <c r="CD113" s="21">
        <v>0</v>
      </c>
      <c r="CE113" s="21">
        <v>0</v>
      </c>
      <c r="CF113" s="21">
        <v>0</v>
      </c>
      <c r="CG113" s="21">
        <v>0</v>
      </c>
      <c r="CH113" s="21">
        <v>0</v>
      </c>
      <c r="CI113" s="21">
        <v>0</v>
      </c>
      <c r="CJ113" s="21">
        <v>0</v>
      </c>
      <c r="CK113" s="21">
        <v>0</v>
      </c>
      <c r="CL113" s="21">
        <v>0</v>
      </c>
      <c r="CM113" s="21">
        <v>0</v>
      </c>
      <c r="CN113" s="21">
        <v>0</v>
      </c>
      <c r="CO113" s="21">
        <v>0</v>
      </c>
      <c r="CP113" s="21">
        <v>0</v>
      </c>
      <c r="CQ113" s="21">
        <v>0</v>
      </c>
      <c r="CR113" s="21">
        <v>0</v>
      </c>
      <c r="CS113" s="21">
        <v>0</v>
      </c>
      <c r="CT113" s="21">
        <v>0</v>
      </c>
      <c r="CU113" s="21">
        <v>0</v>
      </c>
      <c r="CV113" s="21">
        <v>0</v>
      </c>
      <c r="CW113" s="21">
        <v>0</v>
      </c>
      <c r="CX113" s="21">
        <v>0</v>
      </c>
      <c r="CY113" s="21">
        <v>0</v>
      </c>
      <c r="CZ113" s="21">
        <v>0</v>
      </c>
      <c r="DA113" s="21">
        <v>0</v>
      </c>
      <c r="DB113" s="21">
        <v>0</v>
      </c>
      <c r="DC113" s="21">
        <v>0</v>
      </c>
      <c r="DD113" s="21">
        <v>0</v>
      </c>
      <c r="DE113" s="73"/>
      <c r="DG113" s="76"/>
      <c r="DI113" s="76"/>
    </row>
    <row r="114" spans="1:113">
      <c r="A114" s="23" t="s">
        <v>393</v>
      </c>
      <c r="B114" s="19" t="s">
        <v>394</v>
      </c>
      <c r="C114" s="19" t="s">
        <v>392</v>
      </c>
      <c r="D114" s="20">
        <f t="shared" si="1"/>
        <v>0</v>
      </c>
      <c r="E114" s="22">
        <v>0</v>
      </c>
      <c r="F114" s="22">
        <v>0</v>
      </c>
      <c r="G114" s="22">
        <v>0</v>
      </c>
      <c r="H114" s="22">
        <v>0</v>
      </c>
      <c r="I114" s="22">
        <v>0</v>
      </c>
      <c r="J114" s="22">
        <v>0</v>
      </c>
      <c r="K114" s="22">
        <v>0</v>
      </c>
      <c r="L114" s="21">
        <v>0</v>
      </c>
      <c r="M114" s="22">
        <v>0</v>
      </c>
      <c r="N114" s="22">
        <v>0</v>
      </c>
      <c r="O114" s="22">
        <v>0</v>
      </c>
      <c r="P114" s="22">
        <v>0</v>
      </c>
      <c r="Q114" s="22">
        <v>0</v>
      </c>
      <c r="R114" s="22">
        <v>0</v>
      </c>
      <c r="S114" s="22">
        <v>0</v>
      </c>
      <c r="T114" s="22">
        <v>0</v>
      </c>
      <c r="U114" s="22">
        <v>0</v>
      </c>
      <c r="V114" s="22">
        <v>0</v>
      </c>
      <c r="W114" s="22">
        <v>0</v>
      </c>
      <c r="X114" s="22">
        <v>0</v>
      </c>
      <c r="Y114" s="22">
        <v>0</v>
      </c>
      <c r="Z114" s="22">
        <v>0</v>
      </c>
      <c r="AA114" s="22">
        <v>0</v>
      </c>
      <c r="AB114" s="22">
        <v>0</v>
      </c>
      <c r="AC114" s="22">
        <v>0</v>
      </c>
      <c r="AD114" s="22">
        <v>0</v>
      </c>
      <c r="AE114" s="22">
        <v>0</v>
      </c>
      <c r="AF114" s="22">
        <v>0</v>
      </c>
      <c r="AG114" s="22">
        <v>0</v>
      </c>
      <c r="AH114" s="22">
        <v>0</v>
      </c>
      <c r="AI114" s="22">
        <v>0</v>
      </c>
      <c r="AJ114" s="22">
        <v>0</v>
      </c>
      <c r="AK114" s="22">
        <v>0</v>
      </c>
      <c r="AL114" s="22">
        <v>0</v>
      </c>
      <c r="AM114" s="22">
        <v>0</v>
      </c>
      <c r="AN114" s="22">
        <v>0</v>
      </c>
      <c r="AO114" s="22">
        <v>0</v>
      </c>
      <c r="AP114" s="22">
        <v>0</v>
      </c>
      <c r="AQ114" s="22">
        <v>0</v>
      </c>
      <c r="AR114" s="22">
        <v>0</v>
      </c>
      <c r="AS114" s="22">
        <v>0</v>
      </c>
      <c r="AT114" s="22">
        <v>0</v>
      </c>
      <c r="AU114" s="22">
        <v>0</v>
      </c>
      <c r="AV114" s="22">
        <v>0</v>
      </c>
      <c r="AW114" s="22">
        <v>0</v>
      </c>
      <c r="AX114" s="22">
        <v>0</v>
      </c>
      <c r="AY114" s="22">
        <v>0</v>
      </c>
      <c r="AZ114" s="22">
        <v>0</v>
      </c>
      <c r="BA114" s="22">
        <v>0</v>
      </c>
      <c r="BB114" s="22">
        <v>0</v>
      </c>
      <c r="BC114" s="22">
        <v>0</v>
      </c>
      <c r="BD114" s="22">
        <v>0</v>
      </c>
      <c r="BE114" s="22">
        <v>0</v>
      </c>
      <c r="BF114" s="22">
        <v>0</v>
      </c>
      <c r="BG114" s="22">
        <v>0</v>
      </c>
      <c r="BH114" s="22">
        <v>0</v>
      </c>
      <c r="BI114" s="21">
        <v>0</v>
      </c>
      <c r="BJ114" s="21">
        <v>0</v>
      </c>
      <c r="BK114" s="21">
        <v>0</v>
      </c>
      <c r="BL114" s="21">
        <v>0</v>
      </c>
      <c r="BM114" s="21">
        <v>0</v>
      </c>
      <c r="BN114" s="21">
        <v>0</v>
      </c>
      <c r="BO114" s="21">
        <v>0</v>
      </c>
      <c r="BP114" s="21">
        <v>0</v>
      </c>
      <c r="BQ114" s="21">
        <v>0</v>
      </c>
      <c r="BR114" s="21">
        <v>0</v>
      </c>
      <c r="BS114" s="21">
        <v>0</v>
      </c>
      <c r="BT114" s="21">
        <v>0</v>
      </c>
      <c r="BU114" s="21">
        <v>0</v>
      </c>
      <c r="BV114" s="21">
        <v>0</v>
      </c>
      <c r="BW114" s="21">
        <v>0</v>
      </c>
      <c r="BX114" s="21">
        <v>0</v>
      </c>
      <c r="BY114" s="21">
        <v>0</v>
      </c>
      <c r="BZ114" s="21">
        <v>0</v>
      </c>
      <c r="CA114" s="21">
        <v>0</v>
      </c>
      <c r="CB114" s="21">
        <v>0</v>
      </c>
      <c r="CC114" s="21">
        <v>0</v>
      </c>
      <c r="CD114" s="21">
        <v>0</v>
      </c>
      <c r="CE114" s="21">
        <v>0</v>
      </c>
      <c r="CF114" s="21">
        <v>0</v>
      </c>
      <c r="CG114" s="21">
        <v>0</v>
      </c>
      <c r="CH114" s="21">
        <v>0</v>
      </c>
      <c r="CI114" s="21">
        <v>0</v>
      </c>
      <c r="CJ114" s="21">
        <v>0</v>
      </c>
      <c r="CK114" s="21">
        <v>0</v>
      </c>
      <c r="CL114" s="21">
        <v>0</v>
      </c>
      <c r="CM114" s="21">
        <v>0</v>
      </c>
      <c r="CN114" s="21">
        <v>0</v>
      </c>
      <c r="CO114" s="21">
        <v>0</v>
      </c>
      <c r="CP114" s="21">
        <v>0</v>
      </c>
      <c r="CQ114" s="21">
        <v>0</v>
      </c>
      <c r="CR114" s="21">
        <v>0</v>
      </c>
      <c r="CS114" s="21">
        <v>0</v>
      </c>
      <c r="CT114" s="21">
        <v>0</v>
      </c>
      <c r="CU114" s="21">
        <v>0</v>
      </c>
      <c r="CV114" s="21">
        <v>0</v>
      </c>
      <c r="CW114" s="21">
        <v>0</v>
      </c>
      <c r="CX114" s="21">
        <v>0</v>
      </c>
      <c r="CY114" s="21">
        <v>0</v>
      </c>
      <c r="CZ114" s="21">
        <v>0</v>
      </c>
      <c r="DA114" s="21">
        <v>0</v>
      </c>
      <c r="DB114" s="21">
        <v>0</v>
      </c>
      <c r="DC114" s="21">
        <v>0</v>
      </c>
      <c r="DD114" s="21">
        <v>0</v>
      </c>
      <c r="DE114" s="73"/>
      <c r="DG114" s="76"/>
      <c r="DI114" s="76"/>
    </row>
    <row r="115" spans="1:113">
      <c r="A115" s="23" t="s">
        <v>395</v>
      </c>
      <c r="B115" s="19" t="s">
        <v>396</v>
      </c>
      <c r="C115" s="19" t="s">
        <v>392</v>
      </c>
      <c r="D115" s="20">
        <f t="shared" si="1"/>
        <v>0</v>
      </c>
      <c r="E115" s="22">
        <v>0</v>
      </c>
      <c r="F115" s="22">
        <v>0</v>
      </c>
      <c r="G115" s="22">
        <v>0</v>
      </c>
      <c r="H115" s="22">
        <v>0</v>
      </c>
      <c r="I115" s="22">
        <v>0</v>
      </c>
      <c r="J115" s="22">
        <v>0</v>
      </c>
      <c r="K115" s="22">
        <v>0</v>
      </c>
      <c r="L115" s="21">
        <v>0</v>
      </c>
      <c r="M115" s="22">
        <v>0</v>
      </c>
      <c r="N115" s="22">
        <v>0</v>
      </c>
      <c r="O115" s="22">
        <v>0</v>
      </c>
      <c r="P115" s="22">
        <v>0</v>
      </c>
      <c r="Q115" s="22">
        <v>0</v>
      </c>
      <c r="R115" s="22">
        <v>0</v>
      </c>
      <c r="S115" s="22">
        <v>0</v>
      </c>
      <c r="T115" s="22">
        <v>0</v>
      </c>
      <c r="U115" s="22">
        <v>0</v>
      </c>
      <c r="V115" s="22">
        <v>0</v>
      </c>
      <c r="W115" s="22">
        <v>0</v>
      </c>
      <c r="X115" s="22">
        <v>0</v>
      </c>
      <c r="Y115" s="22">
        <v>0</v>
      </c>
      <c r="Z115" s="22">
        <v>0</v>
      </c>
      <c r="AA115" s="22">
        <v>0</v>
      </c>
      <c r="AB115" s="22">
        <v>0</v>
      </c>
      <c r="AC115" s="22">
        <v>0</v>
      </c>
      <c r="AD115" s="22">
        <v>0</v>
      </c>
      <c r="AE115" s="22">
        <v>0</v>
      </c>
      <c r="AF115" s="22">
        <v>0</v>
      </c>
      <c r="AG115" s="22">
        <v>0</v>
      </c>
      <c r="AH115" s="22">
        <v>0</v>
      </c>
      <c r="AI115" s="22">
        <v>0</v>
      </c>
      <c r="AJ115" s="22">
        <v>0</v>
      </c>
      <c r="AK115" s="22">
        <v>0</v>
      </c>
      <c r="AL115" s="22">
        <v>0</v>
      </c>
      <c r="AM115" s="22">
        <v>0</v>
      </c>
      <c r="AN115" s="22">
        <v>0</v>
      </c>
      <c r="AO115" s="22">
        <v>0</v>
      </c>
      <c r="AP115" s="22">
        <v>0</v>
      </c>
      <c r="AQ115" s="22">
        <v>0</v>
      </c>
      <c r="AR115" s="22">
        <v>0</v>
      </c>
      <c r="AS115" s="22">
        <v>0</v>
      </c>
      <c r="AT115" s="22">
        <v>0</v>
      </c>
      <c r="AU115" s="22">
        <v>0</v>
      </c>
      <c r="AV115" s="22">
        <v>0</v>
      </c>
      <c r="AW115" s="22">
        <v>0</v>
      </c>
      <c r="AX115" s="22">
        <v>0</v>
      </c>
      <c r="AY115" s="22">
        <v>0</v>
      </c>
      <c r="AZ115" s="22">
        <v>0</v>
      </c>
      <c r="BA115" s="22">
        <v>0</v>
      </c>
      <c r="BB115" s="22">
        <v>0</v>
      </c>
      <c r="BC115" s="22">
        <v>0</v>
      </c>
      <c r="BD115" s="22">
        <v>0</v>
      </c>
      <c r="BE115" s="22">
        <v>0</v>
      </c>
      <c r="BF115" s="22">
        <v>0</v>
      </c>
      <c r="BG115" s="22">
        <v>0</v>
      </c>
      <c r="BH115" s="22">
        <v>0</v>
      </c>
      <c r="BI115" s="21">
        <v>0</v>
      </c>
      <c r="BJ115" s="21">
        <v>0</v>
      </c>
      <c r="BK115" s="21">
        <v>0</v>
      </c>
      <c r="BL115" s="21">
        <v>0</v>
      </c>
      <c r="BM115" s="21">
        <v>0</v>
      </c>
      <c r="BN115" s="21">
        <v>0</v>
      </c>
      <c r="BO115" s="21">
        <v>0</v>
      </c>
      <c r="BP115" s="21">
        <v>0</v>
      </c>
      <c r="BQ115" s="21">
        <v>0</v>
      </c>
      <c r="BR115" s="21">
        <v>0</v>
      </c>
      <c r="BS115" s="21">
        <v>0</v>
      </c>
      <c r="BT115" s="21">
        <v>0</v>
      </c>
      <c r="BU115" s="21">
        <v>0</v>
      </c>
      <c r="BV115" s="21">
        <v>0</v>
      </c>
      <c r="BW115" s="21">
        <v>0</v>
      </c>
      <c r="BX115" s="21">
        <v>0</v>
      </c>
      <c r="BY115" s="21">
        <v>0</v>
      </c>
      <c r="BZ115" s="21">
        <v>0</v>
      </c>
      <c r="CA115" s="21">
        <v>0</v>
      </c>
      <c r="CB115" s="21">
        <v>0</v>
      </c>
      <c r="CC115" s="21">
        <v>0</v>
      </c>
      <c r="CD115" s="21">
        <v>0</v>
      </c>
      <c r="CE115" s="21">
        <v>0</v>
      </c>
      <c r="CF115" s="21">
        <v>0</v>
      </c>
      <c r="CG115" s="21">
        <v>0</v>
      </c>
      <c r="CH115" s="21">
        <v>0</v>
      </c>
      <c r="CI115" s="21">
        <v>0</v>
      </c>
      <c r="CJ115" s="21">
        <v>0</v>
      </c>
      <c r="CK115" s="21">
        <v>0</v>
      </c>
      <c r="CL115" s="21">
        <v>0</v>
      </c>
      <c r="CM115" s="21">
        <v>0</v>
      </c>
      <c r="CN115" s="21">
        <v>0</v>
      </c>
      <c r="CO115" s="21">
        <v>0</v>
      </c>
      <c r="CP115" s="21">
        <v>0</v>
      </c>
      <c r="CQ115" s="21">
        <v>0</v>
      </c>
      <c r="CR115" s="21">
        <v>0</v>
      </c>
      <c r="CS115" s="21">
        <v>0</v>
      </c>
      <c r="CT115" s="21">
        <v>0</v>
      </c>
      <c r="CU115" s="21">
        <v>0</v>
      </c>
      <c r="CV115" s="21">
        <v>0</v>
      </c>
      <c r="CW115" s="21">
        <v>0</v>
      </c>
      <c r="CX115" s="21">
        <v>0</v>
      </c>
      <c r="CY115" s="21">
        <v>0</v>
      </c>
      <c r="CZ115" s="21">
        <v>0</v>
      </c>
      <c r="DA115" s="21">
        <v>0</v>
      </c>
      <c r="DB115" s="21">
        <v>0</v>
      </c>
      <c r="DC115" s="21">
        <v>0</v>
      </c>
      <c r="DD115" s="21">
        <v>0</v>
      </c>
      <c r="DE115" s="73"/>
      <c r="DG115" s="76"/>
      <c r="DI115" s="76"/>
    </row>
    <row r="116" spans="1:113" ht="32.1">
      <c r="A116" s="23" t="s">
        <v>397</v>
      </c>
      <c r="B116" s="19" t="s">
        <v>398</v>
      </c>
      <c r="C116" s="19" t="s">
        <v>399</v>
      </c>
      <c r="D116" s="20">
        <f t="shared" si="1"/>
        <v>7</v>
      </c>
      <c r="E116" s="21">
        <v>6</v>
      </c>
      <c r="F116" s="21">
        <v>0</v>
      </c>
      <c r="G116" s="21">
        <v>0</v>
      </c>
      <c r="H116" s="21">
        <v>0</v>
      </c>
      <c r="I116" s="21">
        <v>0</v>
      </c>
      <c r="J116" s="21">
        <v>0</v>
      </c>
      <c r="K116" s="21">
        <v>0</v>
      </c>
      <c r="L116" s="21">
        <v>0</v>
      </c>
      <c r="M116" s="21">
        <v>0</v>
      </c>
      <c r="N116" s="21">
        <v>0</v>
      </c>
      <c r="O116" s="21">
        <v>0</v>
      </c>
      <c r="P116" s="21">
        <v>0</v>
      </c>
      <c r="Q116" s="21">
        <v>0</v>
      </c>
      <c r="R116" s="21">
        <v>0</v>
      </c>
      <c r="S116" s="21">
        <v>0</v>
      </c>
      <c r="T116" s="21">
        <v>0</v>
      </c>
      <c r="U116" s="21">
        <v>0</v>
      </c>
      <c r="V116" s="21">
        <v>0</v>
      </c>
      <c r="W116" s="21">
        <v>0</v>
      </c>
      <c r="X116" s="21">
        <v>0</v>
      </c>
      <c r="Y116" s="21">
        <v>0</v>
      </c>
      <c r="Z116" s="21">
        <v>1</v>
      </c>
      <c r="AA116" s="21">
        <v>0</v>
      </c>
      <c r="AB116" s="21">
        <v>0</v>
      </c>
      <c r="AC116" s="21">
        <v>0</v>
      </c>
      <c r="AD116" s="21">
        <v>0</v>
      </c>
      <c r="AE116" s="21">
        <v>0</v>
      </c>
      <c r="AF116" s="21">
        <v>0</v>
      </c>
      <c r="AG116" s="21">
        <v>0</v>
      </c>
      <c r="AH116" s="21">
        <v>0</v>
      </c>
      <c r="AI116" s="21">
        <v>0</v>
      </c>
      <c r="AJ116" s="21">
        <v>0</v>
      </c>
      <c r="AK116" s="21">
        <v>0</v>
      </c>
      <c r="AL116" s="21">
        <v>0</v>
      </c>
      <c r="AM116" s="21">
        <v>0</v>
      </c>
      <c r="AN116" s="21">
        <v>0</v>
      </c>
      <c r="AO116" s="21">
        <v>0</v>
      </c>
      <c r="AP116" s="21">
        <v>0</v>
      </c>
      <c r="AQ116" s="21">
        <v>0</v>
      </c>
      <c r="AR116" s="21">
        <v>0</v>
      </c>
      <c r="AS116" s="21">
        <v>0</v>
      </c>
      <c r="AT116" s="21">
        <v>0</v>
      </c>
      <c r="AU116" s="21">
        <v>0</v>
      </c>
      <c r="AV116" s="21">
        <v>0</v>
      </c>
      <c r="AW116" s="21">
        <v>0</v>
      </c>
      <c r="AX116" s="21">
        <v>0</v>
      </c>
      <c r="AY116" s="21">
        <v>0</v>
      </c>
      <c r="AZ116" s="21">
        <v>0</v>
      </c>
      <c r="BA116" s="21">
        <v>0</v>
      </c>
      <c r="BB116" s="21">
        <v>0</v>
      </c>
      <c r="BC116" s="21">
        <v>0</v>
      </c>
      <c r="BD116" s="21">
        <v>0</v>
      </c>
      <c r="BE116" s="21">
        <v>0</v>
      </c>
      <c r="BF116" s="21">
        <v>0</v>
      </c>
      <c r="BG116" s="21">
        <v>0</v>
      </c>
      <c r="BH116" s="21">
        <v>0</v>
      </c>
      <c r="BI116" s="21">
        <v>0</v>
      </c>
      <c r="BJ116" s="21">
        <v>0</v>
      </c>
      <c r="BK116" s="21">
        <v>0</v>
      </c>
      <c r="BL116" s="21">
        <v>0</v>
      </c>
      <c r="BM116" s="21">
        <v>0</v>
      </c>
      <c r="BN116" s="21">
        <v>0</v>
      </c>
      <c r="BO116" s="21">
        <v>0</v>
      </c>
      <c r="BP116" s="21">
        <v>0</v>
      </c>
      <c r="BQ116" s="21">
        <v>0</v>
      </c>
      <c r="BR116" s="21">
        <v>0</v>
      </c>
      <c r="BS116" s="21">
        <v>0</v>
      </c>
      <c r="BT116" s="21">
        <v>0</v>
      </c>
      <c r="BU116" s="21">
        <v>0</v>
      </c>
      <c r="BV116" s="21">
        <v>0</v>
      </c>
      <c r="BW116" s="21">
        <v>0</v>
      </c>
      <c r="BX116" s="21">
        <v>0</v>
      </c>
      <c r="BY116" s="21">
        <v>0</v>
      </c>
      <c r="BZ116" s="21">
        <v>0</v>
      </c>
      <c r="CA116" s="21">
        <v>0</v>
      </c>
      <c r="CB116" s="21">
        <v>0</v>
      </c>
      <c r="CC116" s="21">
        <v>0</v>
      </c>
      <c r="CD116" s="21">
        <v>0</v>
      </c>
      <c r="CE116" s="21">
        <v>0</v>
      </c>
      <c r="CF116" s="21">
        <v>0</v>
      </c>
      <c r="CG116" s="21">
        <v>0</v>
      </c>
      <c r="CH116" s="21">
        <v>0</v>
      </c>
      <c r="CI116" s="21">
        <v>0</v>
      </c>
      <c r="CJ116" s="21">
        <v>0</v>
      </c>
      <c r="CK116" s="21">
        <v>0</v>
      </c>
      <c r="CL116" s="21">
        <v>0</v>
      </c>
      <c r="CM116" s="21">
        <v>0</v>
      </c>
      <c r="CN116" s="21">
        <v>0</v>
      </c>
      <c r="CO116" s="21">
        <v>0</v>
      </c>
      <c r="CP116" s="21">
        <v>0</v>
      </c>
      <c r="CQ116" s="21">
        <v>0</v>
      </c>
      <c r="CR116" s="21">
        <v>0</v>
      </c>
      <c r="CS116" s="21">
        <v>0</v>
      </c>
      <c r="CT116" s="21">
        <v>0</v>
      </c>
      <c r="CU116" s="21">
        <v>0</v>
      </c>
      <c r="CV116" s="21">
        <v>0</v>
      </c>
      <c r="CW116" s="21">
        <v>0</v>
      </c>
      <c r="CX116" s="21">
        <v>0</v>
      </c>
      <c r="CY116" s="21">
        <v>0</v>
      </c>
      <c r="CZ116" s="21">
        <v>0</v>
      </c>
      <c r="DA116" s="21">
        <v>0</v>
      </c>
      <c r="DB116" s="21">
        <v>0</v>
      </c>
      <c r="DC116" s="21">
        <v>0</v>
      </c>
      <c r="DD116" s="21">
        <v>0</v>
      </c>
      <c r="DE116" s="73"/>
      <c r="DG116" s="76"/>
      <c r="DI116" s="76"/>
    </row>
    <row r="117" spans="1:113">
      <c r="A117" s="23" t="s">
        <v>400</v>
      </c>
      <c r="B117" s="19" t="s">
        <v>401</v>
      </c>
      <c r="C117" s="19" t="s">
        <v>402</v>
      </c>
      <c r="D117" s="20">
        <f t="shared" si="1"/>
        <v>18</v>
      </c>
      <c r="E117" s="21">
        <v>15</v>
      </c>
      <c r="F117" s="21">
        <v>0</v>
      </c>
      <c r="G117" s="21">
        <v>0</v>
      </c>
      <c r="H117" s="21">
        <v>0</v>
      </c>
      <c r="I117" s="21">
        <v>0</v>
      </c>
      <c r="J117" s="21">
        <v>0</v>
      </c>
      <c r="K117" s="21">
        <v>0</v>
      </c>
      <c r="L117" s="21">
        <v>0</v>
      </c>
      <c r="M117" s="21">
        <v>0</v>
      </c>
      <c r="N117" s="21">
        <v>0</v>
      </c>
      <c r="O117" s="21">
        <v>0</v>
      </c>
      <c r="P117" s="21">
        <v>0</v>
      </c>
      <c r="Q117" s="21">
        <v>0</v>
      </c>
      <c r="R117" s="21">
        <v>0</v>
      </c>
      <c r="S117" s="21">
        <v>0</v>
      </c>
      <c r="T117" s="21">
        <v>0</v>
      </c>
      <c r="U117" s="21">
        <v>0</v>
      </c>
      <c r="V117" s="21">
        <v>0</v>
      </c>
      <c r="W117" s="21">
        <v>0</v>
      </c>
      <c r="X117" s="21">
        <v>0</v>
      </c>
      <c r="Y117" s="21">
        <v>0</v>
      </c>
      <c r="Z117" s="21">
        <v>0</v>
      </c>
      <c r="AA117" s="21">
        <v>0</v>
      </c>
      <c r="AB117" s="21">
        <v>0</v>
      </c>
      <c r="AC117" s="21">
        <v>0</v>
      </c>
      <c r="AD117" s="21">
        <v>1</v>
      </c>
      <c r="AE117" s="21">
        <v>0</v>
      </c>
      <c r="AF117" s="21">
        <v>0</v>
      </c>
      <c r="AG117" s="21">
        <v>0</v>
      </c>
      <c r="AH117" s="21">
        <v>0</v>
      </c>
      <c r="AI117" s="21">
        <v>0</v>
      </c>
      <c r="AJ117" s="21">
        <v>0</v>
      </c>
      <c r="AK117" s="21">
        <v>0</v>
      </c>
      <c r="AL117" s="21">
        <v>0</v>
      </c>
      <c r="AM117" s="21">
        <v>0</v>
      </c>
      <c r="AN117" s="21">
        <v>0</v>
      </c>
      <c r="AO117" s="21">
        <v>0</v>
      </c>
      <c r="AP117" s="21">
        <v>0</v>
      </c>
      <c r="AQ117" s="21">
        <v>0</v>
      </c>
      <c r="AR117" s="21">
        <v>0</v>
      </c>
      <c r="AS117" s="21">
        <v>0</v>
      </c>
      <c r="AT117" s="21">
        <v>0</v>
      </c>
      <c r="AU117" s="21">
        <v>0</v>
      </c>
      <c r="AV117" s="21">
        <v>0</v>
      </c>
      <c r="AW117" s="21">
        <v>0</v>
      </c>
      <c r="AX117" s="21">
        <v>0</v>
      </c>
      <c r="AY117" s="21">
        <v>0</v>
      </c>
      <c r="AZ117" s="21">
        <v>0</v>
      </c>
      <c r="BA117" s="21">
        <v>0</v>
      </c>
      <c r="BB117" s="21">
        <v>0</v>
      </c>
      <c r="BC117" s="21">
        <v>0</v>
      </c>
      <c r="BD117" s="21">
        <v>0</v>
      </c>
      <c r="BE117" s="21">
        <v>1</v>
      </c>
      <c r="BF117" s="21">
        <v>1</v>
      </c>
      <c r="BG117" s="21">
        <v>0</v>
      </c>
      <c r="BH117" s="21">
        <v>0</v>
      </c>
      <c r="BI117" s="21">
        <v>0</v>
      </c>
      <c r="BJ117" s="21">
        <v>0</v>
      </c>
      <c r="BK117" s="21">
        <v>0</v>
      </c>
      <c r="BL117" s="21">
        <v>0</v>
      </c>
      <c r="BM117" s="21">
        <v>0</v>
      </c>
      <c r="BN117" s="21">
        <v>0</v>
      </c>
      <c r="BO117" s="21">
        <v>0</v>
      </c>
      <c r="BP117" s="21">
        <v>0</v>
      </c>
      <c r="BQ117" s="21">
        <v>0</v>
      </c>
      <c r="BR117" s="21">
        <v>0</v>
      </c>
      <c r="BS117" s="21">
        <v>0</v>
      </c>
      <c r="BT117" s="21">
        <v>0</v>
      </c>
      <c r="BU117" s="21">
        <v>0</v>
      </c>
      <c r="BV117" s="21">
        <v>0</v>
      </c>
      <c r="BW117" s="21">
        <v>0</v>
      </c>
      <c r="BX117" s="21">
        <v>0</v>
      </c>
      <c r="BY117" s="21">
        <v>0</v>
      </c>
      <c r="BZ117" s="21">
        <v>0</v>
      </c>
      <c r="CA117" s="21">
        <v>0</v>
      </c>
      <c r="CB117" s="21">
        <v>0</v>
      </c>
      <c r="CC117" s="21">
        <v>0</v>
      </c>
      <c r="CD117" s="21">
        <v>0</v>
      </c>
      <c r="CE117" s="21">
        <v>0</v>
      </c>
      <c r="CF117" s="21">
        <v>0</v>
      </c>
      <c r="CG117" s="21">
        <v>0</v>
      </c>
      <c r="CH117" s="21">
        <v>0</v>
      </c>
      <c r="CI117" s="21">
        <v>0</v>
      </c>
      <c r="CJ117" s="21">
        <v>0</v>
      </c>
      <c r="CK117" s="21">
        <v>0</v>
      </c>
      <c r="CL117" s="21">
        <v>0</v>
      </c>
      <c r="CM117" s="21">
        <v>0</v>
      </c>
      <c r="CN117" s="21">
        <v>0</v>
      </c>
      <c r="CO117" s="21">
        <v>0</v>
      </c>
      <c r="CP117" s="21">
        <v>0</v>
      </c>
      <c r="CQ117" s="21">
        <v>0</v>
      </c>
      <c r="CR117" s="21">
        <v>0</v>
      </c>
      <c r="CS117" s="21">
        <v>0</v>
      </c>
      <c r="CT117" s="21">
        <v>0</v>
      </c>
      <c r="CU117" s="21">
        <v>0</v>
      </c>
      <c r="CV117" s="21">
        <v>0</v>
      </c>
      <c r="CW117" s="21">
        <v>0</v>
      </c>
      <c r="CX117" s="21">
        <v>0</v>
      </c>
      <c r="CY117" s="21">
        <v>0</v>
      </c>
      <c r="CZ117" s="21">
        <v>0</v>
      </c>
      <c r="DA117" s="21">
        <v>0</v>
      </c>
      <c r="DB117" s="21">
        <v>0</v>
      </c>
      <c r="DC117" s="21">
        <v>0</v>
      </c>
      <c r="DD117" s="21">
        <v>0</v>
      </c>
      <c r="DE117" s="72"/>
      <c r="DG117" s="76"/>
      <c r="DI117" s="76"/>
    </row>
    <row r="118" spans="1:113">
      <c r="A118" s="23" t="s">
        <v>403</v>
      </c>
      <c r="B118" s="19" t="s">
        <v>404</v>
      </c>
      <c r="C118" s="19" t="s">
        <v>405</v>
      </c>
      <c r="D118" s="20">
        <f t="shared" si="1"/>
        <v>61</v>
      </c>
      <c r="E118" s="21">
        <v>2</v>
      </c>
      <c r="F118" s="21">
        <v>0</v>
      </c>
      <c r="G118" s="21">
        <v>0</v>
      </c>
      <c r="H118" s="21">
        <v>0</v>
      </c>
      <c r="I118" s="21">
        <v>0</v>
      </c>
      <c r="J118" s="21">
        <v>0</v>
      </c>
      <c r="K118" s="21">
        <v>0</v>
      </c>
      <c r="L118" s="21">
        <v>0</v>
      </c>
      <c r="M118" s="21">
        <v>0</v>
      </c>
      <c r="N118" s="21">
        <v>0</v>
      </c>
      <c r="O118" s="21">
        <v>0</v>
      </c>
      <c r="P118" s="21">
        <v>0</v>
      </c>
      <c r="Q118" s="21">
        <v>0</v>
      </c>
      <c r="R118" s="21">
        <v>0</v>
      </c>
      <c r="S118" s="21">
        <v>0</v>
      </c>
      <c r="T118" s="21">
        <v>0</v>
      </c>
      <c r="U118" s="21">
        <v>0</v>
      </c>
      <c r="V118" s="21">
        <v>0</v>
      </c>
      <c r="W118" s="21">
        <v>0</v>
      </c>
      <c r="X118" s="21">
        <v>0</v>
      </c>
      <c r="Y118" s="21">
        <v>0</v>
      </c>
      <c r="Z118" s="21">
        <v>0</v>
      </c>
      <c r="AA118" s="21">
        <v>0</v>
      </c>
      <c r="AB118" s="21">
        <v>0</v>
      </c>
      <c r="AC118" s="21">
        <v>0</v>
      </c>
      <c r="AD118" s="21">
        <v>0</v>
      </c>
      <c r="AE118" s="21">
        <v>0</v>
      </c>
      <c r="AF118" s="21">
        <v>0</v>
      </c>
      <c r="AG118" s="21">
        <v>0</v>
      </c>
      <c r="AH118" s="21">
        <v>0</v>
      </c>
      <c r="AI118" s="21">
        <v>0</v>
      </c>
      <c r="AJ118" s="21">
        <v>0</v>
      </c>
      <c r="AK118" s="21">
        <v>0</v>
      </c>
      <c r="AL118" s="21">
        <v>0</v>
      </c>
      <c r="AM118" s="21">
        <v>0</v>
      </c>
      <c r="AN118" s="21">
        <v>0</v>
      </c>
      <c r="AO118" s="21">
        <v>0</v>
      </c>
      <c r="AP118" s="21">
        <v>0</v>
      </c>
      <c r="AQ118" s="21">
        <v>0</v>
      </c>
      <c r="AR118" s="21">
        <v>0</v>
      </c>
      <c r="AS118" s="21">
        <v>0</v>
      </c>
      <c r="AT118" s="21">
        <v>0</v>
      </c>
      <c r="AU118" s="21">
        <v>0</v>
      </c>
      <c r="AV118" s="21">
        <v>0</v>
      </c>
      <c r="AW118" s="21">
        <v>0</v>
      </c>
      <c r="AX118" s="21">
        <v>0</v>
      </c>
      <c r="AY118" s="21">
        <v>0</v>
      </c>
      <c r="AZ118" s="21">
        <v>0</v>
      </c>
      <c r="BA118" s="21">
        <v>0</v>
      </c>
      <c r="BB118" s="21">
        <v>0</v>
      </c>
      <c r="BC118" s="21">
        <v>0</v>
      </c>
      <c r="BD118" s="21">
        <v>0</v>
      </c>
      <c r="BE118" s="21">
        <v>0</v>
      </c>
      <c r="BF118" s="21">
        <v>0</v>
      </c>
      <c r="BG118" s="21">
        <v>0</v>
      </c>
      <c r="BH118" s="21">
        <v>0</v>
      </c>
      <c r="BI118" s="21">
        <v>18</v>
      </c>
      <c r="BJ118" s="21">
        <v>28</v>
      </c>
      <c r="BK118" s="21">
        <v>4</v>
      </c>
      <c r="BL118" s="21">
        <v>0</v>
      </c>
      <c r="BM118" s="21">
        <v>0</v>
      </c>
      <c r="BN118" s="21">
        <v>0</v>
      </c>
      <c r="BO118" s="21">
        <v>0</v>
      </c>
      <c r="BP118" s="21">
        <v>0</v>
      </c>
      <c r="BQ118" s="21">
        <v>0</v>
      </c>
      <c r="BR118" s="21">
        <v>0</v>
      </c>
      <c r="BS118" s="21">
        <v>0</v>
      </c>
      <c r="BT118" s="21">
        <v>1</v>
      </c>
      <c r="BU118" s="21">
        <v>2</v>
      </c>
      <c r="BV118" s="21">
        <v>0</v>
      </c>
      <c r="BW118" s="21">
        <v>0</v>
      </c>
      <c r="BX118" s="21">
        <v>0</v>
      </c>
      <c r="BY118" s="21">
        <v>0</v>
      </c>
      <c r="BZ118" s="21">
        <v>0</v>
      </c>
      <c r="CA118" s="21">
        <v>0</v>
      </c>
      <c r="CB118" s="21">
        <v>0</v>
      </c>
      <c r="CC118" s="21">
        <v>0</v>
      </c>
      <c r="CD118" s="21">
        <v>0</v>
      </c>
      <c r="CE118" s="21">
        <v>0</v>
      </c>
      <c r="CF118" s="21">
        <v>0</v>
      </c>
      <c r="CG118" s="21">
        <v>0</v>
      </c>
      <c r="CH118" s="21">
        <v>0</v>
      </c>
      <c r="CI118" s="21">
        <v>0</v>
      </c>
      <c r="CJ118" s="21">
        <v>0</v>
      </c>
      <c r="CK118" s="21">
        <v>2</v>
      </c>
      <c r="CL118" s="21">
        <v>0</v>
      </c>
      <c r="CM118" s="21">
        <v>0</v>
      </c>
      <c r="CN118" s="21">
        <v>1</v>
      </c>
      <c r="CO118" s="21">
        <v>1</v>
      </c>
      <c r="CP118" s="21">
        <v>0</v>
      </c>
      <c r="CQ118" s="21">
        <v>0</v>
      </c>
      <c r="CR118" s="21">
        <v>0</v>
      </c>
      <c r="CS118" s="21">
        <v>1</v>
      </c>
      <c r="CT118" s="21">
        <v>0</v>
      </c>
      <c r="CU118" s="21">
        <v>0</v>
      </c>
      <c r="CV118" s="21">
        <v>0</v>
      </c>
      <c r="CW118" s="21">
        <v>0</v>
      </c>
      <c r="CX118" s="21">
        <v>0</v>
      </c>
      <c r="CY118" s="21">
        <v>0</v>
      </c>
      <c r="CZ118" s="21">
        <v>0</v>
      </c>
      <c r="DA118" s="21">
        <v>1</v>
      </c>
      <c r="DB118" s="21">
        <v>0</v>
      </c>
      <c r="DC118" s="21">
        <v>0</v>
      </c>
      <c r="DD118" s="21">
        <v>0</v>
      </c>
      <c r="DE118" s="72"/>
      <c r="DG118" s="76"/>
      <c r="DI118" s="76"/>
    </row>
    <row r="119" spans="1:113" ht="32.1">
      <c r="A119" s="23" t="s">
        <v>406</v>
      </c>
      <c r="B119" s="19" t="s">
        <v>407</v>
      </c>
      <c r="C119" s="19" t="s">
        <v>408</v>
      </c>
      <c r="D119" s="20">
        <f t="shared" si="1"/>
        <v>0</v>
      </c>
      <c r="E119" s="22">
        <v>0</v>
      </c>
      <c r="F119" s="22">
        <v>0</v>
      </c>
      <c r="G119" s="22">
        <v>0</v>
      </c>
      <c r="H119" s="22">
        <v>0</v>
      </c>
      <c r="I119" s="22">
        <v>0</v>
      </c>
      <c r="J119" s="22">
        <v>0</v>
      </c>
      <c r="K119" s="22">
        <v>0</v>
      </c>
      <c r="L119" s="21">
        <v>0</v>
      </c>
      <c r="M119" s="22">
        <v>0</v>
      </c>
      <c r="N119" s="22">
        <v>0</v>
      </c>
      <c r="O119" s="22">
        <v>0</v>
      </c>
      <c r="P119" s="22">
        <v>0</v>
      </c>
      <c r="Q119" s="22">
        <v>0</v>
      </c>
      <c r="R119" s="22">
        <v>0</v>
      </c>
      <c r="S119" s="22">
        <v>0</v>
      </c>
      <c r="T119" s="22">
        <v>0</v>
      </c>
      <c r="U119" s="22">
        <v>0</v>
      </c>
      <c r="V119" s="22">
        <v>0</v>
      </c>
      <c r="W119" s="22">
        <v>0</v>
      </c>
      <c r="X119" s="22">
        <v>0</v>
      </c>
      <c r="Y119" s="22">
        <v>0</v>
      </c>
      <c r="Z119" s="22">
        <v>0</v>
      </c>
      <c r="AA119" s="22">
        <v>0</v>
      </c>
      <c r="AB119" s="22">
        <v>0</v>
      </c>
      <c r="AC119" s="22">
        <v>0</v>
      </c>
      <c r="AD119" s="22">
        <v>0</v>
      </c>
      <c r="AE119" s="22">
        <v>0</v>
      </c>
      <c r="AF119" s="22">
        <v>0</v>
      </c>
      <c r="AG119" s="22">
        <v>0</v>
      </c>
      <c r="AH119" s="22">
        <v>0</v>
      </c>
      <c r="AI119" s="22">
        <v>0</v>
      </c>
      <c r="AJ119" s="22">
        <v>0</v>
      </c>
      <c r="AK119" s="22">
        <v>0</v>
      </c>
      <c r="AL119" s="22">
        <v>0</v>
      </c>
      <c r="AM119" s="22">
        <v>0</v>
      </c>
      <c r="AN119" s="22">
        <v>0</v>
      </c>
      <c r="AO119" s="22">
        <v>0</v>
      </c>
      <c r="AP119" s="22">
        <v>0</v>
      </c>
      <c r="AQ119" s="22">
        <v>0</v>
      </c>
      <c r="AR119" s="22">
        <v>0</v>
      </c>
      <c r="AS119" s="22">
        <v>0</v>
      </c>
      <c r="AT119" s="22">
        <v>0</v>
      </c>
      <c r="AU119" s="22">
        <v>0</v>
      </c>
      <c r="AV119" s="22">
        <v>0</v>
      </c>
      <c r="AW119" s="22">
        <v>0</v>
      </c>
      <c r="AX119" s="22">
        <v>0</v>
      </c>
      <c r="AY119" s="22">
        <v>0</v>
      </c>
      <c r="AZ119" s="22">
        <v>0</v>
      </c>
      <c r="BA119" s="22">
        <v>0</v>
      </c>
      <c r="BB119" s="22">
        <v>0</v>
      </c>
      <c r="BC119" s="22">
        <v>0</v>
      </c>
      <c r="BD119" s="22">
        <v>0</v>
      </c>
      <c r="BE119" s="22">
        <v>0</v>
      </c>
      <c r="BF119" s="22">
        <v>0</v>
      </c>
      <c r="BG119" s="22">
        <v>0</v>
      </c>
      <c r="BH119" s="22">
        <v>0</v>
      </c>
      <c r="BI119" s="21">
        <v>0</v>
      </c>
      <c r="BJ119" s="21">
        <v>0</v>
      </c>
      <c r="BK119" s="21">
        <v>0</v>
      </c>
      <c r="BL119" s="21">
        <v>0</v>
      </c>
      <c r="BM119" s="21">
        <v>0</v>
      </c>
      <c r="BN119" s="21">
        <v>0</v>
      </c>
      <c r="BO119" s="21">
        <v>0</v>
      </c>
      <c r="BP119" s="21">
        <v>0</v>
      </c>
      <c r="BQ119" s="21">
        <v>0</v>
      </c>
      <c r="BR119" s="21">
        <v>0</v>
      </c>
      <c r="BS119" s="21">
        <v>0</v>
      </c>
      <c r="BT119" s="21">
        <v>0</v>
      </c>
      <c r="BU119" s="21">
        <v>0</v>
      </c>
      <c r="BV119" s="21">
        <v>0</v>
      </c>
      <c r="BW119" s="21">
        <v>0</v>
      </c>
      <c r="BX119" s="21">
        <v>0</v>
      </c>
      <c r="BY119" s="21">
        <v>0</v>
      </c>
      <c r="BZ119" s="21">
        <v>0</v>
      </c>
      <c r="CA119" s="21">
        <v>0</v>
      </c>
      <c r="CB119" s="21">
        <v>0</v>
      </c>
      <c r="CC119" s="21">
        <v>0</v>
      </c>
      <c r="CD119" s="21">
        <v>0</v>
      </c>
      <c r="CE119" s="21">
        <v>0</v>
      </c>
      <c r="CF119" s="21">
        <v>0</v>
      </c>
      <c r="CG119" s="21">
        <v>0</v>
      </c>
      <c r="CH119" s="21">
        <v>0</v>
      </c>
      <c r="CI119" s="21">
        <v>0</v>
      </c>
      <c r="CJ119" s="21">
        <v>0</v>
      </c>
      <c r="CK119" s="21">
        <v>0</v>
      </c>
      <c r="CL119" s="21">
        <v>0</v>
      </c>
      <c r="CM119" s="21">
        <v>0</v>
      </c>
      <c r="CN119" s="21">
        <v>0</v>
      </c>
      <c r="CO119" s="21">
        <v>0</v>
      </c>
      <c r="CP119" s="21">
        <v>0</v>
      </c>
      <c r="CQ119" s="21">
        <v>0</v>
      </c>
      <c r="CR119" s="21">
        <v>0</v>
      </c>
      <c r="CS119" s="21">
        <v>0</v>
      </c>
      <c r="CT119" s="21">
        <v>0</v>
      </c>
      <c r="CU119" s="21">
        <v>0</v>
      </c>
      <c r="CV119" s="21">
        <v>0</v>
      </c>
      <c r="CW119" s="21">
        <v>0</v>
      </c>
      <c r="CX119" s="21">
        <v>0</v>
      </c>
      <c r="CY119" s="21">
        <v>0</v>
      </c>
      <c r="CZ119" s="21">
        <v>0</v>
      </c>
      <c r="DA119" s="21">
        <v>0</v>
      </c>
      <c r="DB119" s="21">
        <v>0</v>
      </c>
      <c r="DC119" s="21">
        <v>0</v>
      </c>
      <c r="DD119" s="21">
        <v>0</v>
      </c>
      <c r="DE119" s="73"/>
      <c r="DG119" s="76"/>
      <c r="DI119" s="76"/>
    </row>
    <row r="120" spans="1:113">
      <c r="A120" s="23" t="s">
        <v>409</v>
      </c>
      <c r="B120" s="19" t="s">
        <v>410</v>
      </c>
      <c r="C120" s="19" t="s">
        <v>411</v>
      </c>
      <c r="D120" s="20">
        <f t="shared" si="1"/>
        <v>1</v>
      </c>
      <c r="E120" s="22">
        <v>0</v>
      </c>
      <c r="F120" s="22">
        <v>0</v>
      </c>
      <c r="G120" s="22">
        <v>0</v>
      </c>
      <c r="H120" s="22">
        <v>0</v>
      </c>
      <c r="I120" s="22">
        <v>0</v>
      </c>
      <c r="J120" s="22">
        <v>0</v>
      </c>
      <c r="K120" s="22">
        <v>0</v>
      </c>
      <c r="L120" s="21">
        <v>0</v>
      </c>
      <c r="M120" s="22">
        <v>0</v>
      </c>
      <c r="N120" s="22">
        <v>0</v>
      </c>
      <c r="O120" s="22">
        <v>0</v>
      </c>
      <c r="P120" s="22">
        <v>0</v>
      </c>
      <c r="Q120" s="22">
        <v>0</v>
      </c>
      <c r="R120" s="22">
        <v>0</v>
      </c>
      <c r="S120" s="22">
        <v>0</v>
      </c>
      <c r="T120" s="22">
        <v>0</v>
      </c>
      <c r="U120" s="22">
        <v>0</v>
      </c>
      <c r="V120" s="22">
        <v>0</v>
      </c>
      <c r="W120" s="22">
        <v>0</v>
      </c>
      <c r="X120" s="22">
        <v>0</v>
      </c>
      <c r="Y120" s="22">
        <v>0</v>
      </c>
      <c r="Z120" s="22">
        <v>0</v>
      </c>
      <c r="AA120" s="22">
        <v>0</v>
      </c>
      <c r="AB120" s="22">
        <v>0</v>
      </c>
      <c r="AC120" s="22">
        <v>0</v>
      </c>
      <c r="AD120" s="22">
        <v>0</v>
      </c>
      <c r="AE120" s="22">
        <v>0</v>
      </c>
      <c r="AF120" s="22">
        <v>0</v>
      </c>
      <c r="AG120" s="22">
        <v>0</v>
      </c>
      <c r="AH120" s="22">
        <v>0</v>
      </c>
      <c r="AI120" s="22">
        <v>0</v>
      </c>
      <c r="AJ120" s="22">
        <v>0</v>
      </c>
      <c r="AK120" s="22">
        <v>0</v>
      </c>
      <c r="AL120" s="22">
        <v>0</v>
      </c>
      <c r="AM120" s="22">
        <v>0</v>
      </c>
      <c r="AN120" s="22">
        <v>0</v>
      </c>
      <c r="AO120" s="22">
        <v>0</v>
      </c>
      <c r="AP120" s="22">
        <v>0</v>
      </c>
      <c r="AQ120" s="22">
        <v>0</v>
      </c>
      <c r="AR120" s="22">
        <v>0</v>
      </c>
      <c r="AS120" s="22">
        <v>0</v>
      </c>
      <c r="AT120" s="22">
        <v>0</v>
      </c>
      <c r="AU120" s="22">
        <v>0</v>
      </c>
      <c r="AV120" s="22">
        <v>0</v>
      </c>
      <c r="AW120" s="22">
        <v>0</v>
      </c>
      <c r="AX120" s="22">
        <v>0</v>
      </c>
      <c r="AY120" s="22">
        <v>0</v>
      </c>
      <c r="AZ120" s="22">
        <v>0</v>
      </c>
      <c r="BA120" s="22">
        <v>0</v>
      </c>
      <c r="BB120" s="22">
        <v>0</v>
      </c>
      <c r="BC120" s="22">
        <v>0</v>
      </c>
      <c r="BD120" s="22">
        <v>0</v>
      </c>
      <c r="BE120" s="22">
        <v>0</v>
      </c>
      <c r="BF120" s="22">
        <v>1</v>
      </c>
      <c r="BG120" s="22">
        <v>0</v>
      </c>
      <c r="BH120" s="22">
        <v>0</v>
      </c>
      <c r="BI120" s="21">
        <v>0</v>
      </c>
      <c r="BJ120" s="21">
        <v>0</v>
      </c>
      <c r="BK120" s="21">
        <v>0</v>
      </c>
      <c r="BL120" s="21">
        <v>0</v>
      </c>
      <c r="BM120" s="21">
        <v>0</v>
      </c>
      <c r="BN120" s="21">
        <v>0</v>
      </c>
      <c r="BO120" s="21">
        <v>0</v>
      </c>
      <c r="BP120" s="21">
        <v>0</v>
      </c>
      <c r="BQ120" s="21">
        <v>0</v>
      </c>
      <c r="BR120" s="21">
        <v>0</v>
      </c>
      <c r="BS120" s="21">
        <v>0</v>
      </c>
      <c r="BT120" s="21">
        <v>0</v>
      </c>
      <c r="BU120" s="21">
        <v>0</v>
      </c>
      <c r="BV120" s="21">
        <v>0</v>
      </c>
      <c r="BW120" s="21">
        <v>0</v>
      </c>
      <c r="BX120" s="21">
        <v>0</v>
      </c>
      <c r="BY120" s="21">
        <v>0</v>
      </c>
      <c r="BZ120" s="21">
        <v>0</v>
      </c>
      <c r="CA120" s="21">
        <v>0</v>
      </c>
      <c r="CB120" s="21">
        <v>0</v>
      </c>
      <c r="CC120" s="21">
        <v>0</v>
      </c>
      <c r="CD120" s="21">
        <v>0</v>
      </c>
      <c r="CE120" s="21">
        <v>0</v>
      </c>
      <c r="CF120" s="21">
        <v>0</v>
      </c>
      <c r="CG120" s="21">
        <v>0</v>
      </c>
      <c r="CH120" s="21">
        <v>0</v>
      </c>
      <c r="CI120" s="21">
        <v>0</v>
      </c>
      <c r="CJ120" s="21">
        <v>0</v>
      </c>
      <c r="CK120" s="21">
        <v>0</v>
      </c>
      <c r="CL120" s="21">
        <v>0</v>
      </c>
      <c r="CM120" s="21">
        <v>0</v>
      </c>
      <c r="CN120" s="21">
        <v>0</v>
      </c>
      <c r="CO120" s="21">
        <v>0</v>
      </c>
      <c r="CP120" s="21">
        <v>0</v>
      </c>
      <c r="CQ120" s="21">
        <v>0</v>
      </c>
      <c r="CR120" s="21">
        <v>0</v>
      </c>
      <c r="CS120" s="21">
        <v>0</v>
      </c>
      <c r="CT120" s="21">
        <v>0</v>
      </c>
      <c r="CU120" s="21">
        <v>0</v>
      </c>
      <c r="CV120" s="21">
        <v>0</v>
      </c>
      <c r="CW120" s="21">
        <v>0</v>
      </c>
      <c r="CX120" s="21">
        <v>0</v>
      </c>
      <c r="CY120" s="21">
        <v>0</v>
      </c>
      <c r="CZ120" s="21">
        <v>0</v>
      </c>
      <c r="DA120" s="21">
        <v>0</v>
      </c>
      <c r="DB120" s="21">
        <v>0</v>
      </c>
      <c r="DC120" s="21">
        <v>0</v>
      </c>
      <c r="DD120" s="21">
        <v>0</v>
      </c>
      <c r="DE120" s="73"/>
      <c r="DG120" s="76"/>
      <c r="DI120" s="76"/>
    </row>
    <row r="121" spans="1:113">
      <c r="A121" s="23" t="s">
        <v>412</v>
      </c>
      <c r="B121" s="19" t="s">
        <v>413</v>
      </c>
      <c r="C121" s="19" t="s">
        <v>392</v>
      </c>
      <c r="D121" s="20">
        <f t="shared" si="1"/>
        <v>0</v>
      </c>
      <c r="E121" s="21">
        <v>0</v>
      </c>
      <c r="F121" s="21">
        <v>0</v>
      </c>
      <c r="G121" s="21">
        <v>0</v>
      </c>
      <c r="H121" s="21">
        <v>0</v>
      </c>
      <c r="I121" s="21">
        <v>0</v>
      </c>
      <c r="J121" s="21">
        <v>0</v>
      </c>
      <c r="K121" s="21">
        <v>0</v>
      </c>
      <c r="L121" s="21">
        <v>0</v>
      </c>
      <c r="M121" s="21">
        <v>0</v>
      </c>
      <c r="N121" s="21">
        <v>0</v>
      </c>
      <c r="O121" s="21">
        <v>0</v>
      </c>
      <c r="P121" s="21">
        <v>0</v>
      </c>
      <c r="Q121" s="21">
        <v>0</v>
      </c>
      <c r="R121" s="21">
        <v>0</v>
      </c>
      <c r="S121" s="21">
        <v>0</v>
      </c>
      <c r="T121" s="21">
        <v>0</v>
      </c>
      <c r="U121" s="21">
        <v>0</v>
      </c>
      <c r="V121" s="21">
        <v>0</v>
      </c>
      <c r="W121" s="21">
        <v>0</v>
      </c>
      <c r="X121" s="21">
        <v>0</v>
      </c>
      <c r="Y121" s="21">
        <v>0</v>
      </c>
      <c r="Z121" s="21">
        <v>0</v>
      </c>
      <c r="AA121" s="21">
        <v>0</v>
      </c>
      <c r="AB121" s="21">
        <v>0</v>
      </c>
      <c r="AC121" s="21">
        <v>0</v>
      </c>
      <c r="AD121" s="21">
        <v>0</v>
      </c>
      <c r="AE121" s="21">
        <v>0</v>
      </c>
      <c r="AF121" s="21">
        <v>0</v>
      </c>
      <c r="AG121" s="21">
        <v>0</v>
      </c>
      <c r="AH121" s="21">
        <v>0</v>
      </c>
      <c r="AI121" s="21">
        <v>0</v>
      </c>
      <c r="AJ121" s="21">
        <v>0</v>
      </c>
      <c r="AK121" s="21">
        <v>0</v>
      </c>
      <c r="AL121" s="21">
        <v>0</v>
      </c>
      <c r="AM121" s="21">
        <v>0</v>
      </c>
      <c r="AN121" s="21">
        <v>0</v>
      </c>
      <c r="AO121" s="21">
        <v>0</v>
      </c>
      <c r="AP121" s="21">
        <v>0</v>
      </c>
      <c r="AQ121" s="21">
        <v>0</v>
      </c>
      <c r="AR121" s="21">
        <v>0</v>
      </c>
      <c r="AS121" s="21">
        <v>0</v>
      </c>
      <c r="AT121" s="21">
        <v>0</v>
      </c>
      <c r="AU121" s="21">
        <v>0</v>
      </c>
      <c r="AV121" s="21">
        <v>0</v>
      </c>
      <c r="AW121" s="21">
        <v>0</v>
      </c>
      <c r="AX121" s="21">
        <v>0</v>
      </c>
      <c r="AY121" s="21">
        <v>0</v>
      </c>
      <c r="AZ121" s="21">
        <v>0</v>
      </c>
      <c r="BA121" s="21">
        <v>0</v>
      </c>
      <c r="BB121" s="21">
        <v>0</v>
      </c>
      <c r="BC121" s="21">
        <v>0</v>
      </c>
      <c r="BD121" s="21">
        <v>0</v>
      </c>
      <c r="BE121" s="21">
        <v>0</v>
      </c>
      <c r="BF121" s="21">
        <v>0</v>
      </c>
      <c r="BG121" s="21">
        <v>0</v>
      </c>
      <c r="BH121" s="21">
        <v>0</v>
      </c>
      <c r="BI121" s="21">
        <v>0</v>
      </c>
      <c r="BJ121" s="21">
        <v>0</v>
      </c>
      <c r="BK121" s="21">
        <v>0</v>
      </c>
      <c r="BL121" s="21">
        <v>0</v>
      </c>
      <c r="BM121" s="21">
        <v>0</v>
      </c>
      <c r="BN121" s="21">
        <v>0</v>
      </c>
      <c r="BO121" s="21">
        <v>0</v>
      </c>
      <c r="BP121" s="21">
        <v>0</v>
      </c>
      <c r="BQ121" s="21">
        <v>0</v>
      </c>
      <c r="BR121" s="21">
        <v>0</v>
      </c>
      <c r="BS121" s="21">
        <v>0</v>
      </c>
      <c r="BT121" s="21">
        <v>0</v>
      </c>
      <c r="BU121" s="21">
        <v>0</v>
      </c>
      <c r="BV121" s="21">
        <v>0</v>
      </c>
      <c r="BW121" s="21">
        <v>0</v>
      </c>
      <c r="BX121" s="21">
        <v>0</v>
      </c>
      <c r="BY121" s="21">
        <v>0</v>
      </c>
      <c r="BZ121" s="21">
        <v>0</v>
      </c>
      <c r="CA121" s="21">
        <v>0</v>
      </c>
      <c r="CB121" s="21">
        <v>0</v>
      </c>
      <c r="CC121" s="21">
        <v>0</v>
      </c>
      <c r="CD121" s="21">
        <v>0</v>
      </c>
      <c r="CE121" s="21">
        <v>0</v>
      </c>
      <c r="CF121" s="21">
        <v>0</v>
      </c>
      <c r="CG121" s="21">
        <v>0</v>
      </c>
      <c r="CH121" s="21">
        <v>0</v>
      </c>
      <c r="CI121" s="21">
        <v>0</v>
      </c>
      <c r="CJ121" s="21">
        <v>0</v>
      </c>
      <c r="CK121" s="21">
        <v>0</v>
      </c>
      <c r="CL121" s="21">
        <v>0</v>
      </c>
      <c r="CM121" s="21">
        <v>0</v>
      </c>
      <c r="CN121" s="21">
        <v>0</v>
      </c>
      <c r="CO121" s="21">
        <v>0</v>
      </c>
      <c r="CP121" s="21">
        <v>0</v>
      </c>
      <c r="CQ121" s="21">
        <v>0</v>
      </c>
      <c r="CR121" s="21">
        <v>0</v>
      </c>
      <c r="CS121" s="21">
        <v>0</v>
      </c>
      <c r="CT121" s="21">
        <v>0</v>
      </c>
      <c r="CU121" s="21">
        <v>0</v>
      </c>
      <c r="CV121" s="21">
        <v>0</v>
      </c>
      <c r="CW121" s="21">
        <v>0</v>
      </c>
      <c r="CX121" s="21">
        <v>0</v>
      </c>
      <c r="CY121" s="21">
        <v>0</v>
      </c>
      <c r="CZ121" s="21">
        <v>0</v>
      </c>
      <c r="DA121" s="21">
        <v>0</v>
      </c>
      <c r="DB121" s="21">
        <v>0</v>
      </c>
      <c r="DC121" s="21">
        <v>0</v>
      </c>
      <c r="DD121" s="21">
        <v>0</v>
      </c>
      <c r="DE121" s="73"/>
      <c r="DG121" s="76"/>
      <c r="DI121" s="76"/>
    </row>
    <row r="122" spans="1:113">
      <c r="A122" s="23" t="s">
        <v>414</v>
      </c>
      <c r="B122" s="19" t="s">
        <v>415</v>
      </c>
      <c r="C122" s="19" t="s">
        <v>392</v>
      </c>
      <c r="D122" s="20">
        <f t="shared" si="1"/>
        <v>0</v>
      </c>
      <c r="E122" s="22">
        <v>0</v>
      </c>
      <c r="F122" s="22">
        <v>0</v>
      </c>
      <c r="G122" s="22">
        <v>0</v>
      </c>
      <c r="H122" s="22">
        <v>0</v>
      </c>
      <c r="I122" s="22">
        <v>0</v>
      </c>
      <c r="J122" s="22">
        <v>0</v>
      </c>
      <c r="K122" s="22">
        <v>0</v>
      </c>
      <c r="L122" s="21">
        <v>0</v>
      </c>
      <c r="M122" s="22">
        <v>0</v>
      </c>
      <c r="N122" s="22">
        <v>0</v>
      </c>
      <c r="O122" s="22">
        <v>0</v>
      </c>
      <c r="P122" s="22">
        <v>0</v>
      </c>
      <c r="Q122" s="22">
        <v>0</v>
      </c>
      <c r="R122" s="22">
        <v>0</v>
      </c>
      <c r="S122" s="22">
        <v>0</v>
      </c>
      <c r="T122" s="22">
        <v>0</v>
      </c>
      <c r="U122" s="22">
        <v>0</v>
      </c>
      <c r="V122" s="22">
        <v>0</v>
      </c>
      <c r="W122" s="22">
        <v>0</v>
      </c>
      <c r="X122" s="22">
        <v>0</v>
      </c>
      <c r="Y122" s="22">
        <v>0</v>
      </c>
      <c r="Z122" s="22">
        <v>0</v>
      </c>
      <c r="AA122" s="22">
        <v>0</v>
      </c>
      <c r="AB122" s="22">
        <v>0</v>
      </c>
      <c r="AC122" s="22">
        <v>0</v>
      </c>
      <c r="AD122" s="22">
        <v>0</v>
      </c>
      <c r="AE122" s="22">
        <v>0</v>
      </c>
      <c r="AF122" s="22">
        <v>0</v>
      </c>
      <c r="AG122" s="22">
        <v>0</v>
      </c>
      <c r="AH122" s="22">
        <v>0</v>
      </c>
      <c r="AI122" s="22">
        <v>0</v>
      </c>
      <c r="AJ122" s="22">
        <v>0</v>
      </c>
      <c r="AK122" s="22">
        <v>0</v>
      </c>
      <c r="AL122" s="22">
        <v>0</v>
      </c>
      <c r="AM122" s="22">
        <v>0</v>
      </c>
      <c r="AN122" s="22">
        <v>0</v>
      </c>
      <c r="AO122" s="22">
        <v>0</v>
      </c>
      <c r="AP122" s="22">
        <v>0</v>
      </c>
      <c r="AQ122" s="22">
        <v>0</v>
      </c>
      <c r="AR122" s="22">
        <v>0</v>
      </c>
      <c r="AS122" s="22">
        <v>0</v>
      </c>
      <c r="AT122" s="22">
        <v>0</v>
      </c>
      <c r="AU122" s="22">
        <v>0</v>
      </c>
      <c r="AV122" s="22">
        <v>0</v>
      </c>
      <c r="AW122" s="22">
        <v>0</v>
      </c>
      <c r="AX122" s="22">
        <v>0</v>
      </c>
      <c r="AY122" s="22">
        <v>0</v>
      </c>
      <c r="AZ122" s="22">
        <v>0</v>
      </c>
      <c r="BA122" s="22">
        <v>0</v>
      </c>
      <c r="BB122" s="22">
        <v>0</v>
      </c>
      <c r="BC122" s="22">
        <v>0</v>
      </c>
      <c r="BD122" s="22">
        <v>0</v>
      </c>
      <c r="BE122" s="22">
        <v>0</v>
      </c>
      <c r="BF122" s="22">
        <v>0</v>
      </c>
      <c r="BG122" s="22">
        <v>0</v>
      </c>
      <c r="BH122" s="22">
        <v>0</v>
      </c>
      <c r="BI122" s="21">
        <v>0</v>
      </c>
      <c r="BJ122" s="21">
        <v>0</v>
      </c>
      <c r="BK122" s="21">
        <v>0</v>
      </c>
      <c r="BL122" s="21">
        <v>0</v>
      </c>
      <c r="BM122" s="21">
        <v>0</v>
      </c>
      <c r="BN122" s="21">
        <v>0</v>
      </c>
      <c r="BO122" s="21">
        <v>0</v>
      </c>
      <c r="BP122" s="21">
        <v>0</v>
      </c>
      <c r="BQ122" s="21">
        <v>0</v>
      </c>
      <c r="BR122" s="21">
        <v>0</v>
      </c>
      <c r="BS122" s="21">
        <v>0</v>
      </c>
      <c r="BT122" s="21">
        <v>0</v>
      </c>
      <c r="BU122" s="21">
        <v>0</v>
      </c>
      <c r="BV122" s="21">
        <v>0</v>
      </c>
      <c r="BW122" s="21">
        <v>0</v>
      </c>
      <c r="BX122" s="21">
        <v>0</v>
      </c>
      <c r="BY122" s="21">
        <v>0</v>
      </c>
      <c r="BZ122" s="21">
        <v>0</v>
      </c>
      <c r="CA122" s="21">
        <v>0</v>
      </c>
      <c r="CB122" s="21">
        <v>0</v>
      </c>
      <c r="CC122" s="21">
        <v>0</v>
      </c>
      <c r="CD122" s="21">
        <v>0</v>
      </c>
      <c r="CE122" s="21">
        <v>0</v>
      </c>
      <c r="CF122" s="21">
        <v>0</v>
      </c>
      <c r="CG122" s="21">
        <v>0</v>
      </c>
      <c r="CH122" s="21">
        <v>0</v>
      </c>
      <c r="CI122" s="21">
        <v>0</v>
      </c>
      <c r="CJ122" s="21">
        <v>0</v>
      </c>
      <c r="CK122" s="21">
        <v>0</v>
      </c>
      <c r="CL122" s="21">
        <v>0</v>
      </c>
      <c r="CM122" s="21">
        <v>0</v>
      </c>
      <c r="CN122" s="21">
        <v>0</v>
      </c>
      <c r="CO122" s="21">
        <v>0</v>
      </c>
      <c r="CP122" s="21">
        <v>0</v>
      </c>
      <c r="CQ122" s="21">
        <v>0</v>
      </c>
      <c r="CR122" s="21">
        <v>0</v>
      </c>
      <c r="CS122" s="21">
        <v>0</v>
      </c>
      <c r="CT122" s="21">
        <v>0</v>
      </c>
      <c r="CU122" s="21">
        <v>0</v>
      </c>
      <c r="CV122" s="21">
        <v>0</v>
      </c>
      <c r="CW122" s="21">
        <v>0</v>
      </c>
      <c r="CX122" s="21">
        <v>0</v>
      </c>
      <c r="CY122" s="21">
        <v>0</v>
      </c>
      <c r="CZ122" s="21">
        <v>0</v>
      </c>
      <c r="DA122" s="21">
        <v>0</v>
      </c>
      <c r="DB122" s="21">
        <v>0</v>
      </c>
      <c r="DC122" s="21">
        <v>0</v>
      </c>
      <c r="DD122" s="21">
        <v>0</v>
      </c>
      <c r="DE122" s="73"/>
      <c r="DG122" s="76"/>
      <c r="DI122" s="76"/>
    </row>
    <row r="123" spans="1:113">
      <c r="A123" s="23" t="s">
        <v>416</v>
      </c>
      <c r="B123" s="19" t="s">
        <v>417</v>
      </c>
      <c r="C123" s="19" t="s">
        <v>392</v>
      </c>
      <c r="D123" s="20">
        <f t="shared" si="1"/>
        <v>0</v>
      </c>
      <c r="E123" s="22">
        <v>0</v>
      </c>
      <c r="F123" s="22">
        <v>0</v>
      </c>
      <c r="G123" s="22">
        <v>0</v>
      </c>
      <c r="H123" s="22">
        <v>0</v>
      </c>
      <c r="I123" s="22">
        <v>0</v>
      </c>
      <c r="J123" s="22">
        <v>0</v>
      </c>
      <c r="K123" s="22">
        <v>0</v>
      </c>
      <c r="L123" s="21">
        <v>0</v>
      </c>
      <c r="M123" s="22">
        <v>0</v>
      </c>
      <c r="N123" s="22">
        <v>0</v>
      </c>
      <c r="O123" s="22">
        <v>0</v>
      </c>
      <c r="P123" s="22">
        <v>0</v>
      </c>
      <c r="Q123" s="22">
        <v>0</v>
      </c>
      <c r="R123" s="22">
        <v>0</v>
      </c>
      <c r="S123" s="22">
        <v>0</v>
      </c>
      <c r="T123" s="22">
        <v>0</v>
      </c>
      <c r="U123" s="22">
        <v>0</v>
      </c>
      <c r="V123" s="22">
        <v>0</v>
      </c>
      <c r="W123" s="22">
        <v>0</v>
      </c>
      <c r="X123" s="22">
        <v>0</v>
      </c>
      <c r="Y123" s="22">
        <v>0</v>
      </c>
      <c r="Z123" s="22">
        <v>0</v>
      </c>
      <c r="AA123" s="22">
        <v>0</v>
      </c>
      <c r="AB123" s="22">
        <v>0</v>
      </c>
      <c r="AC123" s="22">
        <v>0</v>
      </c>
      <c r="AD123" s="22">
        <v>0</v>
      </c>
      <c r="AE123" s="22">
        <v>0</v>
      </c>
      <c r="AF123" s="22">
        <v>0</v>
      </c>
      <c r="AG123" s="22">
        <v>0</v>
      </c>
      <c r="AH123" s="22">
        <v>0</v>
      </c>
      <c r="AI123" s="22">
        <v>0</v>
      </c>
      <c r="AJ123" s="22">
        <v>0</v>
      </c>
      <c r="AK123" s="22">
        <v>0</v>
      </c>
      <c r="AL123" s="22">
        <v>0</v>
      </c>
      <c r="AM123" s="22">
        <v>0</v>
      </c>
      <c r="AN123" s="22">
        <v>0</v>
      </c>
      <c r="AO123" s="22">
        <v>0</v>
      </c>
      <c r="AP123" s="22">
        <v>0</v>
      </c>
      <c r="AQ123" s="22">
        <v>0</v>
      </c>
      <c r="AR123" s="22">
        <v>0</v>
      </c>
      <c r="AS123" s="22">
        <v>0</v>
      </c>
      <c r="AT123" s="22">
        <v>0</v>
      </c>
      <c r="AU123" s="22">
        <v>0</v>
      </c>
      <c r="AV123" s="22">
        <v>0</v>
      </c>
      <c r="AW123" s="22">
        <v>0</v>
      </c>
      <c r="AX123" s="22">
        <v>0</v>
      </c>
      <c r="AY123" s="22">
        <v>0</v>
      </c>
      <c r="AZ123" s="22">
        <v>0</v>
      </c>
      <c r="BA123" s="22">
        <v>0</v>
      </c>
      <c r="BB123" s="22">
        <v>0</v>
      </c>
      <c r="BC123" s="22">
        <v>0</v>
      </c>
      <c r="BD123" s="22">
        <v>0</v>
      </c>
      <c r="BE123" s="22">
        <v>0</v>
      </c>
      <c r="BF123" s="22">
        <v>0</v>
      </c>
      <c r="BG123" s="22">
        <v>0</v>
      </c>
      <c r="BH123" s="22">
        <v>0</v>
      </c>
      <c r="BI123" s="21">
        <v>0</v>
      </c>
      <c r="BJ123" s="21">
        <v>0</v>
      </c>
      <c r="BK123" s="21">
        <v>0</v>
      </c>
      <c r="BL123" s="21">
        <v>0</v>
      </c>
      <c r="BM123" s="21">
        <v>0</v>
      </c>
      <c r="BN123" s="21">
        <v>0</v>
      </c>
      <c r="BO123" s="21">
        <v>0</v>
      </c>
      <c r="BP123" s="21">
        <v>0</v>
      </c>
      <c r="BQ123" s="21">
        <v>0</v>
      </c>
      <c r="BR123" s="21">
        <v>0</v>
      </c>
      <c r="BS123" s="21">
        <v>0</v>
      </c>
      <c r="BT123" s="21">
        <v>0</v>
      </c>
      <c r="BU123" s="21">
        <v>0</v>
      </c>
      <c r="BV123" s="21">
        <v>0</v>
      </c>
      <c r="BW123" s="21">
        <v>0</v>
      </c>
      <c r="BX123" s="21">
        <v>0</v>
      </c>
      <c r="BY123" s="21">
        <v>0</v>
      </c>
      <c r="BZ123" s="21">
        <v>0</v>
      </c>
      <c r="CA123" s="21">
        <v>0</v>
      </c>
      <c r="CB123" s="21">
        <v>0</v>
      </c>
      <c r="CC123" s="21">
        <v>0</v>
      </c>
      <c r="CD123" s="21">
        <v>0</v>
      </c>
      <c r="CE123" s="21">
        <v>0</v>
      </c>
      <c r="CF123" s="21">
        <v>0</v>
      </c>
      <c r="CG123" s="21">
        <v>0</v>
      </c>
      <c r="CH123" s="21">
        <v>0</v>
      </c>
      <c r="CI123" s="21">
        <v>0</v>
      </c>
      <c r="CJ123" s="21">
        <v>0</v>
      </c>
      <c r="CK123" s="21">
        <v>0</v>
      </c>
      <c r="CL123" s="21">
        <v>0</v>
      </c>
      <c r="CM123" s="21">
        <v>0</v>
      </c>
      <c r="CN123" s="21">
        <v>0</v>
      </c>
      <c r="CO123" s="21">
        <v>0</v>
      </c>
      <c r="CP123" s="21">
        <v>0</v>
      </c>
      <c r="CQ123" s="21">
        <v>0</v>
      </c>
      <c r="CR123" s="21">
        <v>0</v>
      </c>
      <c r="CS123" s="21">
        <v>0</v>
      </c>
      <c r="CT123" s="21">
        <v>0</v>
      </c>
      <c r="CU123" s="21">
        <v>0</v>
      </c>
      <c r="CV123" s="21">
        <v>0</v>
      </c>
      <c r="CW123" s="21">
        <v>0</v>
      </c>
      <c r="CX123" s="21">
        <v>0</v>
      </c>
      <c r="CY123" s="21">
        <v>0</v>
      </c>
      <c r="CZ123" s="21">
        <v>0</v>
      </c>
      <c r="DA123" s="21">
        <v>0</v>
      </c>
      <c r="DB123" s="21">
        <v>0</v>
      </c>
      <c r="DC123" s="21">
        <v>0</v>
      </c>
      <c r="DD123" s="21">
        <v>0</v>
      </c>
      <c r="DE123" s="73"/>
      <c r="DG123" s="76"/>
      <c r="DI123" s="76"/>
    </row>
    <row r="124" spans="1:113">
      <c r="A124" s="23" t="s">
        <v>418</v>
      </c>
      <c r="B124" s="19" t="s">
        <v>419</v>
      </c>
      <c r="C124" s="19" t="s">
        <v>392</v>
      </c>
      <c r="D124" s="20">
        <f t="shared" si="1"/>
        <v>0</v>
      </c>
      <c r="E124" s="22">
        <v>0</v>
      </c>
      <c r="F124" s="22">
        <v>0</v>
      </c>
      <c r="G124" s="22">
        <v>0</v>
      </c>
      <c r="H124" s="22">
        <v>0</v>
      </c>
      <c r="I124" s="22">
        <v>0</v>
      </c>
      <c r="J124" s="22">
        <v>0</v>
      </c>
      <c r="K124" s="22">
        <v>0</v>
      </c>
      <c r="L124" s="21">
        <v>0</v>
      </c>
      <c r="M124" s="22">
        <v>0</v>
      </c>
      <c r="N124" s="22">
        <v>0</v>
      </c>
      <c r="O124" s="22">
        <v>0</v>
      </c>
      <c r="P124" s="22">
        <v>0</v>
      </c>
      <c r="Q124" s="22">
        <v>0</v>
      </c>
      <c r="R124" s="22">
        <v>0</v>
      </c>
      <c r="S124" s="22">
        <v>0</v>
      </c>
      <c r="T124" s="22">
        <v>0</v>
      </c>
      <c r="U124" s="22">
        <v>0</v>
      </c>
      <c r="V124" s="22">
        <v>0</v>
      </c>
      <c r="W124" s="22">
        <v>0</v>
      </c>
      <c r="X124" s="22">
        <v>0</v>
      </c>
      <c r="Y124" s="22">
        <v>0</v>
      </c>
      <c r="Z124" s="22">
        <v>0</v>
      </c>
      <c r="AA124" s="22">
        <v>0</v>
      </c>
      <c r="AB124" s="22">
        <v>0</v>
      </c>
      <c r="AC124" s="22">
        <v>0</v>
      </c>
      <c r="AD124" s="22">
        <v>0</v>
      </c>
      <c r="AE124" s="22">
        <v>0</v>
      </c>
      <c r="AF124" s="22">
        <v>0</v>
      </c>
      <c r="AG124" s="22">
        <v>0</v>
      </c>
      <c r="AH124" s="22">
        <v>0</v>
      </c>
      <c r="AI124" s="22">
        <v>0</v>
      </c>
      <c r="AJ124" s="22">
        <v>0</v>
      </c>
      <c r="AK124" s="22">
        <v>0</v>
      </c>
      <c r="AL124" s="22">
        <v>0</v>
      </c>
      <c r="AM124" s="22">
        <v>0</v>
      </c>
      <c r="AN124" s="22">
        <v>0</v>
      </c>
      <c r="AO124" s="22">
        <v>0</v>
      </c>
      <c r="AP124" s="22">
        <v>0</v>
      </c>
      <c r="AQ124" s="22">
        <v>0</v>
      </c>
      <c r="AR124" s="22">
        <v>0</v>
      </c>
      <c r="AS124" s="22">
        <v>0</v>
      </c>
      <c r="AT124" s="22">
        <v>0</v>
      </c>
      <c r="AU124" s="22">
        <v>0</v>
      </c>
      <c r="AV124" s="22">
        <v>0</v>
      </c>
      <c r="AW124" s="22">
        <v>0</v>
      </c>
      <c r="AX124" s="22">
        <v>0</v>
      </c>
      <c r="AY124" s="22">
        <v>0</v>
      </c>
      <c r="AZ124" s="22">
        <v>0</v>
      </c>
      <c r="BA124" s="22">
        <v>0</v>
      </c>
      <c r="BB124" s="22">
        <v>0</v>
      </c>
      <c r="BC124" s="22">
        <v>0</v>
      </c>
      <c r="BD124" s="22">
        <v>0</v>
      </c>
      <c r="BE124" s="22">
        <v>0</v>
      </c>
      <c r="BF124" s="22">
        <v>0</v>
      </c>
      <c r="BG124" s="22">
        <v>0</v>
      </c>
      <c r="BH124" s="22">
        <v>0</v>
      </c>
      <c r="BI124" s="21">
        <v>0</v>
      </c>
      <c r="BJ124" s="21">
        <v>0</v>
      </c>
      <c r="BK124" s="21">
        <v>0</v>
      </c>
      <c r="BL124" s="21">
        <v>0</v>
      </c>
      <c r="BM124" s="21">
        <v>0</v>
      </c>
      <c r="BN124" s="21">
        <v>0</v>
      </c>
      <c r="BO124" s="21">
        <v>0</v>
      </c>
      <c r="BP124" s="21">
        <v>0</v>
      </c>
      <c r="BQ124" s="21">
        <v>0</v>
      </c>
      <c r="BR124" s="21">
        <v>0</v>
      </c>
      <c r="BS124" s="21">
        <v>0</v>
      </c>
      <c r="BT124" s="21">
        <v>0</v>
      </c>
      <c r="BU124" s="21">
        <v>0</v>
      </c>
      <c r="BV124" s="21">
        <v>0</v>
      </c>
      <c r="BW124" s="21">
        <v>0</v>
      </c>
      <c r="BX124" s="21">
        <v>0</v>
      </c>
      <c r="BY124" s="21">
        <v>0</v>
      </c>
      <c r="BZ124" s="21">
        <v>0</v>
      </c>
      <c r="CA124" s="21">
        <v>0</v>
      </c>
      <c r="CB124" s="21">
        <v>0</v>
      </c>
      <c r="CC124" s="21">
        <v>0</v>
      </c>
      <c r="CD124" s="21">
        <v>0</v>
      </c>
      <c r="CE124" s="21">
        <v>0</v>
      </c>
      <c r="CF124" s="21">
        <v>0</v>
      </c>
      <c r="CG124" s="21">
        <v>0</v>
      </c>
      <c r="CH124" s="21">
        <v>0</v>
      </c>
      <c r="CI124" s="21">
        <v>0</v>
      </c>
      <c r="CJ124" s="21">
        <v>0</v>
      </c>
      <c r="CK124" s="21">
        <v>0</v>
      </c>
      <c r="CL124" s="21">
        <v>0</v>
      </c>
      <c r="CM124" s="21">
        <v>0</v>
      </c>
      <c r="CN124" s="21">
        <v>0</v>
      </c>
      <c r="CO124" s="21">
        <v>0</v>
      </c>
      <c r="CP124" s="21">
        <v>0</v>
      </c>
      <c r="CQ124" s="21">
        <v>0</v>
      </c>
      <c r="CR124" s="21">
        <v>0</v>
      </c>
      <c r="CS124" s="21">
        <v>0</v>
      </c>
      <c r="CT124" s="21">
        <v>0</v>
      </c>
      <c r="CU124" s="21">
        <v>0</v>
      </c>
      <c r="CV124" s="21">
        <v>0</v>
      </c>
      <c r="CW124" s="21">
        <v>0</v>
      </c>
      <c r="CX124" s="21">
        <v>0</v>
      </c>
      <c r="CY124" s="21">
        <v>0</v>
      </c>
      <c r="CZ124" s="21">
        <v>0</v>
      </c>
      <c r="DA124" s="21">
        <v>0</v>
      </c>
      <c r="DB124" s="21">
        <v>0</v>
      </c>
      <c r="DC124" s="21">
        <v>0</v>
      </c>
      <c r="DD124" s="21">
        <v>0</v>
      </c>
      <c r="DE124" s="73"/>
      <c r="DG124" s="76"/>
      <c r="DI124" s="76"/>
    </row>
    <row r="125" spans="1:113">
      <c r="A125" s="23" t="s">
        <v>420</v>
      </c>
      <c r="B125" s="19" t="s">
        <v>421</v>
      </c>
      <c r="C125" s="19" t="s">
        <v>392</v>
      </c>
      <c r="D125" s="20">
        <f t="shared" si="1"/>
        <v>0</v>
      </c>
      <c r="E125" s="22">
        <v>0</v>
      </c>
      <c r="F125" s="22">
        <v>0</v>
      </c>
      <c r="G125" s="22">
        <v>0</v>
      </c>
      <c r="H125" s="22">
        <v>0</v>
      </c>
      <c r="I125" s="22">
        <v>0</v>
      </c>
      <c r="J125" s="22">
        <v>0</v>
      </c>
      <c r="K125" s="22">
        <v>0</v>
      </c>
      <c r="L125" s="21">
        <v>0</v>
      </c>
      <c r="M125" s="22">
        <v>0</v>
      </c>
      <c r="N125" s="22">
        <v>0</v>
      </c>
      <c r="O125" s="22">
        <v>0</v>
      </c>
      <c r="P125" s="22">
        <v>0</v>
      </c>
      <c r="Q125" s="22">
        <v>0</v>
      </c>
      <c r="R125" s="22">
        <v>0</v>
      </c>
      <c r="S125" s="22">
        <v>0</v>
      </c>
      <c r="T125" s="22">
        <v>0</v>
      </c>
      <c r="U125" s="22">
        <v>0</v>
      </c>
      <c r="V125" s="22">
        <v>0</v>
      </c>
      <c r="W125" s="22">
        <v>0</v>
      </c>
      <c r="X125" s="22">
        <v>0</v>
      </c>
      <c r="Y125" s="22">
        <v>0</v>
      </c>
      <c r="Z125" s="22">
        <v>0</v>
      </c>
      <c r="AA125" s="22">
        <v>0</v>
      </c>
      <c r="AB125" s="22">
        <v>0</v>
      </c>
      <c r="AC125" s="22">
        <v>0</v>
      </c>
      <c r="AD125" s="22">
        <v>0</v>
      </c>
      <c r="AE125" s="22">
        <v>0</v>
      </c>
      <c r="AF125" s="22">
        <v>0</v>
      </c>
      <c r="AG125" s="22">
        <v>0</v>
      </c>
      <c r="AH125" s="22">
        <v>0</v>
      </c>
      <c r="AI125" s="22">
        <v>0</v>
      </c>
      <c r="AJ125" s="22">
        <v>0</v>
      </c>
      <c r="AK125" s="22">
        <v>0</v>
      </c>
      <c r="AL125" s="22">
        <v>0</v>
      </c>
      <c r="AM125" s="22">
        <v>0</v>
      </c>
      <c r="AN125" s="22">
        <v>0</v>
      </c>
      <c r="AO125" s="22">
        <v>0</v>
      </c>
      <c r="AP125" s="22">
        <v>0</v>
      </c>
      <c r="AQ125" s="22">
        <v>0</v>
      </c>
      <c r="AR125" s="22">
        <v>0</v>
      </c>
      <c r="AS125" s="22">
        <v>0</v>
      </c>
      <c r="AT125" s="22">
        <v>0</v>
      </c>
      <c r="AU125" s="22">
        <v>0</v>
      </c>
      <c r="AV125" s="22">
        <v>0</v>
      </c>
      <c r="AW125" s="22">
        <v>0</v>
      </c>
      <c r="AX125" s="22">
        <v>0</v>
      </c>
      <c r="AY125" s="22">
        <v>0</v>
      </c>
      <c r="AZ125" s="22">
        <v>0</v>
      </c>
      <c r="BA125" s="22">
        <v>0</v>
      </c>
      <c r="BB125" s="22">
        <v>0</v>
      </c>
      <c r="BC125" s="22">
        <v>0</v>
      </c>
      <c r="BD125" s="22">
        <v>0</v>
      </c>
      <c r="BE125" s="22">
        <v>0</v>
      </c>
      <c r="BF125" s="22">
        <v>0</v>
      </c>
      <c r="BG125" s="22">
        <v>0</v>
      </c>
      <c r="BH125" s="22">
        <v>0</v>
      </c>
      <c r="BI125" s="21">
        <v>0</v>
      </c>
      <c r="BJ125" s="21">
        <v>0</v>
      </c>
      <c r="BK125" s="21">
        <v>0</v>
      </c>
      <c r="BL125" s="21">
        <v>0</v>
      </c>
      <c r="BM125" s="21">
        <v>0</v>
      </c>
      <c r="BN125" s="21">
        <v>0</v>
      </c>
      <c r="BO125" s="21">
        <v>0</v>
      </c>
      <c r="BP125" s="21">
        <v>0</v>
      </c>
      <c r="BQ125" s="21">
        <v>0</v>
      </c>
      <c r="BR125" s="21">
        <v>0</v>
      </c>
      <c r="BS125" s="21">
        <v>0</v>
      </c>
      <c r="BT125" s="21">
        <v>0</v>
      </c>
      <c r="BU125" s="21">
        <v>0</v>
      </c>
      <c r="BV125" s="21">
        <v>0</v>
      </c>
      <c r="BW125" s="21">
        <v>0</v>
      </c>
      <c r="BX125" s="21">
        <v>0</v>
      </c>
      <c r="BY125" s="21">
        <v>0</v>
      </c>
      <c r="BZ125" s="21">
        <v>0</v>
      </c>
      <c r="CA125" s="21">
        <v>0</v>
      </c>
      <c r="CB125" s="21">
        <v>0</v>
      </c>
      <c r="CC125" s="21">
        <v>0</v>
      </c>
      <c r="CD125" s="21">
        <v>0</v>
      </c>
      <c r="CE125" s="21">
        <v>0</v>
      </c>
      <c r="CF125" s="21">
        <v>0</v>
      </c>
      <c r="CG125" s="21">
        <v>0</v>
      </c>
      <c r="CH125" s="21">
        <v>0</v>
      </c>
      <c r="CI125" s="21">
        <v>0</v>
      </c>
      <c r="CJ125" s="21">
        <v>0</v>
      </c>
      <c r="CK125" s="21">
        <v>0</v>
      </c>
      <c r="CL125" s="21">
        <v>0</v>
      </c>
      <c r="CM125" s="21">
        <v>0</v>
      </c>
      <c r="CN125" s="21">
        <v>0</v>
      </c>
      <c r="CO125" s="21">
        <v>0</v>
      </c>
      <c r="CP125" s="21">
        <v>0</v>
      </c>
      <c r="CQ125" s="21">
        <v>0</v>
      </c>
      <c r="CR125" s="21">
        <v>0</v>
      </c>
      <c r="CS125" s="21">
        <v>0</v>
      </c>
      <c r="CT125" s="21">
        <v>0</v>
      </c>
      <c r="CU125" s="21">
        <v>0</v>
      </c>
      <c r="CV125" s="21">
        <v>0</v>
      </c>
      <c r="CW125" s="21">
        <v>0</v>
      </c>
      <c r="CX125" s="21">
        <v>0</v>
      </c>
      <c r="CY125" s="21">
        <v>0</v>
      </c>
      <c r="CZ125" s="21">
        <v>0</v>
      </c>
      <c r="DA125" s="21">
        <v>0</v>
      </c>
      <c r="DB125" s="21">
        <v>0</v>
      </c>
      <c r="DC125" s="21">
        <v>0</v>
      </c>
      <c r="DD125" s="21">
        <v>0</v>
      </c>
      <c r="DE125" s="73"/>
      <c r="DG125" s="76"/>
      <c r="DI125" s="76"/>
    </row>
    <row r="126" spans="1:113">
      <c r="A126" s="23" t="s">
        <v>422</v>
      </c>
      <c r="B126" s="19" t="s">
        <v>423</v>
      </c>
      <c r="C126" s="19" t="s">
        <v>392</v>
      </c>
      <c r="D126" s="20">
        <f t="shared" si="1"/>
        <v>0</v>
      </c>
      <c r="E126" s="22">
        <v>0</v>
      </c>
      <c r="F126" s="22">
        <v>0</v>
      </c>
      <c r="G126" s="22">
        <v>0</v>
      </c>
      <c r="H126" s="22">
        <v>0</v>
      </c>
      <c r="I126" s="22">
        <v>0</v>
      </c>
      <c r="J126" s="22">
        <v>0</v>
      </c>
      <c r="K126" s="22">
        <v>0</v>
      </c>
      <c r="L126" s="21">
        <v>0</v>
      </c>
      <c r="M126" s="22">
        <v>0</v>
      </c>
      <c r="N126" s="22">
        <v>0</v>
      </c>
      <c r="O126" s="22">
        <v>0</v>
      </c>
      <c r="P126" s="22">
        <v>0</v>
      </c>
      <c r="Q126" s="22">
        <v>0</v>
      </c>
      <c r="R126" s="22">
        <v>0</v>
      </c>
      <c r="S126" s="22">
        <v>0</v>
      </c>
      <c r="T126" s="22">
        <v>0</v>
      </c>
      <c r="U126" s="22">
        <v>0</v>
      </c>
      <c r="V126" s="22">
        <v>0</v>
      </c>
      <c r="W126" s="22">
        <v>0</v>
      </c>
      <c r="X126" s="22">
        <v>0</v>
      </c>
      <c r="Y126" s="22">
        <v>0</v>
      </c>
      <c r="Z126" s="22">
        <v>0</v>
      </c>
      <c r="AA126" s="22">
        <v>0</v>
      </c>
      <c r="AB126" s="22">
        <v>0</v>
      </c>
      <c r="AC126" s="22">
        <v>0</v>
      </c>
      <c r="AD126" s="22">
        <v>0</v>
      </c>
      <c r="AE126" s="22">
        <v>0</v>
      </c>
      <c r="AF126" s="22">
        <v>0</v>
      </c>
      <c r="AG126" s="22">
        <v>0</v>
      </c>
      <c r="AH126" s="22">
        <v>0</v>
      </c>
      <c r="AI126" s="22">
        <v>0</v>
      </c>
      <c r="AJ126" s="22">
        <v>0</v>
      </c>
      <c r="AK126" s="22">
        <v>0</v>
      </c>
      <c r="AL126" s="22">
        <v>0</v>
      </c>
      <c r="AM126" s="22">
        <v>0</v>
      </c>
      <c r="AN126" s="22">
        <v>0</v>
      </c>
      <c r="AO126" s="22">
        <v>0</v>
      </c>
      <c r="AP126" s="22">
        <v>0</v>
      </c>
      <c r="AQ126" s="22">
        <v>0</v>
      </c>
      <c r="AR126" s="22">
        <v>0</v>
      </c>
      <c r="AS126" s="22">
        <v>0</v>
      </c>
      <c r="AT126" s="22">
        <v>0</v>
      </c>
      <c r="AU126" s="22">
        <v>0</v>
      </c>
      <c r="AV126" s="22">
        <v>0</v>
      </c>
      <c r="AW126" s="22">
        <v>0</v>
      </c>
      <c r="AX126" s="22">
        <v>0</v>
      </c>
      <c r="AY126" s="22">
        <v>0</v>
      </c>
      <c r="AZ126" s="22">
        <v>0</v>
      </c>
      <c r="BA126" s="22">
        <v>0</v>
      </c>
      <c r="BB126" s="22">
        <v>0</v>
      </c>
      <c r="BC126" s="22">
        <v>0</v>
      </c>
      <c r="BD126" s="22">
        <v>0</v>
      </c>
      <c r="BE126" s="22">
        <v>0</v>
      </c>
      <c r="BF126" s="22">
        <v>0</v>
      </c>
      <c r="BG126" s="22">
        <v>0</v>
      </c>
      <c r="BH126" s="22">
        <v>0</v>
      </c>
      <c r="BI126" s="21">
        <v>0</v>
      </c>
      <c r="BJ126" s="21">
        <v>0</v>
      </c>
      <c r="BK126" s="21">
        <v>0</v>
      </c>
      <c r="BL126" s="21">
        <v>0</v>
      </c>
      <c r="BM126" s="21">
        <v>0</v>
      </c>
      <c r="BN126" s="21">
        <v>0</v>
      </c>
      <c r="BO126" s="21">
        <v>0</v>
      </c>
      <c r="BP126" s="21">
        <v>0</v>
      </c>
      <c r="BQ126" s="21">
        <v>0</v>
      </c>
      <c r="BR126" s="21">
        <v>0</v>
      </c>
      <c r="BS126" s="21">
        <v>0</v>
      </c>
      <c r="BT126" s="21">
        <v>0</v>
      </c>
      <c r="BU126" s="21">
        <v>0</v>
      </c>
      <c r="BV126" s="21">
        <v>0</v>
      </c>
      <c r="BW126" s="21">
        <v>0</v>
      </c>
      <c r="BX126" s="21">
        <v>0</v>
      </c>
      <c r="BY126" s="21">
        <v>0</v>
      </c>
      <c r="BZ126" s="21">
        <v>0</v>
      </c>
      <c r="CA126" s="21">
        <v>0</v>
      </c>
      <c r="CB126" s="21">
        <v>0</v>
      </c>
      <c r="CC126" s="21">
        <v>0</v>
      </c>
      <c r="CD126" s="21">
        <v>0</v>
      </c>
      <c r="CE126" s="21">
        <v>0</v>
      </c>
      <c r="CF126" s="21">
        <v>0</v>
      </c>
      <c r="CG126" s="21">
        <v>0</v>
      </c>
      <c r="CH126" s="21">
        <v>0</v>
      </c>
      <c r="CI126" s="21">
        <v>0</v>
      </c>
      <c r="CJ126" s="21">
        <v>0</v>
      </c>
      <c r="CK126" s="21">
        <v>0</v>
      </c>
      <c r="CL126" s="21">
        <v>0</v>
      </c>
      <c r="CM126" s="21">
        <v>0</v>
      </c>
      <c r="CN126" s="21">
        <v>0</v>
      </c>
      <c r="CO126" s="21">
        <v>0</v>
      </c>
      <c r="CP126" s="21">
        <v>0</v>
      </c>
      <c r="CQ126" s="21">
        <v>0</v>
      </c>
      <c r="CR126" s="21">
        <v>0</v>
      </c>
      <c r="CS126" s="21">
        <v>0</v>
      </c>
      <c r="CT126" s="21">
        <v>0</v>
      </c>
      <c r="CU126" s="21">
        <v>0</v>
      </c>
      <c r="CV126" s="21">
        <v>0</v>
      </c>
      <c r="CW126" s="21">
        <v>0</v>
      </c>
      <c r="CX126" s="21">
        <v>0</v>
      </c>
      <c r="CY126" s="21">
        <v>0</v>
      </c>
      <c r="CZ126" s="21">
        <v>0</v>
      </c>
      <c r="DA126" s="21">
        <v>0</v>
      </c>
      <c r="DB126" s="21">
        <v>0</v>
      </c>
      <c r="DC126" s="21">
        <v>0</v>
      </c>
      <c r="DD126" s="21">
        <v>0</v>
      </c>
      <c r="DE126" s="73"/>
      <c r="DG126" s="76"/>
      <c r="DI126" s="76"/>
    </row>
    <row r="127" spans="1:113">
      <c r="A127" s="23" t="s">
        <v>424</v>
      </c>
      <c r="B127" s="19" t="s">
        <v>425</v>
      </c>
      <c r="C127" s="19" t="s">
        <v>285</v>
      </c>
      <c r="D127" s="20">
        <f t="shared" si="1"/>
        <v>1</v>
      </c>
      <c r="E127" s="22">
        <v>1</v>
      </c>
      <c r="F127" s="22">
        <v>0</v>
      </c>
      <c r="G127" s="22">
        <v>0</v>
      </c>
      <c r="H127" s="22">
        <v>0</v>
      </c>
      <c r="I127" s="22">
        <v>0</v>
      </c>
      <c r="J127" s="22">
        <v>0</v>
      </c>
      <c r="K127" s="22">
        <v>0</v>
      </c>
      <c r="L127" s="21">
        <v>0</v>
      </c>
      <c r="M127" s="22">
        <v>0</v>
      </c>
      <c r="N127" s="22">
        <v>0</v>
      </c>
      <c r="O127" s="22">
        <v>0</v>
      </c>
      <c r="P127" s="22">
        <v>0</v>
      </c>
      <c r="Q127" s="22">
        <v>0</v>
      </c>
      <c r="R127" s="22">
        <v>0</v>
      </c>
      <c r="S127" s="22">
        <v>0</v>
      </c>
      <c r="T127" s="22">
        <v>0</v>
      </c>
      <c r="U127" s="22">
        <v>0</v>
      </c>
      <c r="V127" s="22">
        <v>0</v>
      </c>
      <c r="W127" s="22">
        <v>0</v>
      </c>
      <c r="X127" s="22">
        <v>0</v>
      </c>
      <c r="Y127" s="22">
        <v>0</v>
      </c>
      <c r="Z127" s="22">
        <v>0</v>
      </c>
      <c r="AA127" s="22">
        <v>0</v>
      </c>
      <c r="AB127" s="22">
        <v>0</v>
      </c>
      <c r="AC127" s="22">
        <v>0</v>
      </c>
      <c r="AD127" s="22">
        <v>0</v>
      </c>
      <c r="AE127" s="22">
        <v>0</v>
      </c>
      <c r="AF127" s="22">
        <v>0</v>
      </c>
      <c r="AG127" s="22">
        <v>0</v>
      </c>
      <c r="AH127" s="22">
        <v>0</v>
      </c>
      <c r="AI127" s="22">
        <v>0</v>
      </c>
      <c r="AJ127" s="22">
        <v>0</v>
      </c>
      <c r="AK127" s="22">
        <v>0</v>
      </c>
      <c r="AL127" s="22">
        <v>0</v>
      </c>
      <c r="AM127" s="22">
        <v>0</v>
      </c>
      <c r="AN127" s="22">
        <v>0</v>
      </c>
      <c r="AO127" s="22">
        <v>0</v>
      </c>
      <c r="AP127" s="22">
        <v>0</v>
      </c>
      <c r="AQ127" s="22">
        <v>0</v>
      </c>
      <c r="AR127" s="22">
        <v>0</v>
      </c>
      <c r="AS127" s="22">
        <v>0</v>
      </c>
      <c r="AT127" s="22">
        <v>0</v>
      </c>
      <c r="AU127" s="22">
        <v>0</v>
      </c>
      <c r="AV127" s="22">
        <v>0</v>
      </c>
      <c r="AW127" s="22">
        <v>0</v>
      </c>
      <c r="AX127" s="22">
        <v>0</v>
      </c>
      <c r="AY127" s="22">
        <v>0</v>
      </c>
      <c r="AZ127" s="22">
        <v>0</v>
      </c>
      <c r="BA127" s="22">
        <v>0</v>
      </c>
      <c r="BB127" s="22">
        <v>0</v>
      </c>
      <c r="BC127" s="22">
        <v>0</v>
      </c>
      <c r="BD127" s="22">
        <v>0</v>
      </c>
      <c r="BE127" s="22">
        <v>0</v>
      </c>
      <c r="BF127" s="22">
        <v>0</v>
      </c>
      <c r="BG127" s="22">
        <v>0</v>
      </c>
      <c r="BH127" s="22">
        <v>0</v>
      </c>
      <c r="BI127" s="21">
        <v>0</v>
      </c>
      <c r="BJ127" s="21">
        <v>0</v>
      </c>
      <c r="BK127" s="21">
        <v>0</v>
      </c>
      <c r="BL127" s="21">
        <v>0</v>
      </c>
      <c r="BM127" s="21">
        <v>0</v>
      </c>
      <c r="BN127" s="21">
        <v>0</v>
      </c>
      <c r="BO127" s="21">
        <v>0</v>
      </c>
      <c r="BP127" s="21">
        <v>0</v>
      </c>
      <c r="BQ127" s="21">
        <v>0</v>
      </c>
      <c r="BR127" s="21">
        <v>0</v>
      </c>
      <c r="BS127" s="21">
        <v>0</v>
      </c>
      <c r="BT127" s="21">
        <v>0</v>
      </c>
      <c r="BU127" s="21">
        <v>0</v>
      </c>
      <c r="BV127" s="21">
        <v>0</v>
      </c>
      <c r="BW127" s="21">
        <v>0</v>
      </c>
      <c r="BX127" s="21">
        <v>0</v>
      </c>
      <c r="BY127" s="21">
        <v>0</v>
      </c>
      <c r="BZ127" s="21">
        <v>0</v>
      </c>
      <c r="CA127" s="21">
        <v>0</v>
      </c>
      <c r="CB127" s="21">
        <v>0</v>
      </c>
      <c r="CC127" s="21">
        <v>0</v>
      </c>
      <c r="CD127" s="21">
        <v>0</v>
      </c>
      <c r="CE127" s="21">
        <v>0</v>
      </c>
      <c r="CF127" s="21">
        <v>0</v>
      </c>
      <c r="CG127" s="21">
        <v>0</v>
      </c>
      <c r="CH127" s="21">
        <v>0</v>
      </c>
      <c r="CI127" s="21">
        <v>0</v>
      </c>
      <c r="CJ127" s="21">
        <v>0</v>
      </c>
      <c r="CK127" s="21">
        <v>0</v>
      </c>
      <c r="CL127" s="21">
        <v>0</v>
      </c>
      <c r="CM127" s="21">
        <v>0</v>
      </c>
      <c r="CN127" s="21">
        <v>0</v>
      </c>
      <c r="CO127" s="21">
        <v>0</v>
      </c>
      <c r="CP127" s="21">
        <v>0</v>
      </c>
      <c r="CQ127" s="21">
        <v>0</v>
      </c>
      <c r="CR127" s="21">
        <v>0</v>
      </c>
      <c r="CS127" s="21">
        <v>0</v>
      </c>
      <c r="CT127" s="21">
        <v>0</v>
      </c>
      <c r="CU127" s="21">
        <v>0</v>
      </c>
      <c r="CV127" s="21">
        <v>0</v>
      </c>
      <c r="CW127" s="21">
        <v>0</v>
      </c>
      <c r="CX127" s="21">
        <v>0</v>
      </c>
      <c r="CY127" s="21">
        <v>0</v>
      </c>
      <c r="CZ127" s="21">
        <v>0</v>
      </c>
      <c r="DA127" s="21">
        <v>0</v>
      </c>
      <c r="DB127" s="21">
        <v>0</v>
      </c>
      <c r="DC127" s="21">
        <v>0</v>
      </c>
      <c r="DD127" s="21">
        <v>0</v>
      </c>
      <c r="DE127" s="73"/>
      <c r="DG127" s="76"/>
      <c r="DI127" s="76"/>
    </row>
    <row r="128" spans="1:113">
      <c r="A128" s="24" t="s">
        <v>426</v>
      </c>
      <c r="B128" s="25"/>
      <c r="C128" s="25"/>
      <c r="D128" s="16"/>
      <c r="E128" s="28"/>
      <c r="F128" s="28"/>
      <c r="G128" s="28"/>
      <c r="H128" s="28"/>
      <c r="I128" s="28"/>
      <c r="J128" s="28"/>
      <c r="K128" s="28"/>
      <c r="L128" s="64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28"/>
      <c r="AI128" s="28"/>
      <c r="AJ128" s="28"/>
      <c r="AK128" s="28"/>
      <c r="AL128" s="28"/>
      <c r="AM128" s="28"/>
      <c r="AN128" s="28"/>
      <c r="AO128" s="28"/>
      <c r="AP128" s="28"/>
      <c r="AQ128" s="28"/>
      <c r="AR128" s="28"/>
      <c r="AS128" s="28"/>
      <c r="AT128" s="28"/>
      <c r="AU128" s="28"/>
      <c r="AV128" s="28"/>
      <c r="AW128" s="28"/>
      <c r="AX128" s="28"/>
      <c r="AY128" s="28"/>
      <c r="AZ128" s="28"/>
      <c r="BA128" s="28"/>
      <c r="BB128" s="28"/>
      <c r="BC128" s="28"/>
      <c r="BD128" s="28"/>
      <c r="BE128" s="28"/>
      <c r="BF128" s="28"/>
      <c r="BG128" s="28"/>
      <c r="BH128" s="28"/>
      <c r="BI128" s="28"/>
      <c r="BJ128" s="28"/>
      <c r="BK128" s="28"/>
      <c r="BL128" s="28"/>
      <c r="BM128" s="28"/>
      <c r="BN128" s="28"/>
      <c r="BO128" s="28"/>
      <c r="BP128" s="28"/>
      <c r="BQ128" s="28"/>
      <c r="BR128" s="28"/>
      <c r="BS128" s="28"/>
      <c r="BT128" s="28"/>
      <c r="BU128" s="28"/>
      <c r="BV128" s="28"/>
      <c r="BW128" s="28"/>
      <c r="BX128" s="28"/>
      <c r="BY128" s="28"/>
      <c r="BZ128" s="28"/>
      <c r="CA128" s="28"/>
      <c r="CB128" s="28"/>
      <c r="CC128" s="28"/>
      <c r="CD128" s="28"/>
      <c r="CE128" s="28"/>
      <c r="CF128" s="28"/>
      <c r="CG128" s="28"/>
      <c r="CH128" s="28"/>
      <c r="CI128" s="28"/>
      <c r="CJ128" s="28"/>
      <c r="CK128" s="28"/>
      <c r="CL128" s="28"/>
      <c r="CM128" s="28"/>
      <c r="CN128" s="28"/>
      <c r="CO128" s="28"/>
      <c r="CP128" s="28"/>
      <c r="CQ128" s="28"/>
      <c r="CR128" s="28"/>
      <c r="CS128" s="28"/>
      <c r="CT128" s="28"/>
      <c r="CU128" s="28"/>
      <c r="CV128" s="28"/>
      <c r="CW128" s="28"/>
      <c r="CX128" s="28"/>
      <c r="CY128" s="28"/>
      <c r="CZ128" s="28"/>
      <c r="DA128" s="28"/>
      <c r="DB128" s="28"/>
      <c r="DC128" s="28"/>
      <c r="DD128" s="28"/>
      <c r="DE128" s="72"/>
      <c r="DG128" s="76"/>
      <c r="DI128" s="76"/>
    </row>
    <row r="129" spans="1:113">
      <c r="A129" s="23"/>
      <c r="B129" s="19" t="s">
        <v>427</v>
      </c>
      <c r="C129" s="19" t="s">
        <v>428</v>
      </c>
      <c r="D129" s="20">
        <f t="shared" si="1"/>
        <v>421411.69</v>
      </c>
      <c r="E129" s="22">
        <v>45917.7</v>
      </c>
      <c r="F129" s="22">
        <v>2213.67</v>
      </c>
      <c r="G129" s="22">
        <v>794.67</v>
      </c>
      <c r="H129" s="22">
        <v>5999.28</v>
      </c>
      <c r="I129" s="22">
        <v>542.99</v>
      </c>
      <c r="J129" s="22">
        <v>911.38</v>
      </c>
      <c r="K129" s="22">
        <v>3396.09</v>
      </c>
      <c r="L129" s="21">
        <v>87.68</v>
      </c>
      <c r="M129" s="22">
        <v>4211.33</v>
      </c>
      <c r="N129" s="22">
        <v>135.19</v>
      </c>
      <c r="O129" s="22">
        <v>149.21</v>
      </c>
      <c r="P129" s="22">
        <v>5898.79</v>
      </c>
      <c r="Q129" s="22">
        <v>1444.99</v>
      </c>
      <c r="R129" s="22">
        <v>3513.82</v>
      </c>
      <c r="S129" s="22">
        <v>273.36</v>
      </c>
      <c r="T129" s="22">
        <v>706.91</v>
      </c>
      <c r="U129" s="22">
        <v>355.58</v>
      </c>
      <c r="V129" s="22">
        <v>600.5</v>
      </c>
      <c r="W129" s="22">
        <v>207.42</v>
      </c>
      <c r="X129" s="22">
        <v>63.01</v>
      </c>
      <c r="Y129" s="22">
        <v>462.96</v>
      </c>
      <c r="Z129" s="22">
        <v>4650.12</v>
      </c>
      <c r="AA129" s="22">
        <v>2805.97</v>
      </c>
      <c r="AB129" s="22">
        <v>485.84</v>
      </c>
      <c r="AC129" s="22">
        <v>3536.17</v>
      </c>
      <c r="AD129" s="22">
        <v>488.53</v>
      </c>
      <c r="AE129" s="22">
        <v>342</v>
      </c>
      <c r="AF129" s="22">
        <v>248.46</v>
      </c>
      <c r="AG129" s="22">
        <v>499.49</v>
      </c>
      <c r="AH129" s="22">
        <v>690.86</v>
      </c>
      <c r="AI129" s="22">
        <v>744.64</v>
      </c>
      <c r="AJ129" s="22">
        <v>3004.52</v>
      </c>
      <c r="AK129" s="22">
        <v>320.85000000000002</v>
      </c>
      <c r="AL129" s="22">
        <v>1031.55</v>
      </c>
      <c r="AM129" s="22">
        <v>1183.5</v>
      </c>
      <c r="AN129" s="22">
        <v>865.22</v>
      </c>
      <c r="AO129" s="22">
        <v>1060.8499999999999</v>
      </c>
      <c r="AP129" s="22">
        <v>470.67</v>
      </c>
      <c r="AQ129" s="22">
        <v>77.19</v>
      </c>
      <c r="AR129" s="22">
        <v>6562.81</v>
      </c>
      <c r="AS129" s="22">
        <v>1208.47</v>
      </c>
      <c r="AT129" s="22">
        <v>187.18</v>
      </c>
      <c r="AU129" s="22">
        <v>813.96</v>
      </c>
      <c r="AV129" s="22">
        <v>72.91</v>
      </c>
      <c r="AW129" s="22">
        <v>2462.16</v>
      </c>
      <c r="AX129" s="22">
        <v>541.66999999999996</v>
      </c>
      <c r="AY129" s="22">
        <v>1595.46</v>
      </c>
      <c r="AZ129" s="22">
        <v>0</v>
      </c>
      <c r="BA129" s="22">
        <v>5474.66</v>
      </c>
      <c r="BB129" s="22">
        <v>633.4</v>
      </c>
      <c r="BC129" s="22">
        <v>318.2</v>
      </c>
      <c r="BD129" s="22">
        <v>701</v>
      </c>
      <c r="BE129" s="22">
        <v>1100</v>
      </c>
      <c r="BF129" s="22">
        <v>864</v>
      </c>
      <c r="BG129" s="22">
        <v>701</v>
      </c>
      <c r="BH129" s="22">
        <v>580</v>
      </c>
      <c r="BI129" s="22">
        <v>86199.76</v>
      </c>
      <c r="BJ129" s="22">
        <v>122020.22</v>
      </c>
      <c r="BK129" s="22">
        <v>14474.38</v>
      </c>
      <c r="BL129" s="22">
        <v>6151.9</v>
      </c>
      <c r="BM129" s="22">
        <v>335.11</v>
      </c>
      <c r="BN129" s="22">
        <v>86.97</v>
      </c>
      <c r="BO129" s="22">
        <v>193.4</v>
      </c>
      <c r="BP129" s="22">
        <v>681.04</v>
      </c>
      <c r="BQ129" s="22">
        <v>564.97</v>
      </c>
      <c r="BR129" s="22">
        <v>455.11</v>
      </c>
      <c r="BS129" s="22">
        <v>919.68</v>
      </c>
      <c r="BT129" s="22">
        <v>1309.18</v>
      </c>
      <c r="BU129" s="22">
        <v>11427.14</v>
      </c>
      <c r="BV129" s="22">
        <v>128.87</v>
      </c>
      <c r="BW129" s="22">
        <v>251.98</v>
      </c>
      <c r="BX129" s="22">
        <v>804.53</v>
      </c>
      <c r="BY129" s="22">
        <v>430.92</v>
      </c>
      <c r="BZ129" s="22">
        <v>4174.46</v>
      </c>
      <c r="CA129" s="22">
        <v>309.66000000000003</v>
      </c>
      <c r="CB129" s="22">
        <v>413.93</v>
      </c>
      <c r="CC129" s="22">
        <v>127.85</v>
      </c>
      <c r="CD129" s="22">
        <v>635.34</v>
      </c>
      <c r="CE129" s="22">
        <v>117.87</v>
      </c>
      <c r="CF129" s="22">
        <v>323.82</v>
      </c>
      <c r="CG129" s="22">
        <v>1355.36</v>
      </c>
      <c r="CH129" s="22">
        <v>677.76</v>
      </c>
      <c r="CI129" s="22">
        <v>1666.18</v>
      </c>
      <c r="CJ129" s="22">
        <v>743.84</v>
      </c>
      <c r="CK129" s="22">
        <v>2735.9</v>
      </c>
      <c r="CL129" s="22">
        <v>874.61</v>
      </c>
      <c r="CM129" s="22">
        <v>116.16</v>
      </c>
      <c r="CN129" s="22">
        <v>1136.74</v>
      </c>
      <c r="CO129" s="22">
        <v>3635.68</v>
      </c>
      <c r="CP129" s="22">
        <v>2621.12</v>
      </c>
      <c r="CQ129" s="22">
        <v>2925.29</v>
      </c>
      <c r="CR129" s="22">
        <v>100.38</v>
      </c>
      <c r="CS129" s="22">
        <v>5015.26</v>
      </c>
      <c r="CT129" s="22">
        <v>1820.56</v>
      </c>
      <c r="CU129" s="22">
        <v>1711.18</v>
      </c>
      <c r="CV129" s="22">
        <v>212.46</v>
      </c>
      <c r="CW129" s="22">
        <v>229.96</v>
      </c>
      <c r="CX129" s="22">
        <v>804.1</v>
      </c>
      <c r="CY129" s="22">
        <v>550.11</v>
      </c>
      <c r="CZ129" s="22">
        <v>6630.9</v>
      </c>
      <c r="DA129" s="22">
        <v>2751.95</v>
      </c>
      <c r="DB129" s="22">
        <v>2600.71</v>
      </c>
      <c r="DC129" s="22">
        <v>73.33</v>
      </c>
      <c r="DD129" s="22">
        <v>3674.22</v>
      </c>
      <c r="DE129" s="72"/>
      <c r="DG129" s="76"/>
      <c r="DI129" s="76"/>
    </row>
    <row r="130" spans="1:113">
      <c r="A130" s="23"/>
      <c r="B130" s="19" t="s">
        <v>429</v>
      </c>
      <c r="C130" s="19" t="s">
        <v>428</v>
      </c>
      <c r="D130" s="20">
        <f t="shared" si="1"/>
        <v>421411.69</v>
      </c>
      <c r="E130" s="22">
        <v>45917.7</v>
      </c>
      <c r="F130" s="22">
        <v>2213.67</v>
      </c>
      <c r="G130" s="22">
        <v>794.67</v>
      </c>
      <c r="H130" s="22">
        <v>5999.28</v>
      </c>
      <c r="I130" s="22">
        <v>542.99</v>
      </c>
      <c r="J130" s="22">
        <v>911.38</v>
      </c>
      <c r="K130" s="22">
        <v>3396.09</v>
      </c>
      <c r="L130" s="21">
        <v>87.68</v>
      </c>
      <c r="M130" s="22">
        <v>4211.33</v>
      </c>
      <c r="N130" s="22">
        <v>135.19</v>
      </c>
      <c r="O130" s="22">
        <v>149.21</v>
      </c>
      <c r="P130" s="22">
        <v>5898.79</v>
      </c>
      <c r="Q130" s="22">
        <v>1444.99</v>
      </c>
      <c r="R130" s="22">
        <v>3513.82</v>
      </c>
      <c r="S130" s="22">
        <v>273.36</v>
      </c>
      <c r="T130" s="22">
        <v>706.91</v>
      </c>
      <c r="U130" s="22">
        <v>355.58</v>
      </c>
      <c r="V130" s="22">
        <v>600.5</v>
      </c>
      <c r="W130" s="22">
        <v>207.42</v>
      </c>
      <c r="X130" s="22">
        <v>63.01</v>
      </c>
      <c r="Y130" s="22">
        <v>462.96</v>
      </c>
      <c r="Z130" s="22">
        <v>4650.12</v>
      </c>
      <c r="AA130" s="22">
        <v>2805.97</v>
      </c>
      <c r="AB130" s="22">
        <v>485.84</v>
      </c>
      <c r="AC130" s="22">
        <v>3536.17</v>
      </c>
      <c r="AD130" s="22">
        <v>488.53</v>
      </c>
      <c r="AE130" s="22">
        <v>342</v>
      </c>
      <c r="AF130" s="22">
        <v>248.46</v>
      </c>
      <c r="AG130" s="22">
        <v>499.49</v>
      </c>
      <c r="AH130" s="22">
        <v>690.86</v>
      </c>
      <c r="AI130" s="22">
        <v>744.64</v>
      </c>
      <c r="AJ130" s="22">
        <v>3004.52</v>
      </c>
      <c r="AK130" s="22">
        <v>320.85000000000002</v>
      </c>
      <c r="AL130" s="22">
        <v>1031.55</v>
      </c>
      <c r="AM130" s="22">
        <v>1183.5</v>
      </c>
      <c r="AN130" s="22">
        <v>865.22</v>
      </c>
      <c r="AO130" s="22">
        <v>1060.8499999999999</v>
      </c>
      <c r="AP130" s="22">
        <v>470.67</v>
      </c>
      <c r="AQ130" s="22">
        <v>77.19</v>
      </c>
      <c r="AR130" s="22">
        <v>6562.81</v>
      </c>
      <c r="AS130" s="22">
        <v>1208.47</v>
      </c>
      <c r="AT130" s="22">
        <v>187.18</v>
      </c>
      <c r="AU130" s="22">
        <v>813.96</v>
      </c>
      <c r="AV130" s="22">
        <v>72.91</v>
      </c>
      <c r="AW130" s="22">
        <v>2462.16</v>
      </c>
      <c r="AX130" s="22">
        <v>541.66999999999996</v>
      </c>
      <c r="AY130" s="22">
        <v>1595.46</v>
      </c>
      <c r="AZ130" s="22">
        <v>0</v>
      </c>
      <c r="BA130" s="22">
        <v>5474.66</v>
      </c>
      <c r="BB130" s="22">
        <v>633.4</v>
      </c>
      <c r="BC130" s="22">
        <v>318.2</v>
      </c>
      <c r="BD130" s="22">
        <v>701</v>
      </c>
      <c r="BE130" s="22">
        <v>1100</v>
      </c>
      <c r="BF130" s="22">
        <v>864</v>
      </c>
      <c r="BG130" s="22">
        <v>701</v>
      </c>
      <c r="BH130" s="22">
        <v>580</v>
      </c>
      <c r="BI130" s="22">
        <v>86199.76</v>
      </c>
      <c r="BJ130" s="22">
        <v>122020.22</v>
      </c>
      <c r="BK130" s="22">
        <v>14474.38</v>
      </c>
      <c r="BL130" s="22">
        <v>6151.9</v>
      </c>
      <c r="BM130" s="22">
        <v>335.11</v>
      </c>
      <c r="BN130" s="22">
        <v>86.97</v>
      </c>
      <c r="BO130" s="22">
        <v>193.4</v>
      </c>
      <c r="BP130" s="22">
        <v>681.04</v>
      </c>
      <c r="BQ130" s="22">
        <v>564.97</v>
      </c>
      <c r="BR130" s="22">
        <v>455.11</v>
      </c>
      <c r="BS130" s="22">
        <v>919.68</v>
      </c>
      <c r="BT130" s="22">
        <v>1309.18</v>
      </c>
      <c r="BU130" s="22">
        <v>11427.14</v>
      </c>
      <c r="BV130" s="22">
        <v>128.87</v>
      </c>
      <c r="BW130" s="22">
        <v>251.98</v>
      </c>
      <c r="BX130" s="22">
        <v>804.53</v>
      </c>
      <c r="BY130" s="22">
        <v>430.92</v>
      </c>
      <c r="BZ130" s="22">
        <v>4174.46</v>
      </c>
      <c r="CA130" s="22">
        <v>309.66000000000003</v>
      </c>
      <c r="CB130" s="22">
        <v>413.93</v>
      </c>
      <c r="CC130" s="22">
        <v>127.85</v>
      </c>
      <c r="CD130" s="22">
        <v>635.34</v>
      </c>
      <c r="CE130" s="22">
        <v>117.87</v>
      </c>
      <c r="CF130" s="22">
        <v>323.82</v>
      </c>
      <c r="CG130" s="22">
        <v>1355.36</v>
      </c>
      <c r="CH130" s="22">
        <v>677.76</v>
      </c>
      <c r="CI130" s="22">
        <v>1666.18</v>
      </c>
      <c r="CJ130" s="22">
        <v>743.84</v>
      </c>
      <c r="CK130" s="22">
        <v>2735.9</v>
      </c>
      <c r="CL130" s="22">
        <v>874.61</v>
      </c>
      <c r="CM130" s="22">
        <v>116.16</v>
      </c>
      <c r="CN130" s="22">
        <v>1136.74</v>
      </c>
      <c r="CO130" s="22">
        <v>3635.68</v>
      </c>
      <c r="CP130" s="22">
        <v>2621.12</v>
      </c>
      <c r="CQ130" s="22">
        <v>2925.29</v>
      </c>
      <c r="CR130" s="22">
        <v>100.38</v>
      </c>
      <c r="CS130" s="22">
        <v>5015.26</v>
      </c>
      <c r="CT130" s="22">
        <v>1820.56</v>
      </c>
      <c r="CU130" s="22">
        <v>1711.18</v>
      </c>
      <c r="CV130" s="22">
        <v>212.46</v>
      </c>
      <c r="CW130" s="22">
        <v>229.96</v>
      </c>
      <c r="CX130" s="22">
        <v>804.1</v>
      </c>
      <c r="CY130" s="22">
        <v>550.11</v>
      </c>
      <c r="CZ130" s="22">
        <v>6630.9</v>
      </c>
      <c r="DA130" s="22">
        <v>2751.95</v>
      </c>
      <c r="DB130" s="22">
        <v>2600.71</v>
      </c>
      <c r="DC130" s="22">
        <v>73.33</v>
      </c>
      <c r="DD130" s="22">
        <v>3674.22</v>
      </c>
      <c r="DE130" s="72"/>
      <c r="DG130" s="76"/>
      <c r="DI130" s="76"/>
    </row>
    <row r="131" spans="1:113">
      <c r="A131" s="23"/>
      <c r="B131" s="19" t="s">
        <v>430</v>
      </c>
      <c r="C131" s="19" t="s">
        <v>428</v>
      </c>
      <c r="D131" s="20">
        <f t="shared" si="1"/>
        <v>421411.69</v>
      </c>
      <c r="E131" s="22">
        <v>45917.7</v>
      </c>
      <c r="F131" s="22">
        <v>2213.67</v>
      </c>
      <c r="G131" s="22">
        <v>794.67</v>
      </c>
      <c r="H131" s="22">
        <v>5999.28</v>
      </c>
      <c r="I131" s="22">
        <v>542.99</v>
      </c>
      <c r="J131" s="22">
        <v>911.38</v>
      </c>
      <c r="K131" s="22">
        <v>3396.09</v>
      </c>
      <c r="L131" s="21">
        <v>87.68</v>
      </c>
      <c r="M131" s="22">
        <v>4211.33</v>
      </c>
      <c r="N131" s="22">
        <v>135.19</v>
      </c>
      <c r="O131" s="22">
        <v>149.21</v>
      </c>
      <c r="P131" s="22">
        <v>5898.79</v>
      </c>
      <c r="Q131" s="22">
        <v>1444.99</v>
      </c>
      <c r="R131" s="22">
        <v>3513.82</v>
      </c>
      <c r="S131" s="22">
        <v>273.36</v>
      </c>
      <c r="T131" s="22">
        <v>706.91</v>
      </c>
      <c r="U131" s="22">
        <v>355.58</v>
      </c>
      <c r="V131" s="22">
        <v>600.5</v>
      </c>
      <c r="W131" s="22">
        <v>207.42</v>
      </c>
      <c r="X131" s="22">
        <v>63.01</v>
      </c>
      <c r="Y131" s="22">
        <v>462.96</v>
      </c>
      <c r="Z131" s="22">
        <v>4650.12</v>
      </c>
      <c r="AA131" s="22">
        <v>2805.97</v>
      </c>
      <c r="AB131" s="22">
        <v>485.84</v>
      </c>
      <c r="AC131" s="22">
        <v>3536.17</v>
      </c>
      <c r="AD131" s="22">
        <v>488.53</v>
      </c>
      <c r="AE131" s="22">
        <v>342</v>
      </c>
      <c r="AF131" s="22">
        <v>248.46</v>
      </c>
      <c r="AG131" s="22">
        <v>499.49</v>
      </c>
      <c r="AH131" s="22">
        <v>690.86</v>
      </c>
      <c r="AI131" s="22">
        <v>744.64</v>
      </c>
      <c r="AJ131" s="22">
        <v>3004.52</v>
      </c>
      <c r="AK131" s="22">
        <v>320.85000000000002</v>
      </c>
      <c r="AL131" s="22">
        <v>1031.55</v>
      </c>
      <c r="AM131" s="22">
        <v>1183.5</v>
      </c>
      <c r="AN131" s="22">
        <v>865.22</v>
      </c>
      <c r="AO131" s="22">
        <v>1060.8499999999999</v>
      </c>
      <c r="AP131" s="22">
        <v>470.67</v>
      </c>
      <c r="AQ131" s="22">
        <v>77.19</v>
      </c>
      <c r="AR131" s="22">
        <v>6562.81</v>
      </c>
      <c r="AS131" s="22">
        <v>1208.47</v>
      </c>
      <c r="AT131" s="22">
        <v>187.18</v>
      </c>
      <c r="AU131" s="22">
        <v>813.96</v>
      </c>
      <c r="AV131" s="22">
        <v>72.91</v>
      </c>
      <c r="AW131" s="22">
        <v>2462.16</v>
      </c>
      <c r="AX131" s="22">
        <v>541.66999999999996</v>
      </c>
      <c r="AY131" s="22">
        <v>1595.46</v>
      </c>
      <c r="AZ131" s="22">
        <v>0</v>
      </c>
      <c r="BA131" s="22">
        <v>5474.66</v>
      </c>
      <c r="BB131" s="22">
        <v>633.4</v>
      </c>
      <c r="BC131" s="22">
        <v>318.2</v>
      </c>
      <c r="BD131" s="22">
        <v>701</v>
      </c>
      <c r="BE131" s="22">
        <v>1100</v>
      </c>
      <c r="BF131" s="22">
        <v>864</v>
      </c>
      <c r="BG131" s="22">
        <v>701</v>
      </c>
      <c r="BH131" s="22">
        <v>580</v>
      </c>
      <c r="BI131" s="22">
        <v>86199.76</v>
      </c>
      <c r="BJ131" s="22">
        <v>122020.22</v>
      </c>
      <c r="BK131" s="22">
        <v>14474.38</v>
      </c>
      <c r="BL131" s="22">
        <v>6151.9</v>
      </c>
      <c r="BM131" s="22">
        <v>335.11</v>
      </c>
      <c r="BN131" s="22">
        <v>86.97</v>
      </c>
      <c r="BO131" s="22">
        <v>193.4</v>
      </c>
      <c r="BP131" s="22">
        <v>681.04</v>
      </c>
      <c r="BQ131" s="22">
        <v>564.97</v>
      </c>
      <c r="BR131" s="22">
        <v>455.11</v>
      </c>
      <c r="BS131" s="22">
        <v>919.68</v>
      </c>
      <c r="BT131" s="22">
        <v>1309.18</v>
      </c>
      <c r="BU131" s="22">
        <v>11427.14</v>
      </c>
      <c r="BV131" s="22">
        <v>128.87</v>
      </c>
      <c r="BW131" s="22">
        <v>251.98</v>
      </c>
      <c r="BX131" s="22">
        <v>804.53</v>
      </c>
      <c r="BY131" s="22">
        <v>430.92</v>
      </c>
      <c r="BZ131" s="22">
        <v>4174.46</v>
      </c>
      <c r="CA131" s="22">
        <v>309.66000000000003</v>
      </c>
      <c r="CB131" s="22">
        <v>413.93</v>
      </c>
      <c r="CC131" s="22">
        <v>127.85</v>
      </c>
      <c r="CD131" s="22">
        <v>635.34</v>
      </c>
      <c r="CE131" s="22">
        <v>117.87</v>
      </c>
      <c r="CF131" s="22">
        <v>323.82</v>
      </c>
      <c r="CG131" s="22">
        <v>1355.36</v>
      </c>
      <c r="CH131" s="22">
        <v>677.76</v>
      </c>
      <c r="CI131" s="22">
        <v>1666.18</v>
      </c>
      <c r="CJ131" s="22">
        <v>743.84</v>
      </c>
      <c r="CK131" s="22">
        <v>2735.9</v>
      </c>
      <c r="CL131" s="22">
        <v>874.61</v>
      </c>
      <c r="CM131" s="22">
        <v>116.16</v>
      </c>
      <c r="CN131" s="22">
        <v>1136.74</v>
      </c>
      <c r="CO131" s="22">
        <v>3635.68</v>
      </c>
      <c r="CP131" s="22">
        <v>2621.12</v>
      </c>
      <c r="CQ131" s="22">
        <v>2925.29</v>
      </c>
      <c r="CR131" s="22">
        <v>100.38</v>
      </c>
      <c r="CS131" s="22">
        <v>5015.26</v>
      </c>
      <c r="CT131" s="22">
        <v>1820.56</v>
      </c>
      <c r="CU131" s="22">
        <v>1711.18</v>
      </c>
      <c r="CV131" s="22">
        <v>212.46</v>
      </c>
      <c r="CW131" s="22">
        <v>229.96</v>
      </c>
      <c r="CX131" s="22">
        <v>804.1</v>
      </c>
      <c r="CY131" s="22">
        <v>550.11</v>
      </c>
      <c r="CZ131" s="22">
        <v>6630.9</v>
      </c>
      <c r="DA131" s="22">
        <v>2751.95</v>
      </c>
      <c r="DB131" s="22">
        <v>2600.71</v>
      </c>
      <c r="DC131" s="22">
        <v>73.33</v>
      </c>
      <c r="DD131" s="22">
        <v>3674.22</v>
      </c>
      <c r="DE131" s="72"/>
      <c r="DG131" s="76"/>
      <c r="DI131" s="76"/>
    </row>
    <row r="132" spans="1:113">
      <c r="A132" s="23"/>
      <c r="B132" s="19" t="s">
        <v>431</v>
      </c>
      <c r="C132" s="19" t="s">
        <v>428</v>
      </c>
      <c r="D132" s="20">
        <f t="shared" si="1"/>
        <v>421411.69</v>
      </c>
      <c r="E132" s="22">
        <v>45917.7</v>
      </c>
      <c r="F132" s="22">
        <v>2213.67</v>
      </c>
      <c r="G132" s="22">
        <v>794.67</v>
      </c>
      <c r="H132" s="22">
        <v>5999.28</v>
      </c>
      <c r="I132" s="22">
        <v>542.99</v>
      </c>
      <c r="J132" s="22">
        <v>911.38</v>
      </c>
      <c r="K132" s="22">
        <v>3396.09</v>
      </c>
      <c r="L132" s="21">
        <v>87.68</v>
      </c>
      <c r="M132" s="22">
        <v>4211.33</v>
      </c>
      <c r="N132" s="22">
        <v>135.19</v>
      </c>
      <c r="O132" s="22">
        <v>149.21</v>
      </c>
      <c r="P132" s="22">
        <v>5898.79</v>
      </c>
      <c r="Q132" s="22">
        <v>1444.99</v>
      </c>
      <c r="R132" s="22">
        <v>3513.82</v>
      </c>
      <c r="S132" s="22">
        <v>273.36</v>
      </c>
      <c r="T132" s="22">
        <v>706.91</v>
      </c>
      <c r="U132" s="22">
        <v>355.58</v>
      </c>
      <c r="V132" s="22">
        <v>600.5</v>
      </c>
      <c r="W132" s="22">
        <v>207.42</v>
      </c>
      <c r="X132" s="22">
        <v>63.01</v>
      </c>
      <c r="Y132" s="22">
        <v>462.96</v>
      </c>
      <c r="Z132" s="22">
        <v>4650.12</v>
      </c>
      <c r="AA132" s="22">
        <v>2805.97</v>
      </c>
      <c r="AB132" s="22">
        <v>485.84</v>
      </c>
      <c r="AC132" s="22">
        <v>3536.17</v>
      </c>
      <c r="AD132" s="22">
        <v>488.53</v>
      </c>
      <c r="AE132" s="22">
        <v>342</v>
      </c>
      <c r="AF132" s="22">
        <v>248.46</v>
      </c>
      <c r="AG132" s="22">
        <v>499.49</v>
      </c>
      <c r="AH132" s="22">
        <v>690.86</v>
      </c>
      <c r="AI132" s="22">
        <v>744.64</v>
      </c>
      <c r="AJ132" s="22">
        <v>3004.52</v>
      </c>
      <c r="AK132" s="22">
        <v>320.85000000000002</v>
      </c>
      <c r="AL132" s="22">
        <v>1031.55</v>
      </c>
      <c r="AM132" s="22">
        <v>1183.5</v>
      </c>
      <c r="AN132" s="22">
        <v>865.22</v>
      </c>
      <c r="AO132" s="22">
        <v>1060.8499999999999</v>
      </c>
      <c r="AP132" s="22">
        <v>470.67</v>
      </c>
      <c r="AQ132" s="22">
        <v>77.19</v>
      </c>
      <c r="AR132" s="22">
        <v>6562.81</v>
      </c>
      <c r="AS132" s="22">
        <v>1208.47</v>
      </c>
      <c r="AT132" s="22">
        <v>187.18</v>
      </c>
      <c r="AU132" s="22">
        <v>813.96</v>
      </c>
      <c r="AV132" s="22">
        <v>72.91</v>
      </c>
      <c r="AW132" s="22">
        <v>2462.16</v>
      </c>
      <c r="AX132" s="22">
        <v>541.66999999999996</v>
      </c>
      <c r="AY132" s="22">
        <v>1595.46</v>
      </c>
      <c r="AZ132" s="22">
        <v>0</v>
      </c>
      <c r="BA132" s="22">
        <v>5474.66</v>
      </c>
      <c r="BB132" s="22">
        <v>633.4</v>
      </c>
      <c r="BC132" s="22">
        <v>318.2</v>
      </c>
      <c r="BD132" s="22">
        <v>701</v>
      </c>
      <c r="BE132" s="22">
        <v>1100</v>
      </c>
      <c r="BF132" s="22">
        <v>864</v>
      </c>
      <c r="BG132" s="22">
        <v>701</v>
      </c>
      <c r="BH132" s="22">
        <v>580</v>
      </c>
      <c r="BI132" s="22">
        <v>86199.76</v>
      </c>
      <c r="BJ132" s="22">
        <v>122020.22</v>
      </c>
      <c r="BK132" s="22">
        <v>14474.38</v>
      </c>
      <c r="BL132" s="22">
        <v>6151.9</v>
      </c>
      <c r="BM132" s="22">
        <v>335.11</v>
      </c>
      <c r="BN132" s="22">
        <v>86.97</v>
      </c>
      <c r="BO132" s="22">
        <v>193.4</v>
      </c>
      <c r="BP132" s="22">
        <v>681.04</v>
      </c>
      <c r="BQ132" s="22">
        <v>564.97</v>
      </c>
      <c r="BR132" s="22">
        <v>455.11</v>
      </c>
      <c r="BS132" s="22">
        <v>919.68</v>
      </c>
      <c r="BT132" s="22">
        <v>1309.18</v>
      </c>
      <c r="BU132" s="22">
        <v>11427.14</v>
      </c>
      <c r="BV132" s="22">
        <v>128.87</v>
      </c>
      <c r="BW132" s="22">
        <v>251.98</v>
      </c>
      <c r="BX132" s="22">
        <v>804.53</v>
      </c>
      <c r="BY132" s="22">
        <v>430.92</v>
      </c>
      <c r="BZ132" s="22">
        <v>4174.46</v>
      </c>
      <c r="CA132" s="22">
        <v>309.66000000000003</v>
      </c>
      <c r="CB132" s="22">
        <v>413.93</v>
      </c>
      <c r="CC132" s="22">
        <v>127.85</v>
      </c>
      <c r="CD132" s="22">
        <v>635.34</v>
      </c>
      <c r="CE132" s="22">
        <v>117.87</v>
      </c>
      <c r="CF132" s="22">
        <v>323.82</v>
      </c>
      <c r="CG132" s="22">
        <v>1355.36</v>
      </c>
      <c r="CH132" s="22">
        <v>677.76</v>
      </c>
      <c r="CI132" s="22">
        <v>1666.18</v>
      </c>
      <c r="CJ132" s="22">
        <v>743.84</v>
      </c>
      <c r="CK132" s="22">
        <v>2735.9</v>
      </c>
      <c r="CL132" s="22">
        <v>874.61</v>
      </c>
      <c r="CM132" s="22">
        <v>116.16</v>
      </c>
      <c r="CN132" s="22">
        <v>1136.74</v>
      </c>
      <c r="CO132" s="22">
        <v>3635.68</v>
      </c>
      <c r="CP132" s="22">
        <v>2621.12</v>
      </c>
      <c r="CQ132" s="22">
        <v>2925.29</v>
      </c>
      <c r="CR132" s="22">
        <v>100.38</v>
      </c>
      <c r="CS132" s="22">
        <v>5015.26</v>
      </c>
      <c r="CT132" s="22">
        <v>1820.56</v>
      </c>
      <c r="CU132" s="22">
        <v>1711.18</v>
      </c>
      <c r="CV132" s="22">
        <v>212.46</v>
      </c>
      <c r="CW132" s="22">
        <v>229.96</v>
      </c>
      <c r="CX132" s="22">
        <v>804.1</v>
      </c>
      <c r="CY132" s="22">
        <v>550.11</v>
      </c>
      <c r="CZ132" s="22">
        <v>6630.9</v>
      </c>
      <c r="DA132" s="22">
        <v>2751.95</v>
      </c>
      <c r="DB132" s="22">
        <v>2600.71</v>
      </c>
      <c r="DC132" s="22">
        <v>73.33</v>
      </c>
      <c r="DD132" s="22">
        <v>3674.22</v>
      </c>
      <c r="DE132" s="72"/>
      <c r="DG132" s="76"/>
      <c r="DI132" s="76"/>
    </row>
    <row r="133" spans="1:113">
      <c r="A133" s="24" t="s">
        <v>432</v>
      </c>
      <c r="B133" s="25"/>
      <c r="C133" s="25"/>
      <c r="D133" s="16"/>
      <c r="E133" s="28"/>
      <c r="F133" s="28"/>
      <c r="G133" s="28"/>
      <c r="H133" s="28"/>
      <c r="I133" s="28"/>
      <c r="J133" s="28"/>
      <c r="K133" s="28"/>
      <c r="L133" s="64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  <c r="AG133" s="28"/>
      <c r="AH133" s="28"/>
      <c r="AI133" s="28"/>
      <c r="AJ133" s="28"/>
      <c r="AK133" s="28"/>
      <c r="AL133" s="28"/>
      <c r="AM133" s="28"/>
      <c r="AN133" s="28"/>
      <c r="AO133" s="28"/>
      <c r="AP133" s="28"/>
      <c r="AQ133" s="28"/>
      <c r="AR133" s="28"/>
      <c r="AS133" s="28"/>
      <c r="AT133" s="28"/>
      <c r="AU133" s="28"/>
      <c r="AV133" s="28"/>
      <c r="AW133" s="28"/>
      <c r="AX133" s="28"/>
      <c r="AY133" s="28"/>
      <c r="AZ133" s="28"/>
      <c r="BA133" s="28"/>
      <c r="BB133" s="28"/>
      <c r="BC133" s="28"/>
      <c r="BD133" s="28"/>
      <c r="BE133" s="28"/>
      <c r="BF133" s="28"/>
      <c r="BG133" s="28"/>
      <c r="BH133" s="28"/>
      <c r="BI133" s="28"/>
      <c r="BJ133" s="28"/>
      <c r="BK133" s="28"/>
      <c r="BL133" s="28"/>
      <c r="BM133" s="28"/>
      <c r="BN133" s="28"/>
      <c r="BO133" s="28"/>
      <c r="BP133" s="28"/>
      <c r="BQ133" s="28"/>
      <c r="BR133" s="28"/>
      <c r="BS133" s="28"/>
      <c r="BT133" s="28"/>
      <c r="BU133" s="28"/>
      <c r="BV133" s="28"/>
      <c r="BW133" s="28"/>
      <c r="BX133" s="28"/>
      <c r="BY133" s="28"/>
      <c r="BZ133" s="28"/>
      <c r="CA133" s="28"/>
      <c r="CB133" s="28"/>
      <c r="CC133" s="28"/>
      <c r="CD133" s="28"/>
      <c r="CE133" s="28"/>
      <c r="CF133" s="28"/>
      <c r="CG133" s="28"/>
      <c r="CH133" s="28"/>
      <c r="CI133" s="28"/>
      <c r="CJ133" s="28"/>
      <c r="CK133" s="28"/>
      <c r="CL133" s="28"/>
      <c r="CM133" s="28"/>
      <c r="CN133" s="28"/>
      <c r="CO133" s="28"/>
      <c r="CP133" s="28"/>
      <c r="CQ133" s="28"/>
      <c r="CR133" s="28"/>
      <c r="CS133" s="28"/>
      <c r="CT133" s="28"/>
      <c r="CU133" s="28"/>
      <c r="CV133" s="28"/>
      <c r="CW133" s="28"/>
      <c r="CX133" s="28"/>
      <c r="CY133" s="28"/>
      <c r="CZ133" s="28"/>
      <c r="DA133" s="28"/>
      <c r="DB133" s="28"/>
      <c r="DC133" s="28"/>
      <c r="DD133" s="28"/>
      <c r="DE133" s="72"/>
      <c r="DG133" s="76"/>
      <c r="DI133" s="76"/>
    </row>
    <row r="134" spans="1:113">
      <c r="A134" s="23"/>
      <c r="B134" s="19" t="s">
        <v>433</v>
      </c>
      <c r="C134" s="19" t="s">
        <v>434</v>
      </c>
      <c r="D134" s="20">
        <f t="shared" si="1"/>
        <v>361121.9</v>
      </c>
      <c r="E134" s="22">
        <v>116639</v>
      </c>
      <c r="F134" s="22">
        <v>3195</v>
      </c>
      <c r="G134" s="22">
        <v>0</v>
      </c>
      <c r="H134" s="22">
        <v>0</v>
      </c>
      <c r="I134" s="22">
        <v>753</v>
      </c>
      <c r="J134" s="22">
        <v>0</v>
      </c>
      <c r="K134" s="22">
        <v>3901</v>
      </c>
      <c r="L134" s="21">
        <v>0</v>
      </c>
      <c r="M134" s="22">
        <v>0</v>
      </c>
      <c r="N134" s="22">
        <v>0</v>
      </c>
      <c r="O134" s="22">
        <v>0</v>
      </c>
      <c r="P134" s="22">
        <v>1537</v>
      </c>
      <c r="Q134" s="22">
        <v>0</v>
      </c>
      <c r="R134" s="22">
        <v>2355</v>
      </c>
      <c r="S134" s="22">
        <v>153</v>
      </c>
      <c r="T134" s="22">
        <v>739</v>
      </c>
      <c r="U134" s="22">
        <v>0</v>
      </c>
      <c r="V134" s="22">
        <v>1416</v>
      </c>
      <c r="W134" s="22">
        <v>0</v>
      </c>
      <c r="X134" s="22">
        <v>0</v>
      </c>
      <c r="Y134" s="22">
        <v>208</v>
      </c>
      <c r="Z134" s="22">
        <v>1636</v>
      </c>
      <c r="AA134" s="22">
        <v>1912</v>
      </c>
      <c r="AB134" s="22">
        <v>1250</v>
      </c>
      <c r="AC134" s="22">
        <v>2714</v>
      </c>
      <c r="AD134" s="22">
        <v>0</v>
      </c>
      <c r="AE134" s="22">
        <v>0</v>
      </c>
      <c r="AF134" s="22">
        <v>0</v>
      </c>
      <c r="AG134" s="22">
        <v>0</v>
      </c>
      <c r="AH134" s="22">
        <v>0</v>
      </c>
      <c r="AI134" s="22">
        <v>641</v>
      </c>
      <c r="AJ134" s="22">
        <v>662</v>
      </c>
      <c r="AK134" s="22">
        <v>118</v>
      </c>
      <c r="AL134" s="22">
        <v>0</v>
      </c>
      <c r="AM134" s="22">
        <v>0</v>
      </c>
      <c r="AN134" s="22">
        <v>0</v>
      </c>
      <c r="AO134" s="22">
        <v>181</v>
      </c>
      <c r="AP134" s="22">
        <v>0</v>
      </c>
      <c r="AQ134" s="22">
        <v>0</v>
      </c>
      <c r="AR134" s="22">
        <v>0</v>
      </c>
      <c r="AS134" s="22">
        <v>339</v>
      </c>
      <c r="AT134" s="22">
        <v>0</v>
      </c>
      <c r="AU134" s="22">
        <v>0</v>
      </c>
      <c r="AV134" s="22">
        <v>0</v>
      </c>
      <c r="AW134" s="22">
        <v>0</v>
      </c>
      <c r="AX134" s="22">
        <v>1505</v>
      </c>
      <c r="AY134" s="22">
        <v>386</v>
      </c>
      <c r="AZ134" s="22">
        <v>0</v>
      </c>
      <c r="BA134" s="22">
        <v>1164</v>
      </c>
      <c r="BB134" s="22">
        <v>0</v>
      </c>
      <c r="BC134" s="22">
        <v>0</v>
      </c>
      <c r="BD134" s="22">
        <v>0</v>
      </c>
      <c r="BE134" s="22">
        <v>0</v>
      </c>
      <c r="BF134" s="22">
        <v>0</v>
      </c>
      <c r="BG134" s="22">
        <v>0</v>
      </c>
      <c r="BH134" s="22">
        <v>0</v>
      </c>
      <c r="BI134" s="22">
        <v>37059</v>
      </c>
      <c r="BJ134" s="22">
        <v>124289</v>
      </c>
      <c r="BK134" s="22">
        <v>5697</v>
      </c>
      <c r="BL134" s="22">
        <v>1706</v>
      </c>
      <c r="BM134" s="22">
        <v>0</v>
      </c>
      <c r="BN134" s="22">
        <v>0</v>
      </c>
      <c r="BO134" s="22">
        <v>97.9</v>
      </c>
      <c r="BP134" s="22">
        <v>0</v>
      </c>
      <c r="BQ134" s="22">
        <v>543</v>
      </c>
      <c r="BR134" s="22">
        <v>0</v>
      </c>
      <c r="BS134" s="22">
        <v>196</v>
      </c>
      <c r="BT134" s="22">
        <v>503</v>
      </c>
      <c r="BU134" s="22">
        <v>11000</v>
      </c>
      <c r="BV134" s="22">
        <v>0</v>
      </c>
      <c r="BW134" s="22">
        <v>0</v>
      </c>
      <c r="BX134" s="22">
        <v>0</v>
      </c>
      <c r="BY134" s="22">
        <v>0</v>
      </c>
      <c r="BZ134" s="22">
        <v>864</v>
      </c>
      <c r="CA134" s="22">
        <v>283</v>
      </c>
      <c r="CB134" s="22">
        <v>0</v>
      </c>
      <c r="CC134" s="22">
        <v>0</v>
      </c>
      <c r="CD134" s="22">
        <v>354</v>
      </c>
      <c r="CE134" s="22">
        <v>284</v>
      </c>
      <c r="CF134" s="22">
        <v>0</v>
      </c>
      <c r="CG134" s="22">
        <v>0</v>
      </c>
      <c r="CH134" s="22">
        <v>0</v>
      </c>
      <c r="CI134" s="22">
        <v>0</v>
      </c>
      <c r="CJ134" s="22">
        <v>0</v>
      </c>
      <c r="CK134" s="22">
        <v>3691</v>
      </c>
      <c r="CL134" s="22">
        <v>0</v>
      </c>
      <c r="CM134" s="22">
        <v>0</v>
      </c>
      <c r="CN134" s="22">
        <v>0</v>
      </c>
      <c r="CO134" s="22">
        <v>181</v>
      </c>
      <c r="CP134" s="22">
        <v>0</v>
      </c>
      <c r="CQ134" s="22">
        <v>1121</v>
      </c>
      <c r="CR134" s="22">
        <v>0</v>
      </c>
      <c r="CS134" s="22">
        <v>0</v>
      </c>
      <c r="CT134" s="22">
        <v>0</v>
      </c>
      <c r="CU134" s="22">
        <v>308</v>
      </c>
      <c r="CV134" s="22">
        <v>0</v>
      </c>
      <c r="CW134" s="22">
        <v>0</v>
      </c>
      <c r="CX134" s="22">
        <v>0</v>
      </c>
      <c r="CY134" s="22">
        <v>0</v>
      </c>
      <c r="CZ134" s="22">
        <v>2296</v>
      </c>
      <c r="DA134" s="22">
        <v>0</v>
      </c>
      <c r="DB134" s="22">
        <v>0</v>
      </c>
      <c r="DC134" s="22">
        <v>0</v>
      </c>
      <c r="DD134" s="22">
        <v>27245</v>
      </c>
      <c r="DE134" s="72"/>
      <c r="DG134" s="76"/>
      <c r="DI134" s="76"/>
    </row>
    <row r="135" spans="1:113">
      <c r="A135" s="23"/>
      <c r="B135" s="19" t="s">
        <v>435</v>
      </c>
      <c r="C135" s="19" t="s">
        <v>434</v>
      </c>
      <c r="D135" s="20">
        <f t="shared" si="1"/>
        <v>341573</v>
      </c>
      <c r="E135" s="22">
        <v>115057</v>
      </c>
      <c r="F135" s="22">
        <v>3157</v>
      </c>
      <c r="G135" s="22">
        <v>0</v>
      </c>
      <c r="H135" s="22">
        <v>0</v>
      </c>
      <c r="I135" s="22">
        <v>586</v>
      </c>
      <c r="J135" s="22">
        <v>0</v>
      </c>
      <c r="K135" s="22">
        <v>5254</v>
      </c>
      <c r="L135" s="21">
        <v>0</v>
      </c>
      <c r="M135" s="22">
        <v>0</v>
      </c>
      <c r="N135" s="22">
        <v>0</v>
      </c>
      <c r="O135" s="22">
        <v>0</v>
      </c>
      <c r="P135" s="22">
        <v>1736</v>
      </c>
      <c r="Q135" s="22">
        <v>0</v>
      </c>
      <c r="R135" s="22">
        <v>2206</v>
      </c>
      <c r="S135" s="22">
        <v>174</v>
      </c>
      <c r="T135" s="22">
        <v>729</v>
      </c>
      <c r="U135" s="22">
        <v>0</v>
      </c>
      <c r="V135" s="22">
        <v>1777</v>
      </c>
      <c r="W135" s="22">
        <v>0</v>
      </c>
      <c r="X135" s="22">
        <v>0</v>
      </c>
      <c r="Y135" s="22">
        <v>168</v>
      </c>
      <c r="Z135" s="22">
        <v>1662</v>
      </c>
      <c r="AA135" s="22">
        <v>626</v>
      </c>
      <c r="AB135" s="22">
        <v>1681</v>
      </c>
      <c r="AC135" s="22">
        <v>2978</v>
      </c>
      <c r="AD135" s="22">
        <v>0</v>
      </c>
      <c r="AE135" s="22">
        <v>0</v>
      </c>
      <c r="AF135" s="22">
        <v>0</v>
      </c>
      <c r="AG135" s="22">
        <v>0</v>
      </c>
      <c r="AH135" s="22">
        <v>0</v>
      </c>
      <c r="AI135" s="22">
        <v>730</v>
      </c>
      <c r="AJ135" s="22">
        <v>705</v>
      </c>
      <c r="AK135" s="22">
        <v>108</v>
      </c>
      <c r="AL135" s="22">
        <v>0</v>
      </c>
      <c r="AM135" s="22">
        <v>0</v>
      </c>
      <c r="AN135" s="22">
        <v>0</v>
      </c>
      <c r="AO135" s="22">
        <v>251</v>
      </c>
      <c r="AP135" s="22">
        <v>0</v>
      </c>
      <c r="AQ135" s="22">
        <v>0</v>
      </c>
      <c r="AR135" s="22">
        <v>0</v>
      </c>
      <c r="AS135" s="22">
        <v>394</v>
      </c>
      <c r="AT135" s="22">
        <v>0</v>
      </c>
      <c r="AU135" s="22">
        <v>0</v>
      </c>
      <c r="AV135" s="22">
        <v>0</v>
      </c>
      <c r="AW135" s="22">
        <v>0</v>
      </c>
      <c r="AX135" s="22">
        <v>717</v>
      </c>
      <c r="AY135" s="22">
        <v>354</v>
      </c>
      <c r="AZ135" s="22">
        <v>0</v>
      </c>
      <c r="BA135" s="22">
        <v>657</v>
      </c>
      <c r="BB135" s="22">
        <v>0</v>
      </c>
      <c r="BC135" s="22">
        <v>0</v>
      </c>
      <c r="BD135" s="22">
        <v>0</v>
      </c>
      <c r="BE135" s="22">
        <v>0</v>
      </c>
      <c r="BF135" s="22">
        <v>0</v>
      </c>
      <c r="BG135" s="22">
        <v>0</v>
      </c>
      <c r="BH135" s="22">
        <v>0</v>
      </c>
      <c r="BI135" s="22">
        <v>41829</v>
      </c>
      <c r="BJ135" s="22">
        <v>117906</v>
      </c>
      <c r="BK135" s="22">
        <v>6794</v>
      </c>
      <c r="BL135" s="22">
        <v>1655</v>
      </c>
      <c r="BM135" s="22">
        <v>0</v>
      </c>
      <c r="BN135" s="22">
        <v>0</v>
      </c>
      <c r="BO135" s="22">
        <v>291</v>
      </c>
      <c r="BP135" s="22">
        <v>0</v>
      </c>
      <c r="BQ135" s="22">
        <v>1561</v>
      </c>
      <c r="BR135" s="22">
        <v>0</v>
      </c>
      <c r="BS135" s="22">
        <v>140</v>
      </c>
      <c r="BT135" s="22">
        <v>366</v>
      </c>
      <c r="BU135" s="22">
        <v>7009</v>
      </c>
      <c r="BV135" s="22">
        <v>0</v>
      </c>
      <c r="BW135" s="22">
        <v>0</v>
      </c>
      <c r="BX135" s="22">
        <v>0</v>
      </c>
      <c r="BY135" s="22">
        <v>0</v>
      </c>
      <c r="BZ135" s="22">
        <v>730</v>
      </c>
      <c r="CA135" s="22">
        <v>297</v>
      </c>
      <c r="CB135" s="22">
        <v>0</v>
      </c>
      <c r="CC135" s="22">
        <v>0</v>
      </c>
      <c r="CD135" s="22">
        <v>676</v>
      </c>
      <c r="CE135" s="22">
        <v>357</v>
      </c>
      <c r="CF135" s="22">
        <v>0</v>
      </c>
      <c r="CG135" s="22">
        <v>0</v>
      </c>
      <c r="CH135" s="22">
        <v>0</v>
      </c>
      <c r="CI135" s="22">
        <v>0</v>
      </c>
      <c r="CJ135" s="22">
        <v>0</v>
      </c>
      <c r="CK135" s="22">
        <v>3564</v>
      </c>
      <c r="CL135" s="22">
        <v>0</v>
      </c>
      <c r="CM135" s="22">
        <v>0</v>
      </c>
      <c r="CN135" s="22">
        <v>0</v>
      </c>
      <c r="CO135" s="22">
        <v>142</v>
      </c>
      <c r="CP135" s="22">
        <v>0</v>
      </c>
      <c r="CQ135" s="22">
        <v>535</v>
      </c>
      <c r="CR135" s="22">
        <v>0</v>
      </c>
      <c r="CS135" s="22">
        <v>0</v>
      </c>
      <c r="CT135" s="22">
        <v>0</v>
      </c>
      <c r="CU135" s="22">
        <v>379</v>
      </c>
      <c r="CV135" s="22">
        <v>0</v>
      </c>
      <c r="CW135" s="22">
        <v>0</v>
      </c>
      <c r="CX135" s="22">
        <v>0</v>
      </c>
      <c r="CY135" s="22">
        <v>0</v>
      </c>
      <c r="CZ135" s="22">
        <v>2646</v>
      </c>
      <c r="DA135" s="22">
        <v>0</v>
      </c>
      <c r="DB135" s="22">
        <v>0</v>
      </c>
      <c r="DC135" s="22">
        <v>0</v>
      </c>
      <c r="DD135" s="22">
        <v>12989</v>
      </c>
      <c r="DE135" s="72"/>
      <c r="DG135" s="76"/>
      <c r="DI135" s="76"/>
    </row>
    <row r="136" spans="1:113">
      <c r="A136" s="23"/>
      <c r="B136" s="19" t="s">
        <v>436</v>
      </c>
      <c r="C136" s="19" t="s">
        <v>434</v>
      </c>
      <c r="D136" s="20">
        <f t="shared" si="1"/>
        <v>301236</v>
      </c>
      <c r="E136" s="22">
        <v>99949</v>
      </c>
      <c r="F136" s="22">
        <v>2732</v>
      </c>
      <c r="G136" s="22">
        <v>0</v>
      </c>
      <c r="H136" s="22">
        <v>0</v>
      </c>
      <c r="I136" s="22">
        <v>348</v>
      </c>
      <c r="J136" s="22">
        <v>0</v>
      </c>
      <c r="K136" s="22">
        <v>5417</v>
      </c>
      <c r="L136" s="21">
        <v>0</v>
      </c>
      <c r="M136" s="22">
        <v>0</v>
      </c>
      <c r="N136" s="22">
        <v>0</v>
      </c>
      <c r="O136" s="22">
        <v>0</v>
      </c>
      <c r="P136" s="22">
        <v>2057</v>
      </c>
      <c r="Q136" s="22">
        <v>0</v>
      </c>
      <c r="R136" s="22">
        <v>2814</v>
      </c>
      <c r="S136" s="22">
        <v>176</v>
      </c>
      <c r="T136" s="22">
        <v>968</v>
      </c>
      <c r="U136" s="22">
        <v>0</v>
      </c>
      <c r="V136" s="22">
        <v>1930</v>
      </c>
      <c r="W136" s="22">
        <v>0</v>
      </c>
      <c r="X136" s="22">
        <v>0</v>
      </c>
      <c r="Y136" s="22">
        <v>69</v>
      </c>
      <c r="Z136" s="22">
        <v>1994</v>
      </c>
      <c r="AA136" s="22">
        <v>597</v>
      </c>
      <c r="AB136" s="22">
        <v>1945</v>
      </c>
      <c r="AC136" s="22">
        <v>3039</v>
      </c>
      <c r="AD136" s="22">
        <v>0</v>
      </c>
      <c r="AE136" s="22">
        <v>0</v>
      </c>
      <c r="AF136" s="22">
        <v>0</v>
      </c>
      <c r="AG136" s="22">
        <v>0</v>
      </c>
      <c r="AH136" s="22">
        <v>0</v>
      </c>
      <c r="AI136" s="22">
        <v>329</v>
      </c>
      <c r="AJ136" s="22">
        <v>1182</v>
      </c>
      <c r="AK136" s="22">
        <v>141</v>
      </c>
      <c r="AL136" s="22">
        <v>0</v>
      </c>
      <c r="AM136" s="22">
        <v>0</v>
      </c>
      <c r="AN136" s="22">
        <v>0</v>
      </c>
      <c r="AO136" s="22">
        <v>226</v>
      </c>
      <c r="AP136" s="22">
        <v>0</v>
      </c>
      <c r="AQ136" s="22">
        <v>0</v>
      </c>
      <c r="AR136" s="22">
        <v>0</v>
      </c>
      <c r="AS136" s="22">
        <v>431</v>
      </c>
      <c r="AT136" s="22">
        <v>0</v>
      </c>
      <c r="AU136" s="22">
        <v>0</v>
      </c>
      <c r="AV136" s="22">
        <v>0</v>
      </c>
      <c r="AW136" s="22">
        <v>613</v>
      </c>
      <c r="AX136" s="22">
        <v>1052</v>
      </c>
      <c r="AY136" s="22">
        <v>938</v>
      </c>
      <c r="AZ136" s="22">
        <v>0</v>
      </c>
      <c r="BA136" s="22">
        <v>810</v>
      </c>
      <c r="BB136" s="22">
        <v>0</v>
      </c>
      <c r="BC136" s="22">
        <v>0</v>
      </c>
      <c r="BD136" s="22">
        <v>0</v>
      </c>
      <c r="BE136" s="22">
        <v>0</v>
      </c>
      <c r="BF136" s="22">
        <v>0</v>
      </c>
      <c r="BG136" s="22">
        <v>0</v>
      </c>
      <c r="BH136" s="22">
        <v>0</v>
      </c>
      <c r="BI136" s="22">
        <v>41935</v>
      </c>
      <c r="BJ136" s="22">
        <v>103042</v>
      </c>
      <c r="BK136" s="22">
        <v>5080</v>
      </c>
      <c r="BL136" s="22">
        <v>1707</v>
      </c>
      <c r="BM136" s="22">
        <v>0</v>
      </c>
      <c r="BN136" s="22">
        <v>0</v>
      </c>
      <c r="BO136" s="22">
        <v>233</v>
      </c>
      <c r="BP136" s="22">
        <v>0</v>
      </c>
      <c r="BQ136" s="22">
        <v>855</v>
      </c>
      <c r="BR136" s="22">
        <v>0</v>
      </c>
      <c r="BS136" s="22">
        <v>159</v>
      </c>
      <c r="BT136" s="22">
        <v>460</v>
      </c>
      <c r="BU136" s="22">
        <v>3920</v>
      </c>
      <c r="BV136" s="22">
        <v>0</v>
      </c>
      <c r="BW136" s="22">
        <v>0</v>
      </c>
      <c r="BX136" s="22">
        <v>0</v>
      </c>
      <c r="BY136" s="22">
        <v>0</v>
      </c>
      <c r="BZ136" s="22">
        <v>867</v>
      </c>
      <c r="CA136" s="22">
        <v>579</v>
      </c>
      <c r="CB136" s="22">
        <v>0</v>
      </c>
      <c r="CC136" s="22">
        <v>0</v>
      </c>
      <c r="CD136" s="22">
        <v>248</v>
      </c>
      <c r="CE136" s="22">
        <v>410</v>
      </c>
      <c r="CF136" s="22">
        <v>0</v>
      </c>
      <c r="CG136" s="22">
        <v>0</v>
      </c>
      <c r="CH136" s="22">
        <v>0</v>
      </c>
      <c r="CI136" s="22">
        <v>0</v>
      </c>
      <c r="CJ136" s="22">
        <v>0</v>
      </c>
      <c r="CK136" s="22">
        <v>3574</v>
      </c>
      <c r="CL136" s="22">
        <v>0</v>
      </c>
      <c r="CM136" s="22">
        <v>0</v>
      </c>
      <c r="CN136" s="22">
        <v>0</v>
      </c>
      <c r="CO136" s="22">
        <v>170</v>
      </c>
      <c r="CP136" s="22">
        <v>0</v>
      </c>
      <c r="CQ136" s="22">
        <v>715</v>
      </c>
      <c r="CR136" s="22">
        <v>0</v>
      </c>
      <c r="CS136" s="22">
        <v>0</v>
      </c>
      <c r="CT136" s="22">
        <v>0</v>
      </c>
      <c r="CU136" s="22">
        <v>349</v>
      </c>
      <c r="CV136" s="22">
        <v>0</v>
      </c>
      <c r="CW136" s="22">
        <v>0</v>
      </c>
      <c r="CX136" s="22">
        <v>0</v>
      </c>
      <c r="CY136" s="22">
        <v>0</v>
      </c>
      <c r="CZ136" s="22">
        <v>1926</v>
      </c>
      <c r="DA136" s="22">
        <v>0</v>
      </c>
      <c r="DB136" s="22">
        <v>0</v>
      </c>
      <c r="DC136" s="22">
        <v>0</v>
      </c>
      <c r="DD136" s="22">
        <v>5250</v>
      </c>
      <c r="DE136" s="72"/>
      <c r="DG136" s="76"/>
      <c r="DI136" s="76"/>
    </row>
    <row r="137" spans="1:113">
      <c r="A137"/>
      <c r="B137"/>
      <c r="C137"/>
      <c r="E137" s="31"/>
      <c r="F137" s="31"/>
      <c r="G137" s="31"/>
      <c r="H137" s="31"/>
      <c r="I137" s="31"/>
      <c r="J137" s="31"/>
      <c r="K137" s="31"/>
      <c r="L137" s="65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1"/>
      <c r="AX137" s="31"/>
      <c r="AY137" s="31"/>
      <c r="AZ137" s="31"/>
      <c r="BA137" s="31"/>
      <c r="BB137" s="31"/>
      <c r="BC137" s="31"/>
      <c r="BD137" s="31"/>
      <c r="BE137" s="31"/>
      <c r="BF137" s="31"/>
      <c r="BG137" s="31"/>
      <c r="BH137" s="31"/>
      <c r="BI137" s="31"/>
      <c r="BJ137" s="31"/>
      <c r="BK137" s="31"/>
      <c r="BL137" s="31"/>
      <c r="BM137" s="31"/>
      <c r="BN137" s="31"/>
      <c r="BO137" s="31"/>
      <c r="BP137" s="31"/>
      <c r="BQ137" s="31"/>
      <c r="BR137" s="31"/>
      <c r="BS137" s="31"/>
      <c r="BT137" s="31"/>
      <c r="BU137" s="31"/>
      <c r="BV137" s="31"/>
      <c r="BW137" s="31"/>
      <c r="BX137" s="31"/>
      <c r="BY137" s="31"/>
      <c r="BZ137" s="31"/>
      <c r="CA137" s="31"/>
      <c r="CB137" s="31"/>
      <c r="CC137" s="31"/>
      <c r="CD137" s="31"/>
      <c r="CE137" s="31"/>
      <c r="CF137" s="31"/>
      <c r="CG137" s="31"/>
      <c r="CH137" s="31"/>
      <c r="CI137" s="31"/>
      <c r="CJ137" s="31"/>
      <c r="CK137" s="31"/>
      <c r="CL137" s="31"/>
      <c r="CM137" s="31"/>
      <c r="CN137" s="31"/>
      <c r="CO137" s="31"/>
      <c r="CP137" s="31"/>
      <c r="CQ137" s="31"/>
      <c r="CR137" s="31"/>
      <c r="CS137" s="31"/>
      <c r="CT137" s="31"/>
      <c r="CU137" s="31"/>
      <c r="CV137" s="31"/>
      <c r="CW137" s="31"/>
      <c r="CX137" s="31"/>
      <c r="CY137" s="31"/>
      <c r="CZ137" s="31"/>
      <c r="DA137" s="31"/>
      <c r="DB137" s="31"/>
      <c r="DC137" s="31"/>
      <c r="DD137" s="31"/>
      <c r="DF137" s="70"/>
    </row>
    <row r="138" spans="1:113">
      <c r="A138"/>
      <c r="B138"/>
      <c r="D138" s="37"/>
      <c r="DG138" s="76"/>
    </row>
    <row r="139" spans="1:113">
      <c r="D139" s="48"/>
    </row>
  </sheetData>
  <mergeCells count="4">
    <mergeCell ref="A1:C7"/>
    <mergeCell ref="BE14:BF14"/>
    <mergeCell ref="E71:DD71"/>
    <mergeCell ref="E72:DD72"/>
  </mergeCells>
  <pageMargins left="0.70866141732283472" right="0.70866141732283472" top="0.74803149606299213" bottom="0.74803149606299213" header="0.31496062992125984" footer="0.31496062992125984"/>
  <pageSetup paperSize="8" scale="10" fitToHeight="5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BF0CB-7531-4722-B368-CF4F98C6191F}">
  <sheetPr codeName="Sheet3">
    <pageSetUpPr fitToPage="1"/>
  </sheetPr>
  <dimension ref="A1:AZ139"/>
  <sheetViews>
    <sheetView showGridLines="0" topLeftCell="A110" zoomScale="80" zoomScaleNormal="80" zoomScaleSheetLayoutView="68" workbookViewId="0">
      <selection activeCell="B43" sqref="B43"/>
    </sheetView>
  </sheetViews>
  <sheetFormatPr defaultColWidth="9.140625" defaultRowHeight="15.95"/>
  <cols>
    <col min="1" max="1" width="27.7109375" style="4" customWidth="1"/>
    <col min="2" max="2" width="57.42578125" style="30" customWidth="1"/>
    <col min="3" max="3" width="29.5703125" style="30" bestFit="1" customWidth="1"/>
    <col min="4" max="4" width="28.5703125" style="31" customWidth="1"/>
    <col min="5" max="5" width="18.42578125" style="32" bestFit="1" customWidth="1"/>
    <col min="6" max="6" width="24.28515625" style="32" bestFit="1" customWidth="1"/>
    <col min="7" max="7" width="30.140625" style="32" bestFit="1" customWidth="1"/>
    <col min="8" max="8" width="31.28515625" style="32" customWidth="1"/>
    <col min="9" max="9" width="28.7109375" style="32" bestFit="1" customWidth="1"/>
    <col min="10" max="10" width="30.5703125" style="32" customWidth="1"/>
    <col min="11" max="11" width="23" style="32" bestFit="1" customWidth="1"/>
    <col min="12" max="12" width="33.85546875" style="32" bestFit="1" customWidth="1"/>
    <col min="13" max="13" width="29.85546875" style="32" bestFit="1" customWidth="1"/>
    <col min="14" max="14" width="35.42578125" style="32" bestFit="1" customWidth="1"/>
    <col min="15" max="15" width="25.7109375" style="32" bestFit="1" customWidth="1"/>
    <col min="16" max="16" width="29.140625" style="32" bestFit="1" customWidth="1"/>
    <col min="17" max="17" width="26.42578125" style="32" bestFit="1" customWidth="1"/>
    <col min="18" max="18" width="28.140625" style="32" bestFit="1" customWidth="1"/>
    <col min="19" max="20" width="36.140625" style="32" bestFit="1" customWidth="1"/>
    <col min="21" max="21" width="20.85546875" style="32" bestFit="1" customWidth="1"/>
    <col min="22" max="22" width="33.85546875" style="32" bestFit="1" customWidth="1"/>
    <col min="23" max="23" width="27.42578125" style="32" bestFit="1" customWidth="1"/>
    <col min="24" max="24" width="26.5703125" style="32" bestFit="1" customWidth="1"/>
    <col min="25" max="25" width="36.42578125" style="32" bestFit="1" customWidth="1"/>
    <col min="26" max="26" width="37" style="32" bestFit="1" customWidth="1"/>
    <col min="27" max="27" width="33.42578125" style="32" bestFit="1" customWidth="1"/>
    <col min="28" max="28" width="25.5703125" style="32" bestFit="1" customWidth="1"/>
    <col min="29" max="29" width="24.42578125" style="32" bestFit="1" customWidth="1"/>
    <col min="30" max="30" width="31.5703125" style="32" bestFit="1" customWidth="1"/>
    <col min="31" max="32" width="33.140625" style="32" customWidth="1"/>
    <col min="33" max="33" width="22.42578125" style="32" bestFit="1" customWidth="1"/>
    <col min="34" max="34" width="25" style="32" bestFit="1" customWidth="1"/>
    <col min="35" max="35" width="31.85546875" style="32" bestFit="1" customWidth="1"/>
    <col min="36" max="36" width="28.28515625" style="32" bestFit="1" customWidth="1"/>
    <col min="37" max="37" width="22.7109375" style="32" bestFit="1" customWidth="1"/>
    <col min="38" max="38" width="33.42578125" style="32" bestFit="1" customWidth="1"/>
    <col min="39" max="39" width="31" style="32" bestFit="1" customWidth="1"/>
    <col min="40" max="40" width="25.5703125" style="32" customWidth="1"/>
    <col min="41" max="41" width="26.85546875" style="32" bestFit="1" customWidth="1"/>
    <col min="42" max="42" width="26.85546875" style="32" customWidth="1"/>
    <col min="43" max="43" width="26.42578125" style="32" customWidth="1"/>
    <col min="44" max="44" width="23.28515625" style="32" bestFit="1" customWidth="1"/>
    <col min="45" max="45" width="24.28515625" style="32" customWidth="1"/>
    <col min="46" max="46" width="22.28515625" style="32" bestFit="1" customWidth="1"/>
    <col min="47" max="47" width="26.85546875" style="32" bestFit="1" customWidth="1"/>
    <col min="48" max="48" width="11.5703125" style="77" bestFit="1" customWidth="1"/>
    <col min="49" max="49" width="15.85546875" style="67" bestFit="1" customWidth="1"/>
    <col min="50" max="50" width="14.7109375" style="76" bestFit="1" customWidth="1"/>
    <col min="51" max="51" width="8.7109375"/>
    <col min="52" max="52" width="15.85546875" style="67" bestFit="1" customWidth="1"/>
    <col min="216" max="216" width="24.5703125" customWidth="1"/>
    <col min="217" max="217" width="59.5703125" customWidth="1"/>
    <col min="218" max="218" width="23.140625" customWidth="1"/>
    <col min="219" max="219" width="14.85546875" bestFit="1" customWidth="1"/>
    <col min="220" max="221" width="20.42578125" customWidth="1"/>
    <col min="222" max="222" width="17.42578125" customWidth="1"/>
    <col min="223" max="223" width="11.5703125" bestFit="1" customWidth="1"/>
    <col min="224" max="224" width="16.140625" customWidth="1"/>
    <col min="226" max="226" width="14.140625" bestFit="1" customWidth="1"/>
    <col min="472" max="472" width="24.5703125" customWidth="1"/>
    <col min="473" max="473" width="59.5703125" customWidth="1"/>
    <col min="474" max="474" width="23.140625" customWidth="1"/>
    <col min="475" max="475" width="14.85546875" bestFit="1" customWidth="1"/>
    <col min="476" max="477" width="20.42578125" customWidth="1"/>
    <col min="478" max="478" width="17.42578125" customWidth="1"/>
    <col min="479" max="479" width="11.5703125" bestFit="1" customWidth="1"/>
    <col min="480" max="480" width="16.140625" customWidth="1"/>
    <col min="482" max="482" width="14.140625" bestFit="1" customWidth="1"/>
    <col min="728" max="728" width="24.5703125" customWidth="1"/>
    <col min="729" max="729" width="59.5703125" customWidth="1"/>
    <col min="730" max="730" width="23.140625" customWidth="1"/>
    <col min="731" max="731" width="14.85546875" bestFit="1" customWidth="1"/>
    <col min="732" max="733" width="20.42578125" customWidth="1"/>
    <col min="734" max="734" width="17.42578125" customWidth="1"/>
    <col min="735" max="735" width="11.5703125" bestFit="1" customWidth="1"/>
    <col min="736" max="736" width="16.140625" customWidth="1"/>
    <col min="738" max="738" width="14.140625" bestFit="1" customWidth="1"/>
    <col min="984" max="984" width="24.5703125" customWidth="1"/>
    <col min="985" max="985" width="59.5703125" customWidth="1"/>
    <col min="986" max="986" width="23.140625" customWidth="1"/>
    <col min="987" max="987" width="14.85546875" bestFit="1" customWidth="1"/>
    <col min="988" max="989" width="20.42578125" customWidth="1"/>
    <col min="990" max="990" width="17.42578125" customWidth="1"/>
    <col min="991" max="991" width="11.5703125" bestFit="1" customWidth="1"/>
    <col min="992" max="992" width="16.140625" customWidth="1"/>
    <col min="994" max="994" width="14.140625" bestFit="1" customWidth="1"/>
    <col min="1240" max="1240" width="24.5703125" customWidth="1"/>
    <col min="1241" max="1241" width="59.5703125" customWidth="1"/>
    <col min="1242" max="1242" width="23.140625" customWidth="1"/>
    <col min="1243" max="1243" width="14.85546875" bestFit="1" customWidth="1"/>
    <col min="1244" max="1245" width="20.42578125" customWidth="1"/>
    <col min="1246" max="1246" width="17.42578125" customWidth="1"/>
    <col min="1247" max="1247" width="11.5703125" bestFit="1" customWidth="1"/>
    <col min="1248" max="1248" width="16.140625" customWidth="1"/>
    <col min="1250" max="1250" width="14.140625" bestFit="1" customWidth="1"/>
    <col min="1496" max="1496" width="24.5703125" customWidth="1"/>
    <col min="1497" max="1497" width="59.5703125" customWidth="1"/>
    <col min="1498" max="1498" width="23.140625" customWidth="1"/>
    <col min="1499" max="1499" width="14.85546875" bestFit="1" customWidth="1"/>
    <col min="1500" max="1501" width="20.42578125" customWidth="1"/>
    <col min="1502" max="1502" width="17.42578125" customWidth="1"/>
    <col min="1503" max="1503" width="11.5703125" bestFit="1" customWidth="1"/>
    <col min="1504" max="1504" width="16.140625" customWidth="1"/>
    <col min="1506" max="1506" width="14.140625" bestFit="1" customWidth="1"/>
    <col min="1752" max="1752" width="24.5703125" customWidth="1"/>
    <col min="1753" max="1753" width="59.5703125" customWidth="1"/>
    <col min="1754" max="1754" width="23.140625" customWidth="1"/>
    <col min="1755" max="1755" width="14.85546875" bestFit="1" customWidth="1"/>
    <col min="1756" max="1757" width="20.42578125" customWidth="1"/>
    <col min="1758" max="1758" width="17.42578125" customWidth="1"/>
    <col min="1759" max="1759" width="11.5703125" bestFit="1" customWidth="1"/>
    <col min="1760" max="1760" width="16.140625" customWidth="1"/>
    <col min="1762" max="1762" width="14.140625" bestFit="1" customWidth="1"/>
    <col min="2008" max="2008" width="24.5703125" customWidth="1"/>
    <col min="2009" max="2009" width="59.5703125" customWidth="1"/>
    <col min="2010" max="2010" width="23.140625" customWidth="1"/>
    <col min="2011" max="2011" width="14.85546875" bestFit="1" customWidth="1"/>
    <col min="2012" max="2013" width="20.42578125" customWidth="1"/>
    <col min="2014" max="2014" width="17.42578125" customWidth="1"/>
    <col min="2015" max="2015" width="11.5703125" bestFit="1" customWidth="1"/>
    <col min="2016" max="2016" width="16.140625" customWidth="1"/>
    <col min="2018" max="2018" width="14.140625" bestFit="1" customWidth="1"/>
    <col min="2264" max="2264" width="24.5703125" customWidth="1"/>
    <col min="2265" max="2265" width="59.5703125" customWidth="1"/>
    <col min="2266" max="2266" width="23.140625" customWidth="1"/>
    <col min="2267" max="2267" width="14.85546875" bestFit="1" customWidth="1"/>
    <col min="2268" max="2269" width="20.42578125" customWidth="1"/>
    <col min="2270" max="2270" width="17.42578125" customWidth="1"/>
    <col min="2271" max="2271" width="11.5703125" bestFit="1" customWidth="1"/>
    <col min="2272" max="2272" width="16.140625" customWidth="1"/>
    <col min="2274" max="2274" width="14.140625" bestFit="1" customWidth="1"/>
    <col min="2520" max="2520" width="24.5703125" customWidth="1"/>
    <col min="2521" max="2521" width="59.5703125" customWidth="1"/>
    <col min="2522" max="2522" width="23.140625" customWidth="1"/>
    <col min="2523" max="2523" width="14.85546875" bestFit="1" customWidth="1"/>
    <col min="2524" max="2525" width="20.42578125" customWidth="1"/>
    <col min="2526" max="2526" width="17.42578125" customWidth="1"/>
    <col min="2527" max="2527" width="11.5703125" bestFit="1" customWidth="1"/>
    <col min="2528" max="2528" width="16.140625" customWidth="1"/>
    <col min="2530" max="2530" width="14.140625" bestFit="1" customWidth="1"/>
    <col min="2776" max="2776" width="24.5703125" customWidth="1"/>
    <col min="2777" max="2777" width="59.5703125" customWidth="1"/>
    <col min="2778" max="2778" width="23.140625" customWidth="1"/>
    <col min="2779" max="2779" width="14.85546875" bestFit="1" customWidth="1"/>
    <col min="2780" max="2781" width="20.42578125" customWidth="1"/>
    <col min="2782" max="2782" width="17.42578125" customWidth="1"/>
    <col min="2783" max="2783" width="11.5703125" bestFit="1" customWidth="1"/>
    <col min="2784" max="2784" width="16.140625" customWidth="1"/>
    <col min="2786" max="2786" width="14.140625" bestFit="1" customWidth="1"/>
    <col min="3032" max="3032" width="24.5703125" customWidth="1"/>
    <col min="3033" max="3033" width="59.5703125" customWidth="1"/>
    <col min="3034" max="3034" width="23.140625" customWidth="1"/>
    <col min="3035" max="3035" width="14.85546875" bestFit="1" customWidth="1"/>
    <col min="3036" max="3037" width="20.42578125" customWidth="1"/>
    <col min="3038" max="3038" width="17.42578125" customWidth="1"/>
    <col min="3039" max="3039" width="11.5703125" bestFit="1" customWidth="1"/>
    <col min="3040" max="3040" width="16.140625" customWidth="1"/>
    <col min="3042" max="3042" width="14.140625" bestFit="1" customWidth="1"/>
    <col min="3288" max="3288" width="24.5703125" customWidth="1"/>
    <col min="3289" max="3289" width="59.5703125" customWidth="1"/>
    <col min="3290" max="3290" width="23.140625" customWidth="1"/>
    <col min="3291" max="3291" width="14.85546875" bestFit="1" customWidth="1"/>
    <col min="3292" max="3293" width="20.42578125" customWidth="1"/>
    <col min="3294" max="3294" width="17.42578125" customWidth="1"/>
    <col min="3295" max="3295" width="11.5703125" bestFit="1" customWidth="1"/>
    <col min="3296" max="3296" width="16.140625" customWidth="1"/>
    <col min="3298" max="3298" width="14.140625" bestFit="1" customWidth="1"/>
    <col min="3544" max="3544" width="24.5703125" customWidth="1"/>
    <col min="3545" max="3545" width="59.5703125" customWidth="1"/>
    <col min="3546" max="3546" width="23.140625" customWidth="1"/>
    <col min="3547" max="3547" width="14.85546875" bestFit="1" customWidth="1"/>
    <col min="3548" max="3549" width="20.42578125" customWidth="1"/>
    <col min="3550" max="3550" width="17.42578125" customWidth="1"/>
    <col min="3551" max="3551" width="11.5703125" bestFit="1" customWidth="1"/>
    <col min="3552" max="3552" width="16.140625" customWidth="1"/>
    <col min="3554" max="3554" width="14.140625" bestFit="1" customWidth="1"/>
    <col min="3800" max="3800" width="24.5703125" customWidth="1"/>
    <col min="3801" max="3801" width="59.5703125" customWidth="1"/>
    <col min="3802" max="3802" width="23.140625" customWidth="1"/>
    <col min="3803" max="3803" width="14.85546875" bestFit="1" customWidth="1"/>
    <col min="3804" max="3805" width="20.42578125" customWidth="1"/>
    <col min="3806" max="3806" width="17.42578125" customWidth="1"/>
    <col min="3807" max="3807" width="11.5703125" bestFit="1" customWidth="1"/>
    <col min="3808" max="3808" width="16.140625" customWidth="1"/>
    <col min="3810" max="3810" width="14.140625" bestFit="1" customWidth="1"/>
    <col min="4056" max="4056" width="24.5703125" customWidth="1"/>
    <col min="4057" max="4057" width="59.5703125" customWidth="1"/>
    <col min="4058" max="4058" width="23.140625" customWidth="1"/>
    <col min="4059" max="4059" width="14.85546875" bestFit="1" customWidth="1"/>
    <col min="4060" max="4061" width="20.42578125" customWidth="1"/>
    <col min="4062" max="4062" width="17.42578125" customWidth="1"/>
    <col min="4063" max="4063" width="11.5703125" bestFit="1" customWidth="1"/>
    <col min="4064" max="4064" width="16.140625" customWidth="1"/>
    <col min="4066" max="4066" width="14.140625" bestFit="1" customWidth="1"/>
    <col min="4312" max="4312" width="24.5703125" customWidth="1"/>
    <col min="4313" max="4313" width="59.5703125" customWidth="1"/>
    <col min="4314" max="4314" width="23.140625" customWidth="1"/>
    <col min="4315" max="4315" width="14.85546875" bestFit="1" customWidth="1"/>
    <col min="4316" max="4317" width="20.42578125" customWidth="1"/>
    <col min="4318" max="4318" width="17.42578125" customWidth="1"/>
    <col min="4319" max="4319" width="11.5703125" bestFit="1" customWidth="1"/>
    <col min="4320" max="4320" width="16.140625" customWidth="1"/>
    <col min="4322" max="4322" width="14.140625" bestFit="1" customWidth="1"/>
    <col min="4568" max="4568" width="24.5703125" customWidth="1"/>
    <col min="4569" max="4569" width="59.5703125" customWidth="1"/>
    <col min="4570" max="4570" width="23.140625" customWidth="1"/>
    <col min="4571" max="4571" width="14.85546875" bestFit="1" customWidth="1"/>
    <col min="4572" max="4573" width="20.42578125" customWidth="1"/>
    <col min="4574" max="4574" width="17.42578125" customWidth="1"/>
    <col min="4575" max="4575" width="11.5703125" bestFit="1" customWidth="1"/>
    <col min="4576" max="4576" width="16.140625" customWidth="1"/>
    <col min="4578" max="4578" width="14.140625" bestFit="1" customWidth="1"/>
    <col min="4824" max="4824" width="24.5703125" customWidth="1"/>
    <col min="4825" max="4825" width="59.5703125" customWidth="1"/>
    <col min="4826" max="4826" width="23.140625" customWidth="1"/>
    <col min="4827" max="4827" width="14.85546875" bestFit="1" customWidth="1"/>
    <col min="4828" max="4829" width="20.42578125" customWidth="1"/>
    <col min="4830" max="4830" width="17.42578125" customWidth="1"/>
    <col min="4831" max="4831" width="11.5703125" bestFit="1" customWidth="1"/>
    <col min="4832" max="4832" width="16.140625" customWidth="1"/>
    <col min="4834" max="4834" width="14.140625" bestFit="1" customWidth="1"/>
    <col min="5080" max="5080" width="24.5703125" customWidth="1"/>
    <col min="5081" max="5081" width="59.5703125" customWidth="1"/>
    <col min="5082" max="5082" width="23.140625" customWidth="1"/>
    <col min="5083" max="5083" width="14.85546875" bestFit="1" customWidth="1"/>
    <col min="5084" max="5085" width="20.42578125" customWidth="1"/>
    <col min="5086" max="5086" width="17.42578125" customWidth="1"/>
    <col min="5087" max="5087" width="11.5703125" bestFit="1" customWidth="1"/>
    <col min="5088" max="5088" width="16.140625" customWidth="1"/>
    <col min="5090" max="5090" width="14.140625" bestFit="1" customWidth="1"/>
    <col min="5336" max="5336" width="24.5703125" customWidth="1"/>
    <col min="5337" max="5337" width="59.5703125" customWidth="1"/>
    <col min="5338" max="5338" width="23.140625" customWidth="1"/>
    <col min="5339" max="5339" width="14.85546875" bestFit="1" customWidth="1"/>
    <col min="5340" max="5341" width="20.42578125" customWidth="1"/>
    <col min="5342" max="5342" width="17.42578125" customWidth="1"/>
    <col min="5343" max="5343" width="11.5703125" bestFit="1" customWidth="1"/>
    <col min="5344" max="5344" width="16.140625" customWidth="1"/>
    <col min="5346" max="5346" width="14.140625" bestFit="1" customWidth="1"/>
    <col min="5592" max="5592" width="24.5703125" customWidth="1"/>
    <col min="5593" max="5593" width="59.5703125" customWidth="1"/>
    <col min="5594" max="5594" width="23.140625" customWidth="1"/>
    <col min="5595" max="5595" width="14.85546875" bestFit="1" customWidth="1"/>
    <col min="5596" max="5597" width="20.42578125" customWidth="1"/>
    <col min="5598" max="5598" width="17.42578125" customWidth="1"/>
    <col min="5599" max="5599" width="11.5703125" bestFit="1" customWidth="1"/>
    <col min="5600" max="5600" width="16.140625" customWidth="1"/>
    <col min="5602" max="5602" width="14.140625" bestFit="1" customWidth="1"/>
    <col min="5848" max="5848" width="24.5703125" customWidth="1"/>
    <col min="5849" max="5849" width="59.5703125" customWidth="1"/>
    <col min="5850" max="5850" width="23.140625" customWidth="1"/>
    <col min="5851" max="5851" width="14.85546875" bestFit="1" customWidth="1"/>
    <col min="5852" max="5853" width="20.42578125" customWidth="1"/>
    <col min="5854" max="5854" width="17.42578125" customWidth="1"/>
    <col min="5855" max="5855" width="11.5703125" bestFit="1" customWidth="1"/>
    <col min="5856" max="5856" width="16.140625" customWidth="1"/>
    <col min="5858" max="5858" width="14.140625" bestFit="1" customWidth="1"/>
    <col min="6104" max="6104" width="24.5703125" customWidth="1"/>
    <col min="6105" max="6105" width="59.5703125" customWidth="1"/>
    <col min="6106" max="6106" width="23.140625" customWidth="1"/>
    <col min="6107" max="6107" width="14.85546875" bestFit="1" customWidth="1"/>
    <col min="6108" max="6109" width="20.42578125" customWidth="1"/>
    <col min="6110" max="6110" width="17.42578125" customWidth="1"/>
    <col min="6111" max="6111" width="11.5703125" bestFit="1" customWidth="1"/>
    <col min="6112" max="6112" width="16.140625" customWidth="1"/>
    <col min="6114" max="6114" width="14.140625" bestFit="1" customWidth="1"/>
    <col min="6360" max="6360" width="24.5703125" customWidth="1"/>
    <col min="6361" max="6361" width="59.5703125" customWidth="1"/>
    <col min="6362" max="6362" width="23.140625" customWidth="1"/>
    <col min="6363" max="6363" width="14.85546875" bestFit="1" customWidth="1"/>
    <col min="6364" max="6365" width="20.42578125" customWidth="1"/>
    <col min="6366" max="6366" width="17.42578125" customWidth="1"/>
    <col min="6367" max="6367" width="11.5703125" bestFit="1" customWidth="1"/>
    <col min="6368" max="6368" width="16.140625" customWidth="1"/>
    <col min="6370" max="6370" width="14.140625" bestFit="1" customWidth="1"/>
    <col min="6616" max="6616" width="24.5703125" customWidth="1"/>
    <col min="6617" max="6617" width="59.5703125" customWidth="1"/>
    <col min="6618" max="6618" width="23.140625" customWidth="1"/>
    <col min="6619" max="6619" width="14.85546875" bestFit="1" customWidth="1"/>
    <col min="6620" max="6621" width="20.42578125" customWidth="1"/>
    <col min="6622" max="6622" width="17.42578125" customWidth="1"/>
    <col min="6623" max="6623" width="11.5703125" bestFit="1" customWidth="1"/>
    <col min="6624" max="6624" width="16.140625" customWidth="1"/>
    <col min="6626" max="6626" width="14.140625" bestFit="1" customWidth="1"/>
    <col min="6872" max="6872" width="24.5703125" customWidth="1"/>
    <col min="6873" max="6873" width="59.5703125" customWidth="1"/>
    <col min="6874" max="6874" width="23.140625" customWidth="1"/>
    <col min="6875" max="6875" width="14.85546875" bestFit="1" customWidth="1"/>
    <col min="6876" max="6877" width="20.42578125" customWidth="1"/>
    <col min="6878" max="6878" width="17.42578125" customWidth="1"/>
    <col min="6879" max="6879" width="11.5703125" bestFit="1" customWidth="1"/>
    <col min="6880" max="6880" width="16.140625" customWidth="1"/>
    <col min="6882" max="6882" width="14.140625" bestFit="1" customWidth="1"/>
    <col min="7128" max="7128" width="24.5703125" customWidth="1"/>
    <col min="7129" max="7129" width="59.5703125" customWidth="1"/>
    <col min="7130" max="7130" width="23.140625" customWidth="1"/>
    <col min="7131" max="7131" width="14.85546875" bestFit="1" customWidth="1"/>
    <col min="7132" max="7133" width="20.42578125" customWidth="1"/>
    <col min="7134" max="7134" width="17.42578125" customWidth="1"/>
    <col min="7135" max="7135" width="11.5703125" bestFit="1" customWidth="1"/>
    <col min="7136" max="7136" width="16.140625" customWidth="1"/>
    <col min="7138" max="7138" width="14.140625" bestFit="1" customWidth="1"/>
    <col min="7384" max="7384" width="24.5703125" customWidth="1"/>
    <col min="7385" max="7385" width="59.5703125" customWidth="1"/>
    <col min="7386" max="7386" width="23.140625" customWidth="1"/>
    <col min="7387" max="7387" width="14.85546875" bestFit="1" customWidth="1"/>
    <col min="7388" max="7389" width="20.42578125" customWidth="1"/>
    <col min="7390" max="7390" width="17.42578125" customWidth="1"/>
    <col min="7391" max="7391" width="11.5703125" bestFit="1" customWidth="1"/>
    <col min="7392" max="7392" width="16.140625" customWidth="1"/>
    <col min="7394" max="7394" width="14.140625" bestFit="1" customWidth="1"/>
    <col min="7640" max="7640" width="24.5703125" customWidth="1"/>
    <col min="7641" max="7641" width="59.5703125" customWidth="1"/>
    <col min="7642" max="7642" width="23.140625" customWidth="1"/>
    <col min="7643" max="7643" width="14.85546875" bestFit="1" customWidth="1"/>
    <col min="7644" max="7645" width="20.42578125" customWidth="1"/>
    <col min="7646" max="7646" width="17.42578125" customWidth="1"/>
    <col min="7647" max="7647" width="11.5703125" bestFit="1" customWidth="1"/>
    <col min="7648" max="7648" width="16.140625" customWidth="1"/>
    <col min="7650" max="7650" width="14.140625" bestFit="1" customWidth="1"/>
    <col min="7896" max="7896" width="24.5703125" customWidth="1"/>
    <col min="7897" max="7897" width="59.5703125" customWidth="1"/>
    <col min="7898" max="7898" width="23.140625" customWidth="1"/>
    <col min="7899" max="7899" width="14.85546875" bestFit="1" customWidth="1"/>
    <col min="7900" max="7901" width="20.42578125" customWidth="1"/>
    <col min="7902" max="7902" width="17.42578125" customWidth="1"/>
    <col min="7903" max="7903" width="11.5703125" bestFit="1" customWidth="1"/>
    <col min="7904" max="7904" width="16.140625" customWidth="1"/>
    <col min="7906" max="7906" width="14.140625" bestFit="1" customWidth="1"/>
    <col min="8152" max="8152" width="24.5703125" customWidth="1"/>
    <col min="8153" max="8153" width="59.5703125" customWidth="1"/>
    <col min="8154" max="8154" width="23.140625" customWidth="1"/>
    <col min="8155" max="8155" width="14.85546875" bestFit="1" customWidth="1"/>
    <col min="8156" max="8157" width="20.42578125" customWidth="1"/>
    <col min="8158" max="8158" width="17.42578125" customWidth="1"/>
    <col min="8159" max="8159" width="11.5703125" bestFit="1" customWidth="1"/>
    <col min="8160" max="8160" width="16.140625" customWidth="1"/>
    <col min="8162" max="8162" width="14.140625" bestFit="1" customWidth="1"/>
    <col min="8408" max="8408" width="24.5703125" customWidth="1"/>
    <col min="8409" max="8409" width="59.5703125" customWidth="1"/>
    <col min="8410" max="8410" width="23.140625" customWidth="1"/>
    <col min="8411" max="8411" width="14.85546875" bestFit="1" customWidth="1"/>
    <col min="8412" max="8413" width="20.42578125" customWidth="1"/>
    <col min="8414" max="8414" width="17.42578125" customWidth="1"/>
    <col min="8415" max="8415" width="11.5703125" bestFit="1" customWidth="1"/>
    <col min="8416" max="8416" width="16.140625" customWidth="1"/>
    <col min="8418" max="8418" width="14.140625" bestFit="1" customWidth="1"/>
    <col min="8664" max="8664" width="24.5703125" customWidth="1"/>
    <col min="8665" max="8665" width="59.5703125" customWidth="1"/>
    <col min="8666" max="8666" width="23.140625" customWidth="1"/>
    <col min="8667" max="8667" width="14.85546875" bestFit="1" customWidth="1"/>
    <col min="8668" max="8669" width="20.42578125" customWidth="1"/>
    <col min="8670" max="8670" width="17.42578125" customWidth="1"/>
    <col min="8671" max="8671" width="11.5703125" bestFit="1" customWidth="1"/>
    <col min="8672" max="8672" width="16.140625" customWidth="1"/>
    <col min="8674" max="8674" width="14.140625" bestFit="1" customWidth="1"/>
    <col min="8920" max="8920" width="24.5703125" customWidth="1"/>
    <col min="8921" max="8921" width="59.5703125" customWidth="1"/>
    <col min="8922" max="8922" width="23.140625" customWidth="1"/>
    <col min="8923" max="8923" width="14.85546875" bestFit="1" customWidth="1"/>
    <col min="8924" max="8925" width="20.42578125" customWidth="1"/>
    <col min="8926" max="8926" width="17.42578125" customWidth="1"/>
    <col min="8927" max="8927" width="11.5703125" bestFit="1" customWidth="1"/>
    <col min="8928" max="8928" width="16.140625" customWidth="1"/>
    <col min="8930" max="8930" width="14.140625" bestFit="1" customWidth="1"/>
    <col min="9176" max="9176" width="24.5703125" customWidth="1"/>
    <col min="9177" max="9177" width="59.5703125" customWidth="1"/>
    <col min="9178" max="9178" width="23.140625" customWidth="1"/>
    <col min="9179" max="9179" width="14.85546875" bestFit="1" customWidth="1"/>
    <col min="9180" max="9181" width="20.42578125" customWidth="1"/>
    <col min="9182" max="9182" width="17.42578125" customWidth="1"/>
    <col min="9183" max="9183" width="11.5703125" bestFit="1" customWidth="1"/>
    <col min="9184" max="9184" width="16.140625" customWidth="1"/>
    <col min="9186" max="9186" width="14.140625" bestFit="1" customWidth="1"/>
    <col min="9432" max="9432" width="24.5703125" customWidth="1"/>
    <col min="9433" max="9433" width="59.5703125" customWidth="1"/>
    <col min="9434" max="9434" width="23.140625" customWidth="1"/>
    <col min="9435" max="9435" width="14.85546875" bestFit="1" customWidth="1"/>
    <col min="9436" max="9437" width="20.42578125" customWidth="1"/>
    <col min="9438" max="9438" width="17.42578125" customWidth="1"/>
    <col min="9439" max="9439" width="11.5703125" bestFit="1" customWidth="1"/>
    <col min="9440" max="9440" width="16.140625" customWidth="1"/>
    <col min="9442" max="9442" width="14.140625" bestFit="1" customWidth="1"/>
    <col min="9688" max="9688" width="24.5703125" customWidth="1"/>
    <col min="9689" max="9689" width="59.5703125" customWidth="1"/>
    <col min="9690" max="9690" width="23.140625" customWidth="1"/>
    <col min="9691" max="9691" width="14.85546875" bestFit="1" customWidth="1"/>
    <col min="9692" max="9693" width="20.42578125" customWidth="1"/>
    <col min="9694" max="9694" width="17.42578125" customWidth="1"/>
    <col min="9695" max="9695" width="11.5703125" bestFit="1" customWidth="1"/>
    <col min="9696" max="9696" width="16.140625" customWidth="1"/>
    <col min="9698" max="9698" width="14.140625" bestFit="1" customWidth="1"/>
    <col min="9944" max="9944" width="24.5703125" customWidth="1"/>
    <col min="9945" max="9945" width="59.5703125" customWidth="1"/>
    <col min="9946" max="9946" width="23.140625" customWidth="1"/>
    <col min="9947" max="9947" width="14.85546875" bestFit="1" customWidth="1"/>
    <col min="9948" max="9949" width="20.42578125" customWidth="1"/>
    <col min="9950" max="9950" width="17.42578125" customWidth="1"/>
    <col min="9951" max="9951" width="11.5703125" bestFit="1" customWidth="1"/>
    <col min="9952" max="9952" width="16.140625" customWidth="1"/>
    <col min="9954" max="9954" width="14.140625" bestFit="1" customWidth="1"/>
    <col min="10200" max="10200" width="24.5703125" customWidth="1"/>
    <col min="10201" max="10201" width="59.5703125" customWidth="1"/>
    <col min="10202" max="10202" width="23.140625" customWidth="1"/>
    <col min="10203" max="10203" width="14.85546875" bestFit="1" customWidth="1"/>
    <col min="10204" max="10205" width="20.42578125" customWidth="1"/>
    <col min="10206" max="10206" width="17.42578125" customWidth="1"/>
    <col min="10207" max="10207" width="11.5703125" bestFit="1" customWidth="1"/>
    <col min="10208" max="10208" width="16.140625" customWidth="1"/>
    <col min="10210" max="10210" width="14.140625" bestFit="1" customWidth="1"/>
    <col min="10456" max="10456" width="24.5703125" customWidth="1"/>
    <col min="10457" max="10457" width="59.5703125" customWidth="1"/>
    <col min="10458" max="10458" width="23.140625" customWidth="1"/>
    <col min="10459" max="10459" width="14.85546875" bestFit="1" customWidth="1"/>
    <col min="10460" max="10461" width="20.42578125" customWidth="1"/>
    <col min="10462" max="10462" width="17.42578125" customWidth="1"/>
    <col min="10463" max="10463" width="11.5703125" bestFit="1" customWidth="1"/>
    <col min="10464" max="10464" width="16.140625" customWidth="1"/>
    <col min="10466" max="10466" width="14.140625" bestFit="1" customWidth="1"/>
    <col min="10712" max="10712" width="24.5703125" customWidth="1"/>
    <col min="10713" max="10713" width="59.5703125" customWidth="1"/>
    <col min="10714" max="10714" width="23.140625" customWidth="1"/>
    <col min="10715" max="10715" width="14.85546875" bestFit="1" customWidth="1"/>
    <col min="10716" max="10717" width="20.42578125" customWidth="1"/>
    <col min="10718" max="10718" width="17.42578125" customWidth="1"/>
    <col min="10719" max="10719" width="11.5703125" bestFit="1" customWidth="1"/>
    <col min="10720" max="10720" width="16.140625" customWidth="1"/>
    <col min="10722" max="10722" width="14.140625" bestFit="1" customWidth="1"/>
    <col min="10968" max="10968" width="24.5703125" customWidth="1"/>
    <col min="10969" max="10969" width="59.5703125" customWidth="1"/>
    <col min="10970" max="10970" width="23.140625" customWidth="1"/>
    <col min="10971" max="10971" width="14.85546875" bestFit="1" customWidth="1"/>
    <col min="10972" max="10973" width="20.42578125" customWidth="1"/>
    <col min="10974" max="10974" width="17.42578125" customWidth="1"/>
    <col min="10975" max="10975" width="11.5703125" bestFit="1" customWidth="1"/>
    <col min="10976" max="10976" width="16.140625" customWidth="1"/>
    <col min="10978" max="10978" width="14.140625" bestFit="1" customWidth="1"/>
    <col min="11224" max="11224" width="24.5703125" customWidth="1"/>
    <col min="11225" max="11225" width="59.5703125" customWidth="1"/>
    <col min="11226" max="11226" width="23.140625" customWidth="1"/>
    <col min="11227" max="11227" width="14.85546875" bestFit="1" customWidth="1"/>
    <col min="11228" max="11229" width="20.42578125" customWidth="1"/>
    <col min="11230" max="11230" width="17.42578125" customWidth="1"/>
    <col min="11231" max="11231" width="11.5703125" bestFit="1" customWidth="1"/>
    <col min="11232" max="11232" width="16.140625" customWidth="1"/>
    <col min="11234" max="11234" width="14.140625" bestFit="1" customWidth="1"/>
    <col min="11480" max="11480" width="24.5703125" customWidth="1"/>
    <col min="11481" max="11481" width="59.5703125" customWidth="1"/>
    <col min="11482" max="11482" width="23.140625" customWidth="1"/>
    <col min="11483" max="11483" width="14.85546875" bestFit="1" customWidth="1"/>
    <col min="11484" max="11485" width="20.42578125" customWidth="1"/>
    <col min="11486" max="11486" width="17.42578125" customWidth="1"/>
    <col min="11487" max="11487" width="11.5703125" bestFit="1" customWidth="1"/>
    <col min="11488" max="11488" width="16.140625" customWidth="1"/>
    <col min="11490" max="11490" width="14.140625" bestFit="1" customWidth="1"/>
    <col min="11736" max="11736" width="24.5703125" customWidth="1"/>
    <col min="11737" max="11737" width="59.5703125" customWidth="1"/>
    <col min="11738" max="11738" width="23.140625" customWidth="1"/>
    <col min="11739" max="11739" width="14.85546875" bestFit="1" customWidth="1"/>
    <col min="11740" max="11741" width="20.42578125" customWidth="1"/>
    <col min="11742" max="11742" width="17.42578125" customWidth="1"/>
    <col min="11743" max="11743" width="11.5703125" bestFit="1" customWidth="1"/>
    <col min="11744" max="11744" width="16.140625" customWidth="1"/>
    <col min="11746" max="11746" width="14.140625" bestFit="1" customWidth="1"/>
    <col min="11992" max="11992" width="24.5703125" customWidth="1"/>
    <col min="11993" max="11993" width="59.5703125" customWidth="1"/>
    <col min="11994" max="11994" width="23.140625" customWidth="1"/>
    <col min="11995" max="11995" width="14.85546875" bestFit="1" customWidth="1"/>
    <col min="11996" max="11997" width="20.42578125" customWidth="1"/>
    <col min="11998" max="11998" width="17.42578125" customWidth="1"/>
    <col min="11999" max="11999" width="11.5703125" bestFit="1" customWidth="1"/>
    <col min="12000" max="12000" width="16.140625" customWidth="1"/>
    <col min="12002" max="12002" width="14.140625" bestFit="1" customWidth="1"/>
    <col min="12248" max="12248" width="24.5703125" customWidth="1"/>
    <col min="12249" max="12249" width="59.5703125" customWidth="1"/>
    <col min="12250" max="12250" width="23.140625" customWidth="1"/>
    <col min="12251" max="12251" width="14.85546875" bestFit="1" customWidth="1"/>
    <col min="12252" max="12253" width="20.42578125" customWidth="1"/>
    <col min="12254" max="12254" width="17.42578125" customWidth="1"/>
    <col min="12255" max="12255" width="11.5703125" bestFit="1" customWidth="1"/>
    <col min="12256" max="12256" width="16.140625" customWidth="1"/>
    <col min="12258" max="12258" width="14.140625" bestFit="1" customWidth="1"/>
    <col min="12504" max="12504" width="24.5703125" customWidth="1"/>
    <col min="12505" max="12505" width="59.5703125" customWidth="1"/>
    <col min="12506" max="12506" width="23.140625" customWidth="1"/>
    <col min="12507" max="12507" width="14.85546875" bestFit="1" customWidth="1"/>
    <col min="12508" max="12509" width="20.42578125" customWidth="1"/>
    <col min="12510" max="12510" width="17.42578125" customWidth="1"/>
    <col min="12511" max="12511" width="11.5703125" bestFit="1" customWidth="1"/>
    <col min="12512" max="12512" width="16.140625" customWidth="1"/>
    <col min="12514" max="12514" width="14.140625" bestFit="1" customWidth="1"/>
    <col min="12760" max="12760" width="24.5703125" customWidth="1"/>
    <col min="12761" max="12761" width="59.5703125" customWidth="1"/>
    <col min="12762" max="12762" width="23.140625" customWidth="1"/>
    <col min="12763" max="12763" width="14.85546875" bestFit="1" customWidth="1"/>
    <col min="12764" max="12765" width="20.42578125" customWidth="1"/>
    <col min="12766" max="12766" width="17.42578125" customWidth="1"/>
    <col min="12767" max="12767" width="11.5703125" bestFit="1" customWidth="1"/>
    <col min="12768" max="12768" width="16.140625" customWidth="1"/>
    <col min="12770" max="12770" width="14.140625" bestFit="1" customWidth="1"/>
    <col min="13016" max="13016" width="24.5703125" customWidth="1"/>
    <col min="13017" max="13017" width="59.5703125" customWidth="1"/>
    <col min="13018" max="13018" width="23.140625" customWidth="1"/>
    <col min="13019" max="13019" width="14.85546875" bestFit="1" customWidth="1"/>
    <col min="13020" max="13021" width="20.42578125" customWidth="1"/>
    <col min="13022" max="13022" width="17.42578125" customWidth="1"/>
    <col min="13023" max="13023" width="11.5703125" bestFit="1" customWidth="1"/>
    <col min="13024" max="13024" width="16.140625" customWidth="1"/>
    <col min="13026" max="13026" width="14.140625" bestFit="1" customWidth="1"/>
    <col min="13272" max="13272" width="24.5703125" customWidth="1"/>
    <col min="13273" max="13273" width="59.5703125" customWidth="1"/>
    <col min="13274" max="13274" width="23.140625" customWidth="1"/>
    <col min="13275" max="13275" width="14.85546875" bestFit="1" customWidth="1"/>
    <col min="13276" max="13277" width="20.42578125" customWidth="1"/>
    <col min="13278" max="13278" width="17.42578125" customWidth="1"/>
    <col min="13279" max="13279" width="11.5703125" bestFit="1" customWidth="1"/>
    <col min="13280" max="13280" width="16.140625" customWidth="1"/>
    <col min="13282" max="13282" width="14.140625" bestFit="1" customWidth="1"/>
    <col min="13528" max="13528" width="24.5703125" customWidth="1"/>
    <col min="13529" max="13529" width="59.5703125" customWidth="1"/>
    <col min="13530" max="13530" width="23.140625" customWidth="1"/>
    <col min="13531" max="13531" width="14.85546875" bestFit="1" customWidth="1"/>
    <col min="13532" max="13533" width="20.42578125" customWidth="1"/>
    <col min="13534" max="13534" width="17.42578125" customWidth="1"/>
    <col min="13535" max="13535" width="11.5703125" bestFit="1" customWidth="1"/>
    <col min="13536" max="13536" width="16.140625" customWidth="1"/>
    <col min="13538" max="13538" width="14.140625" bestFit="1" customWidth="1"/>
    <col min="13784" max="13784" width="24.5703125" customWidth="1"/>
    <col min="13785" max="13785" width="59.5703125" customWidth="1"/>
    <col min="13786" max="13786" width="23.140625" customWidth="1"/>
    <col min="13787" max="13787" width="14.85546875" bestFit="1" customWidth="1"/>
    <col min="13788" max="13789" width="20.42578125" customWidth="1"/>
    <col min="13790" max="13790" width="17.42578125" customWidth="1"/>
    <col min="13791" max="13791" width="11.5703125" bestFit="1" customWidth="1"/>
    <col min="13792" max="13792" width="16.140625" customWidth="1"/>
    <col min="13794" max="13794" width="14.140625" bestFit="1" customWidth="1"/>
    <col min="14040" max="14040" width="24.5703125" customWidth="1"/>
    <col min="14041" max="14041" width="59.5703125" customWidth="1"/>
    <col min="14042" max="14042" width="23.140625" customWidth="1"/>
    <col min="14043" max="14043" width="14.85546875" bestFit="1" customWidth="1"/>
    <col min="14044" max="14045" width="20.42578125" customWidth="1"/>
    <col min="14046" max="14046" width="17.42578125" customWidth="1"/>
    <col min="14047" max="14047" width="11.5703125" bestFit="1" customWidth="1"/>
    <col min="14048" max="14048" width="16.140625" customWidth="1"/>
    <col min="14050" max="14050" width="14.140625" bestFit="1" customWidth="1"/>
    <col min="14296" max="14296" width="24.5703125" customWidth="1"/>
    <col min="14297" max="14297" width="59.5703125" customWidth="1"/>
    <col min="14298" max="14298" width="23.140625" customWidth="1"/>
    <col min="14299" max="14299" width="14.85546875" bestFit="1" customWidth="1"/>
    <col min="14300" max="14301" width="20.42578125" customWidth="1"/>
    <col min="14302" max="14302" width="17.42578125" customWidth="1"/>
    <col min="14303" max="14303" width="11.5703125" bestFit="1" customWidth="1"/>
    <col min="14304" max="14304" width="16.140625" customWidth="1"/>
    <col min="14306" max="14306" width="14.140625" bestFit="1" customWidth="1"/>
    <col min="14552" max="14552" width="24.5703125" customWidth="1"/>
    <col min="14553" max="14553" width="59.5703125" customWidth="1"/>
    <col min="14554" max="14554" width="23.140625" customWidth="1"/>
    <col min="14555" max="14555" width="14.85546875" bestFit="1" customWidth="1"/>
    <col min="14556" max="14557" width="20.42578125" customWidth="1"/>
    <col min="14558" max="14558" width="17.42578125" customWidth="1"/>
    <col min="14559" max="14559" width="11.5703125" bestFit="1" customWidth="1"/>
    <col min="14560" max="14560" width="16.140625" customWidth="1"/>
    <col min="14562" max="14562" width="14.140625" bestFit="1" customWidth="1"/>
    <col min="14808" max="14808" width="24.5703125" customWidth="1"/>
    <col min="14809" max="14809" width="59.5703125" customWidth="1"/>
    <col min="14810" max="14810" width="23.140625" customWidth="1"/>
    <col min="14811" max="14811" width="14.85546875" bestFit="1" customWidth="1"/>
    <col min="14812" max="14813" width="20.42578125" customWidth="1"/>
    <col min="14814" max="14814" width="17.42578125" customWidth="1"/>
    <col min="14815" max="14815" width="11.5703125" bestFit="1" customWidth="1"/>
    <col min="14816" max="14816" width="16.140625" customWidth="1"/>
    <col min="14818" max="14818" width="14.140625" bestFit="1" customWidth="1"/>
    <col min="15064" max="15064" width="24.5703125" customWidth="1"/>
    <col min="15065" max="15065" width="59.5703125" customWidth="1"/>
    <col min="15066" max="15066" width="23.140625" customWidth="1"/>
    <col min="15067" max="15067" width="14.85546875" bestFit="1" customWidth="1"/>
    <col min="15068" max="15069" width="20.42578125" customWidth="1"/>
    <col min="15070" max="15070" width="17.42578125" customWidth="1"/>
    <col min="15071" max="15071" width="11.5703125" bestFit="1" customWidth="1"/>
    <col min="15072" max="15072" width="16.140625" customWidth="1"/>
    <col min="15074" max="15074" width="14.140625" bestFit="1" customWidth="1"/>
    <col min="15320" max="15320" width="24.5703125" customWidth="1"/>
    <col min="15321" max="15321" width="59.5703125" customWidth="1"/>
    <col min="15322" max="15322" width="23.140625" customWidth="1"/>
    <col min="15323" max="15323" width="14.85546875" bestFit="1" customWidth="1"/>
    <col min="15324" max="15325" width="20.42578125" customWidth="1"/>
    <col min="15326" max="15326" width="17.42578125" customWidth="1"/>
    <col min="15327" max="15327" width="11.5703125" bestFit="1" customWidth="1"/>
    <col min="15328" max="15328" width="16.140625" customWidth="1"/>
    <col min="15330" max="15330" width="14.140625" bestFit="1" customWidth="1"/>
    <col min="15576" max="15576" width="24.5703125" customWidth="1"/>
    <col min="15577" max="15577" width="59.5703125" customWidth="1"/>
    <col min="15578" max="15578" width="23.140625" customWidth="1"/>
    <col min="15579" max="15579" width="14.85546875" bestFit="1" customWidth="1"/>
    <col min="15580" max="15581" width="20.42578125" customWidth="1"/>
    <col min="15582" max="15582" width="17.42578125" customWidth="1"/>
    <col min="15583" max="15583" width="11.5703125" bestFit="1" customWidth="1"/>
    <col min="15584" max="15584" width="16.140625" customWidth="1"/>
    <col min="15586" max="15586" width="14.140625" bestFit="1" customWidth="1"/>
    <col min="15832" max="15832" width="24.5703125" customWidth="1"/>
    <col min="15833" max="15833" width="59.5703125" customWidth="1"/>
    <col min="15834" max="15834" width="23.140625" customWidth="1"/>
    <col min="15835" max="15835" width="14.85546875" bestFit="1" customWidth="1"/>
    <col min="15836" max="15837" width="20.42578125" customWidth="1"/>
    <col min="15838" max="15838" width="17.42578125" customWidth="1"/>
    <col min="15839" max="15839" width="11.5703125" bestFit="1" customWidth="1"/>
    <col min="15840" max="15840" width="16.140625" customWidth="1"/>
    <col min="15842" max="15842" width="14.140625" bestFit="1" customWidth="1"/>
    <col min="16088" max="16088" width="24.5703125" customWidth="1"/>
    <col min="16089" max="16089" width="59.5703125" customWidth="1"/>
    <col min="16090" max="16090" width="23.140625" customWidth="1"/>
    <col min="16091" max="16091" width="14.85546875" bestFit="1" customWidth="1"/>
    <col min="16092" max="16093" width="20.42578125" customWidth="1"/>
    <col min="16094" max="16094" width="17.42578125" customWidth="1"/>
    <col min="16095" max="16095" width="11.5703125" bestFit="1" customWidth="1"/>
    <col min="16096" max="16096" width="16.140625" customWidth="1"/>
    <col min="16098" max="16098" width="14.140625" bestFit="1" customWidth="1"/>
  </cols>
  <sheetData>
    <row r="1" spans="1:52" ht="15.6" customHeight="1">
      <c r="A1" s="85" t="s">
        <v>684</v>
      </c>
      <c r="B1" s="86"/>
      <c r="C1" s="87"/>
      <c r="D1" s="40" t="s">
        <v>1</v>
      </c>
      <c r="E1" s="2" t="s">
        <v>685</v>
      </c>
      <c r="F1" s="2" t="s">
        <v>686</v>
      </c>
      <c r="G1" s="2" t="s">
        <v>687</v>
      </c>
      <c r="H1" s="2" t="s">
        <v>688</v>
      </c>
      <c r="I1" s="2" t="s">
        <v>689</v>
      </c>
      <c r="J1" s="60" t="s">
        <v>690</v>
      </c>
      <c r="K1" s="2" t="s">
        <v>691</v>
      </c>
      <c r="L1" s="2" t="s">
        <v>692</v>
      </c>
      <c r="M1" s="2" t="s">
        <v>693</v>
      </c>
      <c r="N1" s="2" t="s">
        <v>694</v>
      </c>
      <c r="O1" s="2" t="s">
        <v>695</v>
      </c>
      <c r="P1" s="2" t="s">
        <v>696</v>
      </c>
      <c r="Q1" s="2" t="s">
        <v>697</v>
      </c>
      <c r="R1" s="2" t="s">
        <v>698</v>
      </c>
      <c r="S1" s="2" t="s">
        <v>699</v>
      </c>
      <c r="T1" s="2" t="s">
        <v>700</v>
      </c>
      <c r="U1" s="2" t="s">
        <v>701</v>
      </c>
      <c r="V1" s="2" t="s">
        <v>702</v>
      </c>
      <c r="W1" s="2" t="s">
        <v>703</v>
      </c>
      <c r="X1" s="2" t="s">
        <v>704</v>
      </c>
      <c r="Y1" s="2" t="s">
        <v>705</v>
      </c>
      <c r="Z1" s="2" t="s">
        <v>706</v>
      </c>
      <c r="AA1" s="2" t="s">
        <v>707</v>
      </c>
      <c r="AB1" s="2" t="s">
        <v>708</v>
      </c>
      <c r="AC1" s="2" t="s">
        <v>709</v>
      </c>
      <c r="AD1" s="2" t="s">
        <v>710</v>
      </c>
      <c r="AE1" s="2" t="s">
        <v>711</v>
      </c>
      <c r="AF1" s="2" t="s">
        <v>712</v>
      </c>
      <c r="AG1" s="2" t="s">
        <v>713</v>
      </c>
      <c r="AH1" s="2" t="s">
        <v>714</v>
      </c>
      <c r="AI1" s="2" t="s">
        <v>715</v>
      </c>
      <c r="AJ1" s="2" t="s">
        <v>716</v>
      </c>
      <c r="AK1" s="2" t="s">
        <v>717</v>
      </c>
      <c r="AL1" s="2" t="s">
        <v>718</v>
      </c>
      <c r="AM1" s="2" t="s">
        <v>719</v>
      </c>
      <c r="AN1" s="2" t="s">
        <v>720</v>
      </c>
      <c r="AO1" s="2" t="s">
        <v>721</v>
      </c>
      <c r="AP1" s="2" t="s">
        <v>722</v>
      </c>
      <c r="AQ1" s="2" t="s">
        <v>723</v>
      </c>
      <c r="AR1" s="2" t="s">
        <v>724</v>
      </c>
      <c r="AS1" s="2" t="s">
        <v>725</v>
      </c>
      <c r="AT1" s="2" t="s">
        <v>726</v>
      </c>
      <c r="AU1" s="2" t="s">
        <v>727</v>
      </c>
    </row>
    <row r="2" spans="1:52" ht="32.1">
      <c r="A2" s="88"/>
      <c r="B2" s="89"/>
      <c r="C2" s="90"/>
      <c r="D2" s="40" t="s">
        <v>2</v>
      </c>
      <c r="E2" s="5" t="s">
        <v>728</v>
      </c>
      <c r="F2" s="5" t="s">
        <v>729</v>
      </c>
      <c r="G2" s="5" t="s">
        <v>730</v>
      </c>
      <c r="H2" s="5" t="s">
        <v>731</v>
      </c>
      <c r="I2" s="5" t="s">
        <v>732</v>
      </c>
      <c r="J2" s="54" t="s">
        <v>733</v>
      </c>
      <c r="K2" s="5" t="s">
        <v>734</v>
      </c>
      <c r="L2" s="5" t="s">
        <v>735</v>
      </c>
      <c r="M2" s="5" t="s">
        <v>736</v>
      </c>
      <c r="N2" s="5" t="s">
        <v>737</v>
      </c>
      <c r="O2" s="5" t="s">
        <v>738</v>
      </c>
      <c r="P2" s="5" t="s">
        <v>739</v>
      </c>
      <c r="Q2" s="5" t="s">
        <v>740</v>
      </c>
      <c r="R2" s="5" t="s">
        <v>741</v>
      </c>
      <c r="S2" s="5" t="s">
        <v>742</v>
      </c>
      <c r="T2" s="5" t="s">
        <v>742</v>
      </c>
      <c r="U2" s="5" t="s">
        <v>743</v>
      </c>
      <c r="V2" s="5" t="s">
        <v>744</v>
      </c>
      <c r="W2" s="5" t="s">
        <v>745</v>
      </c>
      <c r="X2" s="5" t="s">
        <v>746</v>
      </c>
      <c r="Y2" s="5" t="s">
        <v>747</v>
      </c>
      <c r="Z2" s="5" t="s">
        <v>748</v>
      </c>
      <c r="AA2" s="5" t="s">
        <v>749</v>
      </c>
      <c r="AB2" s="5" t="s">
        <v>750</v>
      </c>
      <c r="AC2" s="5" t="s">
        <v>751</v>
      </c>
      <c r="AD2" s="5" t="s">
        <v>752</v>
      </c>
      <c r="AE2" s="5" t="s">
        <v>753</v>
      </c>
      <c r="AF2" s="5" t="s">
        <v>754</v>
      </c>
      <c r="AG2" s="5" t="s">
        <v>755</v>
      </c>
      <c r="AH2" s="5" t="s">
        <v>756</v>
      </c>
      <c r="AI2" s="5" t="s">
        <v>757</v>
      </c>
      <c r="AJ2" s="5" t="s">
        <v>758</v>
      </c>
      <c r="AK2" s="5" t="s">
        <v>759</v>
      </c>
      <c r="AL2" s="5" t="s">
        <v>760</v>
      </c>
      <c r="AM2" s="5" t="s">
        <v>761</v>
      </c>
      <c r="AN2" s="54" t="s">
        <v>762</v>
      </c>
      <c r="AO2" s="5" t="s">
        <v>763</v>
      </c>
      <c r="AP2" s="54" t="s">
        <v>764</v>
      </c>
      <c r="AQ2" s="54" t="s">
        <v>765</v>
      </c>
      <c r="AR2" s="5" t="s">
        <v>766</v>
      </c>
      <c r="AS2" s="54" t="s">
        <v>767</v>
      </c>
      <c r="AT2" s="5" t="s">
        <v>768</v>
      </c>
      <c r="AU2" s="5" t="s">
        <v>769</v>
      </c>
    </row>
    <row r="3" spans="1:52" ht="14.45" customHeight="1">
      <c r="A3" s="88"/>
      <c r="B3" s="89"/>
      <c r="C3" s="90"/>
      <c r="D3" s="40" t="s">
        <v>11</v>
      </c>
      <c r="E3" s="6" t="s">
        <v>770</v>
      </c>
      <c r="F3" s="6" t="s">
        <v>770</v>
      </c>
      <c r="G3" s="6" t="s">
        <v>771</v>
      </c>
      <c r="H3" s="6" t="s">
        <v>771</v>
      </c>
      <c r="I3" s="6" t="s">
        <v>771</v>
      </c>
      <c r="J3" s="38" t="s">
        <v>771</v>
      </c>
      <c r="K3" s="6" t="s">
        <v>771</v>
      </c>
      <c r="L3" s="6" t="s">
        <v>772</v>
      </c>
      <c r="M3" s="6" t="s">
        <v>771</v>
      </c>
      <c r="N3" s="6" t="s">
        <v>771</v>
      </c>
      <c r="O3" s="6" t="s">
        <v>771</v>
      </c>
      <c r="P3" s="6" t="s">
        <v>771</v>
      </c>
      <c r="Q3" s="6" t="s">
        <v>771</v>
      </c>
      <c r="R3" s="6" t="s">
        <v>771</v>
      </c>
      <c r="S3" s="6" t="s">
        <v>771</v>
      </c>
      <c r="T3" s="6" t="s">
        <v>771</v>
      </c>
      <c r="U3" s="6" t="s">
        <v>771</v>
      </c>
      <c r="V3" s="6" t="s">
        <v>771</v>
      </c>
      <c r="W3" s="6" t="s">
        <v>771</v>
      </c>
      <c r="X3" s="6" t="s">
        <v>771</v>
      </c>
      <c r="Y3" s="6" t="s">
        <v>771</v>
      </c>
      <c r="Z3" s="6" t="s">
        <v>771</v>
      </c>
      <c r="AA3" s="6" t="s">
        <v>771</v>
      </c>
      <c r="AB3" s="6" t="s">
        <v>771</v>
      </c>
      <c r="AC3" s="6" t="s">
        <v>771</v>
      </c>
      <c r="AD3" s="6" t="s">
        <v>771</v>
      </c>
      <c r="AE3" s="6" t="s">
        <v>771</v>
      </c>
      <c r="AF3" s="6" t="s">
        <v>771</v>
      </c>
      <c r="AG3" s="6" t="s">
        <v>771</v>
      </c>
      <c r="AH3" s="6" t="s">
        <v>771</v>
      </c>
      <c r="AI3" s="6" t="s">
        <v>771</v>
      </c>
      <c r="AJ3" s="6" t="s">
        <v>771</v>
      </c>
      <c r="AK3" s="6" t="s">
        <v>771</v>
      </c>
      <c r="AL3" s="6" t="s">
        <v>771</v>
      </c>
      <c r="AM3" s="6" t="s">
        <v>771</v>
      </c>
      <c r="AN3" s="38" t="s">
        <v>771</v>
      </c>
      <c r="AO3" s="6" t="s">
        <v>771</v>
      </c>
      <c r="AP3" s="38" t="s">
        <v>771</v>
      </c>
      <c r="AQ3" s="38" t="s">
        <v>773</v>
      </c>
      <c r="AR3" s="6" t="s">
        <v>774</v>
      </c>
      <c r="AS3" s="6" t="s">
        <v>775</v>
      </c>
      <c r="AT3" s="6" t="s">
        <v>775</v>
      </c>
      <c r="AU3" s="6" t="s">
        <v>775</v>
      </c>
    </row>
    <row r="4" spans="1:52" ht="32.1">
      <c r="A4" s="88"/>
      <c r="B4" s="89"/>
      <c r="C4" s="90"/>
      <c r="D4" s="40" t="s">
        <v>14</v>
      </c>
      <c r="E4" s="6" t="s">
        <v>776</v>
      </c>
      <c r="F4" s="6" t="s">
        <v>777</v>
      </c>
      <c r="G4" s="6" t="s">
        <v>778</v>
      </c>
      <c r="H4" s="6" t="s">
        <v>779</v>
      </c>
      <c r="I4" s="6" t="s">
        <v>780</v>
      </c>
      <c r="J4" s="38" t="s">
        <v>781</v>
      </c>
      <c r="K4" s="6" t="s">
        <v>782</v>
      </c>
      <c r="L4" s="38" t="s">
        <v>783</v>
      </c>
      <c r="M4" s="6" t="s">
        <v>784</v>
      </c>
      <c r="N4" s="6" t="s">
        <v>785</v>
      </c>
      <c r="O4" s="6" t="s">
        <v>786</v>
      </c>
      <c r="P4" s="6" t="s">
        <v>787</v>
      </c>
      <c r="Q4" s="6" t="s">
        <v>788</v>
      </c>
      <c r="R4" s="6" t="s">
        <v>789</v>
      </c>
      <c r="S4" s="6" t="s">
        <v>790</v>
      </c>
      <c r="T4" s="6" t="s">
        <v>791</v>
      </c>
      <c r="U4" s="6" t="s">
        <v>792</v>
      </c>
      <c r="V4" s="6" t="s">
        <v>793</v>
      </c>
      <c r="W4" s="6" t="s">
        <v>794</v>
      </c>
      <c r="X4" s="6" t="s">
        <v>795</v>
      </c>
      <c r="Y4" s="6" t="s">
        <v>796</v>
      </c>
      <c r="Z4" s="6" t="s">
        <v>797</v>
      </c>
      <c r="AA4" s="6" t="s">
        <v>798</v>
      </c>
      <c r="AB4" s="6" t="s">
        <v>799</v>
      </c>
      <c r="AC4" s="6" t="s">
        <v>800</v>
      </c>
      <c r="AD4" s="6" t="s">
        <v>801</v>
      </c>
      <c r="AE4" s="6" t="s">
        <v>802</v>
      </c>
      <c r="AF4" s="6" t="s">
        <v>803</v>
      </c>
      <c r="AG4" s="6" t="s">
        <v>804</v>
      </c>
      <c r="AH4" s="6" t="s">
        <v>805</v>
      </c>
      <c r="AI4" s="6" t="s">
        <v>806</v>
      </c>
      <c r="AJ4" s="6" t="s">
        <v>807</v>
      </c>
      <c r="AK4" s="6" t="s">
        <v>808</v>
      </c>
      <c r="AL4" s="38" t="s">
        <v>809</v>
      </c>
      <c r="AM4" s="6" t="s">
        <v>810</v>
      </c>
      <c r="AN4" s="38" t="s">
        <v>811</v>
      </c>
      <c r="AO4" s="6" t="s">
        <v>812</v>
      </c>
      <c r="AP4" s="38" t="s">
        <v>813</v>
      </c>
      <c r="AQ4" s="38" t="s">
        <v>814</v>
      </c>
      <c r="AR4" s="6" t="s">
        <v>815</v>
      </c>
      <c r="AS4" s="38" t="s">
        <v>816</v>
      </c>
      <c r="AT4" s="6" t="s">
        <v>817</v>
      </c>
      <c r="AU4" s="6" t="s">
        <v>818</v>
      </c>
    </row>
    <row r="5" spans="1:52">
      <c r="A5" s="88"/>
      <c r="B5" s="89"/>
      <c r="C5" s="90"/>
      <c r="D5" s="40" t="s">
        <v>122</v>
      </c>
      <c r="E5" s="7" t="s">
        <v>126</v>
      </c>
      <c r="F5" s="7" t="s">
        <v>126</v>
      </c>
      <c r="G5" s="7" t="s">
        <v>123</v>
      </c>
      <c r="H5" s="7" t="s">
        <v>125</v>
      </c>
      <c r="I5" s="7" t="s">
        <v>126</v>
      </c>
      <c r="J5" s="7" t="s">
        <v>126</v>
      </c>
      <c r="K5" s="7" t="s">
        <v>666</v>
      </c>
      <c r="L5" s="7" t="s">
        <v>127</v>
      </c>
      <c r="M5" s="7" t="s">
        <v>124</v>
      </c>
      <c r="N5" s="7" t="s">
        <v>123</v>
      </c>
      <c r="O5" s="7" t="s">
        <v>125</v>
      </c>
      <c r="P5" s="7" t="s">
        <v>125</v>
      </c>
      <c r="Q5" s="7" t="s">
        <v>130</v>
      </c>
      <c r="R5" s="7" t="s">
        <v>126</v>
      </c>
      <c r="S5" s="7" t="s">
        <v>130</v>
      </c>
      <c r="T5" s="7" t="s">
        <v>130</v>
      </c>
      <c r="U5" s="7" t="s">
        <v>126</v>
      </c>
      <c r="V5" s="7" t="s">
        <v>124</v>
      </c>
      <c r="W5" s="7" t="s">
        <v>126</v>
      </c>
      <c r="X5" s="7" t="s">
        <v>123</v>
      </c>
      <c r="Y5" s="7" t="s">
        <v>125</v>
      </c>
      <c r="Z5" s="7" t="s">
        <v>125</v>
      </c>
      <c r="AA5" s="7" t="s">
        <v>126</v>
      </c>
      <c r="AB5" s="7" t="s">
        <v>126</v>
      </c>
      <c r="AC5" s="7" t="s">
        <v>126</v>
      </c>
      <c r="AD5" s="7" t="s">
        <v>125</v>
      </c>
      <c r="AE5" s="7" t="s">
        <v>125</v>
      </c>
      <c r="AF5" s="7" t="s">
        <v>125</v>
      </c>
      <c r="AG5" s="7" t="s">
        <v>126</v>
      </c>
      <c r="AH5" s="7" t="s">
        <v>130</v>
      </c>
      <c r="AI5" s="7" t="s">
        <v>123</v>
      </c>
      <c r="AJ5" s="7" t="s">
        <v>125</v>
      </c>
      <c r="AK5" s="7" t="s">
        <v>126</v>
      </c>
      <c r="AL5" s="7" t="s">
        <v>126</v>
      </c>
      <c r="AM5" s="7" t="s">
        <v>128</v>
      </c>
      <c r="AN5" s="7" t="s">
        <v>124</v>
      </c>
      <c r="AO5" s="7" t="s">
        <v>124</v>
      </c>
      <c r="AP5" s="7" t="s">
        <v>126</v>
      </c>
      <c r="AQ5" s="7" t="s">
        <v>127</v>
      </c>
      <c r="AR5" s="7" t="s">
        <v>127</v>
      </c>
      <c r="AS5" s="7" t="s">
        <v>123</v>
      </c>
      <c r="AT5" s="7" t="s">
        <v>123</v>
      </c>
      <c r="AU5" s="7" t="s">
        <v>123</v>
      </c>
    </row>
    <row r="6" spans="1:52" ht="32.1">
      <c r="A6" s="88"/>
      <c r="B6" s="89"/>
      <c r="C6" s="90"/>
      <c r="D6" s="40" t="s">
        <v>134</v>
      </c>
      <c r="E6" s="9" t="s">
        <v>819</v>
      </c>
      <c r="F6" s="9" t="s">
        <v>820</v>
      </c>
      <c r="G6" s="9" t="s">
        <v>821</v>
      </c>
      <c r="H6" s="9" t="s">
        <v>821</v>
      </c>
      <c r="I6" s="9" t="s">
        <v>819</v>
      </c>
      <c r="J6" s="9" t="s">
        <v>822</v>
      </c>
      <c r="K6" s="9" t="s">
        <v>821</v>
      </c>
      <c r="L6" s="9" t="s">
        <v>821</v>
      </c>
      <c r="M6" s="9" t="s">
        <v>821</v>
      </c>
      <c r="N6" s="9" t="s">
        <v>823</v>
      </c>
      <c r="O6" s="9" t="s">
        <v>823</v>
      </c>
      <c r="P6" s="9" t="s">
        <v>820</v>
      </c>
      <c r="Q6" s="9" t="s">
        <v>823</v>
      </c>
      <c r="R6" s="9" t="s">
        <v>819</v>
      </c>
      <c r="S6" s="9" t="s">
        <v>822</v>
      </c>
      <c r="T6" s="9" t="s">
        <v>822</v>
      </c>
      <c r="U6" s="9" t="s">
        <v>823</v>
      </c>
      <c r="V6" s="9" t="s">
        <v>821</v>
      </c>
      <c r="W6" s="9" t="s">
        <v>821</v>
      </c>
      <c r="X6" s="9" t="s">
        <v>823</v>
      </c>
      <c r="Y6" s="9" t="s">
        <v>822</v>
      </c>
      <c r="Z6" s="9" t="s">
        <v>823</v>
      </c>
      <c r="AA6" s="9" t="s">
        <v>822</v>
      </c>
      <c r="AB6" s="9" t="s">
        <v>822</v>
      </c>
      <c r="AC6" s="9" t="s">
        <v>823</v>
      </c>
      <c r="AD6" s="9" t="s">
        <v>823</v>
      </c>
      <c r="AE6" s="9" t="s">
        <v>823</v>
      </c>
      <c r="AF6" s="9" t="s">
        <v>822</v>
      </c>
      <c r="AG6" s="9" t="s">
        <v>822</v>
      </c>
      <c r="AH6" s="9" t="s">
        <v>822</v>
      </c>
      <c r="AI6" s="9" t="s">
        <v>823</v>
      </c>
      <c r="AJ6" s="9" t="s">
        <v>819</v>
      </c>
      <c r="AK6" s="9" t="s">
        <v>823</v>
      </c>
      <c r="AL6" s="9" t="s">
        <v>819</v>
      </c>
      <c r="AM6" s="9" t="s">
        <v>819</v>
      </c>
      <c r="AN6" s="9" t="s">
        <v>822</v>
      </c>
      <c r="AO6" s="9" t="s">
        <v>822</v>
      </c>
      <c r="AP6" s="9" t="s">
        <v>819</v>
      </c>
      <c r="AQ6" s="9" t="s">
        <v>821</v>
      </c>
      <c r="AR6" s="9" t="s">
        <v>822</v>
      </c>
      <c r="AS6" s="9" t="s">
        <v>819</v>
      </c>
      <c r="AT6" s="9" t="s">
        <v>822</v>
      </c>
      <c r="AU6" s="9" t="s">
        <v>823</v>
      </c>
    </row>
    <row r="7" spans="1:52" ht="32.1">
      <c r="A7" s="91"/>
      <c r="B7" s="92"/>
      <c r="C7" s="93"/>
      <c r="D7" s="40" t="s">
        <v>147</v>
      </c>
      <c r="E7" s="9" t="s">
        <v>681</v>
      </c>
      <c r="F7" s="9" t="s">
        <v>681</v>
      </c>
      <c r="G7" s="9" t="s">
        <v>681</v>
      </c>
      <c r="H7" s="9" t="s">
        <v>681</v>
      </c>
      <c r="I7" s="9" t="s">
        <v>681</v>
      </c>
      <c r="J7" s="9" t="s">
        <v>681</v>
      </c>
      <c r="K7" s="9" t="s">
        <v>681</v>
      </c>
      <c r="L7" s="9" t="s">
        <v>681</v>
      </c>
      <c r="M7" s="9" t="s">
        <v>681</v>
      </c>
      <c r="N7" s="9" t="s">
        <v>681</v>
      </c>
      <c r="O7" s="9" t="s">
        <v>681</v>
      </c>
      <c r="P7" s="9" t="s">
        <v>681</v>
      </c>
      <c r="Q7" s="9" t="s">
        <v>681</v>
      </c>
      <c r="R7" s="9" t="s">
        <v>681</v>
      </c>
      <c r="S7" s="9" t="s">
        <v>681</v>
      </c>
      <c r="T7" s="9" t="s">
        <v>681</v>
      </c>
      <c r="U7" s="9" t="s">
        <v>681</v>
      </c>
      <c r="V7" s="9" t="s">
        <v>681</v>
      </c>
      <c r="W7" s="9" t="s">
        <v>681</v>
      </c>
      <c r="X7" s="9" t="s">
        <v>681</v>
      </c>
      <c r="Y7" s="9" t="s">
        <v>681</v>
      </c>
      <c r="Z7" s="9" t="s">
        <v>681</v>
      </c>
      <c r="AA7" s="9" t="s">
        <v>681</v>
      </c>
      <c r="AB7" s="9" t="s">
        <v>681</v>
      </c>
      <c r="AC7" s="9" t="s">
        <v>681</v>
      </c>
      <c r="AD7" s="43" t="s">
        <v>683</v>
      </c>
      <c r="AE7" s="9" t="s">
        <v>681</v>
      </c>
      <c r="AF7" s="9" t="s">
        <v>681</v>
      </c>
      <c r="AG7" s="9" t="s">
        <v>681</v>
      </c>
      <c r="AH7" s="9" t="s">
        <v>681</v>
      </c>
      <c r="AI7" s="9" t="s">
        <v>681</v>
      </c>
      <c r="AJ7" s="9" t="s">
        <v>681</v>
      </c>
      <c r="AK7" s="9" t="s">
        <v>681</v>
      </c>
      <c r="AL7" s="9" t="s">
        <v>681</v>
      </c>
      <c r="AM7" s="9" t="s">
        <v>681</v>
      </c>
      <c r="AN7" s="9" t="s">
        <v>681</v>
      </c>
      <c r="AO7" s="9" t="s">
        <v>681</v>
      </c>
      <c r="AP7" s="9" t="s">
        <v>681</v>
      </c>
      <c r="AQ7" s="9" t="s">
        <v>681</v>
      </c>
      <c r="AR7" s="9" t="s">
        <v>681</v>
      </c>
      <c r="AS7" s="9" t="s">
        <v>681</v>
      </c>
      <c r="AT7" s="9" t="s">
        <v>681</v>
      </c>
      <c r="AU7" s="9" t="s">
        <v>681</v>
      </c>
      <c r="AY7" s="58"/>
    </row>
    <row r="8" spans="1:52">
      <c r="A8" s="10" t="s">
        <v>151</v>
      </c>
      <c r="B8" s="11" t="s">
        <v>152</v>
      </c>
      <c r="C8" s="11" t="s">
        <v>153</v>
      </c>
      <c r="D8" s="12" t="s">
        <v>154</v>
      </c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</row>
    <row r="9" spans="1:52">
      <c r="A9" s="14" t="s">
        <v>155</v>
      </c>
      <c r="B9" s="15"/>
      <c r="C9" s="15"/>
      <c r="D9" s="16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78"/>
      <c r="AW9" s="69"/>
      <c r="AZ9" s="69"/>
    </row>
    <row r="10" spans="1:52">
      <c r="A10" s="19" t="s">
        <v>156</v>
      </c>
      <c r="B10" s="19" t="s">
        <v>157</v>
      </c>
      <c r="C10" s="19" t="s">
        <v>158</v>
      </c>
      <c r="D10" s="20">
        <f>SUM(E10:AU10)</f>
        <v>8</v>
      </c>
      <c r="E10" s="21">
        <v>0</v>
      </c>
      <c r="F10" s="21">
        <v>0</v>
      </c>
      <c r="G10" s="21">
        <v>0</v>
      </c>
      <c r="H10" s="21">
        <v>0</v>
      </c>
      <c r="I10" s="21">
        <v>0</v>
      </c>
      <c r="J10" s="21">
        <v>0</v>
      </c>
      <c r="K10" s="21">
        <v>0</v>
      </c>
      <c r="L10" s="21">
        <v>0</v>
      </c>
      <c r="M10" s="21">
        <v>0</v>
      </c>
      <c r="N10" s="21">
        <v>0</v>
      </c>
      <c r="O10" s="21">
        <v>0</v>
      </c>
      <c r="P10" s="21">
        <v>0</v>
      </c>
      <c r="Q10" s="21">
        <v>0</v>
      </c>
      <c r="R10" s="21">
        <v>0</v>
      </c>
      <c r="S10" s="21">
        <v>1</v>
      </c>
      <c r="T10" s="21">
        <v>1</v>
      </c>
      <c r="U10" s="21">
        <v>0</v>
      </c>
      <c r="V10" s="21">
        <v>0</v>
      </c>
      <c r="W10" s="21">
        <v>0</v>
      </c>
      <c r="X10" s="21">
        <v>0</v>
      </c>
      <c r="Y10" s="21">
        <v>0</v>
      </c>
      <c r="Z10" s="21">
        <v>1</v>
      </c>
      <c r="AA10" s="21">
        <v>0</v>
      </c>
      <c r="AB10" s="21">
        <v>0</v>
      </c>
      <c r="AC10" s="21">
        <v>0</v>
      </c>
      <c r="AD10" s="21">
        <v>0</v>
      </c>
      <c r="AE10" s="21">
        <v>0</v>
      </c>
      <c r="AF10" s="21">
        <v>1</v>
      </c>
      <c r="AG10" s="21">
        <v>0</v>
      </c>
      <c r="AH10" s="21">
        <v>0</v>
      </c>
      <c r="AI10" s="21">
        <v>2</v>
      </c>
      <c r="AJ10" s="21">
        <v>2</v>
      </c>
      <c r="AK10" s="21">
        <v>0</v>
      </c>
      <c r="AL10" s="21">
        <v>0</v>
      </c>
      <c r="AM10" s="21">
        <v>0</v>
      </c>
      <c r="AN10" s="21">
        <v>0</v>
      </c>
      <c r="AO10" s="21">
        <v>0</v>
      </c>
      <c r="AP10" s="21">
        <v>0</v>
      </c>
      <c r="AQ10" s="21">
        <v>0</v>
      </c>
      <c r="AR10" s="21">
        <v>0</v>
      </c>
      <c r="AS10" s="21">
        <v>0</v>
      </c>
      <c r="AT10" s="21">
        <v>0</v>
      </c>
      <c r="AU10" s="21">
        <v>0</v>
      </c>
    </row>
    <row r="11" spans="1:52">
      <c r="A11" s="19" t="s">
        <v>156</v>
      </c>
      <c r="B11" s="19" t="s">
        <v>159</v>
      </c>
      <c r="C11" s="19" t="s">
        <v>158</v>
      </c>
      <c r="D11" s="20">
        <f t="shared" ref="D11:D76" si="0">SUM(E11:AU11)</f>
        <v>17</v>
      </c>
      <c r="E11" s="21">
        <v>2</v>
      </c>
      <c r="F11" s="21">
        <v>0</v>
      </c>
      <c r="G11" s="21">
        <v>1</v>
      </c>
      <c r="H11" s="21">
        <v>1</v>
      </c>
      <c r="I11" s="21">
        <v>0</v>
      </c>
      <c r="J11" s="21">
        <v>0</v>
      </c>
      <c r="K11" s="21">
        <v>1</v>
      </c>
      <c r="L11" s="21">
        <v>2</v>
      </c>
      <c r="M11" s="21">
        <v>0</v>
      </c>
      <c r="N11" s="21">
        <v>0</v>
      </c>
      <c r="O11" s="21">
        <v>1</v>
      </c>
      <c r="P11" s="21">
        <v>0</v>
      </c>
      <c r="Q11" s="21">
        <v>0</v>
      </c>
      <c r="R11" s="21">
        <v>0</v>
      </c>
      <c r="S11" s="21">
        <v>0</v>
      </c>
      <c r="T11" s="21">
        <v>0</v>
      </c>
      <c r="U11" s="21">
        <v>0</v>
      </c>
      <c r="V11" s="21">
        <v>0</v>
      </c>
      <c r="W11" s="21">
        <v>0</v>
      </c>
      <c r="X11" s="21">
        <v>1</v>
      </c>
      <c r="Y11" s="21">
        <v>1</v>
      </c>
      <c r="Z11" s="21">
        <v>1</v>
      </c>
      <c r="AA11" s="21">
        <v>0</v>
      </c>
      <c r="AB11" s="21">
        <v>0</v>
      </c>
      <c r="AC11" s="21">
        <v>1</v>
      </c>
      <c r="AD11" s="21">
        <v>0</v>
      </c>
      <c r="AE11" s="21">
        <v>0</v>
      </c>
      <c r="AF11" s="21">
        <v>0</v>
      </c>
      <c r="AG11" s="21">
        <v>0</v>
      </c>
      <c r="AH11" s="21">
        <v>2</v>
      </c>
      <c r="AI11" s="21">
        <v>0</v>
      </c>
      <c r="AJ11" s="21">
        <v>0</v>
      </c>
      <c r="AK11" s="21">
        <v>2</v>
      </c>
      <c r="AL11" s="21">
        <v>0</v>
      </c>
      <c r="AM11" s="21">
        <v>0</v>
      </c>
      <c r="AN11" s="21">
        <v>0</v>
      </c>
      <c r="AO11" s="21">
        <v>0</v>
      </c>
      <c r="AP11" s="21">
        <v>0</v>
      </c>
      <c r="AQ11" s="21">
        <v>0</v>
      </c>
      <c r="AR11" s="21">
        <v>0</v>
      </c>
      <c r="AS11" s="21">
        <v>1</v>
      </c>
      <c r="AT11" s="21">
        <v>0</v>
      </c>
      <c r="AU11" s="21">
        <v>0</v>
      </c>
    </row>
    <row r="12" spans="1:52">
      <c r="A12" s="19" t="s">
        <v>156</v>
      </c>
      <c r="B12" s="19" t="s">
        <v>160</v>
      </c>
      <c r="C12" s="19" t="s">
        <v>158</v>
      </c>
      <c r="D12" s="20">
        <f t="shared" si="0"/>
        <v>0</v>
      </c>
      <c r="E12" s="21">
        <v>0</v>
      </c>
      <c r="F12" s="21">
        <v>0</v>
      </c>
      <c r="G12" s="21">
        <v>0</v>
      </c>
      <c r="H12" s="21">
        <v>0</v>
      </c>
      <c r="I12" s="21">
        <v>0</v>
      </c>
      <c r="J12" s="21">
        <v>0</v>
      </c>
      <c r="K12" s="21">
        <v>0</v>
      </c>
      <c r="L12" s="21">
        <v>0</v>
      </c>
      <c r="M12" s="21">
        <v>0</v>
      </c>
      <c r="N12" s="21">
        <v>0</v>
      </c>
      <c r="O12" s="21">
        <v>0</v>
      </c>
      <c r="P12" s="21">
        <v>0</v>
      </c>
      <c r="Q12" s="21">
        <v>0</v>
      </c>
      <c r="R12" s="21">
        <v>0</v>
      </c>
      <c r="S12" s="21">
        <v>0</v>
      </c>
      <c r="T12" s="21">
        <v>0</v>
      </c>
      <c r="U12" s="21">
        <v>0</v>
      </c>
      <c r="V12" s="21">
        <v>0</v>
      </c>
      <c r="W12" s="21">
        <v>0</v>
      </c>
      <c r="X12" s="21">
        <v>0</v>
      </c>
      <c r="Y12" s="21">
        <v>0</v>
      </c>
      <c r="Z12" s="21">
        <v>0</v>
      </c>
      <c r="AA12" s="21">
        <v>0</v>
      </c>
      <c r="AB12" s="21">
        <v>0</v>
      </c>
      <c r="AC12" s="21">
        <v>0</v>
      </c>
      <c r="AD12" s="21">
        <v>0</v>
      </c>
      <c r="AE12" s="21">
        <v>0</v>
      </c>
      <c r="AF12" s="21">
        <v>0</v>
      </c>
      <c r="AG12" s="21">
        <v>0</v>
      </c>
      <c r="AH12" s="21">
        <v>0</v>
      </c>
      <c r="AI12" s="21">
        <v>0</v>
      </c>
      <c r="AJ12" s="21">
        <v>0</v>
      </c>
      <c r="AK12" s="21">
        <v>0</v>
      </c>
      <c r="AL12" s="21">
        <v>0</v>
      </c>
      <c r="AM12" s="21">
        <v>0</v>
      </c>
      <c r="AN12" s="21">
        <v>0</v>
      </c>
      <c r="AO12" s="21">
        <v>0</v>
      </c>
      <c r="AP12" s="21">
        <v>0</v>
      </c>
      <c r="AQ12" s="21">
        <v>0</v>
      </c>
      <c r="AR12" s="21">
        <v>0</v>
      </c>
      <c r="AS12" s="21">
        <v>0</v>
      </c>
      <c r="AT12" s="21">
        <v>0</v>
      </c>
      <c r="AU12" s="21">
        <v>0</v>
      </c>
    </row>
    <row r="13" spans="1:52">
      <c r="A13" s="19" t="s">
        <v>156</v>
      </c>
      <c r="B13" s="19" t="s">
        <v>161</v>
      </c>
      <c r="C13" s="19" t="s">
        <v>158</v>
      </c>
      <c r="D13" s="20">
        <f t="shared" si="0"/>
        <v>2</v>
      </c>
      <c r="E13" s="21">
        <v>0</v>
      </c>
      <c r="F13" s="21">
        <v>2</v>
      </c>
      <c r="G13" s="21">
        <v>0</v>
      </c>
      <c r="H13" s="21">
        <v>0</v>
      </c>
      <c r="I13" s="21">
        <v>0</v>
      </c>
      <c r="J13" s="21">
        <v>0</v>
      </c>
      <c r="K13" s="21">
        <v>0</v>
      </c>
      <c r="L13" s="21">
        <v>0</v>
      </c>
      <c r="M13" s="21">
        <v>0</v>
      </c>
      <c r="N13" s="21">
        <v>0</v>
      </c>
      <c r="O13" s="21">
        <v>0</v>
      </c>
      <c r="P13" s="21">
        <v>0</v>
      </c>
      <c r="Q13" s="21">
        <v>0</v>
      </c>
      <c r="R13" s="21">
        <v>0</v>
      </c>
      <c r="S13" s="21">
        <v>0</v>
      </c>
      <c r="T13" s="21">
        <v>0</v>
      </c>
      <c r="U13" s="21">
        <v>0</v>
      </c>
      <c r="V13" s="21">
        <v>0</v>
      </c>
      <c r="W13" s="21">
        <v>0</v>
      </c>
      <c r="X13" s="21">
        <v>0</v>
      </c>
      <c r="Y13" s="21">
        <v>0</v>
      </c>
      <c r="Z13" s="21">
        <v>0</v>
      </c>
      <c r="AA13" s="21">
        <v>0</v>
      </c>
      <c r="AB13" s="21">
        <v>0</v>
      </c>
      <c r="AC13" s="21">
        <v>0</v>
      </c>
      <c r="AD13" s="21">
        <v>0</v>
      </c>
      <c r="AE13" s="21">
        <v>0</v>
      </c>
      <c r="AF13" s="21">
        <v>0</v>
      </c>
      <c r="AG13" s="21">
        <v>0</v>
      </c>
      <c r="AH13" s="21">
        <v>0</v>
      </c>
      <c r="AI13" s="21">
        <v>0</v>
      </c>
      <c r="AJ13" s="21">
        <v>0</v>
      </c>
      <c r="AK13" s="21">
        <v>0</v>
      </c>
      <c r="AL13" s="21">
        <v>0</v>
      </c>
      <c r="AM13" s="21">
        <v>0</v>
      </c>
      <c r="AN13" s="21">
        <v>0</v>
      </c>
      <c r="AO13" s="21">
        <v>0</v>
      </c>
      <c r="AP13" s="21">
        <v>0</v>
      </c>
      <c r="AQ13" s="21">
        <v>0</v>
      </c>
      <c r="AR13" s="21">
        <v>0</v>
      </c>
      <c r="AS13" s="21">
        <v>0</v>
      </c>
      <c r="AT13" s="21">
        <v>0</v>
      </c>
      <c r="AU13" s="21">
        <v>0</v>
      </c>
    </row>
    <row r="14" spans="1:52">
      <c r="A14" s="19" t="s">
        <v>162</v>
      </c>
      <c r="B14" s="19" t="s">
        <v>163</v>
      </c>
      <c r="C14" s="19" t="s">
        <v>164</v>
      </c>
      <c r="D14" s="20">
        <f t="shared" si="0"/>
        <v>0</v>
      </c>
      <c r="E14" s="21">
        <v>0</v>
      </c>
      <c r="F14" s="21">
        <v>0</v>
      </c>
      <c r="G14" s="21">
        <v>0</v>
      </c>
      <c r="H14" s="21">
        <v>0</v>
      </c>
      <c r="I14" s="21">
        <v>0</v>
      </c>
      <c r="J14" s="21">
        <v>0</v>
      </c>
      <c r="K14" s="21">
        <v>0</v>
      </c>
      <c r="L14" s="21">
        <v>0</v>
      </c>
      <c r="M14" s="21">
        <v>0</v>
      </c>
      <c r="N14" s="21">
        <v>0</v>
      </c>
      <c r="O14" s="21">
        <v>0</v>
      </c>
      <c r="P14" s="21">
        <v>0</v>
      </c>
      <c r="Q14" s="21">
        <v>0</v>
      </c>
      <c r="R14" s="21">
        <v>0</v>
      </c>
      <c r="S14" s="21">
        <v>0</v>
      </c>
      <c r="T14" s="21">
        <v>0</v>
      </c>
      <c r="U14" s="21">
        <v>0</v>
      </c>
      <c r="V14" s="21">
        <v>0</v>
      </c>
      <c r="W14" s="21">
        <v>0</v>
      </c>
      <c r="X14" s="21">
        <v>0</v>
      </c>
      <c r="Y14" s="21">
        <v>0</v>
      </c>
      <c r="Z14" s="21">
        <v>0</v>
      </c>
      <c r="AA14" s="21">
        <v>0</v>
      </c>
      <c r="AB14" s="21">
        <v>0</v>
      </c>
      <c r="AC14" s="21">
        <v>0</v>
      </c>
      <c r="AD14" s="21">
        <v>0</v>
      </c>
      <c r="AE14" s="21">
        <v>0</v>
      </c>
      <c r="AF14" s="21">
        <v>0</v>
      </c>
      <c r="AG14" s="21">
        <v>0</v>
      </c>
      <c r="AH14" s="21">
        <v>0</v>
      </c>
      <c r="AI14" s="21">
        <v>0</v>
      </c>
      <c r="AJ14" s="21">
        <v>0</v>
      </c>
      <c r="AK14" s="21">
        <v>0</v>
      </c>
      <c r="AL14" s="21">
        <v>0</v>
      </c>
      <c r="AM14" s="21">
        <v>0</v>
      </c>
      <c r="AN14" s="21">
        <v>0</v>
      </c>
      <c r="AO14" s="21">
        <v>0</v>
      </c>
      <c r="AP14" s="21">
        <v>0</v>
      </c>
      <c r="AQ14" s="21">
        <v>0</v>
      </c>
      <c r="AR14" s="21">
        <v>0</v>
      </c>
      <c r="AS14" s="21">
        <v>0</v>
      </c>
      <c r="AT14" s="21">
        <v>0</v>
      </c>
      <c r="AU14" s="21">
        <v>0</v>
      </c>
    </row>
    <row r="15" spans="1:52">
      <c r="A15" s="19" t="s">
        <v>165</v>
      </c>
      <c r="B15" s="19" t="s">
        <v>166</v>
      </c>
      <c r="C15" s="19" t="s">
        <v>167</v>
      </c>
      <c r="D15" s="20">
        <f t="shared" si="0"/>
        <v>1</v>
      </c>
      <c r="E15" s="21">
        <v>0</v>
      </c>
      <c r="F15" s="21">
        <v>1</v>
      </c>
      <c r="G15" s="21">
        <v>0</v>
      </c>
      <c r="H15" s="21">
        <v>0</v>
      </c>
      <c r="I15" s="21">
        <v>0</v>
      </c>
      <c r="J15" s="21">
        <v>0</v>
      </c>
      <c r="K15" s="21">
        <v>0</v>
      </c>
      <c r="L15" s="21">
        <v>0</v>
      </c>
      <c r="M15" s="21">
        <v>0</v>
      </c>
      <c r="N15" s="21">
        <v>0</v>
      </c>
      <c r="O15" s="21">
        <v>0</v>
      </c>
      <c r="P15" s="21">
        <v>0</v>
      </c>
      <c r="Q15" s="21">
        <v>0</v>
      </c>
      <c r="R15" s="21">
        <v>0</v>
      </c>
      <c r="S15" s="21">
        <v>0</v>
      </c>
      <c r="T15" s="21">
        <v>0</v>
      </c>
      <c r="U15" s="21">
        <v>0</v>
      </c>
      <c r="V15" s="21">
        <v>0</v>
      </c>
      <c r="W15" s="21">
        <v>0</v>
      </c>
      <c r="X15" s="21">
        <v>0</v>
      </c>
      <c r="Y15" s="21">
        <v>0</v>
      </c>
      <c r="Z15" s="21">
        <v>0</v>
      </c>
      <c r="AA15" s="21">
        <v>0</v>
      </c>
      <c r="AB15" s="21">
        <v>0</v>
      </c>
      <c r="AC15" s="21">
        <v>0</v>
      </c>
      <c r="AD15" s="21">
        <v>0</v>
      </c>
      <c r="AE15" s="21">
        <v>0</v>
      </c>
      <c r="AF15" s="21">
        <v>0</v>
      </c>
      <c r="AG15" s="21">
        <v>0</v>
      </c>
      <c r="AH15" s="21">
        <v>0</v>
      </c>
      <c r="AI15" s="21">
        <v>0</v>
      </c>
      <c r="AJ15" s="21">
        <v>0</v>
      </c>
      <c r="AK15" s="21">
        <v>0</v>
      </c>
      <c r="AL15" s="21">
        <v>0</v>
      </c>
      <c r="AM15" s="21">
        <v>0</v>
      </c>
      <c r="AN15" s="21">
        <v>0</v>
      </c>
      <c r="AO15" s="21">
        <v>0</v>
      </c>
      <c r="AP15" s="21">
        <v>0</v>
      </c>
      <c r="AQ15" s="21">
        <v>0</v>
      </c>
      <c r="AR15" s="21">
        <v>0</v>
      </c>
      <c r="AS15" s="21">
        <v>0</v>
      </c>
      <c r="AT15" s="21">
        <v>0</v>
      </c>
      <c r="AU15" s="21">
        <v>0</v>
      </c>
    </row>
    <row r="16" spans="1:52">
      <c r="A16" s="19" t="s">
        <v>168</v>
      </c>
      <c r="B16" s="19" t="s">
        <v>169</v>
      </c>
      <c r="C16" s="19" t="s">
        <v>170</v>
      </c>
      <c r="D16" s="20">
        <f t="shared" si="0"/>
        <v>0</v>
      </c>
      <c r="E16" s="21">
        <v>0</v>
      </c>
      <c r="F16" s="21">
        <v>0</v>
      </c>
      <c r="G16" s="21">
        <v>0</v>
      </c>
      <c r="H16" s="21">
        <v>0</v>
      </c>
      <c r="I16" s="21">
        <v>0</v>
      </c>
      <c r="J16" s="21">
        <v>0</v>
      </c>
      <c r="K16" s="21">
        <v>0</v>
      </c>
      <c r="L16" s="21">
        <v>0</v>
      </c>
      <c r="M16" s="21">
        <v>0</v>
      </c>
      <c r="N16" s="21">
        <v>0</v>
      </c>
      <c r="O16" s="21">
        <v>0</v>
      </c>
      <c r="P16" s="21">
        <v>0</v>
      </c>
      <c r="Q16" s="21">
        <v>0</v>
      </c>
      <c r="R16" s="21">
        <v>0</v>
      </c>
      <c r="S16" s="21">
        <v>0</v>
      </c>
      <c r="T16" s="21">
        <v>0</v>
      </c>
      <c r="U16" s="21">
        <v>0</v>
      </c>
      <c r="V16" s="21">
        <v>0</v>
      </c>
      <c r="W16" s="21">
        <v>0</v>
      </c>
      <c r="X16" s="21">
        <v>0</v>
      </c>
      <c r="Y16" s="21">
        <v>0</v>
      </c>
      <c r="Z16" s="21">
        <v>0</v>
      </c>
      <c r="AA16" s="21">
        <v>0</v>
      </c>
      <c r="AB16" s="21">
        <v>0</v>
      </c>
      <c r="AC16" s="21">
        <v>0</v>
      </c>
      <c r="AD16" s="21">
        <v>0</v>
      </c>
      <c r="AE16" s="21">
        <v>0</v>
      </c>
      <c r="AF16" s="21">
        <v>0</v>
      </c>
      <c r="AG16" s="21">
        <v>0</v>
      </c>
      <c r="AH16" s="21">
        <v>0</v>
      </c>
      <c r="AI16" s="21">
        <v>0</v>
      </c>
      <c r="AJ16" s="21">
        <v>0</v>
      </c>
      <c r="AK16" s="21">
        <v>0</v>
      </c>
      <c r="AL16" s="21">
        <v>0</v>
      </c>
      <c r="AM16" s="21">
        <v>0</v>
      </c>
      <c r="AN16" s="21">
        <v>0</v>
      </c>
      <c r="AO16" s="21">
        <v>0</v>
      </c>
      <c r="AP16" s="21">
        <v>0</v>
      </c>
      <c r="AQ16" s="21">
        <v>0</v>
      </c>
      <c r="AR16" s="21">
        <v>0</v>
      </c>
      <c r="AS16" s="21">
        <v>0</v>
      </c>
      <c r="AT16" s="21">
        <v>0</v>
      </c>
      <c r="AU16" s="21">
        <v>0</v>
      </c>
    </row>
    <row r="17" spans="1:48">
      <c r="A17" s="19" t="s">
        <v>168</v>
      </c>
      <c r="B17" s="19" t="s">
        <v>171</v>
      </c>
      <c r="C17" s="19" t="s">
        <v>170</v>
      </c>
      <c r="D17" s="20">
        <f t="shared" si="0"/>
        <v>8</v>
      </c>
      <c r="E17" s="21">
        <v>0</v>
      </c>
      <c r="F17" s="21">
        <v>8</v>
      </c>
      <c r="G17" s="21">
        <v>0</v>
      </c>
      <c r="H17" s="21">
        <v>0</v>
      </c>
      <c r="I17" s="21">
        <v>0</v>
      </c>
      <c r="J17" s="21">
        <v>0</v>
      </c>
      <c r="K17" s="21">
        <v>0</v>
      </c>
      <c r="L17" s="21">
        <v>0</v>
      </c>
      <c r="M17" s="21">
        <v>0</v>
      </c>
      <c r="N17" s="21">
        <v>0</v>
      </c>
      <c r="O17" s="21">
        <v>0</v>
      </c>
      <c r="P17" s="21">
        <v>0</v>
      </c>
      <c r="Q17" s="21">
        <v>0</v>
      </c>
      <c r="R17" s="21">
        <v>0</v>
      </c>
      <c r="S17" s="21">
        <v>0</v>
      </c>
      <c r="T17" s="21">
        <v>0</v>
      </c>
      <c r="U17" s="21">
        <v>0</v>
      </c>
      <c r="V17" s="21">
        <v>0</v>
      </c>
      <c r="W17" s="21">
        <v>0</v>
      </c>
      <c r="X17" s="21">
        <v>0</v>
      </c>
      <c r="Y17" s="21">
        <v>0</v>
      </c>
      <c r="Z17" s="21">
        <v>0</v>
      </c>
      <c r="AA17" s="21">
        <v>0</v>
      </c>
      <c r="AB17" s="21">
        <v>0</v>
      </c>
      <c r="AC17" s="21">
        <v>0</v>
      </c>
      <c r="AD17" s="21">
        <v>0</v>
      </c>
      <c r="AE17" s="21">
        <v>0</v>
      </c>
      <c r="AF17" s="21">
        <v>0</v>
      </c>
      <c r="AG17" s="21">
        <v>0</v>
      </c>
      <c r="AH17" s="21">
        <v>0</v>
      </c>
      <c r="AI17" s="21">
        <v>0</v>
      </c>
      <c r="AJ17" s="21">
        <v>0</v>
      </c>
      <c r="AK17" s="21">
        <v>0</v>
      </c>
      <c r="AL17" s="21">
        <v>0</v>
      </c>
      <c r="AM17" s="21">
        <v>0</v>
      </c>
      <c r="AN17" s="21">
        <v>0</v>
      </c>
      <c r="AO17" s="21">
        <v>0</v>
      </c>
      <c r="AP17" s="21">
        <v>0</v>
      </c>
      <c r="AQ17" s="21">
        <v>0</v>
      </c>
      <c r="AR17" s="21">
        <v>0</v>
      </c>
      <c r="AS17" s="21">
        <v>0</v>
      </c>
      <c r="AT17" s="21">
        <v>0</v>
      </c>
      <c r="AU17" s="21">
        <v>0</v>
      </c>
    </row>
    <row r="18" spans="1:48">
      <c r="A18" s="19" t="s">
        <v>168</v>
      </c>
      <c r="B18" s="19" t="s">
        <v>172</v>
      </c>
      <c r="C18" s="19" t="s">
        <v>170</v>
      </c>
      <c r="D18" s="20">
        <f t="shared" si="0"/>
        <v>0</v>
      </c>
      <c r="E18" s="21">
        <v>0</v>
      </c>
      <c r="F18" s="21">
        <v>0</v>
      </c>
      <c r="G18" s="21">
        <v>0</v>
      </c>
      <c r="H18" s="21">
        <v>0</v>
      </c>
      <c r="I18" s="21">
        <v>0</v>
      </c>
      <c r="J18" s="21">
        <v>0</v>
      </c>
      <c r="K18" s="21">
        <v>0</v>
      </c>
      <c r="L18" s="21">
        <v>0</v>
      </c>
      <c r="M18" s="21">
        <v>0</v>
      </c>
      <c r="N18" s="21">
        <v>0</v>
      </c>
      <c r="O18" s="21">
        <v>0</v>
      </c>
      <c r="P18" s="21">
        <v>0</v>
      </c>
      <c r="Q18" s="21">
        <v>0</v>
      </c>
      <c r="R18" s="21">
        <v>0</v>
      </c>
      <c r="S18" s="21">
        <v>0</v>
      </c>
      <c r="T18" s="21">
        <v>0</v>
      </c>
      <c r="U18" s="21">
        <v>0</v>
      </c>
      <c r="V18" s="21">
        <v>0</v>
      </c>
      <c r="W18" s="21">
        <v>0</v>
      </c>
      <c r="X18" s="21">
        <v>0</v>
      </c>
      <c r="Y18" s="21">
        <v>0</v>
      </c>
      <c r="Z18" s="21">
        <v>0</v>
      </c>
      <c r="AA18" s="21">
        <v>0</v>
      </c>
      <c r="AB18" s="21">
        <v>0</v>
      </c>
      <c r="AC18" s="21">
        <v>0</v>
      </c>
      <c r="AD18" s="21">
        <v>0</v>
      </c>
      <c r="AE18" s="21">
        <v>0</v>
      </c>
      <c r="AF18" s="21">
        <v>0</v>
      </c>
      <c r="AG18" s="21">
        <v>0</v>
      </c>
      <c r="AH18" s="21">
        <v>0</v>
      </c>
      <c r="AI18" s="21">
        <v>0</v>
      </c>
      <c r="AJ18" s="21">
        <v>0</v>
      </c>
      <c r="AK18" s="21">
        <v>0</v>
      </c>
      <c r="AL18" s="21">
        <v>0</v>
      </c>
      <c r="AM18" s="21">
        <v>0</v>
      </c>
      <c r="AN18" s="21">
        <v>0</v>
      </c>
      <c r="AO18" s="21">
        <v>0</v>
      </c>
      <c r="AP18" s="21">
        <v>0</v>
      </c>
      <c r="AQ18" s="21">
        <v>0</v>
      </c>
      <c r="AR18" s="21">
        <v>0</v>
      </c>
      <c r="AS18" s="21">
        <v>0</v>
      </c>
      <c r="AT18" s="21">
        <v>0</v>
      </c>
      <c r="AU18" s="21">
        <v>0</v>
      </c>
    </row>
    <row r="19" spans="1:48">
      <c r="A19" s="19" t="s">
        <v>173</v>
      </c>
      <c r="B19" s="19" t="s">
        <v>174</v>
      </c>
      <c r="C19" s="19" t="s">
        <v>175</v>
      </c>
      <c r="D19" s="20">
        <f t="shared" si="0"/>
        <v>1</v>
      </c>
      <c r="E19" s="21">
        <v>0</v>
      </c>
      <c r="F19" s="21">
        <v>1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</row>
    <row r="20" spans="1:48">
      <c r="A20" s="19" t="s">
        <v>176</v>
      </c>
      <c r="B20" s="19" t="s">
        <v>177</v>
      </c>
      <c r="C20" s="19" t="s">
        <v>178</v>
      </c>
      <c r="D20" s="20">
        <f t="shared" si="0"/>
        <v>0</v>
      </c>
      <c r="E20" s="21">
        <v>0</v>
      </c>
      <c r="F20" s="21">
        <v>0</v>
      </c>
      <c r="G20" s="21">
        <v>0</v>
      </c>
      <c r="H20" s="21">
        <v>0</v>
      </c>
      <c r="I20" s="21">
        <v>0</v>
      </c>
      <c r="J20" s="21">
        <v>0</v>
      </c>
      <c r="K20" s="21">
        <v>0</v>
      </c>
      <c r="L20" s="21">
        <v>0</v>
      </c>
      <c r="M20" s="21">
        <v>0</v>
      </c>
      <c r="N20" s="21">
        <v>0</v>
      </c>
      <c r="O20" s="21">
        <v>0</v>
      </c>
      <c r="P20" s="21">
        <v>0</v>
      </c>
      <c r="Q20" s="21">
        <v>0</v>
      </c>
      <c r="R20" s="21">
        <v>0</v>
      </c>
      <c r="S20" s="21">
        <v>0</v>
      </c>
      <c r="T20" s="21">
        <v>0</v>
      </c>
      <c r="U20" s="21">
        <v>0</v>
      </c>
      <c r="V20" s="21">
        <v>0</v>
      </c>
      <c r="W20" s="21">
        <v>0</v>
      </c>
      <c r="X20" s="21">
        <v>0</v>
      </c>
      <c r="Y20" s="21">
        <v>0</v>
      </c>
      <c r="Z20" s="21">
        <v>0</v>
      </c>
      <c r="AA20" s="21">
        <v>0</v>
      </c>
      <c r="AB20" s="21">
        <v>0</v>
      </c>
      <c r="AC20" s="21">
        <v>0</v>
      </c>
      <c r="AD20" s="21">
        <v>0</v>
      </c>
      <c r="AE20" s="21">
        <v>0</v>
      </c>
      <c r="AF20" s="21">
        <v>0</v>
      </c>
      <c r="AG20" s="21">
        <v>0</v>
      </c>
      <c r="AH20" s="21">
        <v>0</v>
      </c>
      <c r="AI20" s="21">
        <v>0</v>
      </c>
      <c r="AJ20" s="21">
        <v>0</v>
      </c>
      <c r="AK20" s="21">
        <v>0</v>
      </c>
      <c r="AL20" s="21">
        <v>0</v>
      </c>
      <c r="AM20" s="21">
        <v>0</v>
      </c>
      <c r="AN20" s="21">
        <v>0</v>
      </c>
      <c r="AO20" s="21">
        <v>0</v>
      </c>
      <c r="AP20" s="21">
        <v>0</v>
      </c>
      <c r="AQ20" s="21">
        <v>0</v>
      </c>
      <c r="AR20" s="21">
        <v>0</v>
      </c>
      <c r="AS20" s="21">
        <v>0</v>
      </c>
      <c r="AT20" s="21">
        <v>0</v>
      </c>
      <c r="AU20" s="21">
        <v>0</v>
      </c>
    </row>
    <row r="21" spans="1:48" ht="26.25" customHeight="1">
      <c r="A21" s="19" t="s">
        <v>179</v>
      </c>
      <c r="B21" s="19" t="s">
        <v>180</v>
      </c>
      <c r="C21" s="19" t="s">
        <v>181</v>
      </c>
      <c r="D21" s="20">
        <f t="shared" si="0"/>
        <v>8640</v>
      </c>
      <c r="E21" s="21">
        <v>0</v>
      </c>
      <c r="F21" s="21">
        <v>8640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1">
        <v>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  <c r="W21" s="21">
        <v>0</v>
      </c>
      <c r="X21" s="21">
        <v>0</v>
      </c>
      <c r="Y21" s="21">
        <v>0</v>
      </c>
      <c r="Z21" s="21">
        <v>0</v>
      </c>
      <c r="AA21" s="21">
        <v>0</v>
      </c>
      <c r="AB21" s="21">
        <v>0</v>
      </c>
      <c r="AC21" s="21">
        <v>0</v>
      </c>
      <c r="AD21" s="21">
        <v>0</v>
      </c>
      <c r="AE21" s="21">
        <v>0</v>
      </c>
      <c r="AF21" s="21">
        <v>0</v>
      </c>
      <c r="AG21" s="21">
        <v>0</v>
      </c>
      <c r="AH21" s="21">
        <v>0</v>
      </c>
      <c r="AI21" s="21">
        <v>0</v>
      </c>
      <c r="AJ21" s="21">
        <v>0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1">
        <v>0</v>
      </c>
      <c r="AS21" s="21">
        <v>0</v>
      </c>
      <c r="AT21" s="21">
        <v>0</v>
      </c>
      <c r="AU21" s="21">
        <v>0</v>
      </c>
    </row>
    <row r="22" spans="1:48">
      <c r="A22" s="19" t="s">
        <v>182</v>
      </c>
      <c r="B22" s="19" t="s">
        <v>183</v>
      </c>
      <c r="C22" s="19" t="s">
        <v>181</v>
      </c>
      <c r="D22" s="20">
        <f t="shared" si="0"/>
        <v>0</v>
      </c>
      <c r="E22" s="21">
        <v>0</v>
      </c>
      <c r="F22" s="21">
        <v>0</v>
      </c>
      <c r="G22" s="21">
        <v>0</v>
      </c>
      <c r="H22" s="21">
        <v>0</v>
      </c>
      <c r="I22" s="21">
        <v>0</v>
      </c>
      <c r="J22" s="21">
        <v>0</v>
      </c>
      <c r="K22" s="21">
        <v>0</v>
      </c>
      <c r="L22" s="21">
        <v>0</v>
      </c>
      <c r="M22" s="21">
        <v>0</v>
      </c>
      <c r="N22" s="21">
        <v>0</v>
      </c>
      <c r="O22" s="21">
        <v>0</v>
      </c>
      <c r="P22" s="21">
        <v>0</v>
      </c>
      <c r="Q22" s="21">
        <v>0</v>
      </c>
      <c r="R22" s="21">
        <v>0</v>
      </c>
      <c r="S22" s="21">
        <v>0</v>
      </c>
      <c r="T22" s="21">
        <v>0</v>
      </c>
      <c r="U22" s="21">
        <v>0</v>
      </c>
      <c r="V22" s="21">
        <v>0</v>
      </c>
      <c r="W22" s="21">
        <v>0</v>
      </c>
      <c r="X22" s="21">
        <v>0</v>
      </c>
      <c r="Y22" s="21">
        <v>0</v>
      </c>
      <c r="Z22" s="21">
        <v>0</v>
      </c>
      <c r="AA22" s="21">
        <v>0</v>
      </c>
      <c r="AB22" s="21">
        <v>0</v>
      </c>
      <c r="AC22" s="21">
        <v>0</v>
      </c>
      <c r="AD22" s="21">
        <v>0</v>
      </c>
      <c r="AE22" s="21">
        <v>0</v>
      </c>
      <c r="AF22" s="21">
        <v>0</v>
      </c>
      <c r="AG22" s="21">
        <v>0</v>
      </c>
      <c r="AH22" s="21">
        <v>0</v>
      </c>
      <c r="AI22" s="21">
        <v>0</v>
      </c>
      <c r="AJ22" s="21">
        <v>0</v>
      </c>
      <c r="AK22" s="21">
        <v>0</v>
      </c>
      <c r="AL22" s="21">
        <v>0</v>
      </c>
      <c r="AM22" s="21">
        <v>0</v>
      </c>
      <c r="AN22" s="21">
        <v>0</v>
      </c>
      <c r="AO22" s="21">
        <v>0</v>
      </c>
      <c r="AP22" s="21">
        <v>0</v>
      </c>
      <c r="AQ22" s="21">
        <v>0</v>
      </c>
      <c r="AR22" s="21">
        <v>0</v>
      </c>
      <c r="AS22" s="21">
        <v>0</v>
      </c>
      <c r="AT22" s="21">
        <v>0</v>
      </c>
      <c r="AU22" s="21">
        <v>0</v>
      </c>
      <c r="AV22" s="79"/>
    </row>
    <row r="23" spans="1:48">
      <c r="A23" s="19" t="s">
        <v>182</v>
      </c>
      <c r="B23" s="19" t="s">
        <v>184</v>
      </c>
      <c r="C23" s="19" t="s">
        <v>181</v>
      </c>
      <c r="D23" s="20">
        <f t="shared" si="0"/>
        <v>120</v>
      </c>
      <c r="E23" s="21">
        <v>0</v>
      </c>
      <c r="F23" s="21">
        <v>120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  <c r="M23" s="21">
        <v>0</v>
      </c>
      <c r="N23" s="21">
        <v>0</v>
      </c>
      <c r="O23" s="21">
        <v>0</v>
      </c>
      <c r="P23" s="21">
        <v>0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21">
        <v>0</v>
      </c>
      <c r="Y23" s="21">
        <v>0</v>
      </c>
      <c r="Z23" s="21">
        <v>0</v>
      </c>
      <c r="AA23" s="21">
        <v>0</v>
      </c>
      <c r="AB23" s="21">
        <v>0</v>
      </c>
      <c r="AC23" s="21">
        <v>0</v>
      </c>
      <c r="AD23" s="21">
        <v>0</v>
      </c>
      <c r="AE23" s="21">
        <v>0</v>
      </c>
      <c r="AF23" s="21">
        <v>0</v>
      </c>
      <c r="AG23" s="21">
        <v>0</v>
      </c>
      <c r="AH23" s="21">
        <v>0</v>
      </c>
      <c r="AI23" s="21">
        <v>0</v>
      </c>
      <c r="AJ23" s="21">
        <v>0</v>
      </c>
      <c r="AK23" s="21">
        <v>0</v>
      </c>
      <c r="AL23" s="21">
        <v>0</v>
      </c>
      <c r="AM23" s="21">
        <v>0</v>
      </c>
      <c r="AN23" s="21">
        <v>0</v>
      </c>
      <c r="AO23" s="21">
        <v>0</v>
      </c>
      <c r="AP23" s="21">
        <v>0</v>
      </c>
      <c r="AQ23" s="21">
        <v>0</v>
      </c>
      <c r="AR23" s="21">
        <v>0</v>
      </c>
      <c r="AS23" s="21">
        <v>0</v>
      </c>
      <c r="AT23" s="21">
        <v>0</v>
      </c>
      <c r="AU23" s="21">
        <v>0</v>
      </c>
    </row>
    <row r="24" spans="1:48">
      <c r="A24" s="19" t="s">
        <v>185</v>
      </c>
      <c r="B24" s="19" t="s">
        <v>186</v>
      </c>
      <c r="C24" s="19" t="s">
        <v>187</v>
      </c>
      <c r="D24" s="20">
        <f t="shared" si="0"/>
        <v>21</v>
      </c>
      <c r="E24" s="21">
        <v>0</v>
      </c>
      <c r="F24" s="21">
        <v>3</v>
      </c>
      <c r="G24" s="21">
        <v>2</v>
      </c>
      <c r="H24" s="21">
        <v>0</v>
      </c>
      <c r="I24" s="21">
        <v>1</v>
      </c>
      <c r="J24" s="21">
        <v>0</v>
      </c>
      <c r="K24" s="21">
        <v>0</v>
      </c>
      <c r="L24" s="21">
        <v>0</v>
      </c>
      <c r="M24" s="21">
        <v>2</v>
      </c>
      <c r="N24" s="21">
        <v>2</v>
      </c>
      <c r="O24" s="21">
        <v>0</v>
      </c>
      <c r="P24" s="21">
        <v>0</v>
      </c>
      <c r="Q24" s="21">
        <v>0</v>
      </c>
      <c r="R24" s="21">
        <v>0</v>
      </c>
      <c r="S24" s="21">
        <v>0</v>
      </c>
      <c r="T24" s="21">
        <v>0</v>
      </c>
      <c r="U24" s="21">
        <v>0</v>
      </c>
      <c r="V24" s="21">
        <v>0</v>
      </c>
      <c r="W24" s="21">
        <v>0</v>
      </c>
      <c r="X24" s="21">
        <v>1</v>
      </c>
      <c r="Y24" s="21">
        <v>0</v>
      </c>
      <c r="Z24" s="21">
        <v>0</v>
      </c>
      <c r="AA24" s="21">
        <v>4</v>
      </c>
      <c r="AB24" s="21">
        <v>0</v>
      </c>
      <c r="AC24" s="21">
        <v>1</v>
      </c>
      <c r="AD24" s="21">
        <v>0</v>
      </c>
      <c r="AE24" s="21">
        <v>0</v>
      </c>
      <c r="AF24" s="21">
        <v>0</v>
      </c>
      <c r="AG24" s="21">
        <v>0</v>
      </c>
      <c r="AH24" s="21">
        <v>0</v>
      </c>
      <c r="AI24" s="21">
        <v>0</v>
      </c>
      <c r="AJ24" s="21">
        <v>0</v>
      </c>
      <c r="AK24" s="21">
        <v>0</v>
      </c>
      <c r="AL24" s="21">
        <v>2</v>
      </c>
      <c r="AM24" s="21">
        <v>0</v>
      </c>
      <c r="AN24" s="21">
        <v>1</v>
      </c>
      <c r="AO24" s="21">
        <v>0</v>
      </c>
      <c r="AP24" s="21">
        <v>0</v>
      </c>
      <c r="AQ24" s="21">
        <v>0</v>
      </c>
      <c r="AR24" s="21">
        <v>1</v>
      </c>
      <c r="AS24" s="21">
        <v>1</v>
      </c>
      <c r="AT24" s="21">
        <v>0</v>
      </c>
      <c r="AU24" s="21">
        <v>0</v>
      </c>
    </row>
    <row r="25" spans="1:48">
      <c r="A25" s="19" t="s">
        <v>185</v>
      </c>
      <c r="B25" s="19" t="s">
        <v>188</v>
      </c>
      <c r="C25" s="19" t="s">
        <v>187</v>
      </c>
      <c r="D25" s="20">
        <f t="shared" si="0"/>
        <v>10</v>
      </c>
      <c r="E25" s="21">
        <v>0</v>
      </c>
      <c r="F25" s="21">
        <v>5</v>
      </c>
      <c r="G25" s="21">
        <v>0</v>
      </c>
      <c r="H25" s="21">
        <v>0</v>
      </c>
      <c r="I25" s="21">
        <v>0</v>
      </c>
      <c r="J25" s="21">
        <v>0</v>
      </c>
      <c r="K25" s="21">
        <v>1</v>
      </c>
      <c r="L25" s="21">
        <v>2</v>
      </c>
      <c r="M25" s="21">
        <v>0</v>
      </c>
      <c r="N25" s="21">
        <v>0</v>
      </c>
      <c r="O25" s="21">
        <v>0</v>
      </c>
      <c r="P25" s="21">
        <v>0</v>
      </c>
      <c r="Q25" s="21">
        <v>0</v>
      </c>
      <c r="R25" s="21">
        <v>0</v>
      </c>
      <c r="S25" s="21">
        <v>0</v>
      </c>
      <c r="T25" s="21">
        <v>0</v>
      </c>
      <c r="U25" s="21">
        <v>0</v>
      </c>
      <c r="V25" s="21">
        <v>2</v>
      </c>
      <c r="W25" s="21">
        <v>0</v>
      </c>
      <c r="X25" s="21">
        <v>0</v>
      </c>
      <c r="Y25" s="21">
        <v>0</v>
      </c>
      <c r="Z25" s="21">
        <v>0</v>
      </c>
      <c r="AA25" s="21">
        <v>0</v>
      </c>
      <c r="AB25" s="21">
        <v>0</v>
      </c>
      <c r="AC25" s="21">
        <v>0</v>
      </c>
      <c r="AD25" s="21">
        <v>0</v>
      </c>
      <c r="AE25" s="21">
        <v>0</v>
      </c>
      <c r="AF25" s="21">
        <v>0</v>
      </c>
      <c r="AG25" s="21">
        <v>0</v>
      </c>
      <c r="AH25" s="21">
        <v>0</v>
      </c>
      <c r="AI25" s="21">
        <v>0</v>
      </c>
      <c r="AJ25" s="21">
        <v>0</v>
      </c>
      <c r="AK25" s="21">
        <v>0</v>
      </c>
      <c r="AL25" s="21">
        <v>0</v>
      </c>
      <c r="AM25" s="21">
        <v>0</v>
      </c>
      <c r="AN25" s="21">
        <v>0</v>
      </c>
      <c r="AO25" s="21">
        <v>0</v>
      </c>
      <c r="AP25" s="21">
        <v>0</v>
      </c>
      <c r="AQ25" s="21">
        <v>0</v>
      </c>
      <c r="AR25" s="21">
        <v>0</v>
      </c>
      <c r="AS25" s="21">
        <v>0</v>
      </c>
      <c r="AT25" s="21">
        <v>0</v>
      </c>
      <c r="AU25" s="21">
        <v>0</v>
      </c>
    </row>
    <row r="26" spans="1:48">
      <c r="A26" s="19" t="s">
        <v>185</v>
      </c>
      <c r="B26" s="19" t="s">
        <v>189</v>
      </c>
      <c r="C26" s="19" t="s">
        <v>187</v>
      </c>
      <c r="D26" s="20">
        <f t="shared" si="0"/>
        <v>7</v>
      </c>
      <c r="E26" s="21">
        <v>1</v>
      </c>
      <c r="F26" s="21">
        <v>3</v>
      </c>
      <c r="G26" s="21">
        <v>0</v>
      </c>
      <c r="H26" s="21">
        <v>0</v>
      </c>
      <c r="I26" s="21">
        <v>0</v>
      </c>
      <c r="J26" s="21">
        <v>0</v>
      </c>
      <c r="K26" s="21">
        <v>0</v>
      </c>
      <c r="L26" s="21">
        <v>0</v>
      </c>
      <c r="M26" s="21">
        <v>0</v>
      </c>
      <c r="N26" s="21">
        <v>0</v>
      </c>
      <c r="O26" s="21">
        <v>0</v>
      </c>
      <c r="P26" s="21">
        <v>0</v>
      </c>
      <c r="Q26" s="21">
        <v>0</v>
      </c>
      <c r="R26" s="21">
        <v>0</v>
      </c>
      <c r="S26" s="21">
        <v>0</v>
      </c>
      <c r="T26" s="21">
        <v>0</v>
      </c>
      <c r="U26" s="21">
        <v>0</v>
      </c>
      <c r="V26" s="21">
        <v>0</v>
      </c>
      <c r="W26" s="21">
        <v>0</v>
      </c>
      <c r="X26" s="21">
        <v>0</v>
      </c>
      <c r="Y26" s="21">
        <v>0</v>
      </c>
      <c r="Z26" s="21">
        <v>0</v>
      </c>
      <c r="AA26" s="21">
        <v>0</v>
      </c>
      <c r="AB26" s="21">
        <v>0</v>
      </c>
      <c r="AC26" s="21">
        <v>0</v>
      </c>
      <c r="AD26" s="21">
        <v>0</v>
      </c>
      <c r="AE26" s="21">
        <v>0</v>
      </c>
      <c r="AF26" s="21">
        <v>0</v>
      </c>
      <c r="AG26" s="21">
        <v>0</v>
      </c>
      <c r="AH26" s="21">
        <v>1</v>
      </c>
      <c r="AI26" s="21">
        <v>0</v>
      </c>
      <c r="AJ26" s="21">
        <v>0</v>
      </c>
      <c r="AK26" s="21">
        <v>0</v>
      </c>
      <c r="AL26" s="21">
        <v>0</v>
      </c>
      <c r="AM26" s="21">
        <v>0</v>
      </c>
      <c r="AN26" s="21">
        <v>0</v>
      </c>
      <c r="AO26" s="21">
        <v>0</v>
      </c>
      <c r="AP26" s="21">
        <v>0</v>
      </c>
      <c r="AQ26" s="21">
        <v>2</v>
      </c>
      <c r="AR26" s="21">
        <v>0</v>
      </c>
      <c r="AS26" s="21">
        <v>0</v>
      </c>
      <c r="AT26" s="21">
        <v>0</v>
      </c>
      <c r="AU26" s="21">
        <v>0</v>
      </c>
    </row>
    <row r="27" spans="1:48">
      <c r="A27" s="19" t="s">
        <v>185</v>
      </c>
      <c r="B27" s="19" t="s">
        <v>190</v>
      </c>
      <c r="C27" s="19" t="s">
        <v>187</v>
      </c>
      <c r="D27" s="20">
        <f t="shared" si="0"/>
        <v>0</v>
      </c>
      <c r="E27" s="21">
        <v>0</v>
      </c>
      <c r="F27" s="21">
        <v>0</v>
      </c>
      <c r="G27" s="21">
        <v>0</v>
      </c>
      <c r="H27" s="21">
        <v>0</v>
      </c>
      <c r="I27" s="21">
        <v>0</v>
      </c>
      <c r="J27" s="21">
        <v>0</v>
      </c>
      <c r="K27" s="21">
        <v>0</v>
      </c>
      <c r="L27" s="21">
        <v>0</v>
      </c>
      <c r="M27" s="21">
        <v>0</v>
      </c>
      <c r="N27" s="21">
        <v>0</v>
      </c>
      <c r="O27" s="21">
        <v>0</v>
      </c>
      <c r="P27" s="21">
        <v>0</v>
      </c>
      <c r="Q27" s="21">
        <v>0</v>
      </c>
      <c r="R27" s="21">
        <v>0</v>
      </c>
      <c r="S27" s="21">
        <v>0</v>
      </c>
      <c r="T27" s="21">
        <v>0</v>
      </c>
      <c r="U27" s="21">
        <v>0</v>
      </c>
      <c r="V27" s="21">
        <v>0</v>
      </c>
      <c r="W27" s="21">
        <v>0</v>
      </c>
      <c r="X27" s="21">
        <v>0</v>
      </c>
      <c r="Y27" s="21">
        <v>0</v>
      </c>
      <c r="Z27" s="21">
        <v>0</v>
      </c>
      <c r="AA27" s="21">
        <v>0</v>
      </c>
      <c r="AB27" s="21">
        <v>0</v>
      </c>
      <c r="AC27" s="21">
        <v>0</v>
      </c>
      <c r="AD27" s="21">
        <v>0</v>
      </c>
      <c r="AE27" s="21">
        <v>0</v>
      </c>
      <c r="AF27" s="21">
        <v>0</v>
      </c>
      <c r="AG27" s="21">
        <v>0</v>
      </c>
      <c r="AH27" s="21">
        <v>0</v>
      </c>
      <c r="AI27" s="21">
        <v>0</v>
      </c>
      <c r="AJ27" s="21">
        <v>0</v>
      </c>
      <c r="AK27" s="21">
        <v>0</v>
      </c>
      <c r="AL27" s="21">
        <v>0</v>
      </c>
      <c r="AM27" s="21">
        <v>0</v>
      </c>
      <c r="AN27" s="21">
        <v>0</v>
      </c>
      <c r="AO27" s="21">
        <v>0</v>
      </c>
      <c r="AP27" s="21">
        <v>0</v>
      </c>
      <c r="AQ27" s="21">
        <v>0</v>
      </c>
      <c r="AR27" s="21">
        <v>0</v>
      </c>
      <c r="AS27" s="21">
        <v>0</v>
      </c>
      <c r="AT27" s="21">
        <v>0</v>
      </c>
      <c r="AU27" s="21">
        <v>0</v>
      </c>
    </row>
    <row r="28" spans="1:48">
      <c r="A28" s="19" t="s">
        <v>191</v>
      </c>
      <c r="B28" s="19" t="s">
        <v>192</v>
      </c>
      <c r="C28" s="19" t="s">
        <v>193</v>
      </c>
      <c r="D28" s="20">
        <f t="shared" si="0"/>
        <v>2</v>
      </c>
      <c r="E28" s="21">
        <v>0</v>
      </c>
      <c r="F28" s="21">
        <v>2</v>
      </c>
      <c r="G28" s="21">
        <v>0</v>
      </c>
      <c r="H28" s="21">
        <v>0</v>
      </c>
      <c r="I28" s="21">
        <v>0</v>
      </c>
      <c r="J28" s="21">
        <v>0</v>
      </c>
      <c r="K28" s="21">
        <v>0</v>
      </c>
      <c r="L28" s="21">
        <v>0</v>
      </c>
      <c r="M28" s="21">
        <v>0</v>
      </c>
      <c r="N28" s="21">
        <v>0</v>
      </c>
      <c r="O28" s="21">
        <v>0</v>
      </c>
      <c r="P28" s="21">
        <v>0</v>
      </c>
      <c r="Q28" s="21">
        <v>0</v>
      </c>
      <c r="R28" s="21">
        <v>0</v>
      </c>
      <c r="S28" s="21">
        <v>0</v>
      </c>
      <c r="T28" s="21">
        <v>0</v>
      </c>
      <c r="U28" s="21">
        <v>0</v>
      </c>
      <c r="V28" s="21">
        <v>0</v>
      </c>
      <c r="W28" s="21">
        <v>0</v>
      </c>
      <c r="X28" s="21">
        <v>0</v>
      </c>
      <c r="Y28" s="21">
        <v>0</v>
      </c>
      <c r="Z28" s="21">
        <v>0</v>
      </c>
      <c r="AA28" s="21">
        <v>0</v>
      </c>
      <c r="AB28" s="21">
        <v>0</v>
      </c>
      <c r="AC28" s="21">
        <v>0</v>
      </c>
      <c r="AD28" s="21">
        <v>0</v>
      </c>
      <c r="AE28" s="21">
        <v>0</v>
      </c>
      <c r="AF28" s="21">
        <v>0</v>
      </c>
      <c r="AG28" s="21">
        <v>0</v>
      </c>
      <c r="AH28" s="21">
        <v>0</v>
      </c>
      <c r="AI28" s="21">
        <v>0</v>
      </c>
      <c r="AJ28" s="21">
        <v>0</v>
      </c>
      <c r="AK28" s="21">
        <v>0</v>
      </c>
      <c r="AL28" s="21">
        <v>0</v>
      </c>
      <c r="AM28" s="21">
        <v>0</v>
      </c>
      <c r="AN28" s="21">
        <v>0</v>
      </c>
      <c r="AO28" s="21">
        <v>0</v>
      </c>
      <c r="AP28" s="21">
        <v>0</v>
      </c>
      <c r="AQ28" s="21">
        <v>0</v>
      </c>
      <c r="AR28" s="21">
        <v>0</v>
      </c>
      <c r="AS28" s="21">
        <v>0</v>
      </c>
      <c r="AT28" s="21">
        <v>0</v>
      </c>
      <c r="AU28" s="21">
        <v>0</v>
      </c>
    </row>
    <row r="29" spans="1:48" ht="32.1">
      <c r="A29" s="19" t="s">
        <v>194</v>
      </c>
      <c r="B29" s="19" t="s">
        <v>195</v>
      </c>
      <c r="C29" s="19" t="s">
        <v>196</v>
      </c>
      <c r="D29" s="20">
        <f t="shared" si="0"/>
        <v>41574</v>
      </c>
      <c r="E29" s="21">
        <v>4072</v>
      </c>
      <c r="F29" s="21">
        <v>16754</v>
      </c>
      <c r="G29" s="21">
        <v>1386</v>
      </c>
      <c r="H29" s="21">
        <v>320</v>
      </c>
      <c r="I29" s="21">
        <v>274</v>
      </c>
      <c r="J29" s="21">
        <v>0</v>
      </c>
      <c r="K29" s="21">
        <v>1286</v>
      </c>
      <c r="L29" s="21">
        <v>1604</v>
      </c>
      <c r="M29" s="21">
        <v>272</v>
      </c>
      <c r="N29" s="21">
        <v>321</v>
      </c>
      <c r="O29" s="21">
        <v>241</v>
      </c>
      <c r="P29" s="21">
        <v>0</v>
      </c>
      <c r="Q29" s="21">
        <v>167</v>
      </c>
      <c r="R29" s="21">
        <v>390</v>
      </c>
      <c r="S29" s="21">
        <v>304</v>
      </c>
      <c r="T29" s="21">
        <v>288</v>
      </c>
      <c r="U29" s="21">
        <v>170</v>
      </c>
      <c r="V29" s="21">
        <v>0</v>
      </c>
      <c r="W29" s="21">
        <v>423</v>
      </c>
      <c r="X29" s="21">
        <v>567</v>
      </c>
      <c r="Y29" s="21">
        <v>663</v>
      </c>
      <c r="Z29" s="21">
        <v>670</v>
      </c>
      <c r="AA29" s="21">
        <v>1298</v>
      </c>
      <c r="AB29" s="21">
        <v>141</v>
      </c>
      <c r="AC29" s="21">
        <v>674</v>
      </c>
      <c r="AD29" s="21">
        <v>235</v>
      </c>
      <c r="AE29" s="21">
        <v>298</v>
      </c>
      <c r="AF29" s="21">
        <v>249</v>
      </c>
      <c r="AG29" s="21">
        <v>152</v>
      </c>
      <c r="AH29" s="21">
        <v>1232</v>
      </c>
      <c r="AI29" s="21">
        <v>365</v>
      </c>
      <c r="AJ29" s="21">
        <v>207</v>
      </c>
      <c r="AK29" s="21">
        <v>1092</v>
      </c>
      <c r="AL29" s="21">
        <v>523</v>
      </c>
      <c r="AM29" s="21">
        <v>0</v>
      </c>
      <c r="AN29" s="21">
        <v>309</v>
      </c>
      <c r="AO29" s="21">
        <v>215</v>
      </c>
      <c r="AP29" s="21">
        <v>246</v>
      </c>
      <c r="AQ29" s="21">
        <v>0</v>
      </c>
      <c r="AR29" s="21">
        <v>2287</v>
      </c>
      <c r="AS29" s="21">
        <v>1010</v>
      </c>
      <c r="AT29" s="21">
        <v>219</v>
      </c>
      <c r="AU29" s="21">
        <v>650</v>
      </c>
    </row>
    <row r="30" spans="1:48">
      <c r="A30" s="19" t="s">
        <v>197</v>
      </c>
      <c r="B30" s="19" t="s">
        <v>198</v>
      </c>
      <c r="C30" s="19" t="s">
        <v>199</v>
      </c>
      <c r="D30" s="20">
        <f t="shared" si="0"/>
        <v>1562</v>
      </c>
      <c r="E30" s="21">
        <v>0</v>
      </c>
      <c r="F30" s="21">
        <v>409</v>
      </c>
      <c r="G30" s="21">
        <v>58</v>
      </c>
      <c r="H30" s="21">
        <v>0</v>
      </c>
      <c r="I30" s="21">
        <v>0</v>
      </c>
      <c r="J30" s="21">
        <v>0</v>
      </c>
      <c r="K30" s="21">
        <v>62</v>
      </c>
      <c r="L30" s="21">
        <v>80</v>
      </c>
      <c r="M30" s="21">
        <v>8</v>
      </c>
      <c r="N30" s="21">
        <v>16</v>
      </c>
      <c r="O30" s="21">
        <v>0</v>
      </c>
      <c r="P30" s="21">
        <v>0</v>
      </c>
      <c r="Q30" s="21">
        <v>0</v>
      </c>
      <c r="R30" s="21">
        <v>15</v>
      </c>
      <c r="S30" s="21">
        <v>0</v>
      </c>
      <c r="T30" s="21">
        <v>0</v>
      </c>
      <c r="U30" s="21">
        <v>0</v>
      </c>
      <c r="V30" s="21">
        <v>85</v>
      </c>
      <c r="W30" s="21">
        <v>15</v>
      </c>
      <c r="X30" s="21">
        <v>37</v>
      </c>
      <c r="Y30" s="21">
        <v>0</v>
      </c>
      <c r="Z30" s="21">
        <v>0</v>
      </c>
      <c r="AA30" s="21">
        <v>45</v>
      </c>
      <c r="AB30" s="21">
        <v>0</v>
      </c>
      <c r="AC30" s="21">
        <v>19</v>
      </c>
      <c r="AD30" s="21">
        <v>0</v>
      </c>
      <c r="AE30" s="21">
        <v>0</v>
      </c>
      <c r="AF30" s="21">
        <v>0</v>
      </c>
      <c r="AG30" s="21">
        <v>0</v>
      </c>
      <c r="AH30" s="21">
        <v>74</v>
      </c>
      <c r="AI30" s="21">
        <v>0</v>
      </c>
      <c r="AJ30" s="21">
        <v>14</v>
      </c>
      <c r="AK30" s="21">
        <v>55</v>
      </c>
      <c r="AL30" s="21">
        <v>42</v>
      </c>
      <c r="AM30" s="21">
        <v>59</v>
      </c>
      <c r="AN30" s="21">
        <v>25</v>
      </c>
      <c r="AO30" s="21">
        <v>0</v>
      </c>
      <c r="AP30" s="21">
        <v>14</v>
      </c>
      <c r="AQ30" s="21">
        <v>335</v>
      </c>
      <c r="AR30" s="21">
        <v>66</v>
      </c>
      <c r="AS30" s="21">
        <v>29</v>
      </c>
      <c r="AT30" s="21">
        <v>0</v>
      </c>
      <c r="AU30" s="21">
        <v>0</v>
      </c>
    </row>
    <row r="31" spans="1:48">
      <c r="A31" s="19" t="s">
        <v>200</v>
      </c>
      <c r="B31" s="19" t="s">
        <v>201</v>
      </c>
      <c r="C31" s="19" t="s">
        <v>202</v>
      </c>
      <c r="D31" s="20">
        <f t="shared" si="0"/>
        <v>0</v>
      </c>
      <c r="E31" s="21">
        <v>0</v>
      </c>
      <c r="F31" s="21">
        <v>0</v>
      </c>
      <c r="G31" s="21">
        <v>0</v>
      </c>
      <c r="H31" s="21">
        <v>0</v>
      </c>
      <c r="I31" s="21">
        <v>0</v>
      </c>
      <c r="J31" s="21">
        <v>0</v>
      </c>
      <c r="K31" s="21">
        <v>0</v>
      </c>
      <c r="L31" s="21">
        <v>0</v>
      </c>
      <c r="M31" s="21">
        <v>0</v>
      </c>
      <c r="N31" s="21">
        <v>0</v>
      </c>
      <c r="O31" s="21">
        <v>0</v>
      </c>
      <c r="P31" s="21">
        <v>0</v>
      </c>
      <c r="Q31" s="21">
        <v>0</v>
      </c>
      <c r="R31" s="21">
        <v>0</v>
      </c>
      <c r="S31" s="21">
        <v>0</v>
      </c>
      <c r="T31" s="21">
        <v>0</v>
      </c>
      <c r="U31" s="21">
        <v>0</v>
      </c>
      <c r="V31" s="21">
        <v>0</v>
      </c>
      <c r="W31" s="21">
        <v>0</v>
      </c>
      <c r="X31" s="21">
        <v>0</v>
      </c>
      <c r="Y31" s="21">
        <v>0</v>
      </c>
      <c r="Z31" s="21">
        <v>0</v>
      </c>
      <c r="AA31" s="21">
        <v>0</v>
      </c>
      <c r="AB31" s="21">
        <v>0</v>
      </c>
      <c r="AC31" s="21">
        <v>0</v>
      </c>
      <c r="AD31" s="21">
        <v>0</v>
      </c>
      <c r="AE31" s="21">
        <v>0</v>
      </c>
      <c r="AF31" s="21">
        <v>0</v>
      </c>
      <c r="AG31" s="21">
        <v>0</v>
      </c>
      <c r="AH31" s="21">
        <v>0</v>
      </c>
      <c r="AI31" s="21">
        <v>0</v>
      </c>
      <c r="AJ31" s="21">
        <v>0</v>
      </c>
      <c r="AK31" s="21">
        <v>0</v>
      </c>
      <c r="AL31" s="21">
        <v>0</v>
      </c>
      <c r="AM31" s="21">
        <v>0</v>
      </c>
      <c r="AN31" s="21">
        <v>0</v>
      </c>
      <c r="AO31" s="21">
        <v>0</v>
      </c>
      <c r="AP31" s="21">
        <v>0</v>
      </c>
      <c r="AQ31" s="21">
        <v>0</v>
      </c>
      <c r="AR31" s="21">
        <v>0</v>
      </c>
      <c r="AS31" s="21">
        <v>0</v>
      </c>
      <c r="AT31" s="21">
        <v>0</v>
      </c>
      <c r="AU31" s="21">
        <v>0</v>
      </c>
    </row>
    <row r="32" spans="1:48">
      <c r="A32" s="19" t="s">
        <v>203</v>
      </c>
      <c r="B32" s="19" t="s">
        <v>204</v>
      </c>
      <c r="C32" s="19" t="s">
        <v>205</v>
      </c>
      <c r="D32" s="20">
        <f t="shared" si="0"/>
        <v>342</v>
      </c>
      <c r="E32" s="21">
        <v>20</v>
      </c>
      <c r="F32" s="21">
        <v>95</v>
      </c>
      <c r="G32" s="21">
        <v>7</v>
      </c>
      <c r="H32" s="21">
        <v>16</v>
      </c>
      <c r="I32" s="21">
        <v>15</v>
      </c>
      <c r="J32" s="21">
        <v>8</v>
      </c>
      <c r="K32" s="21">
        <v>5</v>
      </c>
      <c r="L32" s="21">
        <v>2</v>
      </c>
      <c r="M32" s="21">
        <v>0</v>
      </c>
      <c r="N32" s="21">
        <v>0</v>
      </c>
      <c r="O32" s="21">
        <v>9</v>
      </c>
      <c r="P32" s="21">
        <v>0</v>
      </c>
      <c r="Q32" s="21">
        <v>0</v>
      </c>
      <c r="R32" s="21">
        <v>1</v>
      </c>
      <c r="S32" s="21">
        <v>0</v>
      </c>
      <c r="T32" s="21">
        <v>7</v>
      </c>
      <c r="U32" s="21">
        <v>9</v>
      </c>
      <c r="V32" s="21">
        <v>3</v>
      </c>
      <c r="W32" s="21">
        <v>1</v>
      </c>
      <c r="X32" s="21">
        <v>1</v>
      </c>
      <c r="Y32" s="21">
        <v>18</v>
      </c>
      <c r="Z32" s="21">
        <v>12</v>
      </c>
      <c r="AA32" s="21">
        <v>0</v>
      </c>
      <c r="AB32" s="21">
        <v>8</v>
      </c>
      <c r="AC32" s="21">
        <v>12</v>
      </c>
      <c r="AD32" s="21">
        <v>12</v>
      </c>
      <c r="AE32" s="21">
        <v>10</v>
      </c>
      <c r="AF32" s="21">
        <v>0</v>
      </c>
      <c r="AG32" s="21">
        <v>6</v>
      </c>
      <c r="AH32" s="21">
        <v>0</v>
      </c>
      <c r="AI32" s="21">
        <v>14</v>
      </c>
      <c r="AJ32" s="21">
        <v>0</v>
      </c>
      <c r="AK32" s="21">
        <v>11</v>
      </c>
      <c r="AL32" s="21"/>
      <c r="AM32" s="21">
        <v>4</v>
      </c>
      <c r="AN32" s="21">
        <v>0</v>
      </c>
      <c r="AO32" s="21">
        <v>0</v>
      </c>
      <c r="AP32" s="21">
        <v>2</v>
      </c>
      <c r="AQ32" s="21">
        <v>4</v>
      </c>
      <c r="AR32" s="21">
        <v>10</v>
      </c>
      <c r="AS32" s="21">
        <v>0</v>
      </c>
      <c r="AT32" s="21">
        <v>8</v>
      </c>
      <c r="AU32" s="21">
        <v>12</v>
      </c>
    </row>
    <row r="33" spans="1:48">
      <c r="A33" s="19" t="s">
        <v>206</v>
      </c>
      <c r="B33" s="19" t="s">
        <v>207</v>
      </c>
      <c r="C33" s="19" t="s">
        <v>208</v>
      </c>
      <c r="D33" s="20">
        <f t="shared" si="0"/>
        <v>66</v>
      </c>
      <c r="E33" s="21">
        <v>3</v>
      </c>
      <c r="F33" s="21">
        <v>33</v>
      </c>
      <c r="G33" s="21">
        <v>6</v>
      </c>
      <c r="H33" s="21">
        <v>0</v>
      </c>
      <c r="I33" s="21">
        <v>0</v>
      </c>
      <c r="J33" s="21">
        <v>0</v>
      </c>
      <c r="K33" s="21">
        <v>0</v>
      </c>
      <c r="L33" s="21">
        <v>4</v>
      </c>
      <c r="M33" s="21">
        <v>0</v>
      </c>
      <c r="N33" s="21">
        <v>0</v>
      </c>
      <c r="O33" s="21">
        <v>0</v>
      </c>
      <c r="P33" s="21">
        <v>0</v>
      </c>
      <c r="Q33" s="21">
        <v>0</v>
      </c>
      <c r="R33" s="21">
        <v>0</v>
      </c>
      <c r="S33" s="21">
        <v>0</v>
      </c>
      <c r="T33" s="21">
        <v>0</v>
      </c>
      <c r="U33" s="21">
        <v>0</v>
      </c>
      <c r="V33" s="21">
        <v>4</v>
      </c>
      <c r="W33" s="21">
        <v>0</v>
      </c>
      <c r="X33" s="21">
        <v>0</v>
      </c>
      <c r="Y33" s="21">
        <v>0</v>
      </c>
      <c r="Z33" s="21">
        <v>0</v>
      </c>
      <c r="AA33" s="21">
        <v>0</v>
      </c>
      <c r="AB33" s="21">
        <v>0</v>
      </c>
      <c r="AC33" s="21">
        <v>0</v>
      </c>
      <c r="AD33" s="21">
        <v>0</v>
      </c>
      <c r="AE33" s="21">
        <v>0</v>
      </c>
      <c r="AF33" s="21">
        <v>0</v>
      </c>
      <c r="AG33" s="21">
        <v>0</v>
      </c>
      <c r="AH33" s="21">
        <v>0</v>
      </c>
      <c r="AI33" s="21">
        <v>0</v>
      </c>
      <c r="AJ33" s="21">
        <v>0</v>
      </c>
      <c r="AK33" s="21">
        <v>0</v>
      </c>
      <c r="AL33" s="21">
        <v>0</v>
      </c>
      <c r="AM33" s="21">
        <v>0</v>
      </c>
      <c r="AN33" s="21">
        <v>1</v>
      </c>
      <c r="AO33" s="21">
        <v>12</v>
      </c>
      <c r="AP33" s="21"/>
      <c r="AQ33" s="21">
        <v>1</v>
      </c>
      <c r="AR33" s="21">
        <v>2</v>
      </c>
      <c r="AS33" s="21">
        <v>0</v>
      </c>
      <c r="AT33" s="21">
        <v>0</v>
      </c>
      <c r="AU33" s="21">
        <v>0</v>
      </c>
    </row>
    <row r="34" spans="1:48">
      <c r="A34" s="19" t="s">
        <v>206</v>
      </c>
      <c r="B34" s="19" t="s">
        <v>209</v>
      </c>
      <c r="C34" s="19" t="s">
        <v>208</v>
      </c>
      <c r="D34" s="20">
        <f t="shared" si="0"/>
        <v>4</v>
      </c>
      <c r="E34" s="21">
        <v>0</v>
      </c>
      <c r="F34" s="21">
        <v>4</v>
      </c>
      <c r="G34" s="21">
        <v>0</v>
      </c>
      <c r="H34" s="21">
        <v>0</v>
      </c>
      <c r="I34" s="21">
        <v>0</v>
      </c>
      <c r="J34" s="21">
        <v>0</v>
      </c>
      <c r="K34" s="21">
        <v>0</v>
      </c>
      <c r="L34" s="21">
        <v>0</v>
      </c>
      <c r="M34" s="21">
        <v>0</v>
      </c>
      <c r="N34" s="21">
        <v>0</v>
      </c>
      <c r="O34" s="21">
        <v>0</v>
      </c>
      <c r="P34" s="21">
        <v>0</v>
      </c>
      <c r="Q34" s="21">
        <v>0</v>
      </c>
      <c r="R34" s="21">
        <v>0</v>
      </c>
      <c r="S34" s="21">
        <v>0</v>
      </c>
      <c r="T34" s="21">
        <v>0</v>
      </c>
      <c r="U34" s="21">
        <v>0</v>
      </c>
      <c r="V34" s="21">
        <v>0</v>
      </c>
      <c r="W34" s="21">
        <v>0</v>
      </c>
      <c r="X34" s="21">
        <v>0</v>
      </c>
      <c r="Y34" s="21">
        <v>0</v>
      </c>
      <c r="Z34" s="21">
        <v>0</v>
      </c>
      <c r="AA34" s="21">
        <v>0</v>
      </c>
      <c r="AB34" s="21">
        <v>0</v>
      </c>
      <c r="AC34" s="21">
        <v>0</v>
      </c>
      <c r="AD34" s="21">
        <v>0</v>
      </c>
      <c r="AE34" s="21">
        <v>0</v>
      </c>
      <c r="AF34" s="21">
        <v>0</v>
      </c>
      <c r="AG34" s="21">
        <v>0</v>
      </c>
      <c r="AH34" s="21">
        <v>0</v>
      </c>
      <c r="AI34" s="21">
        <v>0</v>
      </c>
      <c r="AJ34" s="21">
        <v>0</v>
      </c>
      <c r="AK34" s="21">
        <v>0</v>
      </c>
      <c r="AL34" s="21">
        <v>0</v>
      </c>
      <c r="AM34" s="21">
        <v>0</v>
      </c>
      <c r="AN34" s="21">
        <v>0</v>
      </c>
      <c r="AO34" s="21">
        <v>0</v>
      </c>
      <c r="AP34" s="21">
        <v>0</v>
      </c>
      <c r="AQ34" s="21">
        <v>0</v>
      </c>
      <c r="AR34" s="21">
        <v>0</v>
      </c>
      <c r="AS34" s="21">
        <v>0</v>
      </c>
      <c r="AT34" s="21">
        <v>0</v>
      </c>
      <c r="AU34" s="21">
        <v>0</v>
      </c>
    </row>
    <row r="35" spans="1:48">
      <c r="A35" s="19" t="s">
        <v>210</v>
      </c>
      <c r="B35" s="19" t="s">
        <v>211</v>
      </c>
      <c r="C35" s="19" t="s">
        <v>212</v>
      </c>
      <c r="D35" s="20">
        <f t="shared" si="0"/>
        <v>0</v>
      </c>
      <c r="E35" s="21">
        <v>0</v>
      </c>
      <c r="F35" s="21">
        <v>0</v>
      </c>
      <c r="G35" s="21">
        <v>0</v>
      </c>
      <c r="H35" s="21">
        <v>0</v>
      </c>
      <c r="I35" s="21">
        <v>0</v>
      </c>
      <c r="J35" s="21">
        <v>0</v>
      </c>
      <c r="K35" s="21">
        <v>0</v>
      </c>
      <c r="L35" s="21">
        <v>0</v>
      </c>
      <c r="M35" s="21">
        <v>0</v>
      </c>
      <c r="N35" s="21">
        <v>0</v>
      </c>
      <c r="O35" s="21">
        <v>0</v>
      </c>
      <c r="P35" s="21">
        <v>0</v>
      </c>
      <c r="Q35" s="21">
        <v>0</v>
      </c>
      <c r="R35" s="21">
        <v>0</v>
      </c>
      <c r="S35" s="21">
        <v>0</v>
      </c>
      <c r="T35" s="21">
        <v>0</v>
      </c>
      <c r="U35" s="21">
        <v>0</v>
      </c>
      <c r="V35" s="21">
        <v>0</v>
      </c>
      <c r="W35" s="21">
        <v>0</v>
      </c>
      <c r="X35" s="21">
        <v>0</v>
      </c>
      <c r="Y35" s="21">
        <v>0</v>
      </c>
      <c r="Z35" s="21">
        <v>0</v>
      </c>
      <c r="AA35" s="21">
        <v>0</v>
      </c>
      <c r="AB35" s="21">
        <v>0</v>
      </c>
      <c r="AC35" s="21">
        <v>0</v>
      </c>
      <c r="AD35" s="21">
        <v>0</v>
      </c>
      <c r="AE35" s="21">
        <v>0</v>
      </c>
      <c r="AF35" s="21">
        <v>0</v>
      </c>
      <c r="AG35" s="21">
        <v>0</v>
      </c>
      <c r="AH35" s="21">
        <v>0</v>
      </c>
      <c r="AI35" s="21">
        <v>0</v>
      </c>
      <c r="AJ35" s="21">
        <v>0</v>
      </c>
      <c r="AK35" s="21">
        <v>0</v>
      </c>
      <c r="AL35" s="21">
        <v>0</v>
      </c>
      <c r="AM35" s="21">
        <v>0</v>
      </c>
      <c r="AN35" s="21">
        <v>0</v>
      </c>
      <c r="AO35" s="21">
        <v>0</v>
      </c>
      <c r="AP35" s="21">
        <v>0</v>
      </c>
      <c r="AQ35" s="21">
        <v>0</v>
      </c>
      <c r="AR35" s="21">
        <v>0</v>
      </c>
      <c r="AS35" s="21">
        <v>0</v>
      </c>
      <c r="AT35" s="21">
        <v>0</v>
      </c>
      <c r="AU35" s="21">
        <v>0</v>
      </c>
      <c r="AV35" s="79"/>
    </row>
    <row r="36" spans="1:48" ht="32.1">
      <c r="A36" s="19" t="s">
        <v>213</v>
      </c>
      <c r="B36" s="19" t="s">
        <v>214</v>
      </c>
      <c r="C36" s="19" t="s">
        <v>215</v>
      </c>
      <c r="D36" s="20">
        <f t="shared" si="0"/>
        <v>28609</v>
      </c>
      <c r="E36" s="21">
        <v>4072</v>
      </c>
      <c r="F36" s="21">
        <v>16754</v>
      </c>
      <c r="G36" s="21">
        <v>969</v>
      </c>
      <c r="H36" s="21">
        <v>0</v>
      </c>
      <c r="I36" s="21">
        <v>0</v>
      </c>
      <c r="J36" s="21">
        <v>0</v>
      </c>
      <c r="K36" s="21">
        <v>0</v>
      </c>
      <c r="L36" s="21">
        <v>1604</v>
      </c>
      <c r="M36" s="21">
        <v>0</v>
      </c>
      <c r="N36" s="21">
        <v>0</v>
      </c>
      <c r="O36" s="21">
        <v>0</v>
      </c>
      <c r="P36" s="21">
        <v>0</v>
      </c>
      <c r="Q36" s="21">
        <v>0</v>
      </c>
      <c r="R36" s="21">
        <v>0</v>
      </c>
      <c r="S36" s="21">
        <v>0</v>
      </c>
      <c r="T36" s="21">
        <v>0</v>
      </c>
      <c r="U36" s="21">
        <v>0</v>
      </c>
      <c r="V36" s="21">
        <v>0</v>
      </c>
      <c r="W36" s="21">
        <v>0</v>
      </c>
      <c r="X36" s="21">
        <v>567</v>
      </c>
      <c r="Y36" s="21">
        <v>0</v>
      </c>
      <c r="Z36" s="21">
        <v>0</v>
      </c>
      <c r="AA36" s="21">
        <v>0</v>
      </c>
      <c r="AB36" s="21">
        <v>0</v>
      </c>
      <c r="AC36" s="21">
        <v>0</v>
      </c>
      <c r="AD36" s="21">
        <v>0</v>
      </c>
      <c r="AE36" s="21">
        <v>0</v>
      </c>
      <c r="AF36" s="21">
        <v>0</v>
      </c>
      <c r="AG36" s="21">
        <v>0</v>
      </c>
      <c r="AH36" s="21">
        <v>0</v>
      </c>
      <c r="AI36" s="21">
        <v>0</v>
      </c>
      <c r="AJ36" s="21">
        <v>0</v>
      </c>
      <c r="AK36" s="21">
        <v>0</v>
      </c>
      <c r="AL36" s="21">
        <v>0</v>
      </c>
      <c r="AM36" s="21">
        <v>0</v>
      </c>
      <c r="AN36" s="21">
        <v>393</v>
      </c>
      <c r="AO36" s="21">
        <v>0</v>
      </c>
      <c r="AP36" s="21">
        <v>0</v>
      </c>
      <c r="AQ36" s="21">
        <v>4250</v>
      </c>
      <c r="AR36" s="21">
        <v>0</v>
      </c>
      <c r="AS36" s="21">
        <v>0</v>
      </c>
      <c r="AT36" s="21">
        <v>0</v>
      </c>
      <c r="AU36" s="21">
        <v>0</v>
      </c>
    </row>
    <row r="37" spans="1:48" ht="32.1">
      <c r="A37" s="19" t="s">
        <v>216</v>
      </c>
      <c r="B37" s="19" t="s">
        <v>217</v>
      </c>
      <c r="C37" s="19" t="s">
        <v>218</v>
      </c>
      <c r="D37" s="20">
        <f t="shared" si="0"/>
        <v>0</v>
      </c>
      <c r="E37" s="21">
        <v>0</v>
      </c>
      <c r="F37" s="21">
        <v>0</v>
      </c>
      <c r="G37" s="21">
        <v>0</v>
      </c>
      <c r="H37" s="21">
        <v>0</v>
      </c>
      <c r="I37" s="21">
        <v>0</v>
      </c>
      <c r="J37" s="21">
        <v>0</v>
      </c>
      <c r="K37" s="21">
        <v>0</v>
      </c>
      <c r="L37" s="21">
        <v>0</v>
      </c>
      <c r="M37" s="21">
        <v>0</v>
      </c>
      <c r="N37" s="21">
        <v>0</v>
      </c>
      <c r="O37" s="21">
        <v>0</v>
      </c>
      <c r="P37" s="21">
        <v>0</v>
      </c>
      <c r="Q37" s="21">
        <v>0</v>
      </c>
      <c r="R37" s="21">
        <v>0</v>
      </c>
      <c r="S37" s="21">
        <v>0</v>
      </c>
      <c r="T37" s="21">
        <v>0</v>
      </c>
      <c r="U37" s="21">
        <v>0</v>
      </c>
      <c r="V37" s="21">
        <v>0</v>
      </c>
      <c r="W37" s="21">
        <v>0</v>
      </c>
      <c r="X37" s="21">
        <v>0</v>
      </c>
      <c r="Y37" s="21">
        <v>0</v>
      </c>
      <c r="Z37" s="21">
        <v>0</v>
      </c>
      <c r="AA37" s="21">
        <v>0</v>
      </c>
      <c r="AB37" s="21">
        <v>0</v>
      </c>
      <c r="AC37" s="21">
        <v>0</v>
      </c>
      <c r="AD37" s="21">
        <v>0</v>
      </c>
      <c r="AE37" s="21">
        <v>0</v>
      </c>
      <c r="AF37" s="21">
        <v>0</v>
      </c>
      <c r="AG37" s="21">
        <v>0</v>
      </c>
      <c r="AH37" s="21">
        <v>0</v>
      </c>
      <c r="AI37" s="21">
        <v>0</v>
      </c>
      <c r="AJ37" s="21">
        <v>0</v>
      </c>
      <c r="AK37" s="21">
        <v>0</v>
      </c>
      <c r="AL37" s="21">
        <v>0</v>
      </c>
      <c r="AM37" s="21">
        <v>0</v>
      </c>
      <c r="AN37" s="21">
        <v>0</v>
      </c>
      <c r="AO37" s="21">
        <v>0</v>
      </c>
      <c r="AP37" s="21">
        <v>0</v>
      </c>
      <c r="AQ37" s="21">
        <v>0</v>
      </c>
      <c r="AR37" s="21">
        <v>0</v>
      </c>
      <c r="AS37" s="21">
        <v>0</v>
      </c>
      <c r="AT37" s="21">
        <v>0</v>
      </c>
      <c r="AU37" s="21">
        <v>0</v>
      </c>
      <c r="AV37" s="79"/>
    </row>
    <row r="38" spans="1:48" ht="48">
      <c r="A38" s="23" t="s">
        <v>216</v>
      </c>
      <c r="B38" s="19" t="s">
        <v>219</v>
      </c>
      <c r="C38" s="19" t="s">
        <v>218</v>
      </c>
      <c r="D38" s="20">
        <f t="shared" si="0"/>
        <v>0</v>
      </c>
      <c r="E38" s="21">
        <v>0</v>
      </c>
      <c r="F38" s="21">
        <v>0</v>
      </c>
      <c r="G38" s="21">
        <v>0</v>
      </c>
      <c r="H38" s="21">
        <v>0</v>
      </c>
      <c r="I38" s="21">
        <v>0</v>
      </c>
      <c r="J38" s="21">
        <v>0</v>
      </c>
      <c r="K38" s="21">
        <v>0</v>
      </c>
      <c r="L38" s="21">
        <v>0</v>
      </c>
      <c r="M38" s="21">
        <v>0</v>
      </c>
      <c r="N38" s="21">
        <v>0</v>
      </c>
      <c r="O38" s="21">
        <v>0</v>
      </c>
      <c r="P38" s="21">
        <v>0</v>
      </c>
      <c r="Q38" s="21">
        <v>0</v>
      </c>
      <c r="R38" s="21">
        <v>0</v>
      </c>
      <c r="S38" s="21">
        <v>0</v>
      </c>
      <c r="T38" s="21">
        <v>0</v>
      </c>
      <c r="U38" s="21">
        <v>0</v>
      </c>
      <c r="V38" s="21">
        <v>0</v>
      </c>
      <c r="W38" s="21">
        <v>0</v>
      </c>
      <c r="X38" s="21">
        <v>0</v>
      </c>
      <c r="Y38" s="21">
        <v>0</v>
      </c>
      <c r="Z38" s="21">
        <v>0</v>
      </c>
      <c r="AA38" s="21">
        <v>0</v>
      </c>
      <c r="AB38" s="21">
        <v>0</v>
      </c>
      <c r="AC38" s="21">
        <v>0</v>
      </c>
      <c r="AD38" s="21">
        <v>0</v>
      </c>
      <c r="AE38" s="21">
        <v>0</v>
      </c>
      <c r="AF38" s="21">
        <v>0</v>
      </c>
      <c r="AG38" s="21">
        <v>0</v>
      </c>
      <c r="AH38" s="21">
        <v>0</v>
      </c>
      <c r="AI38" s="21">
        <v>0</v>
      </c>
      <c r="AJ38" s="21">
        <v>0</v>
      </c>
      <c r="AK38" s="21">
        <v>0</v>
      </c>
      <c r="AL38" s="21">
        <v>0</v>
      </c>
      <c r="AM38" s="21">
        <v>0</v>
      </c>
      <c r="AN38" s="21">
        <v>0</v>
      </c>
      <c r="AO38" s="21">
        <v>0</v>
      </c>
      <c r="AP38" s="21">
        <v>0</v>
      </c>
      <c r="AQ38" s="21">
        <v>0</v>
      </c>
      <c r="AR38" s="21">
        <v>0</v>
      </c>
      <c r="AS38" s="21">
        <v>0</v>
      </c>
      <c r="AT38" s="21">
        <v>0</v>
      </c>
      <c r="AU38" s="21">
        <v>0</v>
      </c>
      <c r="AV38" s="79"/>
    </row>
    <row r="39" spans="1:48" ht="48">
      <c r="A39" s="23" t="s">
        <v>216</v>
      </c>
      <c r="B39" s="19" t="s">
        <v>220</v>
      </c>
      <c r="C39" s="19" t="s">
        <v>218</v>
      </c>
      <c r="D39" s="20">
        <f t="shared" si="0"/>
        <v>0</v>
      </c>
      <c r="E39" s="21">
        <v>0</v>
      </c>
      <c r="F39" s="21">
        <v>0</v>
      </c>
      <c r="G39" s="21">
        <v>0</v>
      </c>
      <c r="H39" s="21">
        <v>0</v>
      </c>
      <c r="I39" s="21">
        <v>0</v>
      </c>
      <c r="J39" s="21">
        <v>0</v>
      </c>
      <c r="K39" s="21">
        <v>0</v>
      </c>
      <c r="L39" s="21">
        <v>0</v>
      </c>
      <c r="M39" s="21">
        <v>0</v>
      </c>
      <c r="N39" s="21">
        <v>0</v>
      </c>
      <c r="O39" s="21">
        <v>0</v>
      </c>
      <c r="P39" s="21">
        <v>0</v>
      </c>
      <c r="Q39" s="21">
        <v>0</v>
      </c>
      <c r="R39" s="21">
        <v>0</v>
      </c>
      <c r="S39" s="21">
        <v>0</v>
      </c>
      <c r="T39" s="21">
        <v>0</v>
      </c>
      <c r="U39" s="21">
        <v>0</v>
      </c>
      <c r="V39" s="21">
        <v>0</v>
      </c>
      <c r="W39" s="21">
        <v>0</v>
      </c>
      <c r="X39" s="21">
        <v>0</v>
      </c>
      <c r="Y39" s="21">
        <v>0</v>
      </c>
      <c r="Z39" s="21">
        <v>0</v>
      </c>
      <c r="AA39" s="21">
        <v>0</v>
      </c>
      <c r="AB39" s="21">
        <v>0</v>
      </c>
      <c r="AC39" s="21">
        <v>0</v>
      </c>
      <c r="AD39" s="21">
        <v>0</v>
      </c>
      <c r="AE39" s="21">
        <v>0</v>
      </c>
      <c r="AF39" s="21">
        <v>0</v>
      </c>
      <c r="AG39" s="21">
        <v>0</v>
      </c>
      <c r="AH39" s="21">
        <v>0</v>
      </c>
      <c r="AI39" s="21">
        <v>0</v>
      </c>
      <c r="AJ39" s="21">
        <v>0</v>
      </c>
      <c r="AK39" s="21">
        <v>0</v>
      </c>
      <c r="AL39" s="21">
        <v>0</v>
      </c>
      <c r="AM39" s="21">
        <v>0</v>
      </c>
      <c r="AN39" s="21">
        <v>0</v>
      </c>
      <c r="AO39" s="21">
        <v>0</v>
      </c>
      <c r="AP39" s="21">
        <v>0</v>
      </c>
      <c r="AQ39" s="21">
        <v>0</v>
      </c>
      <c r="AR39" s="21">
        <v>0</v>
      </c>
      <c r="AS39" s="21">
        <v>0</v>
      </c>
      <c r="AT39" s="21">
        <v>0</v>
      </c>
      <c r="AU39" s="21">
        <v>0</v>
      </c>
      <c r="AV39" s="79"/>
    </row>
    <row r="40" spans="1:48" ht="32.1">
      <c r="A40" s="23"/>
      <c r="B40" s="19" t="s">
        <v>221</v>
      </c>
      <c r="C40" s="19" t="s">
        <v>222</v>
      </c>
      <c r="D40" s="20">
        <f t="shared" si="0"/>
        <v>0</v>
      </c>
      <c r="E40" s="21">
        <v>0</v>
      </c>
      <c r="F40" s="21">
        <v>0</v>
      </c>
      <c r="G40" s="21">
        <v>0</v>
      </c>
      <c r="H40" s="21">
        <v>0</v>
      </c>
      <c r="I40" s="21">
        <v>0</v>
      </c>
      <c r="J40" s="21">
        <v>0</v>
      </c>
      <c r="K40" s="21">
        <v>0</v>
      </c>
      <c r="L40" s="21">
        <v>0</v>
      </c>
      <c r="M40" s="21">
        <v>0</v>
      </c>
      <c r="N40" s="21">
        <v>0</v>
      </c>
      <c r="O40" s="21">
        <v>0</v>
      </c>
      <c r="P40" s="21">
        <v>0</v>
      </c>
      <c r="Q40" s="21">
        <v>0</v>
      </c>
      <c r="R40" s="21">
        <v>0</v>
      </c>
      <c r="S40" s="21">
        <v>0</v>
      </c>
      <c r="T40" s="21">
        <v>0</v>
      </c>
      <c r="U40" s="21">
        <v>0</v>
      </c>
      <c r="V40" s="21">
        <v>0</v>
      </c>
      <c r="W40" s="21">
        <v>0</v>
      </c>
      <c r="X40" s="21">
        <v>0</v>
      </c>
      <c r="Y40" s="21">
        <v>0</v>
      </c>
      <c r="Z40" s="21">
        <v>0</v>
      </c>
      <c r="AA40" s="21">
        <v>0</v>
      </c>
      <c r="AB40" s="21">
        <v>0</v>
      </c>
      <c r="AC40" s="21">
        <v>0</v>
      </c>
      <c r="AD40" s="21">
        <v>0</v>
      </c>
      <c r="AE40" s="21">
        <v>0</v>
      </c>
      <c r="AF40" s="21">
        <v>0</v>
      </c>
      <c r="AG40" s="21">
        <v>0</v>
      </c>
      <c r="AH40" s="21">
        <v>0</v>
      </c>
      <c r="AI40" s="21">
        <v>0</v>
      </c>
      <c r="AJ40" s="21">
        <v>0</v>
      </c>
      <c r="AK40" s="21">
        <v>0</v>
      </c>
      <c r="AL40" s="21">
        <v>0</v>
      </c>
      <c r="AM40" s="21">
        <v>0</v>
      </c>
      <c r="AN40" s="21">
        <v>0</v>
      </c>
      <c r="AO40" s="21">
        <v>0</v>
      </c>
      <c r="AP40" s="21">
        <v>0</v>
      </c>
      <c r="AQ40" s="21">
        <v>0</v>
      </c>
      <c r="AR40" s="21">
        <v>0</v>
      </c>
      <c r="AS40" s="21">
        <v>0</v>
      </c>
      <c r="AT40" s="21">
        <v>0</v>
      </c>
      <c r="AU40" s="21">
        <v>0</v>
      </c>
      <c r="AV40" s="79"/>
    </row>
    <row r="41" spans="1:48">
      <c r="A41" s="23" t="s">
        <v>223</v>
      </c>
      <c r="B41" s="19" t="s">
        <v>224</v>
      </c>
      <c r="C41" s="19" t="s">
        <v>225</v>
      </c>
      <c r="D41" s="20">
        <f t="shared" si="0"/>
        <v>0</v>
      </c>
      <c r="E41" s="21">
        <v>0</v>
      </c>
      <c r="F41" s="21">
        <v>0</v>
      </c>
      <c r="G41" s="21">
        <v>0</v>
      </c>
      <c r="H41" s="21">
        <v>0</v>
      </c>
      <c r="I41" s="21">
        <v>0</v>
      </c>
      <c r="J41" s="21">
        <v>0</v>
      </c>
      <c r="K41" s="21">
        <v>0</v>
      </c>
      <c r="L41" s="21">
        <v>0</v>
      </c>
      <c r="M41" s="21">
        <v>0</v>
      </c>
      <c r="N41" s="21">
        <v>0</v>
      </c>
      <c r="O41" s="21">
        <v>0</v>
      </c>
      <c r="P41" s="21">
        <v>0</v>
      </c>
      <c r="Q41" s="21">
        <v>0</v>
      </c>
      <c r="R41" s="21">
        <v>0</v>
      </c>
      <c r="S41" s="21">
        <v>0</v>
      </c>
      <c r="T41" s="21">
        <v>0</v>
      </c>
      <c r="U41" s="21">
        <v>0</v>
      </c>
      <c r="V41" s="21">
        <v>0</v>
      </c>
      <c r="W41" s="21">
        <v>0</v>
      </c>
      <c r="X41" s="21">
        <v>0</v>
      </c>
      <c r="Y41" s="21">
        <v>0</v>
      </c>
      <c r="Z41" s="21">
        <v>0</v>
      </c>
      <c r="AA41" s="21">
        <v>0</v>
      </c>
      <c r="AB41" s="21">
        <v>0</v>
      </c>
      <c r="AC41" s="21">
        <v>0</v>
      </c>
      <c r="AD41" s="21">
        <v>0</v>
      </c>
      <c r="AE41" s="21">
        <v>0</v>
      </c>
      <c r="AF41" s="21">
        <v>0</v>
      </c>
      <c r="AG41" s="21">
        <v>0</v>
      </c>
      <c r="AH41" s="21">
        <v>0</v>
      </c>
      <c r="AI41" s="21">
        <v>0</v>
      </c>
      <c r="AJ41" s="21">
        <v>0</v>
      </c>
      <c r="AK41" s="21">
        <v>0</v>
      </c>
      <c r="AL41" s="21">
        <v>0</v>
      </c>
      <c r="AM41" s="21">
        <v>0</v>
      </c>
      <c r="AN41" s="21">
        <v>0</v>
      </c>
      <c r="AO41" s="21">
        <v>0</v>
      </c>
      <c r="AP41" s="21">
        <v>0</v>
      </c>
      <c r="AQ41" s="21">
        <v>0</v>
      </c>
      <c r="AR41" s="21">
        <v>0</v>
      </c>
      <c r="AS41" s="21">
        <v>0</v>
      </c>
      <c r="AT41" s="21">
        <v>0</v>
      </c>
      <c r="AU41" s="21">
        <v>0</v>
      </c>
      <c r="AV41" s="79"/>
    </row>
    <row r="42" spans="1:48" ht="32.1">
      <c r="A42" s="23"/>
      <c r="B42" s="19" t="s">
        <v>226</v>
      </c>
      <c r="C42" s="27" t="s">
        <v>227</v>
      </c>
      <c r="D42" s="20">
        <f t="shared" si="0"/>
        <v>1</v>
      </c>
      <c r="E42" s="21">
        <v>0</v>
      </c>
      <c r="F42" s="21">
        <v>1</v>
      </c>
      <c r="G42" s="21">
        <v>0</v>
      </c>
      <c r="H42" s="21">
        <v>0</v>
      </c>
      <c r="I42" s="21">
        <v>0</v>
      </c>
      <c r="J42" s="21">
        <v>0</v>
      </c>
      <c r="K42" s="21">
        <v>0</v>
      </c>
      <c r="L42" s="21">
        <v>0</v>
      </c>
      <c r="M42" s="21">
        <v>0</v>
      </c>
      <c r="N42" s="21">
        <v>0</v>
      </c>
      <c r="O42" s="21">
        <v>0</v>
      </c>
      <c r="P42" s="21">
        <v>0</v>
      </c>
      <c r="Q42" s="21">
        <v>0</v>
      </c>
      <c r="R42" s="21">
        <v>0</v>
      </c>
      <c r="S42" s="21">
        <v>0</v>
      </c>
      <c r="T42" s="21">
        <v>0</v>
      </c>
      <c r="U42" s="21">
        <v>0</v>
      </c>
      <c r="V42" s="21">
        <v>0</v>
      </c>
      <c r="W42" s="21">
        <v>0</v>
      </c>
      <c r="X42" s="21">
        <v>0</v>
      </c>
      <c r="Y42" s="21">
        <v>0</v>
      </c>
      <c r="Z42" s="21">
        <v>0</v>
      </c>
      <c r="AA42" s="21">
        <v>0</v>
      </c>
      <c r="AB42" s="21">
        <v>0</v>
      </c>
      <c r="AC42" s="21">
        <v>0</v>
      </c>
      <c r="AD42" s="21">
        <v>0</v>
      </c>
      <c r="AE42" s="21">
        <v>0</v>
      </c>
      <c r="AF42" s="21">
        <v>0</v>
      </c>
      <c r="AG42" s="21">
        <v>0</v>
      </c>
      <c r="AH42" s="21">
        <v>0</v>
      </c>
      <c r="AI42" s="21">
        <v>0</v>
      </c>
      <c r="AJ42" s="21">
        <v>0</v>
      </c>
      <c r="AK42" s="21">
        <v>0</v>
      </c>
      <c r="AL42" s="21">
        <v>0</v>
      </c>
      <c r="AM42" s="21">
        <v>0</v>
      </c>
      <c r="AN42" s="21">
        <v>0</v>
      </c>
      <c r="AO42" s="21">
        <v>0</v>
      </c>
      <c r="AP42" s="21">
        <v>0</v>
      </c>
      <c r="AQ42" s="21">
        <v>0</v>
      </c>
      <c r="AR42" s="21">
        <v>0</v>
      </c>
      <c r="AS42" s="21">
        <v>0</v>
      </c>
      <c r="AT42" s="21">
        <v>0</v>
      </c>
      <c r="AU42" s="21">
        <v>0</v>
      </c>
      <c r="AV42" s="79"/>
    </row>
    <row r="43" spans="1:48">
      <c r="A43" s="23" t="s">
        <v>228</v>
      </c>
      <c r="B43" s="19" t="s">
        <v>229</v>
      </c>
      <c r="C43" s="19" t="s">
        <v>230</v>
      </c>
      <c r="D43" s="20">
        <f t="shared" si="0"/>
        <v>0</v>
      </c>
      <c r="E43" s="21">
        <v>0</v>
      </c>
      <c r="F43" s="21">
        <v>0</v>
      </c>
      <c r="G43" s="21">
        <v>0</v>
      </c>
      <c r="H43" s="21">
        <v>0</v>
      </c>
      <c r="I43" s="21">
        <v>0</v>
      </c>
      <c r="J43" s="21">
        <v>0</v>
      </c>
      <c r="K43" s="21">
        <v>0</v>
      </c>
      <c r="L43" s="21">
        <v>0</v>
      </c>
      <c r="M43" s="21">
        <v>0</v>
      </c>
      <c r="N43" s="21">
        <v>0</v>
      </c>
      <c r="O43" s="21">
        <v>0</v>
      </c>
      <c r="P43" s="21">
        <v>0</v>
      </c>
      <c r="Q43" s="21">
        <v>0</v>
      </c>
      <c r="R43" s="21">
        <v>0</v>
      </c>
      <c r="S43" s="21">
        <v>0</v>
      </c>
      <c r="T43" s="21">
        <v>0</v>
      </c>
      <c r="U43" s="21">
        <v>0</v>
      </c>
      <c r="V43" s="21">
        <v>0</v>
      </c>
      <c r="W43" s="21">
        <v>0</v>
      </c>
      <c r="X43" s="21">
        <v>0</v>
      </c>
      <c r="Y43" s="21">
        <v>0</v>
      </c>
      <c r="Z43" s="21">
        <v>0</v>
      </c>
      <c r="AA43" s="21">
        <v>0</v>
      </c>
      <c r="AB43" s="21">
        <v>0</v>
      </c>
      <c r="AC43" s="21">
        <v>0</v>
      </c>
      <c r="AD43" s="21">
        <v>0</v>
      </c>
      <c r="AE43" s="21">
        <v>0</v>
      </c>
      <c r="AF43" s="21">
        <v>0</v>
      </c>
      <c r="AG43" s="21">
        <v>0</v>
      </c>
      <c r="AH43" s="21">
        <v>0</v>
      </c>
      <c r="AI43" s="21">
        <v>0</v>
      </c>
      <c r="AJ43" s="21">
        <v>0</v>
      </c>
      <c r="AK43" s="21">
        <v>0</v>
      </c>
      <c r="AL43" s="21">
        <v>0</v>
      </c>
      <c r="AM43" s="21">
        <v>0</v>
      </c>
      <c r="AN43" s="21">
        <v>0</v>
      </c>
      <c r="AO43" s="21">
        <v>0</v>
      </c>
      <c r="AP43" s="21">
        <v>0</v>
      </c>
      <c r="AQ43" s="21">
        <v>0</v>
      </c>
      <c r="AR43" s="21">
        <v>0</v>
      </c>
      <c r="AS43" s="21">
        <v>0</v>
      </c>
      <c r="AT43" s="21">
        <v>0</v>
      </c>
      <c r="AU43" s="21">
        <v>0</v>
      </c>
    </row>
    <row r="44" spans="1:48">
      <c r="A44" s="24" t="s">
        <v>231</v>
      </c>
      <c r="B44" s="25"/>
      <c r="C44" s="25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</row>
    <row r="45" spans="1:48">
      <c r="A45" s="23" t="s">
        <v>232</v>
      </c>
      <c r="B45" s="19" t="s">
        <v>233</v>
      </c>
      <c r="C45" s="19" t="s">
        <v>196</v>
      </c>
      <c r="D45" s="20">
        <f t="shared" si="0"/>
        <v>49023</v>
      </c>
      <c r="E45" s="21">
        <v>4072</v>
      </c>
      <c r="F45" s="21">
        <v>16754</v>
      </c>
      <c r="G45" s="21">
        <v>1386</v>
      </c>
      <c r="H45" s="21">
        <v>320</v>
      </c>
      <c r="I45" s="21">
        <v>274</v>
      </c>
      <c r="J45" s="21">
        <v>390</v>
      </c>
      <c r="K45" s="21">
        <v>1286</v>
      </c>
      <c r="L45" s="21">
        <v>1604</v>
      </c>
      <c r="M45" s="21">
        <v>272</v>
      </c>
      <c r="N45" s="21">
        <v>321</v>
      </c>
      <c r="O45" s="21">
        <v>241</v>
      </c>
      <c r="P45" s="21">
        <v>0</v>
      </c>
      <c r="Q45" s="21">
        <v>167</v>
      </c>
      <c r="R45" s="21">
        <v>390</v>
      </c>
      <c r="S45" s="21">
        <v>304</v>
      </c>
      <c r="T45" s="21">
        <v>288</v>
      </c>
      <c r="U45" s="21">
        <v>170</v>
      </c>
      <c r="V45" s="21">
        <v>2901</v>
      </c>
      <c r="W45" s="21">
        <v>423</v>
      </c>
      <c r="X45" s="21">
        <v>567</v>
      </c>
      <c r="Y45" s="21">
        <v>663</v>
      </c>
      <c r="Z45" s="21">
        <v>670</v>
      </c>
      <c r="AA45" s="21">
        <v>1298</v>
      </c>
      <c r="AB45" s="21">
        <v>141</v>
      </c>
      <c r="AC45" s="21">
        <v>674</v>
      </c>
      <c r="AD45" s="22">
        <v>0</v>
      </c>
      <c r="AE45" s="21">
        <v>298</v>
      </c>
      <c r="AF45" s="21">
        <v>249</v>
      </c>
      <c r="AG45" s="21">
        <v>152</v>
      </c>
      <c r="AH45" s="21">
        <v>1232</v>
      </c>
      <c r="AI45" s="21">
        <v>365</v>
      </c>
      <c r="AJ45" s="21">
        <v>207</v>
      </c>
      <c r="AK45" s="21">
        <v>1092</v>
      </c>
      <c r="AL45" s="21">
        <v>523</v>
      </c>
      <c r="AM45" s="21">
        <v>59</v>
      </c>
      <c r="AN45" s="21">
        <v>393</v>
      </c>
      <c r="AO45" s="21">
        <v>215</v>
      </c>
      <c r="AP45" s="21">
        <v>246</v>
      </c>
      <c r="AQ45" s="21">
        <v>4250</v>
      </c>
      <c r="AR45" s="21">
        <v>2287</v>
      </c>
      <c r="AS45" s="21">
        <v>1010</v>
      </c>
      <c r="AT45" s="21">
        <v>219</v>
      </c>
      <c r="AU45" s="21">
        <v>650</v>
      </c>
    </row>
    <row r="46" spans="1:48">
      <c r="A46" s="23" t="s">
        <v>234</v>
      </c>
      <c r="B46" s="19" t="s">
        <v>235</v>
      </c>
      <c r="C46" s="19" t="s">
        <v>236</v>
      </c>
      <c r="D46" s="20">
        <f t="shared" si="0"/>
        <v>322</v>
      </c>
      <c r="E46" s="21">
        <v>13</v>
      </c>
      <c r="F46" s="21">
        <v>151</v>
      </c>
      <c r="G46" s="21">
        <v>43</v>
      </c>
      <c r="H46" s="21">
        <v>21</v>
      </c>
      <c r="I46" s="21">
        <v>13</v>
      </c>
      <c r="J46" s="21">
        <v>0</v>
      </c>
      <c r="K46" s="21">
        <v>0</v>
      </c>
      <c r="L46" s="21">
        <v>0</v>
      </c>
      <c r="M46" s="21">
        <v>0</v>
      </c>
      <c r="N46" s="21">
        <v>0</v>
      </c>
      <c r="O46" s="21">
        <v>0</v>
      </c>
      <c r="P46" s="21">
        <v>0</v>
      </c>
      <c r="Q46" s="21">
        <v>0</v>
      </c>
      <c r="R46" s="21">
        <v>0</v>
      </c>
      <c r="S46" s="21">
        <v>0</v>
      </c>
      <c r="T46" s="21">
        <v>0</v>
      </c>
      <c r="U46" s="21">
        <v>0</v>
      </c>
      <c r="V46" s="21">
        <v>10</v>
      </c>
      <c r="W46" s="21">
        <v>0</v>
      </c>
      <c r="X46" s="21">
        <v>1</v>
      </c>
      <c r="Y46" s="22">
        <v>0</v>
      </c>
      <c r="Z46" s="22">
        <v>0</v>
      </c>
      <c r="AA46" s="21">
        <v>2</v>
      </c>
      <c r="AB46" s="22">
        <v>0</v>
      </c>
      <c r="AC46" s="22">
        <v>0</v>
      </c>
      <c r="AD46" s="22">
        <v>0</v>
      </c>
      <c r="AE46" s="21">
        <v>8</v>
      </c>
      <c r="AF46" s="22">
        <v>0</v>
      </c>
      <c r="AG46" s="22">
        <v>0</v>
      </c>
      <c r="AH46" s="21">
        <v>28</v>
      </c>
      <c r="AI46" s="21">
        <v>0</v>
      </c>
      <c r="AJ46" s="21">
        <v>7</v>
      </c>
      <c r="AK46" s="21">
        <v>8</v>
      </c>
      <c r="AL46" s="21">
        <v>6</v>
      </c>
      <c r="AM46" s="21">
        <v>0</v>
      </c>
      <c r="AN46" s="21">
        <v>0</v>
      </c>
      <c r="AO46" s="21">
        <v>0</v>
      </c>
      <c r="AP46" s="21">
        <v>0</v>
      </c>
      <c r="AQ46" s="21">
        <v>0</v>
      </c>
      <c r="AR46" s="21">
        <v>0</v>
      </c>
      <c r="AS46" s="21">
        <v>5</v>
      </c>
      <c r="AT46" s="21">
        <v>0</v>
      </c>
      <c r="AU46" s="21">
        <v>6</v>
      </c>
    </row>
    <row r="47" spans="1:48">
      <c r="A47" s="23" t="s">
        <v>237</v>
      </c>
      <c r="B47" s="19" t="s">
        <v>238</v>
      </c>
      <c r="C47" s="19" t="s">
        <v>239</v>
      </c>
      <c r="D47" s="20">
        <f t="shared" si="0"/>
        <v>278</v>
      </c>
      <c r="E47" s="22">
        <v>29</v>
      </c>
      <c r="F47" s="22">
        <v>249</v>
      </c>
      <c r="G47" s="21">
        <v>0</v>
      </c>
      <c r="H47" s="21">
        <v>0</v>
      </c>
      <c r="I47" s="21">
        <v>0</v>
      </c>
      <c r="J47" s="21">
        <v>0</v>
      </c>
      <c r="K47" s="21">
        <v>0</v>
      </c>
      <c r="L47" s="21">
        <v>0</v>
      </c>
      <c r="M47" s="21">
        <v>0</v>
      </c>
      <c r="N47" s="21">
        <v>0</v>
      </c>
      <c r="O47" s="21">
        <v>0</v>
      </c>
      <c r="P47" s="21">
        <v>0</v>
      </c>
      <c r="Q47" s="21">
        <v>0</v>
      </c>
      <c r="R47" s="21">
        <v>0</v>
      </c>
      <c r="S47" s="21">
        <v>0</v>
      </c>
      <c r="T47" s="21">
        <v>0</v>
      </c>
      <c r="U47" s="21">
        <v>0</v>
      </c>
      <c r="V47" s="21">
        <v>0</v>
      </c>
      <c r="W47" s="21">
        <v>0</v>
      </c>
      <c r="X47" s="21">
        <v>0</v>
      </c>
      <c r="Y47" s="21">
        <v>0</v>
      </c>
      <c r="Z47" s="21">
        <v>0</v>
      </c>
      <c r="AA47" s="21">
        <v>0</v>
      </c>
      <c r="AB47" s="21">
        <v>0</v>
      </c>
      <c r="AC47" s="21">
        <v>0</v>
      </c>
      <c r="AD47" s="21">
        <v>0</v>
      </c>
      <c r="AE47" s="21">
        <v>0</v>
      </c>
      <c r="AF47" s="21">
        <v>0</v>
      </c>
      <c r="AG47" s="21">
        <v>0</v>
      </c>
      <c r="AH47" s="21">
        <v>0</v>
      </c>
      <c r="AI47" s="21">
        <v>0</v>
      </c>
      <c r="AJ47" s="21">
        <v>0</v>
      </c>
      <c r="AK47" s="21">
        <v>0</v>
      </c>
      <c r="AL47" s="21">
        <v>0</v>
      </c>
      <c r="AM47" s="21">
        <v>0</v>
      </c>
      <c r="AN47" s="21">
        <v>0</v>
      </c>
      <c r="AO47" s="21">
        <v>0</v>
      </c>
      <c r="AP47" s="21">
        <v>0</v>
      </c>
      <c r="AQ47" s="21">
        <v>0</v>
      </c>
      <c r="AR47" s="21">
        <v>0</v>
      </c>
      <c r="AS47" s="21">
        <v>0</v>
      </c>
      <c r="AT47" s="21">
        <v>0</v>
      </c>
      <c r="AU47" s="21">
        <v>0</v>
      </c>
    </row>
    <row r="48" spans="1:48">
      <c r="A48" s="23" t="s">
        <v>240</v>
      </c>
      <c r="B48" s="19" t="s">
        <v>241</v>
      </c>
      <c r="C48" s="19" t="s">
        <v>242</v>
      </c>
      <c r="D48" s="20">
        <f t="shared" si="0"/>
        <v>0</v>
      </c>
      <c r="E48" s="21">
        <v>0</v>
      </c>
      <c r="F48" s="21">
        <v>0</v>
      </c>
      <c r="G48" s="21">
        <v>0</v>
      </c>
      <c r="H48" s="21">
        <v>0</v>
      </c>
      <c r="I48" s="21">
        <v>0</v>
      </c>
      <c r="J48" s="21">
        <v>0</v>
      </c>
      <c r="K48" s="21">
        <v>0</v>
      </c>
      <c r="L48" s="21">
        <v>0</v>
      </c>
      <c r="M48" s="21">
        <v>0</v>
      </c>
      <c r="N48" s="21">
        <v>0</v>
      </c>
      <c r="O48" s="21">
        <v>0</v>
      </c>
      <c r="P48" s="21">
        <v>0</v>
      </c>
      <c r="Q48" s="21">
        <v>0</v>
      </c>
      <c r="R48" s="21">
        <v>0</v>
      </c>
      <c r="S48" s="21">
        <v>0</v>
      </c>
      <c r="T48" s="21">
        <v>0</v>
      </c>
      <c r="U48" s="21">
        <v>0</v>
      </c>
      <c r="V48" s="21">
        <v>0</v>
      </c>
      <c r="W48" s="21">
        <v>0</v>
      </c>
      <c r="X48" s="21">
        <v>0</v>
      </c>
      <c r="Y48" s="21">
        <v>0</v>
      </c>
      <c r="Z48" s="21">
        <v>0</v>
      </c>
      <c r="AA48" s="21">
        <v>0</v>
      </c>
      <c r="AB48" s="21">
        <v>0</v>
      </c>
      <c r="AC48" s="21">
        <v>0</v>
      </c>
      <c r="AD48" s="21">
        <v>0</v>
      </c>
      <c r="AE48" s="21">
        <v>0</v>
      </c>
      <c r="AF48" s="21">
        <v>0</v>
      </c>
      <c r="AG48" s="21">
        <v>0</v>
      </c>
      <c r="AH48" s="21">
        <v>0</v>
      </c>
      <c r="AI48" s="21">
        <v>0</v>
      </c>
      <c r="AJ48" s="21">
        <v>0</v>
      </c>
      <c r="AK48" s="21">
        <v>0</v>
      </c>
      <c r="AL48" s="21">
        <v>0</v>
      </c>
      <c r="AM48" s="21">
        <v>0</v>
      </c>
      <c r="AN48" s="21">
        <v>0</v>
      </c>
      <c r="AO48" s="21">
        <v>0</v>
      </c>
      <c r="AP48" s="21">
        <v>0</v>
      </c>
      <c r="AQ48" s="21">
        <v>0</v>
      </c>
      <c r="AR48" s="21">
        <v>0</v>
      </c>
      <c r="AS48" s="21">
        <v>0</v>
      </c>
      <c r="AT48" s="21">
        <v>0</v>
      </c>
      <c r="AU48" s="21">
        <v>0</v>
      </c>
      <c r="AV48" s="79"/>
    </row>
    <row r="49" spans="1:48">
      <c r="A49" s="23" t="s">
        <v>243</v>
      </c>
      <c r="B49" s="19" t="s">
        <v>244</v>
      </c>
      <c r="C49" s="19" t="s">
        <v>245</v>
      </c>
      <c r="D49" s="20">
        <f t="shared" si="0"/>
        <v>45862</v>
      </c>
      <c r="E49" s="22">
        <v>2660</v>
      </c>
      <c r="F49" s="22">
        <v>16754</v>
      </c>
      <c r="G49" s="22">
        <v>1386</v>
      </c>
      <c r="H49" s="21">
        <v>0</v>
      </c>
      <c r="I49" s="22">
        <v>274</v>
      </c>
      <c r="J49" s="21">
        <v>0</v>
      </c>
      <c r="K49" s="21">
        <v>0</v>
      </c>
      <c r="L49" s="22">
        <v>3136</v>
      </c>
      <c r="M49" s="22">
        <v>272</v>
      </c>
      <c r="N49" s="22">
        <v>321</v>
      </c>
      <c r="O49" s="22">
        <v>241</v>
      </c>
      <c r="P49" s="21">
        <v>0</v>
      </c>
      <c r="Q49" s="22">
        <v>167</v>
      </c>
      <c r="R49" s="22">
        <v>390</v>
      </c>
      <c r="S49" s="21">
        <v>0</v>
      </c>
      <c r="T49" s="21">
        <v>0</v>
      </c>
      <c r="U49" s="22">
        <v>170</v>
      </c>
      <c r="V49" s="22">
        <v>2901</v>
      </c>
      <c r="W49" s="22">
        <v>655</v>
      </c>
      <c r="X49" s="22">
        <v>732</v>
      </c>
      <c r="Y49" s="22">
        <v>663</v>
      </c>
      <c r="Z49" s="22">
        <v>0</v>
      </c>
      <c r="AA49" s="22">
        <v>1200</v>
      </c>
      <c r="AB49" s="22">
        <v>0</v>
      </c>
      <c r="AC49" s="22">
        <v>936</v>
      </c>
      <c r="AD49" s="22">
        <v>235</v>
      </c>
      <c r="AE49" s="22">
        <v>0</v>
      </c>
      <c r="AF49" s="22">
        <v>0</v>
      </c>
      <c r="AG49" s="22">
        <v>0</v>
      </c>
      <c r="AH49" s="22">
        <v>1900</v>
      </c>
      <c r="AI49" s="22">
        <v>365</v>
      </c>
      <c r="AJ49" s="21">
        <v>0</v>
      </c>
      <c r="AK49" s="22">
        <v>1700</v>
      </c>
      <c r="AL49" s="21">
        <v>0</v>
      </c>
      <c r="AM49" s="21">
        <v>0</v>
      </c>
      <c r="AN49" s="21">
        <v>0</v>
      </c>
      <c r="AO49" s="21">
        <v>0</v>
      </c>
      <c r="AP49" s="21">
        <v>0</v>
      </c>
      <c r="AQ49" s="22">
        <v>8804</v>
      </c>
      <c r="AR49" s="21">
        <v>0</v>
      </c>
      <c r="AS49" s="21">
        <v>0</v>
      </c>
      <c r="AT49" s="21">
        <v>0</v>
      </c>
      <c r="AU49" s="21">
        <v>0</v>
      </c>
      <c r="AV49" s="79"/>
    </row>
    <row r="50" spans="1:48">
      <c r="A50" s="23" t="s">
        <v>246</v>
      </c>
      <c r="B50" s="19" t="s">
        <v>247</v>
      </c>
      <c r="C50" s="19" t="s">
        <v>248</v>
      </c>
      <c r="D50" s="20">
        <f t="shared" si="0"/>
        <v>0</v>
      </c>
      <c r="E50" s="21">
        <v>0</v>
      </c>
      <c r="F50" s="21">
        <v>0</v>
      </c>
      <c r="G50" s="21">
        <v>0</v>
      </c>
      <c r="H50" s="21">
        <v>0</v>
      </c>
      <c r="I50" s="21">
        <v>0</v>
      </c>
      <c r="J50" s="21">
        <v>0</v>
      </c>
      <c r="K50" s="21">
        <v>0</v>
      </c>
      <c r="L50" s="21">
        <v>0</v>
      </c>
      <c r="M50" s="21">
        <v>0</v>
      </c>
      <c r="N50" s="21">
        <v>0</v>
      </c>
      <c r="O50" s="21">
        <v>0</v>
      </c>
      <c r="P50" s="21">
        <v>0</v>
      </c>
      <c r="Q50" s="21">
        <v>0</v>
      </c>
      <c r="R50" s="21">
        <v>0</v>
      </c>
      <c r="S50" s="21">
        <v>0</v>
      </c>
      <c r="T50" s="21">
        <v>0</v>
      </c>
      <c r="U50" s="21">
        <v>0</v>
      </c>
      <c r="V50" s="21">
        <v>0</v>
      </c>
      <c r="W50" s="21">
        <v>0</v>
      </c>
      <c r="X50" s="21">
        <v>0</v>
      </c>
      <c r="Y50" s="21">
        <v>0</v>
      </c>
      <c r="Z50" s="21">
        <v>0</v>
      </c>
      <c r="AA50" s="21">
        <v>0</v>
      </c>
      <c r="AB50" s="21">
        <v>0</v>
      </c>
      <c r="AC50" s="21">
        <v>0</v>
      </c>
      <c r="AD50" s="21">
        <v>0</v>
      </c>
      <c r="AE50" s="21">
        <v>0</v>
      </c>
      <c r="AF50" s="21">
        <v>0</v>
      </c>
      <c r="AG50" s="21">
        <v>0</v>
      </c>
      <c r="AH50" s="21">
        <v>0</v>
      </c>
      <c r="AI50" s="21">
        <v>0</v>
      </c>
      <c r="AJ50" s="21">
        <v>0</v>
      </c>
      <c r="AK50" s="21">
        <v>0</v>
      </c>
      <c r="AL50" s="21">
        <v>0</v>
      </c>
      <c r="AM50" s="21">
        <v>0</v>
      </c>
      <c r="AN50" s="21">
        <v>0</v>
      </c>
      <c r="AO50" s="21">
        <v>0</v>
      </c>
      <c r="AP50" s="21">
        <v>0</v>
      </c>
      <c r="AQ50" s="21">
        <v>0</v>
      </c>
      <c r="AR50" s="21">
        <v>0</v>
      </c>
      <c r="AS50" s="21">
        <v>0</v>
      </c>
      <c r="AT50" s="21">
        <v>0</v>
      </c>
      <c r="AU50" s="21">
        <v>0</v>
      </c>
      <c r="AV50" s="79"/>
    </row>
    <row r="51" spans="1:48">
      <c r="A51" s="23" t="s">
        <v>249</v>
      </c>
      <c r="B51" s="19" t="s">
        <v>250</v>
      </c>
      <c r="C51" s="19" t="s">
        <v>236</v>
      </c>
      <c r="D51" s="20">
        <f t="shared" si="0"/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79"/>
    </row>
    <row r="52" spans="1:48">
      <c r="A52" s="23" t="s">
        <v>251</v>
      </c>
      <c r="B52" s="19" t="s">
        <v>252</v>
      </c>
      <c r="C52" s="19" t="s">
        <v>253</v>
      </c>
      <c r="D52" s="20">
        <f t="shared" si="0"/>
        <v>10</v>
      </c>
      <c r="E52" s="22">
        <v>2</v>
      </c>
      <c r="F52" s="22">
        <v>5</v>
      </c>
      <c r="G52" s="21">
        <v>0</v>
      </c>
      <c r="H52" s="21">
        <v>0</v>
      </c>
      <c r="I52" s="21">
        <v>0</v>
      </c>
      <c r="J52" s="21">
        <v>0</v>
      </c>
      <c r="K52" s="22">
        <v>1</v>
      </c>
      <c r="L52" s="22">
        <v>2</v>
      </c>
      <c r="M52" s="21">
        <v>0</v>
      </c>
      <c r="N52" s="21">
        <v>0</v>
      </c>
      <c r="O52" s="21">
        <v>0</v>
      </c>
      <c r="P52" s="21">
        <v>0</v>
      </c>
      <c r="Q52" s="21">
        <v>0</v>
      </c>
      <c r="R52" s="21">
        <v>0</v>
      </c>
      <c r="S52" s="21">
        <v>0</v>
      </c>
      <c r="T52" s="21">
        <v>0</v>
      </c>
      <c r="U52" s="21">
        <v>0</v>
      </c>
      <c r="V52" s="21">
        <v>0</v>
      </c>
      <c r="W52" s="21">
        <v>0</v>
      </c>
      <c r="X52" s="21">
        <v>0</v>
      </c>
      <c r="Y52" s="21">
        <v>0</v>
      </c>
      <c r="Z52" s="21">
        <v>0</v>
      </c>
      <c r="AA52" s="21">
        <v>0</v>
      </c>
      <c r="AB52" s="21">
        <v>0</v>
      </c>
      <c r="AC52" s="21">
        <v>0</v>
      </c>
      <c r="AD52" s="21">
        <v>0</v>
      </c>
      <c r="AE52" s="21">
        <v>0</v>
      </c>
      <c r="AF52" s="21">
        <v>0</v>
      </c>
      <c r="AG52" s="21">
        <v>0</v>
      </c>
      <c r="AH52" s="21">
        <v>0</v>
      </c>
      <c r="AI52" s="21">
        <v>0</v>
      </c>
      <c r="AJ52" s="21">
        <v>0</v>
      </c>
      <c r="AK52" s="21">
        <v>0</v>
      </c>
      <c r="AL52" s="21">
        <v>0</v>
      </c>
      <c r="AM52" s="21">
        <v>0</v>
      </c>
      <c r="AN52" s="21">
        <v>0</v>
      </c>
      <c r="AO52" s="21">
        <v>0</v>
      </c>
      <c r="AP52" s="21">
        <v>0</v>
      </c>
      <c r="AQ52" s="21">
        <v>0</v>
      </c>
      <c r="AR52" s="21">
        <v>0</v>
      </c>
      <c r="AS52" s="21">
        <v>0</v>
      </c>
      <c r="AT52" s="21">
        <v>0</v>
      </c>
      <c r="AU52" s="21">
        <v>0</v>
      </c>
      <c r="AV52" s="79"/>
    </row>
    <row r="53" spans="1:48">
      <c r="A53" s="23" t="s">
        <v>254</v>
      </c>
      <c r="B53" s="19" t="s">
        <v>255</v>
      </c>
      <c r="C53" s="19" t="s">
        <v>256</v>
      </c>
      <c r="D53" s="20">
        <f t="shared" si="0"/>
        <v>5</v>
      </c>
      <c r="E53" s="21">
        <v>0</v>
      </c>
      <c r="F53" s="22">
        <v>3</v>
      </c>
      <c r="G53" s="21">
        <v>0</v>
      </c>
      <c r="H53" s="21">
        <v>0</v>
      </c>
      <c r="I53" s="21">
        <v>0</v>
      </c>
      <c r="J53" s="21">
        <v>0</v>
      </c>
      <c r="K53" s="22">
        <v>1</v>
      </c>
      <c r="L53" s="22">
        <v>1</v>
      </c>
      <c r="M53" s="21">
        <v>0</v>
      </c>
      <c r="N53" s="21">
        <v>0</v>
      </c>
      <c r="O53" s="21">
        <v>0</v>
      </c>
      <c r="P53" s="21">
        <v>0</v>
      </c>
      <c r="Q53" s="21">
        <v>0</v>
      </c>
      <c r="R53" s="21">
        <v>0</v>
      </c>
      <c r="S53" s="21">
        <v>0</v>
      </c>
      <c r="T53" s="21">
        <v>0</v>
      </c>
      <c r="U53" s="21">
        <v>0</v>
      </c>
      <c r="V53" s="21">
        <v>0</v>
      </c>
      <c r="W53" s="21">
        <v>0</v>
      </c>
      <c r="X53" s="21">
        <v>0</v>
      </c>
      <c r="Y53" s="21">
        <v>0</v>
      </c>
      <c r="Z53" s="21">
        <v>0</v>
      </c>
      <c r="AA53" s="21">
        <v>0</v>
      </c>
      <c r="AB53" s="21">
        <v>0</v>
      </c>
      <c r="AC53" s="21">
        <v>0</v>
      </c>
      <c r="AD53" s="21">
        <v>0</v>
      </c>
      <c r="AE53" s="21">
        <v>0</v>
      </c>
      <c r="AF53" s="21">
        <v>0</v>
      </c>
      <c r="AG53" s="21">
        <v>0</v>
      </c>
      <c r="AH53" s="21">
        <v>0</v>
      </c>
      <c r="AI53" s="21">
        <v>0</v>
      </c>
      <c r="AJ53" s="21">
        <v>0</v>
      </c>
      <c r="AK53" s="21">
        <v>0</v>
      </c>
      <c r="AL53" s="21">
        <v>0</v>
      </c>
      <c r="AM53" s="21">
        <v>0</v>
      </c>
      <c r="AN53" s="21">
        <v>0</v>
      </c>
      <c r="AO53" s="21">
        <v>0</v>
      </c>
      <c r="AP53" s="21">
        <v>0</v>
      </c>
      <c r="AQ53" s="21">
        <v>0</v>
      </c>
      <c r="AR53" s="21">
        <v>0</v>
      </c>
      <c r="AS53" s="21">
        <v>0</v>
      </c>
      <c r="AT53" s="21">
        <v>0</v>
      </c>
      <c r="AU53" s="21">
        <v>0</v>
      </c>
      <c r="AV53" s="79"/>
    </row>
    <row r="54" spans="1:48">
      <c r="A54" s="23" t="s">
        <v>257</v>
      </c>
      <c r="B54" s="19" t="s">
        <v>258</v>
      </c>
      <c r="C54" s="19" t="s">
        <v>259</v>
      </c>
      <c r="D54" s="20">
        <f t="shared" si="0"/>
        <v>4</v>
      </c>
      <c r="E54" s="21">
        <v>1</v>
      </c>
      <c r="F54" s="21">
        <v>0</v>
      </c>
      <c r="G54" s="21">
        <v>1</v>
      </c>
      <c r="H54" s="21">
        <v>1</v>
      </c>
      <c r="I54" s="21">
        <v>0</v>
      </c>
      <c r="J54" s="21">
        <v>0</v>
      </c>
      <c r="K54" s="21">
        <v>0</v>
      </c>
      <c r="L54" s="21">
        <v>0</v>
      </c>
      <c r="M54" s="21">
        <v>0</v>
      </c>
      <c r="N54" s="21">
        <v>0</v>
      </c>
      <c r="O54" s="21">
        <v>0</v>
      </c>
      <c r="P54" s="21">
        <v>0</v>
      </c>
      <c r="Q54" s="21">
        <v>0</v>
      </c>
      <c r="R54" s="21">
        <v>0</v>
      </c>
      <c r="S54" s="21">
        <v>0</v>
      </c>
      <c r="T54" s="21">
        <v>0</v>
      </c>
      <c r="U54" s="21">
        <v>0</v>
      </c>
      <c r="V54" s="21">
        <v>0</v>
      </c>
      <c r="W54" s="21">
        <v>0</v>
      </c>
      <c r="X54" s="21">
        <v>0</v>
      </c>
      <c r="Y54" s="21">
        <v>0</v>
      </c>
      <c r="Z54" s="21">
        <v>0</v>
      </c>
      <c r="AA54" s="21">
        <v>0</v>
      </c>
      <c r="AB54" s="21">
        <v>0</v>
      </c>
      <c r="AC54" s="21">
        <v>0</v>
      </c>
      <c r="AD54" s="21">
        <v>0</v>
      </c>
      <c r="AE54" s="21">
        <v>0</v>
      </c>
      <c r="AF54" s="21">
        <v>0</v>
      </c>
      <c r="AG54" s="21">
        <v>0</v>
      </c>
      <c r="AH54" s="21">
        <v>0</v>
      </c>
      <c r="AI54" s="21">
        <v>0</v>
      </c>
      <c r="AJ54" s="21">
        <v>0</v>
      </c>
      <c r="AK54" s="21">
        <v>1</v>
      </c>
      <c r="AL54" s="21">
        <v>0</v>
      </c>
      <c r="AM54" s="21">
        <v>0</v>
      </c>
      <c r="AN54" s="21">
        <v>0</v>
      </c>
      <c r="AO54" s="21">
        <v>0</v>
      </c>
      <c r="AP54" s="21">
        <v>0</v>
      </c>
      <c r="AQ54" s="21">
        <v>0</v>
      </c>
      <c r="AR54" s="21">
        <v>0</v>
      </c>
      <c r="AS54" s="21">
        <v>0</v>
      </c>
      <c r="AT54" s="21">
        <v>0</v>
      </c>
      <c r="AU54" s="21">
        <v>0</v>
      </c>
    </row>
    <row r="55" spans="1:48">
      <c r="A55" s="23" t="s">
        <v>257</v>
      </c>
      <c r="B55" s="19" t="s">
        <v>260</v>
      </c>
      <c r="C55" s="19" t="s">
        <v>259</v>
      </c>
      <c r="D55" s="20">
        <f t="shared" si="0"/>
        <v>1</v>
      </c>
      <c r="E55" s="21">
        <v>0</v>
      </c>
      <c r="F55" s="21">
        <v>0</v>
      </c>
      <c r="G55" s="21">
        <v>0</v>
      </c>
      <c r="H55" s="21">
        <v>0</v>
      </c>
      <c r="I55" s="21">
        <v>0</v>
      </c>
      <c r="J55" s="21">
        <v>0</v>
      </c>
      <c r="K55" s="21">
        <v>0</v>
      </c>
      <c r="L55" s="22">
        <v>1</v>
      </c>
      <c r="M55" s="21">
        <v>0</v>
      </c>
      <c r="N55" s="21">
        <v>0</v>
      </c>
      <c r="O55" s="21">
        <v>0</v>
      </c>
      <c r="P55" s="21">
        <v>0</v>
      </c>
      <c r="Q55" s="21">
        <v>0</v>
      </c>
      <c r="R55" s="21">
        <v>0</v>
      </c>
      <c r="S55" s="21">
        <v>0</v>
      </c>
      <c r="T55" s="21">
        <v>0</v>
      </c>
      <c r="U55" s="21">
        <v>0</v>
      </c>
      <c r="V55" s="21">
        <v>0</v>
      </c>
      <c r="W55" s="21">
        <v>0</v>
      </c>
      <c r="X55" s="21">
        <v>0</v>
      </c>
      <c r="Y55" s="21">
        <v>0</v>
      </c>
      <c r="Z55" s="21">
        <v>0</v>
      </c>
      <c r="AA55" s="21">
        <v>0</v>
      </c>
      <c r="AB55" s="21">
        <v>0</v>
      </c>
      <c r="AC55" s="21">
        <v>0</v>
      </c>
      <c r="AD55" s="21">
        <v>0</v>
      </c>
      <c r="AE55" s="21">
        <v>0</v>
      </c>
      <c r="AF55" s="21">
        <v>0</v>
      </c>
      <c r="AG55" s="21">
        <v>0</v>
      </c>
      <c r="AH55" s="21">
        <v>0</v>
      </c>
      <c r="AI55" s="21">
        <v>0</v>
      </c>
      <c r="AJ55" s="21">
        <v>0</v>
      </c>
      <c r="AK55" s="21">
        <v>0</v>
      </c>
      <c r="AL55" s="21">
        <v>0</v>
      </c>
      <c r="AM55" s="21">
        <v>0</v>
      </c>
      <c r="AN55" s="21">
        <v>0</v>
      </c>
      <c r="AO55" s="21">
        <v>0</v>
      </c>
      <c r="AP55" s="21">
        <v>0</v>
      </c>
      <c r="AQ55" s="21">
        <v>0</v>
      </c>
      <c r="AR55" s="21">
        <v>0</v>
      </c>
      <c r="AS55" s="21">
        <v>0</v>
      </c>
      <c r="AT55" s="21">
        <v>0</v>
      </c>
      <c r="AU55" s="21">
        <v>0</v>
      </c>
    </row>
    <row r="56" spans="1:48">
      <c r="A56" s="23" t="s">
        <v>257</v>
      </c>
      <c r="B56" s="19" t="s">
        <v>261</v>
      </c>
      <c r="C56" s="19" t="s">
        <v>259</v>
      </c>
      <c r="D56" s="20">
        <f t="shared" si="0"/>
        <v>3</v>
      </c>
      <c r="E56" s="21">
        <v>0</v>
      </c>
      <c r="F56" s="22">
        <v>3</v>
      </c>
      <c r="G56" s="21">
        <v>0</v>
      </c>
      <c r="H56" s="21">
        <v>0</v>
      </c>
      <c r="I56" s="21">
        <v>0</v>
      </c>
      <c r="J56" s="21">
        <v>0</v>
      </c>
      <c r="K56" s="21">
        <v>0</v>
      </c>
      <c r="L56" s="21">
        <v>0</v>
      </c>
      <c r="M56" s="21">
        <v>0</v>
      </c>
      <c r="N56" s="21">
        <v>0</v>
      </c>
      <c r="O56" s="21">
        <v>0</v>
      </c>
      <c r="P56" s="21">
        <v>0</v>
      </c>
      <c r="Q56" s="21">
        <v>0</v>
      </c>
      <c r="R56" s="21">
        <v>0</v>
      </c>
      <c r="S56" s="21">
        <v>0</v>
      </c>
      <c r="T56" s="21">
        <v>0</v>
      </c>
      <c r="U56" s="21">
        <v>0</v>
      </c>
      <c r="V56" s="21">
        <v>0</v>
      </c>
      <c r="W56" s="21">
        <v>0</v>
      </c>
      <c r="X56" s="21">
        <v>0</v>
      </c>
      <c r="Y56" s="21">
        <v>0</v>
      </c>
      <c r="Z56" s="21">
        <v>0</v>
      </c>
      <c r="AA56" s="21">
        <v>0</v>
      </c>
      <c r="AB56" s="21">
        <v>0</v>
      </c>
      <c r="AC56" s="21">
        <v>0</v>
      </c>
      <c r="AD56" s="21">
        <v>0</v>
      </c>
      <c r="AE56" s="21">
        <v>0</v>
      </c>
      <c r="AF56" s="21">
        <v>0</v>
      </c>
      <c r="AG56" s="21">
        <v>0</v>
      </c>
      <c r="AH56" s="21">
        <v>0</v>
      </c>
      <c r="AI56" s="21">
        <v>0</v>
      </c>
      <c r="AJ56" s="21">
        <v>0</v>
      </c>
      <c r="AK56" s="21">
        <v>0</v>
      </c>
      <c r="AL56" s="21">
        <v>0</v>
      </c>
      <c r="AM56" s="21">
        <v>0</v>
      </c>
      <c r="AN56" s="21">
        <v>0</v>
      </c>
      <c r="AO56" s="21">
        <v>0</v>
      </c>
      <c r="AP56" s="21">
        <v>0</v>
      </c>
      <c r="AQ56" s="21">
        <v>0</v>
      </c>
      <c r="AR56" s="21">
        <v>0</v>
      </c>
      <c r="AS56" s="21">
        <v>0</v>
      </c>
      <c r="AT56" s="21">
        <v>0</v>
      </c>
      <c r="AU56" s="21">
        <v>0</v>
      </c>
    </row>
    <row r="57" spans="1:48">
      <c r="A57" s="23" t="s">
        <v>262</v>
      </c>
      <c r="B57" s="19" t="s">
        <v>263</v>
      </c>
      <c r="C57" s="19" t="s">
        <v>259</v>
      </c>
      <c r="D57" s="20">
        <f t="shared" si="0"/>
        <v>0</v>
      </c>
      <c r="E57" s="21">
        <v>0</v>
      </c>
      <c r="F57" s="21">
        <v>0</v>
      </c>
      <c r="G57" s="21">
        <v>0</v>
      </c>
      <c r="H57" s="21">
        <v>0</v>
      </c>
      <c r="I57" s="21">
        <v>0</v>
      </c>
      <c r="J57" s="21">
        <v>0</v>
      </c>
      <c r="K57" s="21">
        <v>0</v>
      </c>
      <c r="L57" s="21">
        <v>0</v>
      </c>
      <c r="M57" s="21">
        <v>0</v>
      </c>
      <c r="N57" s="21">
        <v>0</v>
      </c>
      <c r="O57" s="21">
        <v>0</v>
      </c>
      <c r="P57" s="21">
        <v>0</v>
      </c>
      <c r="Q57" s="21">
        <v>0</v>
      </c>
      <c r="R57" s="21">
        <v>0</v>
      </c>
      <c r="S57" s="21">
        <v>0</v>
      </c>
      <c r="T57" s="21">
        <v>0</v>
      </c>
      <c r="U57" s="21">
        <v>0</v>
      </c>
      <c r="V57" s="21">
        <v>0</v>
      </c>
      <c r="W57" s="21">
        <v>0</v>
      </c>
      <c r="X57" s="21">
        <v>0</v>
      </c>
      <c r="Y57" s="21">
        <v>0</v>
      </c>
      <c r="Z57" s="21">
        <v>0</v>
      </c>
      <c r="AA57" s="21">
        <v>0</v>
      </c>
      <c r="AB57" s="21">
        <v>0</v>
      </c>
      <c r="AC57" s="21">
        <v>0</v>
      </c>
      <c r="AD57" s="21">
        <v>0</v>
      </c>
      <c r="AE57" s="21">
        <v>0</v>
      </c>
      <c r="AF57" s="21">
        <v>0</v>
      </c>
      <c r="AG57" s="21">
        <v>0</v>
      </c>
      <c r="AH57" s="21">
        <v>0</v>
      </c>
      <c r="AI57" s="21">
        <v>0</v>
      </c>
      <c r="AJ57" s="21">
        <v>0</v>
      </c>
      <c r="AK57" s="21">
        <v>0</v>
      </c>
      <c r="AL57" s="21">
        <v>0</v>
      </c>
      <c r="AM57" s="21">
        <v>0</v>
      </c>
      <c r="AN57" s="21">
        <v>0</v>
      </c>
      <c r="AO57" s="21">
        <v>0</v>
      </c>
      <c r="AP57" s="21">
        <v>0</v>
      </c>
      <c r="AQ57" s="21">
        <v>0</v>
      </c>
      <c r="AR57" s="21">
        <v>0</v>
      </c>
      <c r="AS57" s="21">
        <v>0</v>
      </c>
      <c r="AT57" s="21">
        <v>0</v>
      </c>
      <c r="AU57" s="21">
        <v>0</v>
      </c>
    </row>
    <row r="58" spans="1:48">
      <c r="A58" s="23"/>
      <c r="B58" s="19" t="s">
        <v>264</v>
      </c>
      <c r="C58" s="19" t="s">
        <v>265</v>
      </c>
      <c r="D58" s="20">
        <f t="shared" si="0"/>
        <v>7</v>
      </c>
      <c r="E58" s="21">
        <v>0</v>
      </c>
      <c r="F58" s="22">
        <v>6</v>
      </c>
      <c r="G58" s="22">
        <v>1</v>
      </c>
      <c r="H58" s="21">
        <v>0</v>
      </c>
      <c r="I58" s="21">
        <v>0</v>
      </c>
      <c r="J58" s="21">
        <v>0</v>
      </c>
      <c r="K58" s="21">
        <v>0</v>
      </c>
      <c r="L58" s="21">
        <v>0</v>
      </c>
      <c r="M58" s="21">
        <v>0</v>
      </c>
      <c r="N58" s="21">
        <v>0</v>
      </c>
      <c r="O58" s="21">
        <v>0</v>
      </c>
      <c r="P58" s="21">
        <v>0</v>
      </c>
      <c r="Q58" s="21">
        <v>0</v>
      </c>
      <c r="R58" s="21">
        <v>0</v>
      </c>
      <c r="S58" s="21">
        <v>0</v>
      </c>
      <c r="T58" s="21">
        <v>0</v>
      </c>
      <c r="U58" s="21">
        <v>0</v>
      </c>
      <c r="V58" s="21">
        <v>0</v>
      </c>
      <c r="W58" s="21">
        <v>0</v>
      </c>
      <c r="X58" s="21">
        <v>0</v>
      </c>
      <c r="Y58" s="21">
        <v>0</v>
      </c>
      <c r="Z58" s="21">
        <v>0</v>
      </c>
      <c r="AA58" s="21">
        <v>0</v>
      </c>
      <c r="AB58" s="21">
        <v>0</v>
      </c>
      <c r="AC58" s="21">
        <v>0</v>
      </c>
      <c r="AD58" s="21">
        <v>0</v>
      </c>
      <c r="AE58" s="21">
        <v>0</v>
      </c>
      <c r="AF58" s="21">
        <v>0</v>
      </c>
      <c r="AG58" s="21">
        <v>0</v>
      </c>
      <c r="AH58" s="21">
        <v>0</v>
      </c>
      <c r="AI58" s="21">
        <v>0</v>
      </c>
      <c r="AJ58" s="21">
        <v>0</v>
      </c>
      <c r="AK58" s="21">
        <v>0</v>
      </c>
      <c r="AL58" s="21">
        <v>0</v>
      </c>
      <c r="AM58" s="21">
        <v>0</v>
      </c>
      <c r="AN58" s="21">
        <v>0</v>
      </c>
      <c r="AO58" s="21">
        <v>0</v>
      </c>
      <c r="AP58" s="21">
        <v>0</v>
      </c>
      <c r="AQ58" s="21">
        <v>0</v>
      </c>
      <c r="AR58" s="21">
        <v>0</v>
      </c>
      <c r="AS58" s="21">
        <v>0</v>
      </c>
      <c r="AT58" s="21">
        <v>0</v>
      </c>
      <c r="AU58" s="21">
        <v>0</v>
      </c>
    </row>
    <row r="59" spans="1:48">
      <c r="A59" s="23" t="s">
        <v>262</v>
      </c>
      <c r="B59" s="19" t="s">
        <v>266</v>
      </c>
      <c r="C59" s="19" t="s">
        <v>265</v>
      </c>
      <c r="D59" s="20">
        <f t="shared" si="0"/>
        <v>18</v>
      </c>
      <c r="E59" s="21">
        <v>1</v>
      </c>
      <c r="F59" s="21">
        <v>14</v>
      </c>
      <c r="G59" s="21">
        <v>0</v>
      </c>
      <c r="H59" s="21">
        <v>0</v>
      </c>
      <c r="I59" s="21">
        <v>0</v>
      </c>
      <c r="J59" s="21">
        <v>0</v>
      </c>
      <c r="K59" s="21">
        <v>0</v>
      </c>
      <c r="L59" s="21">
        <v>0</v>
      </c>
      <c r="M59" s="21">
        <v>0</v>
      </c>
      <c r="N59" s="21">
        <v>0</v>
      </c>
      <c r="O59" s="21">
        <v>0</v>
      </c>
      <c r="P59" s="21">
        <v>0</v>
      </c>
      <c r="Q59" s="21">
        <v>0</v>
      </c>
      <c r="R59" s="21">
        <v>0</v>
      </c>
      <c r="S59" s="21">
        <v>0</v>
      </c>
      <c r="T59" s="21">
        <v>0</v>
      </c>
      <c r="U59" s="21">
        <v>0</v>
      </c>
      <c r="V59" s="21">
        <v>1</v>
      </c>
      <c r="W59" s="21">
        <v>0</v>
      </c>
      <c r="X59" s="21">
        <v>0</v>
      </c>
      <c r="Y59" s="21">
        <v>0</v>
      </c>
      <c r="Z59" s="21">
        <v>0</v>
      </c>
      <c r="AA59" s="21">
        <v>0</v>
      </c>
      <c r="AB59" s="21">
        <v>0</v>
      </c>
      <c r="AC59" s="21">
        <v>0</v>
      </c>
      <c r="AD59" s="21">
        <v>0</v>
      </c>
      <c r="AE59" s="21">
        <v>0</v>
      </c>
      <c r="AF59" s="21">
        <v>0</v>
      </c>
      <c r="AG59" s="21">
        <v>0</v>
      </c>
      <c r="AH59" s="21">
        <v>0</v>
      </c>
      <c r="AI59" s="21">
        <v>0</v>
      </c>
      <c r="AJ59" s="21">
        <v>0</v>
      </c>
      <c r="AK59" s="21">
        <v>0</v>
      </c>
      <c r="AL59" s="21">
        <v>0</v>
      </c>
      <c r="AM59" s="21">
        <v>0</v>
      </c>
      <c r="AN59" s="21">
        <v>0</v>
      </c>
      <c r="AO59" s="21">
        <v>0</v>
      </c>
      <c r="AP59" s="21">
        <v>0</v>
      </c>
      <c r="AQ59" s="21">
        <v>2</v>
      </c>
      <c r="AR59" s="21">
        <v>0</v>
      </c>
      <c r="AS59" s="21">
        <v>0</v>
      </c>
      <c r="AT59" s="21">
        <v>0</v>
      </c>
      <c r="AU59" s="21">
        <v>0</v>
      </c>
    </row>
    <row r="60" spans="1:48">
      <c r="A60" s="23" t="s">
        <v>262</v>
      </c>
      <c r="B60" s="19" t="s">
        <v>267</v>
      </c>
      <c r="C60" s="19" t="s">
        <v>265</v>
      </c>
      <c r="D60" s="20">
        <f t="shared" si="0"/>
        <v>1</v>
      </c>
      <c r="E60" s="21">
        <v>0</v>
      </c>
      <c r="F60" s="22">
        <v>1</v>
      </c>
      <c r="G60" s="21">
        <v>0</v>
      </c>
      <c r="H60" s="21">
        <v>0</v>
      </c>
      <c r="I60" s="21">
        <v>0</v>
      </c>
      <c r="J60" s="21">
        <v>0</v>
      </c>
      <c r="K60" s="21">
        <v>0</v>
      </c>
      <c r="L60" s="21">
        <v>0</v>
      </c>
      <c r="M60" s="21">
        <v>0</v>
      </c>
      <c r="N60" s="21">
        <v>0</v>
      </c>
      <c r="O60" s="21">
        <v>0</v>
      </c>
      <c r="P60" s="21">
        <v>0</v>
      </c>
      <c r="Q60" s="21">
        <v>0</v>
      </c>
      <c r="R60" s="21">
        <v>0</v>
      </c>
      <c r="S60" s="21">
        <v>0</v>
      </c>
      <c r="T60" s="21">
        <v>0</v>
      </c>
      <c r="U60" s="21">
        <v>0</v>
      </c>
      <c r="V60" s="21">
        <v>0</v>
      </c>
      <c r="W60" s="21">
        <v>0</v>
      </c>
      <c r="X60" s="21">
        <v>0</v>
      </c>
      <c r="Y60" s="21">
        <v>0</v>
      </c>
      <c r="Z60" s="21">
        <v>0</v>
      </c>
      <c r="AA60" s="21">
        <v>0</v>
      </c>
      <c r="AB60" s="21">
        <v>0</v>
      </c>
      <c r="AC60" s="21">
        <v>0</v>
      </c>
      <c r="AD60" s="21">
        <v>0</v>
      </c>
      <c r="AE60" s="21">
        <v>0</v>
      </c>
      <c r="AF60" s="21">
        <v>0</v>
      </c>
      <c r="AG60" s="21">
        <v>0</v>
      </c>
      <c r="AH60" s="21">
        <v>0</v>
      </c>
      <c r="AI60" s="21">
        <v>0</v>
      </c>
      <c r="AJ60" s="21">
        <v>0</v>
      </c>
      <c r="AK60" s="21">
        <v>0</v>
      </c>
      <c r="AL60" s="21">
        <v>0</v>
      </c>
      <c r="AM60" s="21">
        <v>0</v>
      </c>
      <c r="AN60" s="21">
        <v>0</v>
      </c>
      <c r="AO60" s="21">
        <v>0</v>
      </c>
      <c r="AP60" s="21">
        <v>0</v>
      </c>
      <c r="AQ60" s="21">
        <v>0</v>
      </c>
      <c r="AR60" s="21">
        <v>0</v>
      </c>
      <c r="AS60" s="21">
        <v>0</v>
      </c>
      <c r="AT60" s="21">
        <v>0</v>
      </c>
      <c r="AU60" s="21">
        <v>0</v>
      </c>
    </row>
    <row r="61" spans="1:48">
      <c r="A61" s="23" t="s">
        <v>262</v>
      </c>
      <c r="B61" s="19" t="s">
        <v>268</v>
      </c>
      <c r="C61" s="19" t="s">
        <v>265</v>
      </c>
      <c r="D61" s="20">
        <f t="shared" si="0"/>
        <v>0</v>
      </c>
      <c r="E61" s="21">
        <v>0</v>
      </c>
      <c r="F61" s="21">
        <v>0</v>
      </c>
      <c r="G61" s="21">
        <v>0</v>
      </c>
      <c r="H61" s="21">
        <v>0</v>
      </c>
      <c r="I61" s="21">
        <v>0</v>
      </c>
      <c r="J61" s="21">
        <v>0</v>
      </c>
      <c r="K61" s="21">
        <v>0</v>
      </c>
      <c r="L61" s="21">
        <v>0</v>
      </c>
      <c r="M61" s="21">
        <v>0</v>
      </c>
      <c r="N61" s="21">
        <v>0</v>
      </c>
      <c r="O61" s="21">
        <v>0</v>
      </c>
      <c r="P61" s="21">
        <v>0</v>
      </c>
      <c r="Q61" s="21">
        <v>0</v>
      </c>
      <c r="R61" s="21">
        <v>0</v>
      </c>
      <c r="S61" s="21">
        <v>0</v>
      </c>
      <c r="T61" s="21">
        <v>0</v>
      </c>
      <c r="U61" s="21">
        <v>0</v>
      </c>
      <c r="V61" s="21">
        <v>0</v>
      </c>
      <c r="W61" s="21">
        <v>0</v>
      </c>
      <c r="X61" s="21">
        <v>0</v>
      </c>
      <c r="Y61" s="21">
        <v>0</v>
      </c>
      <c r="Z61" s="21">
        <v>0</v>
      </c>
      <c r="AA61" s="21">
        <v>0</v>
      </c>
      <c r="AB61" s="21">
        <v>0</v>
      </c>
      <c r="AC61" s="21">
        <v>0</v>
      </c>
      <c r="AD61" s="21">
        <v>0</v>
      </c>
      <c r="AE61" s="21">
        <v>0</v>
      </c>
      <c r="AF61" s="21">
        <v>0</v>
      </c>
      <c r="AG61" s="21">
        <v>0</v>
      </c>
      <c r="AH61" s="21">
        <v>0</v>
      </c>
      <c r="AI61" s="21">
        <v>0</v>
      </c>
      <c r="AJ61" s="21">
        <v>0</v>
      </c>
      <c r="AK61" s="21">
        <v>0</v>
      </c>
      <c r="AL61" s="21">
        <v>0</v>
      </c>
      <c r="AM61" s="21">
        <v>0</v>
      </c>
      <c r="AN61" s="21">
        <v>0</v>
      </c>
      <c r="AO61" s="21">
        <v>0</v>
      </c>
      <c r="AP61" s="21">
        <v>0</v>
      </c>
      <c r="AQ61" s="21">
        <v>0</v>
      </c>
      <c r="AR61" s="21">
        <v>0</v>
      </c>
      <c r="AS61" s="21">
        <v>0</v>
      </c>
      <c r="AT61" s="21">
        <v>0</v>
      </c>
      <c r="AU61" s="21">
        <v>0</v>
      </c>
    </row>
    <row r="62" spans="1:48">
      <c r="A62" s="23" t="s">
        <v>262</v>
      </c>
      <c r="B62" s="19" t="s">
        <v>269</v>
      </c>
      <c r="C62" s="19" t="s">
        <v>265</v>
      </c>
      <c r="D62" s="20">
        <f t="shared" si="0"/>
        <v>0</v>
      </c>
      <c r="E62" s="21">
        <v>0</v>
      </c>
      <c r="F62" s="21">
        <v>0</v>
      </c>
      <c r="G62" s="21">
        <v>0</v>
      </c>
      <c r="H62" s="21">
        <v>0</v>
      </c>
      <c r="I62" s="21">
        <v>0</v>
      </c>
      <c r="J62" s="21">
        <v>0</v>
      </c>
      <c r="K62" s="21">
        <v>0</v>
      </c>
      <c r="L62" s="21">
        <v>0</v>
      </c>
      <c r="M62" s="21">
        <v>0</v>
      </c>
      <c r="N62" s="21">
        <v>0</v>
      </c>
      <c r="O62" s="21">
        <v>0</v>
      </c>
      <c r="P62" s="21">
        <v>0</v>
      </c>
      <c r="Q62" s="21">
        <v>0</v>
      </c>
      <c r="R62" s="21">
        <v>0</v>
      </c>
      <c r="S62" s="21">
        <v>0</v>
      </c>
      <c r="T62" s="21">
        <v>0</v>
      </c>
      <c r="U62" s="21">
        <v>0</v>
      </c>
      <c r="V62" s="21">
        <v>0</v>
      </c>
      <c r="W62" s="21">
        <v>0</v>
      </c>
      <c r="X62" s="21">
        <v>0</v>
      </c>
      <c r="Y62" s="21">
        <v>0</v>
      </c>
      <c r="Z62" s="21">
        <v>0</v>
      </c>
      <c r="AA62" s="21">
        <v>0</v>
      </c>
      <c r="AB62" s="21">
        <v>0</v>
      </c>
      <c r="AC62" s="21">
        <v>0</v>
      </c>
      <c r="AD62" s="21">
        <v>0</v>
      </c>
      <c r="AE62" s="21">
        <v>0</v>
      </c>
      <c r="AF62" s="21">
        <v>0</v>
      </c>
      <c r="AG62" s="21">
        <v>0</v>
      </c>
      <c r="AH62" s="21">
        <v>0</v>
      </c>
      <c r="AI62" s="21">
        <v>0</v>
      </c>
      <c r="AJ62" s="21">
        <v>0</v>
      </c>
      <c r="AK62" s="21">
        <v>0</v>
      </c>
      <c r="AL62" s="21">
        <v>0</v>
      </c>
      <c r="AM62" s="21">
        <v>0</v>
      </c>
      <c r="AN62" s="21">
        <v>0</v>
      </c>
      <c r="AO62" s="21">
        <v>0</v>
      </c>
      <c r="AP62" s="21">
        <v>0</v>
      </c>
      <c r="AQ62" s="21">
        <v>0</v>
      </c>
      <c r="AR62" s="21">
        <v>0</v>
      </c>
      <c r="AS62" s="21">
        <v>0</v>
      </c>
      <c r="AT62" s="21">
        <v>0</v>
      </c>
      <c r="AU62" s="21">
        <v>0</v>
      </c>
    </row>
    <row r="63" spans="1:48">
      <c r="A63" s="23" t="s">
        <v>270</v>
      </c>
      <c r="B63" s="19" t="s">
        <v>271</v>
      </c>
      <c r="C63" s="19" t="s">
        <v>272</v>
      </c>
      <c r="D63" s="20">
        <f t="shared" si="0"/>
        <v>180</v>
      </c>
      <c r="E63" s="21">
        <v>0</v>
      </c>
      <c r="F63" s="22">
        <v>180</v>
      </c>
      <c r="G63" s="21">
        <v>0</v>
      </c>
      <c r="H63" s="21">
        <v>0</v>
      </c>
      <c r="I63" s="21">
        <v>0</v>
      </c>
      <c r="J63" s="21">
        <v>0</v>
      </c>
      <c r="K63" s="21">
        <v>0</v>
      </c>
      <c r="L63" s="21">
        <v>0</v>
      </c>
      <c r="M63" s="21">
        <v>0</v>
      </c>
      <c r="N63" s="21">
        <v>0</v>
      </c>
      <c r="O63" s="21">
        <v>0</v>
      </c>
      <c r="P63" s="21">
        <v>0</v>
      </c>
      <c r="Q63" s="21">
        <v>0</v>
      </c>
      <c r="R63" s="21">
        <v>0</v>
      </c>
      <c r="S63" s="21">
        <v>0</v>
      </c>
      <c r="T63" s="21">
        <v>0</v>
      </c>
      <c r="U63" s="21">
        <v>0</v>
      </c>
      <c r="V63" s="21">
        <v>0</v>
      </c>
      <c r="W63" s="21">
        <v>0</v>
      </c>
      <c r="X63" s="21">
        <v>0</v>
      </c>
      <c r="Y63" s="21">
        <v>0</v>
      </c>
      <c r="Z63" s="21">
        <v>0</v>
      </c>
      <c r="AA63" s="21">
        <v>0</v>
      </c>
      <c r="AB63" s="21">
        <v>0</v>
      </c>
      <c r="AC63" s="21">
        <v>0</v>
      </c>
      <c r="AD63" s="21">
        <v>0</v>
      </c>
      <c r="AE63" s="21">
        <v>0</v>
      </c>
      <c r="AF63" s="21">
        <v>0</v>
      </c>
      <c r="AG63" s="21">
        <v>0</v>
      </c>
      <c r="AH63" s="21">
        <v>0</v>
      </c>
      <c r="AI63" s="21">
        <v>0</v>
      </c>
      <c r="AJ63" s="21">
        <v>0</v>
      </c>
      <c r="AK63" s="21">
        <v>0</v>
      </c>
      <c r="AL63" s="21">
        <v>0</v>
      </c>
      <c r="AM63" s="21">
        <v>0</v>
      </c>
      <c r="AN63" s="21">
        <v>0</v>
      </c>
      <c r="AO63" s="21">
        <v>0</v>
      </c>
      <c r="AP63" s="21">
        <v>0</v>
      </c>
      <c r="AQ63" s="21">
        <v>0</v>
      </c>
      <c r="AR63" s="21">
        <v>0</v>
      </c>
      <c r="AS63" s="21">
        <v>0</v>
      </c>
      <c r="AT63" s="21">
        <v>0</v>
      </c>
      <c r="AU63" s="21">
        <v>0</v>
      </c>
    </row>
    <row r="64" spans="1:48">
      <c r="A64" s="23" t="s">
        <v>273</v>
      </c>
      <c r="B64" s="19" t="s">
        <v>274</v>
      </c>
      <c r="C64" s="19" t="s">
        <v>275</v>
      </c>
      <c r="D64" s="20">
        <f t="shared" si="0"/>
        <v>195</v>
      </c>
      <c r="E64" s="21">
        <v>33</v>
      </c>
      <c r="F64" s="21">
        <v>110</v>
      </c>
      <c r="G64" s="21">
        <v>16</v>
      </c>
      <c r="H64" s="21">
        <v>0</v>
      </c>
      <c r="I64" s="21">
        <v>0</v>
      </c>
      <c r="J64" s="21">
        <v>0</v>
      </c>
      <c r="K64" s="21">
        <v>0</v>
      </c>
      <c r="L64" s="21">
        <v>25</v>
      </c>
      <c r="M64" s="21">
        <v>0</v>
      </c>
      <c r="N64" s="21">
        <v>0</v>
      </c>
      <c r="O64" s="21">
        <v>0</v>
      </c>
      <c r="P64" s="21">
        <v>0</v>
      </c>
      <c r="Q64" s="21">
        <v>0</v>
      </c>
      <c r="R64" s="21">
        <v>0</v>
      </c>
      <c r="S64" s="21">
        <v>0</v>
      </c>
      <c r="T64" s="21">
        <v>0</v>
      </c>
      <c r="U64" s="21">
        <v>0</v>
      </c>
      <c r="V64" s="21">
        <v>0</v>
      </c>
      <c r="W64" s="21">
        <v>11</v>
      </c>
      <c r="X64" s="21">
        <v>0</v>
      </c>
      <c r="Y64" s="21">
        <v>0</v>
      </c>
      <c r="Z64" s="21">
        <v>0</v>
      </c>
      <c r="AA64" s="21">
        <v>0</v>
      </c>
      <c r="AB64" s="21">
        <v>0</v>
      </c>
      <c r="AC64" s="21">
        <v>0</v>
      </c>
      <c r="AD64" s="21">
        <v>0</v>
      </c>
      <c r="AE64" s="21">
        <v>0</v>
      </c>
      <c r="AF64" s="21">
        <v>0</v>
      </c>
      <c r="AG64" s="21">
        <v>0</v>
      </c>
      <c r="AH64" s="21">
        <v>0</v>
      </c>
      <c r="AI64" s="21">
        <v>0</v>
      </c>
      <c r="AJ64" s="21">
        <v>0</v>
      </c>
      <c r="AK64" s="21">
        <v>0</v>
      </c>
      <c r="AL64" s="21">
        <v>0</v>
      </c>
      <c r="AM64" s="21">
        <v>0</v>
      </c>
      <c r="AN64" s="21">
        <v>0</v>
      </c>
      <c r="AO64" s="21">
        <v>0</v>
      </c>
      <c r="AP64" s="21">
        <v>0</v>
      </c>
      <c r="AQ64" s="21">
        <v>0</v>
      </c>
      <c r="AR64" s="21">
        <v>0</v>
      </c>
      <c r="AS64" s="21">
        <v>0</v>
      </c>
      <c r="AT64" s="21">
        <v>0</v>
      </c>
      <c r="AU64" s="21">
        <v>0</v>
      </c>
    </row>
    <row r="65" spans="1:48">
      <c r="A65" s="23" t="s">
        <v>273</v>
      </c>
      <c r="B65" s="19" t="s">
        <v>276</v>
      </c>
      <c r="C65" s="19" t="s">
        <v>196</v>
      </c>
      <c r="D65" s="20">
        <f t="shared" si="0"/>
        <v>72269</v>
      </c>
      <c r="E65" s="22">
        <v>4072</v>
      </c>
      <c r="F65" s="22">
        <v>40000</v>
      </c>
      <c r="G65" s="22">
        <v>1386</v>
      </c>
      <c r="H65" s="22">
        <v>320</v>
      </c>
      <c r="I65" s="22">
        <v>274</v>
      </c>
      <c r="J65" s="22">
        <v>390</v>
      </c>
      <c r="K65" s="22">
        <v>1286</v>
      </c>
      <c r="L65" s="22">
        <v>1604</v>
      </c>
      <c r="M65" s="22">
        <v>272</v>
      </c>
      <c r="N65" s="22">
        <v>321</v>
      </c>
      <c r="O65" s="22">
        <v>241</v>
      </c>
      <c r="P65" s="22"/>
      <c r="Q65" s="22">
        <v>167</v>
      </c>
      <c r="R65" s="22">
        <v>390</v>
      </c>
      <c r="S65" s="22">
        <v>304</v>
      </c>
      <c r="T65" s="22">
        <v>288</v>
      </c>
      <c r="U65" s="22">
        <v>170</v>
      </c>
      <c r="V65" s="22">
        <v>2901</v>
      </c>
      <c r="W65" s="22">
        <v>423</v>
      </c>
      <c r="X65" s="22">
        <v>567</v>
      </c>
      <c r="Y65" s="22">
        <v>663</v>
      </c>
      <c r="Z65" s="22">
        <v>670</v>
      </c>
      <c r="AA65" s="22">
        <v>1298</v>
      </c>
      <c r="AB65" s="22">
        <v>141</v>
      </c>
      <c r="AC65" s="22">
        <v>674</v>
      </c>
      <c r="AD65" s="22"/>
      <c r="AE65" s="22">
        <v>298</v>
      </c>
      <c r="AF65" s="22">
        <v>249</v>
      </c>
      <c r="AG65" s="22">
        <v>152</v>
      </c>
      <c r="AH65" s="22">
        <v>1232</v>
      </c>
      <c r="AI65" s="22">
        <v>365</v>
      </c>
      <c r="AJ65" s="22">
        <v>207</v>
      </c>
      <c r="AK65" s="22">
        <v>1092</v>
      </c>
      <c r="AL65" s="22">
        <v>523</v>
      </c>
      <c r="AM65" s="22">
        <v>59</v>
      </c>
      <c r="AN65" s="22">
        <v>393</v>
      </c>
      <c r="AO65" s="22">
        <v>215</v>
      </c>
      <c r="AP65" s="22">
        <v>246</v>
      </c>
      <c r="AQ65" s="22">
        <v>4250</v>
      </c>
      <c r="AR65" s="22">
        <v>2287</v>
      </c>
      <c r="AS65" s="22">
        <v>1010</v>
      </c>
      <c r="AT65" s="22">
        <v>219</v>
      </c>
      <c r="AU65" s="22">
        <v>650</v>
      </c>
    </row>
    <row r="66" spans="1:48">
      <c r="A66" s="23" t="s">
        <v>277</v>
      </c>
      <c r="B66" s="19" t="s">
        <v>278</v>
      </c>
      <c r="C66" s="19" t="s">
        <v>279</v>
      </c>
      <c r="D66" s="20">
        <f t="shared" si="0"/>
        <v>6</v>
      </c>
      <c r="E66" s="22">
        <v>1</v>
      </c>
      <c r="F66" s="22">
        <v>2</v>
      </c>
      <c r="G66" s="22">
        <v>1</v>
      </c>
      <c r="H66" s="21">
        <v>0</v>
      </c>
      <c r="I66" s="21">
        <v>0</v>
      </c>
      <c r="J66" s="21">
        <v>0</v>
      </c>
      <c r="K66" s="22">
        <v>1</v>
      </c>
      <c r="L66" s="22">
        <v>1</v>
      </c>
      <c r="M66" s="21">
        <v>0</v>
      </c>
      <c r="N66" s="21">
        <v>0</v>
      </c>
      <c r="O66" s="21">
        <v>0</v>
      </c>
      <c r="P66" s="21">
        <v>0</v>
      </c>
      <c r="Q66" s="21">
        <v>0</v>
      </c>
      <c r="R66" s="21">
        <v>0</v>
      </c>
      <c r="S66" s="21">
        <v>0</v>
      </c>
      <c r="T66" s="21">
        <v>0</v>
      </c>
      <c r="U66" s="21">
        <v>0</v>
      </c>
      <c r="V66" s="21">
        <v>0</v>
      </c>
      <c r="W66" s="21">
        <v>0</v>
      </c>
      <c r="X66" s="21">
        <v>0</v>
      </c>
      <c r="Y66" s="21">
        <v>0</v>
      </c>
      <c r="Z66" s="21">
        <v>0</v>
      </c>
      <c r="AA66" s="21">
        <v>0</v>
      </c>
      <c r="AB66" s="21">
        <v>0</v>
      </c>
      <c r="AC66" s="21">
        <v>0</v>
      </c>
      <c r="AD66" s="21">
        <v>0</v>
      </c>
      <c r="AE66" s="21">
        <v>0</v>
      </c>
      <c r="AF66" s="21">
        <v>0</v>
      </c>
      <c r="AG66" s="21">
        <v>0</v>
      </c>
      <c r="AH66" s="21">
        <v>0</v>
      </c>
      <c r="AI66" s="21">
        <v>0</v>
      </c>
      <c r="AJ66" s="21">
        <v>0</v>
      </c>
      <c r="AK66" s="21">
        <v>0</v>
      </c>
      <c r="AL66" s="21">
        <v>0</v>
      </c>
      <c r="AM66" s="21">
        <v>0</v>
      </c>
      <c r="AN66" s="21">
        <v>0</v>
      </c>
      <c r="AO66" s="21">
        <v>0</v>
      </c>
      <c r="AP66" s="21">
        <v>0</v>
      </c>
      <c r="AQ66" s="21">
        <v>0</v>
      </c>
      <c r="AR66" s="21">
        <v>0</v>
      </c>
      <c r="AS66" s="21">
        <v>0</v>
      </c>
      <c r="AT66" s="21">
        <v>0</v>
      </c>
      <c r="AU66" s="21">
        <v>0</v>
      </c>
    </row>
    <row r="67" spans="1:48">
      <c r="A67" s="23" t="s">
        <v>280</v>
      </c>
      <c r="B67" s="19" t="s">
        <v>281</v>
      </c>
      <c r="C67" s="19" t="s">
        <v>282</v>
      </c>
      <c r="D67" s="20">
        <f t="shared" si="0"/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79"/>
    </row>
    <row r="68" spans="1:48">
      <c r="A68" s="23" t="s">
        <v>283</v>
      </c>
      <c r="B68" s="19" t="s">
        <v>284</v>
      </c>
      <c r="C68" s="19" t="s">
        <v>285</v>
      </c>
      <c r="D68" s="20">
        <f t="shared" si="0"/>
        <v>0</v>
      </c>
      <c r="E68" s="21">
        <v>0</v>
      </c>
      <c r="F68" s="21">
        <v>0</v>
      </c>
      <c r="G68" s="21">
        <v>0</v>
      </c>
      <c r="H68" s="21">
        <v>0</v>
      </c>
      <c r="I68" s="21">
        <v>0</v>
      </c>
      <c r="J68" s="21">
        <v>0</v>
      </c>
      <c r="K68" s="21">
        <v>0</v>
      </c>
      <c r="L68" s="21">
        <v>0</v>
      </c>
      <c r="M68" s="21">
        <v>0</v>
      </c>
      <c r="N68" s="21">
        <v>0</v>
      </c>
      <c r="O68" s="21">
        <v>0</v>
      </c>
      <c r="P68" s="21">
        <v>0</v>
      </c>
      <c r="Q68" s="21">
        <v>0</v>
      </c>
      <c r="R68" s="21">
        <v>0</v>
      </c>
      <c r="S68" s="21">
        <v>0</v>
      </c>
      <c r="T68" s="21">
        <v>0</v>
      </c>
      <c r="U68" s="21">
        <v>0</v>
      </c>
      <c r="V68" s="21">
        <v>0</v>
      </c>
      <c r="W68" s="21">
        <v>0</v>
      </c>
      <c r="X68" s="21">
        <v>0</v>
      </c>
      <c r="Y68" s="21">
        <v>0</v>
      </c>
      <c r="Z68" s="21">
        <v>0</v>
      </c>
      <c r="AA68" s="21">
        <v>0</v>
      </c>
      <c r="AB68" s="21">
        <v>0</v>
      </c>
      <c r="AC68" s="21">
        <v>0</v>
      </c>
      <c r="AD68" s="21">
        <v>0</v>
      </c>
      <c r="AE68" s="21">
        <v>0</v>
      </c>
      <c r="AF68" s="21">
        <v>0</v>
      </c>
      <c r="AG68" s="21">
        <v>0</v>
      </c>
      <c r="AH68" s="21">
        <v>0</v>
      </c>
      <c r="AI68" s="21">
        <v>0</v>
      </c>
      <c r="AJ68" s="21">
        <v>0</v>
      </c>
      <c r="AK68" s="21">
        <v>0</v>
      </c>
      <c r="AL68" s="21">
        <v>0</v>
      </c>
      <c r="AM68" s="21">
        <v>0</v>
      </c>
      <c r="AN68" s="21">
        <v>0</v>
      </c>
      <c r="AO68" s="21">
        <v>0</v>
      </c>
      <c r="AP68" s="21">
        <v>0</v>
      </c>
      <c r="AQ68" s="21">
        <v>0</v>
      </c>
      <c r="AR68" s="21">
        <v>0</v>
      </c>
      <c r="AS68" s="21">
        <v>0</v>
      </c>
      <c r="AT68" s="21">
        <v>0</v>
      </c>
      <c r="AU68" s="21">
        <v>0</v>
      </c>
    </row>
    <row r="69" spans="1:48">
      <c r="A69" s="23"/>
      <c r="B69" s="19" t="s">
        <v>286</v>
      </c>
      <c r="C69" s="19" t="s">
        <v>287</v>
      </c>
      <c r="D69" s="20">
        <f t="shared" si="0"/>
        <v>0</v>
      </c>
      <c r="E69" s="21">
        <v>0</v>
      </c>
      <c r="F69" s="21">
        <v>0</v>
      </c>
      <c r="G69" s="21">
        <v>0</v>
      </c>
      <c r="H69" s="21">
        <v>0</v>
      </c>
      <c r="I69" s="21">
        <v>0</v>
      </c>
      <c r="J69" s="21">
        <v>0</v>
      </c>
      <c r="K69" s="21">
        <v>0</v>
      </c>
      <c r="L69" s="21">
        <v>0</v>
      </c>
      <c r="M69" s="21">
        <v>0</v>
      </c>
      <c r="N69" s="21">
        <v>0</v>
      </c>
      <c r="O69" s="21">
        <v>0</v>
      </c>
      <c r="P69" s="21">
        <v>0</v>
      </c>
      <c r="Q69" s="21">
        <v>0</v>
      </c>
      <c r="R69" s="21">
        <v>0</v>
      </c>
      <c r="S69" s="21">
        <v>0</v>
      </c>
      <c r="T69" s="21">
        <v>0</v>
      </c>
      <c r="U69" s="21">
        <v>0</v>
      </c>
      <c r="V69" s="21">
        <v>0</v>
      </c>
      <c r="W69" s="21">
        <v>0</v>
      </c>
      <c r="X69" s="21">
        <v>0</v>
      </c>
      <c r="Y69" s="21">
        <v>0</v>
      </c>
      <c r="Z69" s="21">
        <v>0</v>
      </c>
      <c r="AA69" s="21">
        <v>0</v>
      </c>
      <c r="AB69" s="21">
        <v>0</v>
      </c>
      <c r="AC69" s="21">
        <v>0</v>
      </c>
      <c r="AD69" s="21">
        <v>0</v>
      </c>
      <c r="AE69" s="21">
        <v>0</v>
      </c>
      <c r="AF69" s="21">
        <v>0</v>
      </c>
      <c r="AG69" s="21">
        <v>0</v>
      </c>
      <c r="AH69" s="21">
        <v>0</v>
      </c>
      <c r="AI69" s="21">
        <v>0</v>
      </c>
      <c r="AJ69" s="21">
        <v>0</v>
      </c>
      <c r="AK69" s="21">
        <v>0</v>
      </c>
      <c r="AL69" s="21">
        <v>0</v>
      </c>
      <c r="AM69" s="21">
        <v>0</v>
      </c>
      <c r="AN69" s="21">
        <v>0</v>
      </c>
      <c r="AO69" s="21">
        <v>0</v>
      </c>
      <c r="AP69" s="21">
        <v>0</v>
      </c>
      <c r="AQ69" s="21">
        <v>0</v>
      </c>
      <c r="AR69" s="21">
        <v>0</v>
      </c>
      <c r="AS69" s="21">
        <v>0</v>
      </c>
      <c r="AT69" s="21">
        <v>0</v>
      </c>
      <c r="AU69" s="21">
        <v>0</v>
      </c>
      <c r="AV69" s="79"/>
    </row>
    <row r="70" spans="1:48" ht="32.1">
      <c r="A70" s="23"/>
      <c r="B70" s="19" t="s">
        <v>288</v>
      </c>
      <c r="C70" s="19" t="s">
        <v>227</v>
      </c>
      <c r="D70" s="20">
        <f t="shared" si="0"/>
        <v>2</v>
      </c>
      <c r="E70" s="21">
        <v>0</v>
      </c>
      <c r="F70" s="22">
        <v>2</v>
      </c>
      <c r="G70" s="21">
        <v>0</v>
      </c>
      <c r="H70" s="21">
        <v>0</v>
      </c>
      <c r="I70" s="21">
        <v>0</v>
      </c>
      <c r="J70" s="21">
        <v>0</v>
      </c>
      <c r="K70" s="21">
        <v>0</v>
      </c>
      <c r="L70" s="21">
        <v>0</v>
      </c>
      <c r="M70" s="21">
        <v>0</v>
      </c>
      <c r="N70" s="21">
        <v>0</v>
      </c>
      <c r="O70" s="21">
        <v>0</v>
      </c>
      <c r="P70" s="21">
        <v>0</v>
      </c>
      <c r="Q70" s="21">
        <v>0</v>
      </c>
      <c r="R70" s="21">
        <v>0</v>
      </c>
      <c r="S70" s="21">
        <v>0</v>
      </c>
      <c r="T70" s="21">
        <v>0</v>
      </c>
      <c r="U70" s="21">
        <v>0</v>
      </c>
      <c r="V70" s="21">
        <v>0</v>
      </c>
      <c r="W70" s="21">
        <v>0</v>
      </c>
      <c r="X70" s="21">
        <v>0</v>
      </c>
      <c r="Y70" s="21">
        <v>0</v>
      </c>
      <c r="Z70" s="21">
        <v>0</v>
      </c>
      <c r="AA70" s="21">
        <v>0</v>
      </c>
      <c r="AB70" s="21">
        <v>0</v>
      </c>
      <c r="AC70" s="21">
        <v>0</v>
      </c>
      <c r="AD70" s="21">
        <v>0</v>
      </c>
      <c r="AE70" s="21">
        <v>0</v>
      </c>
      <c r="AF70" s="21">
        <v>0</v>
      </c>
      <c r="AG70" s="21">
        <v>0</v>
      </c>
      <c r="AH70" s="21">
        <v>0</v>
      </c>
      <c r="AI70" s="21">
        <v>0</v>
      </c>
      <c r="AJ70" s="21">
        <v>0</v>
      </c>
      <c r="AK70" s="21">
        <v>0</v>
      </c>
      <c r="AL70" s="21">
        <v>0</v>
      </c>
      <c r="AM70" s="21">
        <v>0</v>
      </c>
      <c r="AN70" s="21">
        <v>0</v>
      </c>
      <c r="AO70" s="21">
        <v>0</v>
      </c>
      <c r="AP70" s="21">
        <v>0</v>
      </c>
      <c r="AQ70" s="21">
        <v>0</v>
      </c>
      <c r="AR70" s="21">
        <v>0</v>
      </c>
      <c r="AS70" s="21">
        <v>0</v>
      </c>
      <c r="AT70" s="21">
        <v>0</v>
      </c>
      <c r="AU70" s="21">
        <v>0</v>
      </c>
      <c r="AV70" s="79"/>
    </row>
    <row r="71" spans="1:48">
      <c r="A71" s="23" t="s">
        <v>289</v>
      </c>
      <c r="B71" s="19" t="s">
        <v>290</v>
      </c>
      <c r="C71" s="27" t="s">
        <v>248</v>
      </c>
      <c r="D71" s="20">
        <f t="shared" si="0"/>
        <v>10</v>
      </c>
      <c r="E71" s="100">
        <v>10</v>
      </c>
      <c r="F71" s="101"/>
      <c r="G71" s="101"/>
      <c r="H71" s="101"/>
      <c r="I71" s="101"/>
      <c r="J71" s="101"/>
      <c r="K71" s="101"/>
      <c r="L71" s="101"/>
      <c r="M71" s="101"/>
      <c r="N71" s="101"/>
      <c r="O71" s="101"/>
      <c r="P71" s="101"/>
      <c r="Q71" s="101"/>
      <c r="R71" s="101"/>
      <c r="S71" s="101"/>
      <c r="T71" s="101"/>
      <c r="U71" s="101"/>
      <c r="V71" s="101"/>
      <c r="W71" s="101"/>
      <c r="X71" s="101"/>
      <c r="Y71" s="101"/>
      <c r="Z71" s="101"/>
      <c r="AA71" s="101"/>
      <c r="AB71" s="101"/>
      <c r="AC71" s="101"/>
      <c r="AD71" s="101"/>
      <c r="AE71" s="101"/>
      <c r="AF71" s="101"/>
      <c r="AG71" s="101"/>
      <c r="AH71" s="101"/>
      <c r="AI71" s="101"/>
      <c r="AJ71" s="101"/>
      <c r="AK71" s="101"/>
      <c r="AL71" s="101"/>
      <c r="AM71" s="101"/>
      <c r="AN71" s="101"/>
      <c r="AO71" s="101"/>
      <c r="AP71" s="101"/>
      <c r="AQ71" s="101"/>
      <c r="AR71" s="101"/>
      <c r="AS71" s="101"/>
      <c r="AT71" s="101"/>
      <c r="AU71" s="102"/>
      <c r="AV71" s="79"/>
    </row>
    <row r="72" spans="1:48">
      <c r="A72" s="23" t="s">
        <v>289</v>
      </c>
      <c r="B72" s="19" t="s">
        <v>291</v>
      </c>
      <c r="C72" s="27" t="s">
        <v>248</v>
      </c>
      <c r="D72" s="20">
        <f t="shared" si="0"/>
        <v>10</v>
      </c>
      <c r="E72" s="100">
        <v>10</v>
      </c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1"/>
      <c r="AJ72" s="101"/>
      <c r="AK72" s="101"/>
      <c r="AL72" s="101"/>
      <c r="AM72" s="101"/>
      <c r="AN72" s="101"/>
      <c r="AO72" s="101"/>
      <c r="AP72" s="101"/>
      <c r="AQ72" s="101"/>
      <c r="AR72" s="101"/>
      <c r="AS72" s="101"/>
      <c r="AT72" s="101"/>
      <c r="AU72" s="102"/>
      <c r="AV72" s="79"/>
    </row>
    <row r="73" spans="1:48">
      <c r="A73" s="26" t="s">
        <v>292</v>
      </c>
      <c r="B73" s="27" t="s">
        <v>293</v>
      </c>
      <c r="C73" s="27" t="s">
        <v>294</v>
      </c>
      <c r="D73" s="20">
        <f t="shared" si="0"/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79"/>
    </row>
    <row r="74" spans="1:48">
      <c r="A74" s="26" t="s">
        <v>295</v>
      </c>
      <c r="B74" s="27" t="s">
        <v>296</v>
      </c>
      <c r="C74" s="27" t="s">
        <v>297</v>
      </c>
      <c r="D74" s="20">
        <f t="shared" si="0"/>
        <v>0</v>
      </c>
      <c r="E74" s="21">
        <v>0</v>
      </c>
      <c r="F74" s="21">
        <v>0</v>
      </c>
      <c r="G74" s="21">
        <v>0</v>
      </c>
      <c r="H74" s="21">
        <v>0</v>
      </c>
      <c r="I74" s="21">
        <v>0</v>
      </c>
      <c r="J74" s="21">
        <v>0</v>
      </c>
      <c r="K74" s="21">
        <v>0</v>
      </c>
      <c r="L74" s="21">
        <v>0</v>
      </c>
      <c r="M74" s="21">
        <v>0</v>
      </c>
      <c r="N74" s="21">
        <v>0</v>
      </c>
      <c r="O74" s="21">
        <v>0</v>
      </c>
      <c r="P74" s="21">
        <v>0</v>
      </c>
      <c r="Q74" s="21">
        <v>0</v>
      </c>
      <c r="R74" s="21">
        <v>0</v>
      </c>
      <c r="S74" s="21">
        <v>0</v>
      </c>
      <c r="T74" s="21">
        <v>0</v>
      </c>
      <c r="U74" s="21">
        <v>0</v>
      </c>
      <c r="V74" s="21">
        <v>0</v>
      </c>
      <c r="W74" s="21">
        <v>0</v>
      </c>
      <c r="X74" s="21">
        <v>0</v>
      </c>
      <c r="Y74" s="21">
        <v>0</v>
      </c>
      <c r="Z74" s="21">
        <v>0</v>
      </c>
      <c r="AA74" s="21">
        <v>0</v>
      </c>
      <c r="AB74" s="21">
        <v>0</v>
      </c>
      <c r="AC74" s="21">
        <v>0</v>
      </c>
      <c r="AD74" s="21">
        <v>0</v>
      </c>
      <c r="AE74" s="21">
        <v>0</v>
      </c>
      <c r="AF74" s="21">
        <v>0</v>
      </c>
      <c r="AG74" s="21">
        <v>0</v>
      </c>
      <c r="AH74" s="21">
        <v>0</v>
      </c>
      <c r="AI74" s="21">
        <v>0</v>
      </c>
      <c r="AJ74" s="21">
        <v>0</v>
      </c>
      <c r="AK74" s="21">
        <v>0</v>
      </c>
      <c r="AL74" s="21">
        <v>0</v>
      </c>
      <c r="AM74" s="21">
        <v>0</v>
      </c>
      <c r="AN74" s="21">
        <v>0</v>
      </c>
      <c r="AO74" s="21">
        <v>0</v>
      </c>
      <c r="AP74" s="21">
        <v>0</v>
      </c>
      <c r="AQ74" s="21">
        <v>0</v>
      </c>
      <c r="AR74" s="21">
        <v>0</v>
      </c>
      <c r="AS74" s="21">
        <v>0</v>
      </c>
      <c r="AT74" s="21">
        <v>0</v>
      </c>
      <c r="AU74" s="21">
        <v>0</v>
      </c>
    </row>
    <row r="75" spans="1:48">
      <c r="A75" s="24" t="s">
        <v>298</v>
      </c>
      <c r="B75" s="25"/>
      <c r="C75" s="25"/>
      <c r="D75" s="16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  <c r="AQ75" s="28"/>
      <c r="AR75" s="28"/>
      <c r="AS75" s="28"/>
      <c r="AT75" s="28"/>
      <c r="AU75" s="28"/>
    </row>
    <row r="76" spans="1:48">
      <c r="A76" s="23" t="s">
        <v>299</v>
      </c>
      <c r="B76" s="19" t="s">
        <v>300</v>
      </c>
      <c r="C76" s="19" t="s">
        <v>301</v>
      </c>
      <c r="D76" s="20">
        <f t="shared" si="0"/>
        <v>5</v>
      </c>
      <c r="E76" s="22">
        <v>1</v>
      </c>
      <c r="F76" s="22">
        <v>1</v>
      </c>
      <c r="G76" s="22">
        <v>1</v>
      </c>
      <c r="H76" s="21">
        <v>0</v>
      </c>
      <c r="I76" s="21">
        <v>0</v>
      </c>
      <c r="J76" s="21">
        <v>0</v>
      </c>
      <c r="K76" s="21">
        <v>0</v>
      </c>
      <c r="L76" s="21">
        <v>0</v>
      </c>
      <c r="M76" s="21">
        <v>0</v>
      </c>
      <c r="N76" s="21">
        <v>0</v>
      </c>
      <c r="O76" s="21">
        <v>0</v>
      </c>
      <c r="P76" s="21">
        <v>0</v>
      </c>
      <c r="Q76" s="21">
        <v>0</v>
      </c>
      <c r="R76" s="21">
        <v>0</v>
      </c>
      <c r="S76" s="21">
        <v>0</v>
      </c>
      <c r="T76" s="21">
        <v>0</v>
      </c>
      <c r="U76" s="21">
        <v>0</v>
      </c>
      <c r="V76" s="21">
        <v>0</v>
      </c>
      <c r="W76" s="21">
        <v>0</v>
      </c>
      <c r="X76" s="21">
        <v>0</v>
      </c>
      <c r="Y76" s="21">
        <v>0</v>
      </c>
      <c r="Z76" s="21">
        <v>0</v>
      </c>
      <c r="AA76" s="21">
        <v>0</v>
      </c>
      <c r="AB76" s="21">
        <v>0</v>
      </c>
      <c r="AC76" s="21">
        <v>0</v>
      </c>
      <c r="AD76" s="21">
        <v>0</v>
      </c>
      <c r="AE76" s="21">
        <v>0</v>
      </c>
      <c r="AF76" s="21">
        <v>0</v>
      </c>
      <c r="AG76" s="21">
        <v>0</v>
      </c>
      <c r="AH76" s="21">
        <v>0</v>
      </c>
      <c r="AI76" s="21">
        <v>0</v>
      </c>
      <c r="AJ76" s="21">
        <v>0</v>
      </c>
      <c r="AK76" s="22">
        <v>1</v>
      </c>
      <c r="AL76" s="21">
        <v>0</v>
      </c>
      <c r="AM76" s="21">
        <v>0</v>
      </c>
      <c r="AN76" s="21">
        <v>0</v>
      </c>
      <c r="AO76" s="21">
        <v>0</v>
      </c>
      <c r="AP76" s="21">
        <v>0</v>
      </c>
      <c r="AQ76" s="22">
        <v>1</v>
      </c>
      <c r="AR76" s="21">
        <v>0</v>
      </c>
      <c r="AS76" s="21">
        <v>0</v>
      </c>
      <c r="AT76" s="21">
        <v>0</v>
      </c>
      <c r="AU76" s="21">
        <v>0</v>
      </c>
    </row>
    <row r="77" spans="1:48">
      <c r="A77" s="23" t="s">
        <v>302</v>
      </c>
      <c r="B77" s="19" t="s">
        <v>303</v>
      </c>
      <c r="C77" s="19" t="s">
        <v>304</v>
      </c>
      <c r="D77" s="20">
        <f t="shared" ref="D77:D87" si="1">SUM(E77:AU77)</f>
        <v>2</v>
      </c>
      <c r="E77" s="21">
        <v>0</v>
      </c>
      <c r="F77" s="22">
        <v>2</v>
      </c>
      <c r="G77" s="21">
        <v>0</v>
      </c>
      <c r="H77" s="21">
        <v>0</v>
      </c>
      <c r="I77" s="21">
        <v>0</v>
      </c>
      <c r="J77" s="21">
        <v>0</v>
      </c>
      <c r="K77" s="21">
        <v>0</v>
      </c>
      <c r="L77" s="21">
        <v>0</v>
      </c>
      <c r="M77" s="21">
        <v>0</v>
      </c>
      <c r="N77" s="21">
        <v>0</v>
      </c>
      <c r="O77" s="21">
        <v>0</v>
      </c>
      <c r="P77" s="21">
        <v>0</v>
      </c>
      <c r="Q77" s="21">
        <v>0</v>
      </c>
      <c r="R77" s="21">
        <v>0</v>
      </c>
      <c r="S77" s="21">
        <v>0</v>
      </c>
      <c r="T77" s="21">
        <v>0</v>
      </c>
      <c r="U77" s="21">
        <v>0</v>
      </c>
      <c r="V77" s="21">
        <v>0</v>
      </c>
      <c r="W77" s="21">
        <v>0</v>
      </c>
      <c r="X77" s="21">
        <v>0</v>
      </c>
      <c r="Y77" s="21">
        <v>0</v>
      </c>
      <c r="Z77" s="21">
        <v>0</v>
      </c>
      <c r="AA77" s="21">
        <v>0</v>
      </c>
      <c r="AB77" s="21">
        <v>0</v>
      </c>
      <c r="AC77" s="21">
        <v>0</v>
      </c>
      <c r="AD77" s="21">
        <v>0</v>
      </c>
      <c r="AE77" s="21">
        <v>0</v>
      </c>
      <c r="AF77" s="21">
        <v>0</v>
      </c>
      <c r="AG77" s="21">
        <v>0</v>
      </c>
      <c r="AH77" s="21">
        <v>0</v>
      </c>
      <c r="AI77" s="21">
        <v>0</v>
      </c>
      <c r="AJ77" s="21">
        <v>0</v>
      </c>
      <c r="AK77" s="21">
        <v>0</v>
      </c>
      <c r="AL77" s="21">
        <v>0</v>
      </c>
      <c r="AM77" s="21">
        <v>0</v>
      </c>
      <c r="AN77" s="21">
        <v>0</v>
      </c>
      <c r="AO77" s="21">
        <v>0</v>
      </c>
      <c r="AP77" s="21">
        <v>0</v>
      </c>
      <c r="AQ77" s="21">
        <v>0</v>
      </c>
      <c r="AR77" s="21">
        <v>0</v>
      </c>
      <c r="AS77" s="21">
        <v>0</v>
      </c>
      <c r="AT77" s="21">
        <v>0</v>
      </c>
      <c r="AU77" s="21">
        <v>0</v>
      </c>
      <c r="AV77" s="79"/>
    </row>
    <row r="78" spans="1:48">
      <c r="A78" s="23" t="s">
        <v>305</v>
      </c>
      <c r="B78" s="19" t="s">
        <v>306</v>
      </c>
      <c r="C78" s="19" t="s">
        <v>307</v>
      </c>
      <c r="D78" s="20">
        <f t="shared" si="1"/>
        <v>5</v>
      </c>
      <c r="E78" s="22">
        <v>1</v>
      </c>
      <c r="F78" s="22">
        <v>4</v>
      </c>
      <c r="G78" s="21">
        <v>0</v>
      </c>
      <c r="H78" s="21">
        <v>0</v>
      </c>
      <c r="I78" s="21">
        <v>0</v>
      </c>
      <c r="J78" s="21">
        <v>0</v>
      </c>
      <c r="K78" s="21">
        <v>0</v>
      </c>
      <c r="L78" s="21">
        <v>0</v>
      </c>
      <c r="M78" s="21">
        <v>0</v>
      </c>
      <c r="N78" s="21">
        <v>0</v>
      </c>
      <c r="O78" s="21">
        <v>0</v>
      </c>
      <c r="P78" s="21">
        <v>0</v>
      </c>
      <c r="Q78" s="21">
        <v>0</v>
      </c>
      <c r="R78" s="21">
        <v>0</v>
      </c>
      <c r="S78" s="21">
        <v>0</v>
      </c>
      <c r="T78" s="21">
        <v>0</v>
      </c>
      <c r="U78" s="21">
        <v>0</v>
      </c>
      <c r="V78" s="21">
        <v>0</v>
      </c>
      <c r="W78" s="21">
        <v>0</v>
      </c>
      <c r="X78" s="21">
        <v>0</v>
      </c>
      <c r="Y78" s="21">
        <v>0</v>
      </c>
      <c r="Z78" s="21">
        <v>0</v>
      </c>
      <c r="AA78" s="21">
        <v>0</v>
      </c>
      <c r="AB78" s="21">
        <v>0</v>
      </c>
      <c r="AC78" s="21">
        <v>0</v>
      </c>
      <c r="AD78" s="21">
        <v>0</v>
      </c>
      <c r="AE78" s="21">
        <v>0</v>
      </c>
      <c r="AF78" s="21">
        <v>0</v>
      </c>
      <c r="AG78" s="21">
        <v>0</v>
      </c>
      <c r="AH78" s="21">
        <v>0</v>
      </c>
      <c r="AI78" s="21">
        <v>0</v>
      </c>
      <c r="AJ78" s="21">
        <v>0</v>
      </c>
      <c r="AK78" s="21">
        <v>0</v>
      </c>
      <c r="AL78" s="21">
        <v>0</v>
      </c>
      <c r="AM78" s="21">
        <v>0</v>
      </c>
      <c r="AN78" s="21">
        <v>0</v>
      </c>
      <c r="AO78" s="21">
        <v>0</v>
      </c>
      <c r="AP78" s="21">
        <v>0</v>
      </c>
      <c r="AQ78" s="21">
        <v>0</v>
      </c>
      <c r="AR78" s="21">
        <v>0</v>
      </c>
      <c r="AS78" s="21">
        <v>0</v>
      </c>
      <c r="AT78" s="21">
        <v>0</v>
      </c>
      <c r="AU78" s="21">
        <v>0</v>
      </c>
    </row>
    <row r="79" spans="1:48">
      <c r="A79" s="23" t="s">
        <v>305</v>
      </c>
      <c r="B79" s="19" t="s">
        <v>308</v>
      </c>
      <c r="C79" s="19" t="s">
        <v>309</v>
      </c>
      <c r="D79" s="20">
        <f t="shared" si="1"/>
        <v>1</v>
      </c>
      <c r="E79" s="21">
        <v>0</v>
      </c>
      <c r="F79" s="22">
        <v>1</v>
      </c>
      <c r="G79" s="21">
        <v>0</v>
      </c>
      <c r="H79" s="21">
        <v>0</v>
      </c>
      <c r="I79" s="21">
        <v>0</v>
      </c>
      <c r="J79" s="21">
        <v>0</v>
      </c>
      <c r="K79" s="21">
        <v>0</v>
      </c>
      <c r="L79" s="21">
        <v>0</v>
      </c>
      <c r="M79" s="21">
        <v>0</v>
      </c>
      <c r="N79" s="21">
        <v>0</v>
      </c>
      <c r="O79" s="21">
        <v>0</v>
      </c>
      <c r="P79" s="21">
        <v>0</v>
      </c>
      <c r="Q79" s="21">
        <v>0</v>
      </c>
      <c r="R79" s="21">
        <v>0</v>
      </c>
      <c r="S79" s="21">
        <v>0</v>
      </c>
      <c r="T79" s="21">
        <v>0</v>
      </c>
      <c r="U79" s="21">
        <v>0</v>
      </c>
      <c r="V79" s="21">
        <v>0</v>
      </c>
      <c r="W79" s="21">
        <v>0</v>
      </c>
      <c r="X79" s="21">
        <v>0</v>
      </c>
      <c r="Y79" s="21">
        <v>0</v>
      </c>
      <c r="Z79" s="21">
        <v>0</v>
      </c>
      <c r="AA79" s="21">
        <v>0</v>
      </c>
      <c r="AB79" s="21">
        <v>0</v>
      </c>
      <c r="AC79" s="21">
        <v>0</v>
      </c>
      <c r="AD79" s="21">
        <v>0</v>
      </c>
      <c r="AE79" s="21">
        <v>0</v>
      </c>
      <c r="AF79" s="21">
        <v>0</v>
      </c>
      <c r="AG79" s="21">
        <v>0</v>
      </c>
      <c r="AH79" s="21">
        <v>0</v>
      </c>
      <c r="AI79" s="21">
        <v>0</v>
      </c>
      <c r="AJ79" s="21">
        <v>0</v>
      </c>
      <c r="AK79" s="21">
        <v>0</v>
      </c>
      <c r="AL79" s="21">
        <v>0</v>
      </c>
      <c r="AM79" s="21">
        <v>0</v>
      </c>
      <c r="AN79" s="21">
        <v>0</v>
      </c>
      <c r="AO79" s="21">
        <v>0</v>
      </c>
      <c r="AP79" s="21">
        <v>0</v>
      </c>
      <c r="AQ79" s="21">
        <v>0</v>
      </c>
      <c r="AR79" s="21">
        <v>0</v>
      </c>
      <c r="AS79" s="21">
        <v>0</v>
      </c>
      <c r="AT79" s="21">
        <v>0</v>
      </c>
      <c r="AU79" s="21">
        <v>0</v>
      </c>
    </row>
    <row r="80" spans="1:48">
      <c r="A80" s="23" t="s">
        <v>310</v>
      </c>
      <c r="B80" s="19" t="s">
        <v>311</v>
      </c>
      <c r="C80" s="19" t="s">
        <v>312</v>
      </c>
      <c r="D80" s="20">
        <f t="shared" si="1"/>
        <v>2</v>
      </c>
      <c r="E80" s="21">
        <v>0</v>
      </c>
      <c r="F80" s="22">
        <v>2</v>
      </c>
      <c r="G80" s="21">
        <v>0</v>
      </c>
      <c r="H80" s="21">
        <v>0</v>
      </c>
      <c r="I80" s="21">
        <v>0</v>
      </c>
      <c r="J80" s="21">
        <v>0</v>
      </c>
      <c r="K80" s="21">
        <v>0</v>
      </c>
      <c r="L80" s="21">
        <v>0</v>
      </c>
      <c r="M80" s="21">
        <v>0</v>
      </c>
      <c r="N80" s="21">
        <v>0</v>
      </c>
      <c r="O80" s="21">
        <v>0</v>
      </c>
      <c r="P80" s="21">
        <v>0</v>
      </c>
      <c r="Q80" s="21">
        <v>0</v>
      </c>
      <c r="R80" s="21">
        <v>0</v>
      </c>
      <c r="S80" s="21">
        <v>0</v>
      </c>
      <c r="T80" s="21">
        <v>0</v>
      </c>
      <c r="U80" s="21">
        <v>0</v>
      </c>
      <c r="V80" s="21">
        <v>0</v>
      </c>
      <c r="W80" s="21">
        <v>0</v>
      </c>
      <c r="X80" s="21">
        <v>0</v>
      </c>
      <c r="Y80" s="21">
        <v>0</v>
      </c>
      <c r="Z80" s="21">
        <v>0</v>
      </c>
      <c r="AA80" s="21">
        <v>0</v>
      </c>
      <c r="AB80" s="21">
        <v>0</v>
      </c>
      <c r="AC80" s="21">
        <v>0</v>
      </c>
      <c r="AD80" s="21">
        <v>0</v>
      </c>
      <c r="AE80" s="21">
        <v>0</v>
      </c>
      <c r="AF80" s="21">
        <v>0</v>
      </c>
      <c r="AG80" s="21">
        <v>0</v>
      </c>
      <c r="AH80" s="21">
        <v>0</v>
      </c>
      <c r="AI80" s="21">
        <v>0</v>
      </c>
      <c r="AJ80" s="21">
        <v>0</v>
      </c>
      <c r="AK80" s="21">
        <v>0</v>
      </c>
      <c r="AL80" s="21">
        <v>0</v>
      </c>
      <c r="AM80" s="21">
        <v>0</v>
      </c>
      <c r="AN80" s="21">
        <v>0</v>
      </c>
      <c r="AO80" s="21">
        <v>0</v>
      </c>
      <c r="AP80" s="21">
        <v>0</v>
      </c>
      <c r="AQ80" s="21">
        <v>0</v>
      </c>
      <c r="AR80" s="21">
        <v>0</v>
      </c>
      <c r="AS80" s="21">
        <v>0</v>
      </c>
      <c r="AT80" s="21">
        <v>0</v>
      </c>
      <c r="AU80" s="21">
        <v>0</v>
      </c>
    </row>
    <row r="81" spans="1:48">
      <c r="A81" s="23" t="s">
        <v>313</v>
      </c>
      <c r="B81" s="19" t="s">
        <v>314</v>
      </c>
      <c r="C81" s="19" t="s">
        <v>196</v>
      </c>
      <c r="D81" s="20">
        <f t="shared" si="1"/>
        <v>47302</v>
      </c>
      <c r="E81" s="21">
        <v>4072</v>
      </c>
      <c r="F81" s="21">
        <v>16754</v>
      </c>
      <c r="G81" s="21">
        <v>1386</v>
      </c>
      <c r="H81" s="21">
        <v>0</v>
      </c>
      <c r="I81" s="21">
        <v>0</v>
      </c>
      <c r="J81" s="21">
        <v>0</v>
      </c>
      <c r="K81" s="21">
        <v>1286</v>
      </c>
      <c r="L81" s="21">
        <v>1604</v>
      </c>
      <c r="M81" s="21">
        <v>272</v>
      </c>
      <c r="N81" s="21">
        <v>321</v>
      </c>
      <c r="O81" s="21">
        <v>241</v>
      </c>
      <c r="P81" s="21"/>
      <c r="Q81" s="21">
        <v>167</v>
      </c>
      <c r="R81" s="21">
        <v>390</v>
      </c>
      <c r="S81" s="21">
        <v>304</v>
      </c>
      <c r="T81" s="21">
        <v>288</v>
      </c>
      <c r="U81" s="21"/>
      <c r="V81" s="21">
        <v>2901</v>
      </c>
      <c r="W81" s="21">
        <v>423</v>
      </c>
      <c r="X81" s="21"/>
      <c r="Y81" s="21">
        <v>663</v>
      </c>
      <c r="Z81" s="21">
        <v>670</v>
      </c>
      <c r="AA81" s="21">
        <v>1298</v>
      </c>
      <c r="AB81" s="21">
        <v>141</v>
      </c>
      <c r="AC81" s="21">
        <v>674</v>
      </c>
      <c r="AD81" s="21"/>
      <c r="AE81" s="21">
        <v>298</v>
      </c>
      <c r="AF81" s="21">
        <v>249</v>
      </c>
      <c r="AG81" s="21">
        <v>152</v>
      </c>
      <c r="AH81" s="21">
        <v>1232</v>
      </c>
      <c r="AI81" s="21">
        <v>365</v>
      </c>
      <c r="AJ81" s="21">
        <v>207</v>
      </c>
      <c r="AK81" s="21">
        <v>1092</v>
      </c>
      <c r="AL81" s="21">
        <v>523</v>
      </c>
      <c r="AM81" s="21">
        <v>59</v>
      </c>
      <c r="AN81" s="21">
        <v>393</v>
      </c>
      <c r="AO81" s="21">
        <v>215</v>
      </c>
      <c r="AP81" s="21">
        <v>246</v>
      </c>
      <c r="AQ81" s="21">
        <v>4250</v>
      </c>
      <c r="AR81" s="21">
        <v>2287</v>
      </c>
      <c r="AS81" s="21">
        <v>1010</v>
      </c>
      <c r="AT81" s="21">
        <v>219</v>
      </c>
      <c r="AU81" s="21">
        <v>650</v>
      </c>
    </row>
    <row r="82" spans="1:48" ht="32.1">
      <c r="A82" s="23" t="s">
        <v>315</v>
      </c>
      <c r="B82" s="19" t="s">
        <v>316</v>
      </c>
      <c r="C82" s="19" t="s">
        <v>317</v>
      </c>
      <c r="D82" s="20">
        <f t="shared" si="1"/>
        <v>2</v>
      </c>
      <c r="E82" s="21">
        <v>0</v>
      </c>
      <c r="F82" s="22">
        <v>2</v>
      </c>
      <c r="G82" s="21">
        <v>0</v>
      </c>
      <c r="H82" s="21">
        <v>0</v>
      </c>
      <c r="I82" s="21">
        <v>0</v>
      </c>
      <c r="J82" s="21">
        <v>0</v>
      </c>
      <c r="K82" s="21">
        <v>0</v>
      </c>
      <c r="L82" s="21">
        <v>0</v>
      </c>
      <c r="M82" s="21">
        <v>0</v>
      </c>
      <c r="N82" s="21">
        <v>0</v>
      </c>
      <c r="O82" s="21">
        <v>0</v>
      </c>
      <c r="P82" s="21">
        <v>0</v>
      </c>
      <c r="Q82" s="21">
        <v>0</v>
      </c>
      <c r="R82" s="21">
        <v>0</v>
      </c>
      <c r="S82" s="21">
        <v>0</v>
      </c>
      <c r="T82" s="21">
        <v>0</v>
      </c>
      <c r="U82" s="21">
        <v>0</v>
      </c>
      <c r="V82" s="21">
        <v>0</v>
      </c>
      <c r="W82" s="21">
        <v>0</v>
      </c>
      <c r="X82" s="21">
        <v>0</v>
      </c>
      <c r="Y82" s="21">
        <v>0</v>
      </c>
      <c r="Z82" s="21">
        <v>0</v>
      </c>
      <c r="AA82" s="21">
        <v>0</v>
      </c>
      <c r="AB82" s="21">
        <v>0</v>
      </c>
      <c r="AC82" s="21">
        <v>0</v>
      </c>
      <c r="AD82" s="21">
        <v>0</v>
      </c>
      <c r="AE82" s="21">
        <v>0</v>
      </c>
      <c r="AF82" s="21">
        <v>0</v>
      </c>
      <c r="AG82" s="21">
        <v>0</v>
      </c>
      <c r="AH82" s="21">
        <v>0</v>
      </c>
      <c r="AI82" s="21">
        <v>0</v>
      </c>
      <c r="AJ82" s="21">
        <v>0</v>
      </c>
      <c r="AK82" s="21">
        <v>0</v>
      </c>
      <c r="AL82" s="21">
        <v>0</v>
      </c>
      <c r="AM82" s="21">
        <v>0</v>
      </c>
      <c r="AN82" s="21">
        <v>0</v>
      </c>
      <c r="AO82" s="21">
        <v>0</v>
      </c>
      <c r="AP82" s="21">
        <v>0</v>
      </c>
      <c r="AQ82" s="21">
        <v>0</v>
      </c>
      <c r="AR82" s="21">
        <v>0</v>
      </c>
      <c r="AS82" s="21">
        <v>0</v>
      </c>
      <c r="AT82" s="21">
        <v>0</v>
      </c>
      <c r="AU82" s="21">
        <v>0</v>
      </c>
      <c r="AV82" s="79"/>
    </row>
    <row r="83" spans="1:48">
      <c r="A83" s="23" t="s">
        <v>318</v>
      </c>
      <c r="B83" s="19" t="s">
        <v>319</v>
      </c>
      <c r="C83" s="19" t="s">
        <v>320</v>
      </c>
      <c r="D83" s="20">
        <f t="shared" si="1"/>
        <v>4</v>
      </c>
      <c r="E83" s="21">
        <v>0</v>
      </c>
      <c r="F83" s="22">
        <v>4</v>
      </c>
      <c r="G83" s="21">
        <v>0</v>
      </c>
      <c r="H83" s="21">
        <v>0</v>
      </c>
      <c r="I83" s="21">
        <v>0</v>
      </c>
      <c r="J83" s="21">
        <v>0</v>
      </c>
      <c r="K83" s="21">
        <v>0</v>
      </c>
      <c r="L83" s="21">
        <v>0</v>
      </c>
      <c r="M83" s="21">
        <v>0</v>
      </c>
      <c r="N83" s="21">
        <v>0</v>
      </c>
      <c r="O83" s="21">
        <v>0</v>
      </c>
      <c r="P83" s="21">
        <v>0</v>
      </c>
      <c r="Q83" s="21">
        <v>0</v>
      </c>
      <c r="R83" s="21">
        <v>0</v>
      </c>
      <c r="S83" s="21">
        <v>0</v>
      </c>
      <c r="T83" s="21">
        <v>0</v>
      </c>
      <c r="U83" s="21">
        <v>0</v>
      </c>
      <c r="V83" s="21">
        <v>0</v>
      </c>
      <c r="W83" s="21">
        <v>0</v>
      </c>
      <c r="X83" s="21">
        <v>0</v>
      </c>
      <c r="Y83" s="21">
        <v>0</v>
      </c>
      <c r="Z83" s="21">
        <v>0</v>
      </c>
      <c r="AA83" s="21">
        <v>0</v>
      </c>
      <c r="AB83" s="21">
        <v>0</v>
      </c>
      <c r="AC83" s="21">
        <v>0</v>
      </c>
      <c r="AD83" s="21">
        <v>0</v>
      </c>
      <c r="AE83" s="21">
        <v>0</v>
      </c>
      <c r="AF83" s="21">
        <v>0</v>
      </c>
      <c r="AG83" s="21">
        <v>0</v>
      </c>
      <c r="AH83" s="21">
        <v>0</v>
      </c>
      <c r="AI83" s="21">
        <v>0</v>
      </c>
      <c r="AJ83" s="21">
        <v>0</v>
      </c>
      <c r="AK83" s="21">
        <v>0</v>
      </c>
      <c r="AL83" s="21">
        <v>0</v>
      </c>
      <c r="AM83" s="21">
        <v>0</v>
      </c>
      <c r="AN83" s="21">
        <v>0</v>
      </c>
      <c r="AO83" s="21">
        <v>0</v>
      </c>
      <c r="AP83" s="21">
        <v>0</v>
      </c>
      <c r="AQ83" s="21">
        <v>0</v>
      </c>
      <c r="AR83" s="21">
        <v>0</v>
      </c>
      <c r="AS83" s="21">
        <v>0</v>
      </c>
      <c r="AT83" s="21">
        <v>0</v>
      </c>
      <c r="AU83" s="21">
        <v>0</v>
      </c>
      <c r="AV83" s="79"/>
    </row>
    <row r="84" spans="1:48">
      <c r="A84" s="23" t="s">
        <v>321</v>
      </c>
      <c r="B84" s="19" t="s">
        <v>322</v>
      </c>
      <c r="C84" s="19" t="s">
        <v>323</v>
      </c>
      <c r="D84" s="20">
        <f t="shared" si="1"/>
        <v>0</v>
      </c>
      <c r="E84" s="21">
        <v>0</v>
      </c>
      <c r="F84" s="21">
        <v>0</v>
      </c>
      <c r="G84" s="21">
        <v>0</v>
      </c>
      <c r="H84" s="21">
        <v>0</v>
      </c>
      <c r="I84" s="21">
        <v>0</v>
      </c>
      <c r="J84" s="21">
        <v>0</v>
      </c>
      <c r="K84" s="21">
        <v>0</v>
      </c>
      <c r="L84" s="21">
        <v>0</v>
      </c>
      <c r="M84" s="21">
        <v>0</v>
      </c>
      <c r="N84" s="21">
        <v>0</v>
      </c>
      <c r="O84" s="21">
        <v>0</v>
      </c>
      <c r="P84" s="21">
        <v>0</v>
      </c>
      <c r="Q84" s="21">
        <v>0</v>
      </c>
      <c r="R84" s="21">
        <v>0</v>
      </c>
      <c r="S84" s="21">
        <v>0</v>
      </c>
      <c r="T84" s="21">
        <v>0</v>
      </c>
      <c r="U84" s="21">
        <v>0</v>
      </c>
      <c r="V84" s="21">
        <v>0</v>
      </c>
      <c r="W84" s="21">
        <v>0</v>
      </c>
      <c r="X84" s="21">
        <v>0</v>
      </c>
      <c r="Y84" s="21">
        <v>0</v>
      </c>
      <c r="Z84" s="21">
        <v>0</v>
      </c>
      <c r="AA84" s="21">
        <v>0</v>
      </c>
      <c r="AB84" s="21">
        <v>0</v>
      </c>
      <c r="AC84" s="21">
        <v>0</v>
      </c>
      <c r="AD84" s="21">
        <v>0</v>
      </c>
      <c r="AE84" s="21">
        <v>0</v>
      </c>
      <c r="AF84" s="21">
        <v>0</v>
      </c>
      <c r="AG84" s="21">
        <v>0</v>
      </c>
      <c r="AH84" s="21">
        <v>0</v>
      </c>
      <c r="AI84" s="21">
        <v>0</v>
      </c>
      <c r="AJ84" s="21">
        <v>0</v>
      </c>
      <c r="AK84" s="21">
        <v>0</v>
      </c>
      <c r="AL84" s="21">
        <v>0</v>
      </c>
      <c r="AM84" s="21">
        <v>0</v>
      </c>
      <c r="AN84" s="21">
        <v>0</v>
      </c>
      <c r="AO84" s="21">
        <v>0</v>
      </c>
      <c r="AP84" s="21">
        <v>0</v>
      </c>
      <c r="AQ84" s="21">
        <v>0</v>
      </c>
      <c r="AR84" s="21">
        <v>0</v>
      </c>
      <c r="AS84" s="21">
        <v>0</v>
      </c>
      <c r="AT84" s="21">
        <v>0</v>
      </c>
      <c r="AU84" s="21">
        <v>0</v>
      </c>
      <c r="AV84" s="79"/>
    </row>
    <row r="85" spans="1:48">
      <c r="A85" s="23" t="s">
        <v>324</v>
      </c>
      <c r="B85" s="19" t="s">
        <v>325</v>
      </c>
      <c r="C85" s="19" t="s">
        <v>326</v>
      </c>
      <c r="D85" s="20">
        <f t="shared" si="1"/>
        <v>0</v>
      </c>
      <c r="E85" s="21">
        <v>0</v>
      </c>
      <c r="F85" s="21">
        <v>0</v>
      </c>
      <c r="G85" s="21">
        <v>0</v>
      </c>
      <c r="H85" s="21">
        <v>0</v>
      </c>
      <c r="I85" s="21">
        <v>0</v>
      </c>
      <c r="J85" s="21">
        <v>0</v>
      </c>
      <c r="K85" s="21">
        <v>0</v>
      </c>
      <c r="L85" s="21">
        <v>0</v>
      </c>
      <c r="M85" s="21">
        <v>0</v>
      </c>
      <c r="N85" s="21">
        <v>0</v>
      </c>
      <c r="O85" s="21">
        <v>0</v>
      </c>
      <c r="P85" s="21">
        <v>0</v>
      </c>
      <c r="Q85" s="21">
        <v>0</v>
      </c>
      <c r="R85" s="21">
        <v>0</v>
      </c>
      <c r="S85" s="21">
        <v>0</v>
      </c>
      <c r="T85" s="21">
        <v>0</v>
      </c>
      <c r="U85" s="21">
        <v>0</v>
      </c>
      <c r="V85" s="21">
        <v>0</v>
      </c>
      <c r="W85" s="21">
        <v>0</v>
      </c>
      <c r="X85" s="21">
        <v>0</v>
      </c>
      <c r="Y85" s="21">
        <v>0</v>
      </c>
      <c r="Z85" s="21">
        <v>0</v>
      </c>
      <c r="AA85" s="21">
        <v>0</v>
      </c>
      <c r="AB85" s="21">
        <v>0</v>
      </c>
      <c r="AC85" s="21">
        <v>0</v>
      </c>
      <c r="AD85" s="21">
        <v>0</v>
      </c>
      <c r="AE85" s="21">
        <v>0</v>
      </c>
      <c r="AF85" s="21">
        <v>0</v>
      </c>
      <c r="AG85" s="21">
        <v>0</v>
      </c>
      <c r="AH85" s="21">
        <v>0</v>
      </c>
      <c r="AI85" s="21">
        <v>0</v>
      </c>
      <c r="AJ85" s="21">
        <v>0</v>
      </c>
      <c r="AK85" s="21">
        <v>0</v>
      </c>
      <c r="AL85" s="21">
        <v>0</v>
      </c>
      <c r="AM85" s="21">
        <v>0</v>
      </c>
      <c r="AN85" s="21">
        <v>0</v>
      </c>
      <c r="AO85" s="21">
        <v>0</v>
      </c>
      <c r="AP85" s="21">
        <v>0</v>
      </c>
      <c r="AQ85" s="21">
        <v>0</v>
      </c>
      <c r="AR85" s="21">
        <v>0</v>
      </c>
      <c r="AS85" s="21">
        <v>0</v>
      </c>
      <c r="AT85" s="21">
        <v>0</v>
      </c>
      <c r="AU85" s="21">
        <v>0</v>
      </c>
      <c r="AV85" s="79"/>
    </row>
    <row r="86" spans="1:48">
      <c r="A86" s="23" t="s">
        <v>327</v>
      </c>
      <c r="B86" s="19" t="s">
        <v>328</v>
      </c>
      <c r="C86" s="19" t="s">
        <v>329</v>
      </c>
      <c r="D86" s="20">
        <f t="shared" si="1"/>
        <v>0</v>
      </c>
      <c r="E86" s="21">
        <v>0</v>
      </c>
      <c r="F86" s="21">
        <v>0</v>
      </c>
      <c r="G86" s="21">
        <v>0</v>
      </c>
      <c r="H86" s="21">
        <v>0</v>
      </c>
      <c r="I86" s="21">
        <v>0</v>
      </c>
      <c r="J86" s="21">
        <v>0</v>
      </c>
      <c r="K86" s="21">
        <v>0</v>
      </c>
      <c r="L86" s="21">
        <v>0</v>
      </c>
      <c r="M86" s="21">
        <v>0</v>
      </c>
      <c r="N86" s="21">
        <v>0</v>
      </c>
      <c r="O86" s="21">
        <v>0</v>
      </c>
      <c r="P86" s="21">
        <v>0</v>
      </c>
      <c r="Q86" s="21">
        <v>0</v>
      </c>
      <c r="R86" s="21">
        <v>0</v>
      </c>
      <c r="S86" s="21">
        <v>0</v>
      </c>
      <c r="T86" s="21">
        <v>0</v>
      </c>
      <c r="U86" s="21">
        <v>0</v>
      </c>
      <c r="V86" s="21">
        <v>0</v>
      </c>
      <c r="W86" s="21">
        <v>0</v>
      </c>
      <c r="X86" s="21">
        <v>0</v>
      </c>
      <c r="Y86" s="21">
        <v>0</v>
      </c>
      <c r="Z86" s="21">
        <v>0</v>
      </c>
      <c r="AA86" s="21">
        <v>0</v>
      </c>
      <c r="AB86" s="21">
        <v>0</v>
      </c>
      <c r="AC86" s="21">
        <v>0</v>
      </c>
      <c r="AD86" s="21">
        <v>0</v>
      </c>
      <c r="AE86" s="21">
        <v>0</v>
      </c>
      <c r="AF86" s="21">
        <v>0</v>
      </c>
      <c r="AG86" s="21">
        <v>0</v>
      </c>
      <c r="AH86" s="21">
        <v>0</v>
      </c>
      <c r="AI86" s="21">
        <v>0</v>
      </c>
      <c r="AJ86" s="21">
        <v>0</v>
      </c>
      <c r="AK86" s="21">
        <v>0</v>
      </c>
      <c r="AL86" s="21">
        <v>0</v>
      </c>
      <c r="AM86" s="21">
        <v>0</v>
      </c>
      <c r="AN86" s="21">
        <v>0</v>
      </c>
      <c r="AO86" s="21">
        <v>0</v>
      </c>
      <c r="AP86" s="21">
        <v>0</v>
      </c>
      <c r="AQ86" s="21">
        <v>0</v>
      </c>
      <c r="AR86" s="21">
        <v>0</v>
      </c>
      <c r="AS86" s="21">
        <v>0</v>
      </c>
      <c r="AT86" s="21">
        <v>0</v>
      </c>
      <c r="AU86" s="21">
        <v>0</v>
      </c>
      <c r="AV86" s="79"/>
    </row>
    <row r="87" spans="1:48">
      <c r="A87" s="23" t="s">
        <v>330</v>
      </c>
      <c r="B87" s="19" t="s">
        <v>331</v>
      </c>
      <c r="C87" s="19" t="s">
        <v>332</v>
      </c>
      <c r="D87" s="20">
        <f t="shared" si="1"/>
        <v>0</v>
      </c>
      <c r="E87" s="21">
        <v>0</v>
      </c>
      <c r="F87" s="21">
        <v>0</v>
      </c>
      <c r="G87" s="21">
        <v>0</v>
      </c>
      <c r="H87" s="21">
        <v>0</v>
      </c>
      <c r="I87" s="21">
        <v>0</v>
      </c>
      <c r="J87" s="21">
        <v>0</v>
      </c>
      <c r="K87" s="21">
        <v>0</v>
      </c>
      <c r="L87" s="21">
        <v>0</v>
      </c>
      <c r="M87" s="21">
        <v>0</v>
      </c>
      <c r="N87" s="21">
        <v>0</v>
      </c>
      <c r="O87" s="21">
        <v>0</v>
      </c>
      <c r="P87" s="21">
        <v>0</v>
      </c>
      <c r="Q87" s="21">
        <v>0</v>
      </c>
      <c r="R87" s="21">
        <v>0</v>
      </c>
      <c r="S87" s="21">
        <v>0</v>
      </c>
      <c r="T87" s="21">
        <v>0</v>
      </c>
      <c r="U87" s="21">
        <v>0</v>
      </c>
      <c r="V87" s="21">
        <v>0</v>
      </c>
      <c r="W87" s="21">
        <v>0</v>
      </c>
      <c r="X87" s="21">
        <v>0</v>
      </c>
      <c r="Y87" s="21">
        <v>0</v>
      </c>
      <c r="Z87" s="21">
        <v>0</v>
      </c>
      <c r="AA87" s="21">
        <v>0</v>
      </c>
      <c r="AB87" s="21">
        <v>0</v>
      </c>
      <c r="AC87" s="21">
        <v>0</v>
      </c>
      <c r="AD87" s="21">
        <v>0</v>
      </c>
      <c r="AE87" s="21">
        <v>0</v>
      </c>
      <c r="AF87" s="21">
        <v>0</v>
      </c>
      <c r="AG87" s="21">
        <v>0</v>
      </c>
      <c r="AH87" s="21">
        <v>0</v>
      </c>
      <c r="AI87" s="21">
        <v>0</v>
      </c>
      <c r="AJ87" s="21">
        <v>0</v>
      </c>
      <c r="AK87" s="21">
        <v>0</v>
      </c>
      <c r="AL87" s="21">
        <v>0</v>
      </c>
      <c r="AM87" s="21">
        <v>0</v>
      </c>
      <c r="AN87" s="21">
        <v>0</v>
      </c>
      <c r="AO87" s="21">
        <v>0</v>
      </c>
      <c r="AP87" s="21">
        <v>0</v>
      </c>
      <c r="AQ87" s="21">
        <v>0</v>
      </c>
      <c r="AR87" s="21">
        <v>0</v>
      </c>
      <c r="AS87" s="21">
        <v>0</v>
      </c>
      <c r="AT87" s="21">
        <v>0</v>
      </c>
      <c r="AU87" s="21">
        <v>0</v>
      </c>
      <c r="AV87" s="79"/>
    </row>
    <row r="88" spans="1:48">
      <c r="A88" s="24" t="s">
        <v>333</v>
      </c>
      <c r="B88" s="25"/>
      <c r="C88" s="25"/>
      <c r="D88" s="16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</row>
    <row r="89" spans="1:48">
      <c r="A89" s="19" t="s">
        <v>334</v>
      </c>
      <c r="B89" s="19" t="s">
        <v>335</v>
      </c>
      <c r="C89" s="19" t="s">
        <v>336</v>
      </c>
      <c r="D89" s="20">
        <f t="shared" ref="D89:D102" si="2">SUM(E89:AU89)</f>
        <v>32332</v>
      </c>
      <c r="E89" s="22">
        <v>700</v>
      </c>
      <c r="F89" s="22">
        <v>16754</v>
      </c>
      <c r="G89" s="22">
        <v>1386</v>
      </c>
      <c r="H89" s="22">
        <v>320</v>
      </c>
      <c r="I89" s="22">
        <v>274</v>
      </c>
      <c r="J89" s="22">
        <v>390</v>
      </c>
      <c r="K89" s="22">
        <v>0</v>
      </c>
      <c r="L89" s="22">
        <v>1604</v>
      </c>
      <c r="M89" s="22">
        <v>0</v>
      </c>
      <c r="N89" s="22">
        <v>0</v>
      </c>
      <c r="O89" s="22">
        <v>0</v>
      </c>
      <c r="P89" s="22">
        <v>0</v>
      </c>
      <c r="Q89" s="22">
        <v>0</v>
      </c>
      <c r="R89" s="22">
        <v>0</v>
      </c>
      <c r="S89" s="22">
        <v>0</v>
      </c>
      <c r="T89" s="22">
        <v>0</v>
      </c>
      <c r="U89" s="22">
        <v>0</v>
      </c>
      <c r="V89" s="22">
        <v>2901</v>
      </c>
      <c r="W89" s="22">
        <v>423</v>
      </c>
      <c r="X89" s="22">
        <v>0</v>
      </c>
      <c r="Y89" s="22">
        <v>0</v>
      </c>
      <c r="Z89" s="22">
        <v>0</v>
      </c>
      <c r="AA89" s="22">
        <v>0</v>
      </c>
      <c r="AB89" s="22">
        <v>0</v>
      </c>
      <c r="AC89" s="22">
        <v>0</v>
      </c>
      <c r="AD89" s="22">
        <v>0</v>
      </c>
      <c r="AE89" s="22">
        <v>0</v>
      </c>
      <c r="AF89" s="22">
        <v>0</v>
      </c>
      <c r="AG89" s="22">
        <v>0</v>
      </c>
      <c r="AH89" s="22">
        <v>0</v>
      </c>
      <c r="AI89" s="22">
        <v>0</v>
      </c>
      <c r="AJ89" s="22">
        <v>0</v>
      </c>
      <c r="AK89" s="22">
        <v>0</v>
      </c>
      <c r="AL89" s="22">
        <v>0</v>
      </c>
      <c r="AM89" s="22">
        <v>0</v>
      </c>
      <c r="AN89" s="22">
        <v>393</v>
      </c>
      <c r="AO89" s="21">
        <v>0</v>
      </c>
      <c r="AP89" s="21">
        <v>0</v>
      </c>
      <c r="AQ89" s="22">
        <v>4250</v>
      </c>
      <c r="AR89" s="22">
        <v>2287</v>
      </c>
      <c r="AS89" s="21">
        <v>0</v>
      </c>
      <c r="AT89" s="21">
        <v>0</v>
      </c>
      <c r="AU89" s="22">
        <v>650</v>
      </c>
    </row>
    <row r="90" spans="1:48">
      <c r="A90" s="19" t="s">
        <v>337</v>
      </c>
      <c r="B90" s="19" t="s">
        <v>338</v>
      </c>
      <c r="C90" s="19" t="s">
        <v>336</v>
      </c>
      <c r="D90" s="20">
        <f t="shared" si="2"/>
        <v>36846</v>
      </c>
      <c r="E90" s="22">
        <v>700</v>
      </c>
      <c r="F90" s="22">
        <v>12343</v>
      </c>
      <c r="G90" s="22">
        <v>1482</v>
      </c>
      <c r="H90" s="22">
        <v>34</v>
      </c>
      <c r="I90" s="22">
        <v>245</v>
      </c>
      <c r="J90" s="22">
        <v>390</v>
      </c>
      <c r="K90" s="22">
        <v>1286</v>
      </c>
      <c r="L90" s="22">
        <v>1604</v>
      </c>
      <c r="M90" s="22">
        <v>272</v>
      </c>
      <c r="N90" s="22">
        <v>321</v>
      </c>
      <c r="O90" s="22">
        <v>241</v>
      </c>
      <c r="P90" s="22">
        <v>0</v>
      </c>
      <c r="Q90" s="22">
        <v>167</v>
      </c>
      <c r="R90" s="22">
        <v>0</v>
      </c>
      <c r="S90" s="22">
        <v>0</v>
      </c>
      <c r="T90" s="22">
        <v>0</v>
      </c>
      <c r="U90" s="22">
        <v>0</v>
      </c>
      <c r="V90" s="22">
        <v>2901</v>
      </c>
      <c r="W90" s="22">
        <v>423</v>
      </c>
      <c r="X90" s="22">
        <v>567</v>
      </c>
      <c r="Y90" s="22">
        <v>663</v>
      </c>
      <c r="Z90" s="22">
        <v>0</v>
      </c>
      <c r="AA90" s="22">
        <v>0</v>
      </c>
      <c r="AB90" s="22">
        <v>0</v>
      </c>
      <c r="AC90" s="22">
        <v>674</v>
      </c>
      <c r="AD90" s="22">
        <v>0</v>
      </c>
      <c r="AE90" s="22">
        <v>0</v>
      </c>
      <c r="AF90" s="22">
        <v>0</v>
      </c>
      <c r="AG90" s="22">
        <v>0</v>
      </c>
      <c r="AH90" s="22">
        <v>1232</v>
      </c>
      <c r="AI90" s="22">
        <v>365</v>
      </c>
      <c r="AJ90" s="22">
        <v>207</v>
      </c>
      <c r="AK90" s="22">
        <v>1092</v>
      </c>
      <c r="AL90" s="22">
        <v>523</v>
      </c>
      <c r="AM90" s="22">
        <v>59</v>
      </c>
      <c r="AN90" s="22">
        <v>393</v>
      </c>
      <c r="AO90" s="21">
        <v>0</v>
      </c>
      <c r="AP90" s="22">
        <v>246</v>
      </c>
      <c r="AQ90" s="22">
        <v>4250</v>
      </c>
      <c r="AR90" s="22">
        <v>2287</v>
      </c>
      <c r="AS90" s="22">
        <v>1010</v>
      </c>
      <c r="AT90" s="22">
        <v>219</v>
      </c>
      <c r="AU90" s="22">
        <v>650</v>
      </c>
    </row>
    <row r="91" spans="1:48">
      <c r="A91" s="23" t="s">
        <v>339</v>
      </c>
      <c r="B91" s="19" t="s">
        <v>340</v>
      </c>
      <c r="C91" s="19" t="s">
        <v>196</v>
      </c>
      <c r="D91" s="20">
        <f t="shared" si="2"/>
        <v>45886</v>
      </c>
      <c r="E91" s="22">
        <v>700</v>
      </c>
      <c r="F91" s="22">
        <v>16754</v>
      </c>
      <c r="G91" s="22">
        <v>1386</v>
      </c>
      <c r="H91" s="22">
        <v>320</v>
      </c>
      <c r="I91" s="22">
        <v>274</v>
      </c>
      <c r="J91" s="22">
        <v>390</v>
      </c>
      <c r="K91" s="22">
        <v>1286</v>
      </c>
      <c r="L91" s="22">
        <v>1604</v>
      </c>
      <c r="M91" s="22">
        <v>272</v>
      </c>
      <c r="N91" s="22">
        <v>321</v>
      </c>
      <c r="O91" s="22">
        <v>241</v>
      </c>
      <c r="P91" s="22">
        <v>0</v>
      </c>
      <c r="Q91" s="22">
        <v>167</v>
      </c>
      <c r="R91" s="22">
        <v>390</v>
      </c>
      <c r="S91" s="22">
        <v>304</v>
      </c>
      <c r="T91" s="22">
        <v>288</v>
      </c>
      <c r="U91" s="22">
        <v>170</v>
      </c>
      <c r="V91" s="22">
        <v>2901</v>
      </c>
      <c r="W91" s="22">
        <v>423</v>
      </c>
      <c r="X91" s="22">
        <v>567</v>
      </c>
      <c r="Y91" s="22">
        <v>663</v>
      </c>
      <c r="Z91" s="22">
        <v>670</v>
      </c>
      <c r="AA91" s="22">
        <v>1298</v>
      </c>
      <c r="AB91" s="22">
        <v>141</v>
      </c>
      <c r="AC91" s="22">
        <v>674</v>
      </c>
      <c r="AD91" s="22">
        <v>235</v>
      </c>
      <c r="AE91" s="22">
        <v>298</v>
      </c>
      <c r="AF91" s="22">
        <v>249</v>
      </c>
      <c r="AG91" s="22">
        <v>152</v>
      </c>
      <c r="AH91" s="22">
        <v>1232</v>
      </c>
      <c r="AI91" s="22">
        <v>365</v>
      </c>
      <c r="AJ91" s="22">
        <v>207</v>
      </c>
      <c r="AK91" s="22">
        <v>1092</v>
      </c>
      <c r="AL91" s="22">
        <v>523</v>
      </c>
      <c r="AM91" s="22">
        <v>59</v>
      </c>
      <c r="AN91" s="22">
        <v>393</v>
      </c>
      <c r="AO91" s="22">
        <v>215</v>
      </c>
      <c r="AP91" s="22">
        <v>246</v>
      </c>
      <c r="AQ91" s="22">
        <v>4250</v>
      </c>
      <c r="AR91" s="22">
        <v>2287</v>
      </c>
      <c r="AS91" s="22">
        <v>1010</v>
      </c>
      <c r="AT91" s="22">
        <v>219</v>
      </c>
      <c r="AU91" s="22">
        <v>650</v>
      </c>
    </row>
    <row r="92" spans="1:48">
      <c r="A92" s="23" t="s">
        <v>341</v>
      </c>
      <c r="B92" s="19" t="s">
        <v>342</v>
      </c>
      <c r="C92" s="19" t="s">
        <v>196</v>
      </c>
      <c r="D92" s="20">
        <f t="shared" si="2"/>
        <v>45886</v>
      </c>
      <c r="E92" s="22">
        <v>700</v>
      </c>
      <c r="F92" s="22">
        <v>16754</v>
      </c>
      <c r="G92" s="22">
        <v>1386</v>
      </c>
      <c r="H92" s="22">
        <v>320</v>
      </c>
      <c r="I92" s="22">
        <v>274</v>
      </c>
      <c r="J92" s="22">
        <v>390</v>
      </c>
      <c r="K92" s="22">
        <v>1286</v>
      </c>
      <c r="L92" s="22">
        <v>1604</v>
      </c>
      <c r="M92" s="22">
        <v>272</v>
      </c>
      <c r="N92" s="22">
        <v>321</v>
      </c>
      <c r="O92" s="22">
        <v>241</v>
      </c>
      <c r="P92" s="22">
        <v>0</v>
      </c>
      <c r="Q92" s="22">
        <v>167</v>
      </c>
      <c r="R92" s="22">
        <v>390</v>
      </c>
      <c r="S92" s="22">
        <v>304</v>
      </c>
      <c r="T92" s="22">
        <v>288</v>
      </c>
      <c r="U92" s="22">
        <v>170</v>
      </c>
      <c r="V92" s="22">
        <v>2901</v>
      </c>
      <c r="W92" s="22">
        <v>423</v>
      </c>
      <c r="X92" s="22">
        <v>567</v>
      </c>
      <c r="Y92" s="22">
        <v>663</v>
      </c>
      <c r="Z92" s="22">
        <v>670</v>
      </c>
      <c r="AA92" s="22">
        <v>1298</v>
      </c>
      <c r="AB92" s="22">
        <v>141</v>
      </c>
      <c r="AC92" s="22">
        <v>674</v>
      </c>
      <c r="AD92" s="22">
        <v>235</v>
      </c>
      <c r="AE92" s="22">
        <v>298</v>
      </c>
      <c r="AF92" s="22">
        <v>249</v>
      </c>
      <c r="AG92" s="22">
        <v>152</v>
      </c>
      <c r="AH92" s="22">
        <v>1232</v>
      </c>
      <c r="AI92" s="22">
        <v>365</v>
      </c>
      <c r="AJ92" s="22">
        <v>207</v>
      </c>
      <c r="AK92" s="22">
        <v>1092</v>
      </c>
      <c r="AL92" s="22">
        <v>523</v>
      </c>
      <c r="AM92" s="22">
        <v>59</v>
      </c>
      <c r="AN92" s="22">
        <v>393</v>
      </c>
      <c r="AO92" s="22">
        <v>215</v>
      </c>
      <c r="AP92" s="22">
        <v>246</v>
      </c>
      <c r="AQ92" s="22">
        <v>4250</v>
      </c>
      <c r="AR92" s="22">
        <v>2287</v>
      </c>
      <c r="AS92" s="22">
        <v>1010</v>
      </c>
      <c r="AT92" s="22">
        <v>219</v>
      </c>
      <c r="AU92" s="22">
        <v>650</v>
      </c>
    </row>
    <row r="93" spans="1:48">
      <c r="A93" s="23" t="s">
        <v>343</v>
      </c>
      <c r="B93" s="19" t="s">
        <v>344</v>
      </c>
      <c r="C93" s="19" t="s">
        <v>345</v>
      </c>
      <c r="D93" s="20">
        <f t="shared" si="2"/>
        <v>387</v>
      </c>
      <c r="E93" s="22">
        <v>59</v>
      </c>
      <c r="F93" s="22">
        <v>120</v>
      </c>
      <c r="G93" s="22">
        <v>9</v>
      </c>
      <c r="H93" s="22">
        <v>0</v>
      </c>
      <c r="I93" s="22">
        <v>7</v>
      </c>
      <c r="J93" s="22">
        <v>0</v>
      </c>
      <c r="K93" s="22">
        <v>15</v>
      </c>
      <c r="L93" s="22">
        <v>0</v>
      </c>
      <c r="M93" s="22">
        <v>2</v>
      </c>
      <c r="N93" s="22">
        <v>2</v>
      </c>
      <c r="O93" s="22">
        <v>1</v>
      </c>
      <c r="P93" s="22">
        <v>0</v>
      </c>
      <c r="Q93" s="22">
        <v>1</v>
      </c>
      <c r="R93" s="22">
        <v>0</v>
      </c>
      <c r="S93" s="22">
        <v>0</v>
      </c>
      <c r="T93" s="22">
        <v>0</v>
      </c>
      <c r="U93" s="22">
        <v>0</v>
      </c>
      <c r="V93" s="22">
        <v>44</v>
      </c>
      <c r="W93" s="22">
        <v>10</v>
      </c>
      <c r="X93" s="22">
        <v>2</v>
      </c>
      <c r="Y93" s="22">
        <v>2</v>
      </c>
      <c r="Z93" s="22">
        <v>4</v>
      </c>
      <c r="AA93" s="22">
        <v>0</v>
      </c>
      <c r="AB93" s="22">
        <v>0</v>
      </c>
      <c r="AC93" s="22">
        <v>0</v>
      </c>
      <c r="AD93" s="22">
        <v>0</v>
      </c>
      <c r="AE93" s="22">
        <v>0</v>
      </c>
      <c r="AF93" s="22">
        <v>0</v>
      </c>
      <c r="AG93" s="22">
        <v>0</v>
      </c>
      <c r="AH93" s="22">
        <v>0</v>
      </c>
      <c r="AI93" s="22">
        <v>0</v>
      </c>
      <c r="AJ93" s="22">
        <v>1</v>
      </c>
      <c r="AK93" s="22">
        <v>20</v>
      </c>
      <c r="AL93" s="22">
        <v>7</v>
      </c>
      <c r="AM93" s="22">
        <v>0</v>
      </c>
      <c r="AN93" s="21">
        <v>0</v>
      </c>
      <c r="AO93" s="21">
        <v>0</v>
      </c>
      <c r="AP93" s="21">
        <v>0</v>
      </c>
      <c r="AQ93" s="22">
        <v>65</v>
      </c>
      <c r="AR93" s="22">
        <v>9</v>
      </c>
      <c r="AS93" s="21">
        <v>0</v>
      </c>
      <c r="AT93" s="21">
        <v>0</v>
      </c>
      <c r="AU93" s="22">
        <v>7</v>
      </c>
    </row>
    <row r="94" spans="1:48">
      <c r="A94" s="23" t="s">
        <v>346</v>
      </c>
      <c r="B94" s="19" t="s">
        <v>347</v>
      </c>
      <c r="C94" s="19" t="s">
        <v>348</v>
      </c>
      <c r="D94" s="20">
        <f t="shared" si="2"/>
        <v>869</v>
      </c>
      <c r="E94" s="22">
        <v>58</v>
      </c>
      <c r="F94" s="22">
        <v>287</v>
      </c>
      <c r="G94" s="22">
        <v>24</v>
      </c>
      <c r="H94" s="22">
        <v>15</v>
      </c>
      <c r="I94" s="22">
        <v>8</v>
      </c>
      <c r="J94" s="22">
        <v>7</v>
      </c>
      <c r="K94" s="22">
        <v>0</v>
      </c>
      <c r="L94" s="22">
        <v>34</v>
      </c>
      <c r="M94" s="22">
        <v>9</v>
      </c>
      <c r="N94" s="22">
        <v>6</v>
      </c>
      <c r="O94" s="22">
        <v>9</v>
      </c>
      <c r="P94" s="22">
        <v>0</v>
      </c>
      <c r="Q94" s="22">
        <v>3</v>
      </c>
      <c r="R94" s="22">
        <v>12</v>
      </c>
      <c r="S94" s="22">
        <v>6</v>
      </c>
      <c r="T94" s="22">
        <v>6</v>
      </c>
      <c r="U94" s="22">
        <v>5</v>
      </c>
      <c r="V94" s="22">
        <v>15</v>
      </c>
      <c r="W94" s="22">
        <v>9</v>
      </c>
      <c r="X94" s="22">
        <v>16</v>
      </c>
      <c r="Y94" s="22">
        <v>11</v>
      </c>
      <c r="Z94" s="22">
        <v>20</v>
      </c>
      <c r="AA94" s="22">
        <v>21</v>
      </c>
      <c r="AB94" s="22">
        <v>3</v>
      </c>
      <c r="AC94" s="22">
        <v>15</v>
      </c>
      <c r="AD94" s="22">
        <v>5</v>
      </c>
      <c r="AE94" s="22">
        <v>7</v>
      </c>
      <c r="AF94" s="22">
        <v>7</v>
      </c>
      <c r="AG94" s="22">
        <v>4</v>
      </c>
      <c r="AH94" s="22">
        <v>45</v>
      </c>
      <c r="AI94" s="22">
        <v>12</v>
      </c>
      <c r="AJ94" s="22">
        <v>8</v>
      </c>
      <c r="AK94" s="22">
        <v>32</v>
      </c>
      <c r="AL94" s="22">
        <v>16</v>
      </c>
      <c r="AM94" s="22">
        <v>5</v>
      </c>
      <c r="AN94" s="22">
        <v>3</v>
      </c>
      <c r="AO94" s="22">
        <v>4</v>
      </c>
      <c r="AP94" s="22">
        <v>7</v>
      </c>
      <c r="AQ94" s="22">
        <v>67</v>
      </c>
      <c r="AR94" s="22">
        <v>11</v>
      </c>
      <c r="AS94" s="22">
        <v>15</v>
      </c>
      <c r="AT94" s="22">
        <v>4</v>
      </c>
      <c r="AU94" s="22">
        <v>18</v>
      </c>
    </row>
    <row r="95" spans="1:48">
      <c r="A95" s="23" t="s">
        <v>349</v>
      </c>
      <c r="B95" s="19" t="s">
        <v>350</v>
      </c>
      <c r="C95" s="19" t="s">
        <v>351</v>
      </c>
      <c r="D95" s="20">
        <f t="shared" si="2"/>
        <v>32</v>
      </c>
      <c r="E95" s="22">
        <v>0</v>
      </c>
      <c r="F95" s="22">
        <v>0</v>
      </c>
      <c r="G95" s="22">
        <v>0</v>
      </c>
      <c r="H95" s="22">
        <v>0</v>
      </c>
      <c r="I95" s="22">
        <v>0</v>
      </c>
      <c r="J95" s="22">
        <v>0</v>
      </c>
      <c r="K95" s="22">
        <v>32</v>
      </c>
      <c r="L95" s="21">
        <v>0</v>
      </c>
      <c r="M95" s="21">
        <v>0</v>
      </c>
      <c r="N95" s="21">
        <v>0</v>
      </c>
      <c r="O95" s="21">
        <v>0</v>
      </c>
      <c r="P95" s="22">
        <v>0</v>
      </c>
      <c r="Q95" s="21">
        <v>0</v>
      </c>
      <c r="R95" s="21">
        <v>0</v>
      </c>
      <c r="S95" s="21">
        <v>0</v>
      </c>
      <c r="T95" s="21">
        <v>0</v>
      </c>
      <c r="U95" s="21">
        <v>0</v>
      </c>
      <c r="V95" s="21">
        <v>0</v>
      </c>
      <c r="W95" s="21">
        <v>0</v>
      </c>
      <c r="X95" s="21">
        <v>0</v>
      </c>
      <c r="Y95" s="21">
        <v>0</v>
      </c>
      <c r="Z95" s="21">
        <v>0</v>
      </c>
      <c r="AA95" s="21">
        <v>0</v>
      </c>
      <c r="AB95" s="21">
        <v>0</v>
      </c>
      <c r="AC95" s="21">
        <v>0</v>
      </c>
      <c r="AD95" s="21">
        <v>0</v>
      </c>
      <c r="AE95" s="21">
        <v>0</v>
      </c>
      <c r="AF95" s="21">
        <v>0</v>
      </c>
      <c r="AG95" s="21">
        <v>0</v>
      </c>
      <c r="AH95" s="21">
        <v>0</v>
      </c>
      <c r="AI95" s="21">
        <v>0</v>
      </c>
      <c r="AJ95" s="21">
        <v>0</v>
      </c>
      <c r="AK95" s="21">
        <v>0</v>
      </c>
      <c r="AL95" s="21">
        <v>0</v>
      </c>
      <c r="AM95" s="21">
        <v>0</v>
      </c>
      <c r="AN95" s="21">
        <v>0</v>
      </c>
      <c r="AO95" s="21">
        <v>0</v>
      </c>
      <c r="AP95" s="21">
        <v>0</v>
      </c>
      <c r="AQ95" s="21">
        <v>0</v>
      </c>
      <c r="AR95" s="21">
        <v>0</v>
      </c>
      <c r="AS95" s="21">
        <v>0</v>
      </c>
      <c r="AT95" s="21">
        <v>0</v>
      </c>
      <c r="AU95" s="21">
        <v>0</v>
      </c>
    </row>
    <row r="96" spans="1:48">
      <c r="A96" s="23" t="s">
        <v>352</v>
      </c>
      <c r="B96" s="19" t="s">
        <v>353</v>
      </c>
      <c r="C96" s="19" t="s">
        <v>242</v>
      </c>
      <c r="D96" s="20">
        <f t="shared" si="2"/>
        <v>7</v>
      </c>
      <c r="E96" s="22">
        <v>1</v>
      </c>
      <c r="F96" s="22">
        <v>1</v>
      </c>
      <c r="G96" s="22">
        <v>1</v>
      </c>
      <c r="H96" s="22">
        <v>0</v>
      </c>
      <c r="I96" s="22">
        <v>0</v>
      </c>
      <c r="J96" s="22">
        <v>0</v>
      </c>
      <c r="K96" s="22">
        <v>1</v>
      </c>
      <c r="L96" s="22">
        <v>0</v>
      </c>
      <c r="M96" s="22">
        <v>0</v>
      </c>
      <c r="N96" s="22">
        <v>0</v>
      </c>
      <c r="O96" s="22">
        <v>0</v>
      </c>
      <c r="P96" s="22">
        <v>0</v>
      </c>
      <c r="Q96" s="22">
        <v>0</v>
      </c>
      <c r="R96" s="22">
        <v>0</v>
      </c>
      <c r="S96" s="22">
        <v>0</v>
      </c>
      <c r="T96" s="22">
        <v>0</v>
      </c>
      <c r="U96" s="22">
        <v>0</v>
      </c>
      <c r="V96" s="22">
        <v>1</v>
      </c>
      <c r="W96" s="22">
        <v>0</v>
      </c>
      <c r="X96" s="22">
        <v>0</v>
      </c>
      <c r="Y96" s="22">
        <v>0</v>
      </c>
      <c r="Z96" s="22">
        <v>0</v>
      </c>
      <c r="AA96" s="22">
        <v>0</v>
      </c>
      <c r="AB96" s="21">
        <v>0</v>
      </c>
      <c r="AC96" s="21">
        <v>0</v>
      </c>
      <c r="AD96" s="21">
        <v>0</v>
      </c>
      <c r="AE96" s="21">
        <v>0</v>
      </c>
      <c r="AF96" s="21">
        <v>0</v>
      </c>
      <c r="AG96" s="21">
        <v>0</v>
      </c>
      <c r="AH96" s="21">
        <v>0</v>
      </c>
      <c r="AI96" s="21">
        <v>0</v>
      </c>
      <c r="AJ96" s="21">
        <v>0</v>
      </c>
      <c r="AK96" s="21">
        <v>0</v>
      </c>
      <c r="AL96" s="21">
        <v>0</v>
      </c>
      <c r="AM96" s="21">
        <v>0</v>
      </c>
      <c r="AN96" s="21">
        <v>0</v>
      </c>
      <c r="AO96" s="21">
        <v>0</v>
      </c>
      <c r="AP96" s="21">
        <v>0</v>
      </c>
      <c r="AQ96" s="22">
        <v>1</v>
      </c>
      <c r="AR96" s="22">
        <v>1</v>
      </c>
      <c r="AS96" s="21">
        <v>0</v>
      </c>
      <c r="AT96" s="21">
        <v>0</v>
      </c>
      <c r="AU96" s="21">
        <v>0</v>
      </c>
    </row>
    <row r="97" spans="1:48">
      <c r="A97" s="23" t="s">
        <v>354</v>
      </c>
      <c r="B97" s="19" t="s">
        <v>355</v>
      </c>
      <c r="C97" s="19" t="s">
        <v>356</v>
      </c>
      <c r="D97" s="20">
        <f t="shared" si="2"/>
        <v>173</v>
      </c>
      <c r="E97" s="22">
        <v>21</v>
      </c>
      <c r="F97" s="22">
        <v>93</v>
      </c>
      <c r="G97" s="22">
        <v>6</v>
      </c>
      <c r="H97" s="22">
        <v>0</v>
      </c>
      <c r="I97" s="22">
        <v>0</v>
      </c>
      <c r="J97" s="22">
        <v>0</v>
      </c>
      <c r="K97" s="22">
        <v>5</v>
      </c>
      <c r="L97" s="22">
        <v>8</v>
      </c>
      <c r="M97" s="22">
        <v>0</v>
      </c>
      <c r="N97" s="22">
        <v>0</v>
      </c>
      <c r="O97" s="22">
        <v>0</v>
      </c>
      <c r="P97" s="22">
        <v>0</v>
      </c>
      <c r="Q97" s="22">
        <v>0</v>
      </c>
      <c r="R97" s="22">
        <v>0</v>
      </c>
      <c r="S97" s="22">
        <v>0</v>
      </c>
      <c r="T97" s="22">
        <v>0</v>
      </c>
      <c r="U97" s="22">
        <v>0</v>
      </c>
      <c r="V97" s="22">
        <v>10</v>
      </c>
      <c r="W97" s="22">
        <v>1</v>
      </c>
      <c r="X97" s="22">
        <v>0</v>
      </c>
      <c r="Y97" s="22">
        <v>0</v>
      </c>
      <c r="Z97" s="22">
        <v>0</v>
      </c>
      <c r="AA97" s="22">
        <v>3</v>
      </c>
      <c r="AB97" s="22">
        <v>0</v>
      </c>
      <c r="AC97" s="22">
        <v>0</v>
      </c>
      <c r="AD97" s="22">
        <v>0</v>
      </c>
      <c r="AE97" s="22">
        <v>0</v>
      </c>
      <c r="AF97" s="22">
        <v>0</v>
      </c>
      <c r="AG97" s="22">
        <v>0</v>
      </c>
      <c r="AH97" s="22">
        <v>0</v>
      </c>
      <c r="AI97" s="22">
        <v>0</v>
      </c>
      <c r="AJ97" s="22">
        <v>0</v>
      </c>
      <c r="AK97" s="21">
        <v>6</v>
      </c>
      <c r="AL97" s="22">
        <v>0</v>
      </c>
      <c r="AM97" s="22">
        <v>0</v>
      </c>
      <c r="AN97" s="22">
        <v>0</v>
      </c>
      <c r="AO97" s="22">
        <v>0</v>
      </c>
      <c r="AP97" s="22">
        <v>0</v>
      </c>
      <c r="AQ97" s="22">
        <v>17</v>
      </c>
      <c r="AR97" s="22">
        <v>3</v>
      </c>
      <c r="AS97" s="22">
        <v>0</v>
      </c>
      <c r="AT97" s="22">
        <v>0</v>
      </c>
      <c r="AU97" s="22">
        <v>0</v>
      </c>
    </row>
    <row r="98" spans="1:48">
      <c r="A98" s="23" t="s">
        <v>357</v>
      </c>
      <c r="B98" s="19" t="s">
        <v>358</v>
      </c>
      <c r="C98" s="19" t="s">
        <v>359</v>
      </c>
      <c r="D98" s="20">
        <f t="shared" si="2"/>
        <v>0</v>
      </c>
      <c r="E98" s="21">
        <v>0</v>
      </c>
      <c r="F98" s="21">
        <v>0</v>
      </c>
      <c r="G98" s="21">
        <v>0</v>
      </c>
      <c r="H98" s="21">
        <v>0</v>
      </c>
      <c r="I98" s="21">
        <v>0</v>
      </c>
      <c r="J98" s="21">
        <v>0</v>
      </c>
      <c r="K98" s="21">
        <v>0</v>
      </c>
      <c r="L98" s="21">
        <v>0</v>
      </c>
      <c r="M98" s="21">
        <v>0</v>
      </c>
      <c r="N98" s="21">
        <v>0</v>
      </c>
      <c r="O98" s="21">
        <v>0</v>
      </c>
      <c r="P98" s="22">
        <v>0</v>
      </c>
      <c r="Q98" s="21">
        <v>0</v>
      </c>
      <c r="R98" s="21">
        <v>0</v>
      </c>
      <c r="S98" s="21">
        <v>0</v>
      </c>
      <c r="T98" s="21">
        <v>0</v>
      </c>
      <c r="U98" s="21">
        <v>0</v>
      </c>
      <c r="V98" s="21">
        <v>0</v>
      </c>
      <c r="W98" s="21">
        <v>0</v>
      </c>
      <c r="X98" s="21">
        <v>0</v>
      </c>
      <c r="Y98" s="21">
        <v>0</v>
      </c>
      <c r="Z98" s="21">
        <v>0</v>
      </c>
      <c r="AA98" s="21">
        <v>0</v>
      </c>
      <c r="AB98" s="21">
        <v>0</v>
      </c>
      <c r="AC98" s="21">
        <v>0</v>
      </c>
      <c r="AD98" s="21">
        <v>0</v>
      </c>
      <c r="AE98" s="21">
        <v>0</v>
      </c>
      <c r="AF98" s="21">
        <v>0</v>
      </c>
      <c r="AG98" s="21">
        <v>0</v>
      </c>
      <c r="AH98" s="21">
        <v>0</v>
      </c>
      <c r="AI98" s="21">
        <v>0</v>
      </c>
      <c r="AJ98" s="21">
        <v>0</v>
      </c>
      <c r="AK98" s="21">
        <v>0</v>
      </c>
      <c r="AL98" s="21">
        <v>0</v>
      </c>
      <c r="AM98" s="21">
        <v>0</v>
      </c>
      <c r="AN98" s="21">
        <v>0</v>
      </c>
      <c r="AO98" s="21">
        <v>0</v>
      </c>
      <c r="AP98" s="21">
        <v>0</v>
      </c>
      <c r="AQ98" s="21">
        <v>0</v>
      </c>
      <c r="AR98" s="21">
        <v>0</v>
      </c>
      <c r="AS98" s="21">
        <v>0</v>
      </c>
      <c r="AT98" s="21">
        <v>0</v>
      </c>
      <c r="AU98" s="21">
        <v>0</v>
      </c>
    </row>
    <row r="99" spans="1:48" ht="48">
      <c r="A99" s="23" t="s">
        <v>360</v>
      </c>
      <c r="B99" s="19" t="s">
        <v>361</v>
      </c>
      <c r="C99" s="19" t="s">
        <v>362</v>
      </c>
      <c r="D99" s="20">
        <f t="shared" si="2"/>
        <v>0</v>
      </c>
      <c r="E99" s="21">
        <v>0</v>
      </c>
      <c r="F99" s="21">
        <v>0</v>
      </c>
      <c r="G99" s="21">
        <v>0</v>
      </c>
      <c r="H99" s="21">
        <v>0</v>
      </c>
      <c r="I99" s="21">
        <v>0</v>
      </c>
      <c r="J99" s="21">
        <v>0</v>
      </c>
      <c r="K99" s="21">
        <v>0</v>
      </c>
      <c r="L99" s="21">
        <v>0</v>
      </c>
      <c r="M99" s="21">
        <v>0</v>
      </c>
      <c r="N99" s="21">
        <v>0</v>
      </c>
      <c r="O99" s="21">
        <v>0</v>
      </c>
      <c r="P99" s="21">
        <v>0</v>
      </c>
      <c r="Q99" s="21">
        <v>0</v>
      </c>
      <c r="R99" s="21">
        <v>0</v>
      </c>
      <c r="S99" s="21">
        <v>0</v>
      </c>
      <c r="T99" s="21">
        <v>0</v>
      </c>
      <c r="U99" s="21">
        <v>0</v>
      </c>
      <c r="V99" s="21">
        <v>0</v>
      </c>
      <c r="W99" s="21">
        <v>0</v>
      </c>
      <c r="X99" s="21">
        <v>0</v>
      </c>
      <c r="Y99" s="21">
        <v>0</v>
      </c>
      <c r="Z99" s="21">
        <v>0</v>
      </c>
      <c r="AA99" s="21">
        <v>0</v>
      </c>
      <c r="AB99" s="21">
        <v>0</v>
      </c>
      <c r="AC99" s="21">
        <v>0</v>
      </c>
      <c r="AD99" s="21">
        <v>0</v>
      </c>
      <c r="AE99" s="21">
        <v>0</v>
      </c>
      <c r="AF99" s="21">
        <v>0</v>
      </c>
      <c r="AG99" s="21">
        <v>0</v>
      </c>
      <c r="AH99" s="21">
        <v>0</v>
      </c>
      <c r="AI99" s="21">
        <v>0</v>
      </c>
      <c r="AJ99" s="21">
        <v>0</v>
      </c>
      <c r="AK99" s="21">
        <v>0</v>
      </c>
      <c r="AL99" s="21">
        <v>0</v>
      </c>
      <c r="AM99" s="21">
        <v>0</v>
      </c>
      <c r="AN99" s="21">
        <v>0</v>
      </c>
      <c r="AO99" s="21">
        <v>0</v>
      </c>
      <c r="AP99" s="21">
        <v>0</v>
      </c>
      <c r="AQ99" s="21">
        <v>0</v>
      </c>
      <c r="AR99" s="21">
        <v>0</v>
      </c>
      <c r="AS99" s="21">
        <v>0</v>
      </c>
      <c r="AT99" s="21">
        <v>0</v>
      </c>
      <c r="AU99" s="21">
        <v>0</v>
      </c>
    </row>
    <row r="100" spans="1:48">
      <c r="A100" s="23" t="s">
        <v>363</v>
      </c>
      <c r="B100" s="19" t="s">
        <v>364</v>
      </c>
      <c r="C100" s="19" t="s">
        <v>365</v>
      </c>
      <c r="D100" s="20">
        <f t="shared" si="2"/>
        <v>0</v>
      </c>
      <c r="E100" s="21">
        <v>0</v>
      </c>
      <c r="F100" s="21">
        <v>0</v>
      </c>
      <c r="G100" s="21">
        <v>0</v>
      </c>
      <c r="H100" s="21">
        <v>0</v>
      </c>
      <c r="I100" s="21">
        <v>0</v>
      </c>
      <c r="J100" s="21">
        <v>0</v>
      </c>
      <c r="K100" s="21">
        <v>0</v>
      </c>
      <c r="L100" s="21">
        <v>0</v>
      </c>
      <c r="M100" s="21">
        <v>0</v>
      </c>
      <c r="N100" s="21">
        <v>0</v>
      </c>
      <c r="O100" s="21">
        <v>0</v>
      </c>
      <c r="P100" s="21">
        <v>0</v>
      </c>
      <c r="Q100" s="21">
        <v>0</v>
      </c>
      <c r="R100" s="21">
        <v>0</v>
      </c>
      <c r="S100" s="21">
        <v>0</v>
      </c>
      <c r="T100" s="21">
        <v>0</v>
      </c>
      <c r="U100" s="21">
        <v>0</v>
      </c>
      <c r="V100" s="21">
        <v>0</v>
      </c>
      <c r="W100" s="21">
        <v>0</v>
      </c>
      <c r="X100" s="21">
        <v>0</v>
      </c>
      <c r="Y100" s="21">
        <v>0</v>
      </c>
      <c r="Z100" s="21">
        <v>0</v>
      </c>
      <c r="AA100" s="21">
        <v>0</v>
      </c>
      <c r="AB100" s="21">
        <v>0</v>
      </c>
      <c r="AC100" s="21">
        <v>0</v>
      </c>
      <c r="AD100" s="21">
        <v>0</v>
      </c>
      <c r="AE100" s="21">
        <v>0</v>
      </c>
      <c r="AF100" s="21">
        <v>0</v>
      </c>
      <c r="AG100" s="21">
        <v>0</v>
      </c>
      <c r="AH100" s="21">
        <v>0</v>
      </c>
      <c r="AI100" s="21">
        <v>0</v>
      </c>
      <c r="AJ100" s="21">
        <v>0</v>
      </c>
      <c r="AK100" s="21">
        <v>0</v>
      </c>
      <c r="AL100" s="21">
        <v>0</v>
      </c>
      <c r="AM100" s="21">
        <v>0</v>
      </c>
      <c r="AN100" s="21">
        <v>0</v>
      </c>
      <c r="AO100" s="21">
        <v>0</v>
      </c>
      <c r="AP100" s="21">
        <v>0</v>
      </c>
      <c r="AQ100" s="21">
        <v>0</v>
      </c>
      <c r="AR100" s="21">
        <v>0</v>
      </c>
      <c r="AS100" s="21">
        <v>0</v>
      </c>
      <c r="AT100" s="21">
        <v>0</v>
      </c>
      <c r="AU100" s="21">
        <v>0</v>
      </c>
    </row>
    <row r="101" spans="1:48">
      <c r="A101" s="23" t="s">
        <v>366</v>
      </c>
      <c r="B101" s="19" t="s">
        <v>367</v>
      </c>
      <c r="C101" s="19" t="s">
        <v>368</v>
      </c>
      <c r="D101" s="20">
        <f t="shared" si="2"/>
        <v>0</v>
      </c>
      <c r="E101" s="21">
        <v>0</v>
      </c>
      <c r="F101" s="21">
        <v>0</v>
      </c>
      <c r="G101" s="21">
        <v>0</v>
      </c>
      <c r="H101" s="21">
        <v>0</v>
      </c>
      <c r="I101" s="21">
        <v>0</v>
      </c>
      <c r="J101" s="21">
        <v>0</v>
      </c>
      <c r="K101" s="21">
        <v>0</v>
      </c>
      <c r="L101" s="21">
        <v>0</v>
      </c>
      <c r="M101" s="21">
        <v>0</v>
      </c>
      <c r="N101" s="21">
        <v>0</v>
      </c>
      <c r="O101" s="21">
        <v>0</v>
      </c>
      <c r="P101" s="21">
        <v>0</v>
      </c>
      <c r="Q101" s="21">
        <v>0</v>
      </c>
      <c r="R101" s="21">
        <v>0</v>
      </c>
      <c r="S101" s="21">
        <v>0</v>
      </c>
      <c r="T101" s="21">
        <v>0</v>
      </c>
      <c r="U101" s="21">
        <v>0</v>
      </c>
      <c r="V101" s="21">
        <v>0</v>
      </c>
      <c r="W101" s="21">
        <v>0</v>
      </c>
      <c r="X101" s="21">
        <v>0</v>
      </c>
      <c r="Y101" s="21">
        <v>0</v>
      </c>
      <c r="Z101" s="21">
        <v>0</v>
      </c>
      <c r="AA101" s="21">
        <v>0</v>
      </c>
      <c r="AB101" s="21">
        <v>0</v>
      </c>
      <c r="AC101" s="21">
        <v>0</v>
      </c>
      <c r="AD101" s="21">
        <v>0</v>
      </c>
      <c r="AE101" s="21">
        <v>0</v>
      </c>
      <c r="AF101" s="21">
        <v>0</v>
      </c>
      <c r="AG101" s="21">
        <v>0</v>
      </c>
      <c r="AH101" s="21">
        <v>0</v>
      </c>
      <c r="AI101" s="21">
        <v>0</v>
      </c>
      <c r="AJ101" s="21">
        <v>0</v>
      </c>
      <c r="AK101" s="21">
        <v>0</v>
      </c>
      <c r="AL101" s="21">
        <v>0</v>
      </c>
      <c r="AM101" s="21">
        <v>0</v>
      </c>
      <c r="AN101" s="21">
        <v>0</v>
      </c>
      <c r="AO101" s="21">
        <v>0</v>
      </c>
      <c r="AP101" s="21">
        <v>0</v>
      </c>
      <c r="AQ101" s="21">
        <v>0</v>
      </c>
      <c r="AR101" s="21">
        <v>0</v>
      </c>
      <c r="AS101" s="21">
        <v>0</v>
      </c>
      <c r="AT101" s="21">
        <v>0</v>
      </c>
      <c r="AU101" s="21">
        <v>0</v>
      </c>
      <c r="AV101" s="79"/>
    </row>
    <row r="102" spans="1:48" ht="32.1">
      <c r="A102" s="23" t="s">
        <v>357</v>
      </c>
      <c r="B102" s="19" t="s">
        <v>369</v>
      </c>
      <c r="C102" s="19" t="s">
        <v>370</v>
      </c>
      <c r="D102" s="20">
        <f t="shared" si="2"/>
        <v>0</v>
      </c>
      <c r="E102" s="21">
        <v>0</v>
      </c>
      <c r="F102" s="21">
        <v>0</v>
      </c>
      <c r="G102" s="21">
        <v>0</v>
      </c>
      <c r="H102" s="21">
        <v>0</v>
      </c>
      <c r="I102" s="21">
        <v>0</v>
      </c>
      <c r="J102" s="21">
        <v>0</v>
      </c>
      <c r="K102" s="21">
        <v>0</v>
      </c>
      <c r="L102" s="21">
        <v>0</v>
      </c>
      <c r="M102" s="21">
        <v>0</v>
      </c>
      <c r="N102" s="21">
        <v>0</v>
      </c>
      <c r="O102" s="21">
        <v>0</v>
      </c>
      <c r="P102" s="21">
        <v>0</v>
      </c>
      <c r="Q102" s="21">
        <v>0</v>
      </c>
      <c r="R102" s="21">
        <v>0</v>
      </c>
      <c r="S102" s="21">
        <v>0</v>
      </c>
      <c r="T102" s="21">
        <v>0</v>
      </c>
      <c r="U102" s="21">
        <v>0</v>
      </c>
      <c r="V102" s="21">
        <v>0</v>
      </c>
      <c r="W102" s="21">
        <v>0</v>
      </c>
      <c r="X102" s="21">
        <v>0</v>
      </c>
      <c r="Y102" s="21">
        <v>0</v>
      </c>
      <c r="Z102" s="21">
        <v>0</v>
      </c>
      <c r="AA102" s="21">
        <v>0</v>
      </c>
      <c r="AB102" s="21">
        <v>0</v>
      </c>
      <c r="AC102" s="21">
        <v>0</v>
      </c>
      <c r="AD102" s="21">
        <v>0</v>
      </c>
      <c r="AE102" s="21">
        <v>0</v>
      </c>
      <c r="AF102" s="21">
        <v>0</v>
      </c>
      <c r="AG102" s="21">
        <v>0</v>
      </c>
      <c r="AH102" s="21">
        <v>0</v>
      </c>
      <c r="AI102" s="21">
        <v>0</v>
      </c>
      <c r="AJ102" s="21">
        <v>0</v>
      </c>
      <c r="AK102" s="21">
        <v>0</v>
      </c>
      <c r="AL102" s="21">
        <v>0</v>
      </c>
      <c r="AM102" s="21">
        <v>0</v>
      </c>
      <c r="AN102" s="21">
        <v>0</v>
      </c>
      <c r="AO102" s="21">
        <v>0</v>
      </c>
      <c r="AP102" s="21">
        <v>0</v>
      </c>
      <c r="AQ102" s="21">
        <v>0</v>
      </c>
      <c r="AR102" s="21">
        <v>0</v>
      </c>
      <c r="AS102" s="21">
        <v>0</v>
      </c>
      <c r="AT102" s="21">
        <v>0</v>
      </c>
      <c r="AU102" s="21">
        <v>0</v>
      </c>
    </row>
    <row r="103" spans="1:48">
      <c r="A103" s="24" t="s">
        <v>371</v>
      </c>
      <c r="B103" s="25"/>
      <c r="C103" s="25"/>
      <c r="D103" s="16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28"/>
      <c r="AQ103" s="28"/>
      <c r="AR103" s="28"/>
      <c r="AS103" s="28"/>
      <c r="AT103" s="28"/>
      <c r="AU103" s="28"/>
    </row>
    <row r="104" spans="1:48">
      <c r="A104" s="23" t="s">
        <v>372</v>
      </c>
      <c r="B104" s="19" t="s">
        <v>373</v>
      </c>
      <c r="C104" s="19" t="s">
        <v>374</v>
      </c>
      <c r="D104" s="20">
        <f t="shared" ref="D104:D110" si="3">SUM(E104:AU104)</f>
        <v>28</v>
      </c>
      <c r="E104" s="22">
        <v>3</v>
      </c>
      <c r="F104" s="22">
        <v>14</v>
      </c>
      <c r="G104" s="22">
        <v>1</v>
      </c>
      <c r="H104" s="22">
        <v>0</v>
      </c>
      <c r="I104" s="22">
        <v>1</v>
      </c>
      <c r="J104" s="22">
        <v>0</v>
      </c>
      <c r="K104" s="22">
        <v>2</v>
      </c>
      <c r="L104" s="22">
        <v>2</v>
      </c>
      <c r="M104" s="22">
        <v>0</v>
      </c>
      <c r="N104" s="22">
        <v>0</v>
      </c>
      <c r="O104" s="22">
        <v>0</v>
      </c>
      <c r="P104" s="22">
        <v>0</v>
      </c>
      <c r="Q104" s="22">
        <v>0</v>
      </c>
      <c r="R104" s="22">
        <v>0</v>
      </c>
      <c r="S104" s="22">
        <v>0</v>
      </c>
      <c r="T104" s="22">
        <v>0</v>
      </c>
      <c r="U104" s="22">
        <v>0</v>
      </c>
      <c r="V104" s="22">
        <v>3</v>
      </c>
      <c r="W104" s="22">
        <v>0</v>
      </c>
      <c r="X104" s="22">
        <v>0</v>
      </c>
      <c r="Y104" s="22">
        <v>0</v>
      </c>
      <c r="Z104" s="22">
        <v>0</v>
      </c>
      <c r="AA104" s="22">
        <v>0</v>
      </c>
      <c r="AB104" s="22">
        <v>0</v>
      </c>
      <c r="AC104" s="22">
        <v>0</v>
      </c>
      <c r="AD104" s="22">
        <v>0</v>
      </c>
      <c r="AE104" s="22">
        <v>0</v>
      </c>
      <c r="AF104" s="22">
        <v>0</v>
      </c>
      <c r="AG104" s="22">
        <v>0</v>
      </c>
      <c r="AH104" s="22">
        <v>0</v>
      </c>
      <c r="AI104" s="22">
        <v>0</v>
      </c>
      <c r="AJ104" s="22">
        <v>0</v>
      </c>
      <c r="AK104" s="22">
        <v>0</v>
      </c>
      <c r="AL104" s="22">
        <v>0</v>
      </c>
      <c r="AM104" s="22">
        <v>0</v>
      </c>
      <c r="AN104" s="22">
        <v>0</v>
      </c>
      <c r="AO104" s="22">
        <v>0</v>
      </c>
      <c r="AP104" s="22">
        <v>0</v>
      </c>
      <c r="AQ104" s="22">
        <v>0</v>
      </c>
      <c r="AR104" s="22">
        <v>2</v>
      </c>
      <c r="AS104" s="22">
        <v>0</v>
      </c>
      <c r="AT104" s="22">
        <v>0</v>
      </c>
      <c r="AU104" s="22">
        <v>0</v>
      </c>
    </row>
    <row r="105" spans="1:48">
      <c r="A105" s="23" t="s">
        <v>372</v>
      </c>
      <c r="B105" s="19" t="s">
        <v>375</v>
      </c>
      <c r="C105" s="19" t="s">
        <v>374</v>
      </c>
      <c r="D105" s="20">
        <f t="shared" si="3"/>
        <v>4</v>
      </c>
      <c r="E105" s="22">
        <v>0</v>
      </c>
      <c r="F105" s="22">
        <v>0</v>
      </c>
      <c r="G105" s="22">
        <v>0</v>
      </c>
      <c r="H105" s="22">
        <v>0</v>
      </c>
      <c r="I105" s="22">
        <v>0</v>
      </c>
      <c r="J105" s="22">
        <v>0</v>
      </c>
      <c r="K105" s="22">
        <v>0</v>
      </c>
      <c r="L105" s="22">
        <v>0</v>
      </c>
      <c r="M105" s="22">
        <v>0</v>
      </c>
      <c r="N105" s="22">
        <v>0</v>
      </c>
      <c r="O105" s="22">
        <v>0</v>
      </c>
      <c r="P105" s="22">
        <v>0</v>
      </c>
      <c r="Q105" s="22">
        <v>0</v>
      </c>
      <c r="R105" s="22">
        <v>0</v>
      </c>
      <c r="S105" s="22">
        <v>0</v>
      </c>
      <c r="T105" s="22">
        <v>0</v>
      </c>
      <c r="U105" s="22">
        <v>0</v>
      </c>
      <c r="V105" s="22">
        <v>0</v>
      </c>
      <c r="W105" s="22">
        <v>0</v>
      </c>
      <c r="X105" s="22">
        <v>0</v>
      </c>
      <c r="Y105" s="22">
        <v>0</v>
      </c>
      <c r="Z105" s="22">
        <v>0</v>
      </c>
      <c r="AA105" s="22">
        <v>0</v>
      </c>
      <c r="AB105" s="22">
        <v>0</v>
      </c>
      <c r="AC105" s="22">
        <v>0</v>
      </c>
      <c r="AD105" s="22">
        <v>0</v>
      </c>
      <c r="AE105" s="22">
        <v>0</v>
      </c>
      <c r="AF105" s="22">
        <v>0</v>
      </c>
      <c r="AG105" s="22">
        <v>0</v>
      </c>
      <c r="AH105" s="22">
        <v>0</v>
      </c>
      <c r="AI105" s="22">
        <v>0</v>
      </c>
      <c r="AJ105" s="22">
        <v>0</v>
      </c>
      <c r="AK105" s="22">
        <v>0</v>
      </c>
      <c r="AL105" s="22">
        <v>0</v>
      </c>
      <c r="AM105" s="22">
        <v>0</v>
      </c>
      <c r="AN105" s="22">
        <v>0</v>
      </c>
      <c r="AO105" s="22">
        <v>0</v>
      </c>
      <c r="AP105" s="22">
        <v>0</v>
      </c>
      <c r="AQ105" s="22">
        <v>4</v>
      </c>
      <c r="AR105" s="22">
        <v>0</v>
      </c>
      <c r="AS105" s="22">
        <v>0</v>
      </c>
      <c r="AT105" s="22">
        <v>0</v>
      </c>
      <c r="AU105" s="22">
        <v>0</v>
      </c>
    </row>
    <row r="106" spans="1:48">
      <c r="A106" s="23" t="s">
        <v>372</v>
      </c>
      <c r="B106" s="19" t="s">
        <v>376</v>
      </c>
      <c r="C106" s="19" t="s">
        <v>374</v>
      </c>
      <c r="D106" s="20">
        <f t="shared" si="3"/>
        <v>0</v>
      </c>
      <c r="E106" s="22">
        <v>0</v>
      </c>
      <c r="F106" s="22">
        <v>0</v>
      </c>
      <c r="G106" s="22">
        <v>0</v>
      </c>
      <c r="H106" s="22">
        <v>0</v>
      </c>
      <c r="I106" s="22">
        <v>0</v>
      </c>
      <c r="J106" s="22">
        <v>0</v>
      </c>
      <c r="K106" s="22">
        <v>0</v>
      </c>
      <c r="L106" s="22">
        <v>0</v>
      </c>
      <c r="M106" s="22">
        <v>0</v>
      </c>
      <c r="N106" s="22">
        <v>0</v>
      </c>
      <c r="O106" s="22">
        <v>0</v>
      </c>
      <c r="P106" s="22">
        <v>0</v>
      </c>
      <c r="Q106" s="22">
        <v>0</v>
      </c>
      <c r="R106" s="22">
        <v>0</v>
      </c>
      <c r="S106" s="22">
        <v>0</v>
      </c>
      <c r="T106" s="22">
        <v>0</v>
      </c>
      <c r="U106" s="22">
        <v>0</v>
      </c>
      <c r="V106" s="22">
        <v>0</v>
      </c>
      <c r="W106" s="22">
        <v>0</v>
      </c>
      <c r="X106" s="22">
        <v>0</v>
      </c>
      <c r="Y106" s="22">
        <v>0</v>
      </c>
      <c r="Z106" s="22">
        <v>0</v>
      </c>
      <c r="AA106" s="22">
        <v>0</v>
      </c>
      <c r="AB106" s="22">
        <v>0</v>
      </c>
      <c r="AC106" s="22">
        <v>0</v>
      </c>
      <c r="AD106" s="22">
        <v>0</v>
      </c>
      <c r="AE106" s="22">
        <v>0</v>
      </c>
      <c r="AF106" s="22">
        <v>0</v>
      </c>
      <c r="AG106" s="22">
        <v>0</v>
      </c>
      <c r="AH106" s="22">
        <v>0</v>
      </c>
      <c r="AI106" s="22">
        <v>0</v>
      </c>
      <c r="AJ106" s="22">
        <v>0</v>
      </c>
      <c r="AK106" s="22">
        <v>0</v>
      </c>
      <c r="AL106" s="22">
        <v>0</v>
      </c>
      <c r="AM106" s="22">
        <v>0</v>
      </c>
      <c r="AN106" s="22">
        <v>0</v>
      </c>
      <c r="AO106" s="22">
        <v>0</v>
      </c>
      <c r="AP106" s="22">
        <v>0</v>
      </c>
      <c r="AQ106" s="22">
        <v>0</v>
      </c>
      <c r="AR106" s="22">
        <v>0</v>
      </c>
      <c r="AS106" s="22">
        <v>0</v>
      </c>
      <c r="AT106" s="22">
        <v>0</v>
      </c>
      <c r="AU106" s="22">
        <v>0</v>
      </c>
    </row>
    <row r="107" spans="1:48">
      <c r="A107" s="23" t="s">
        <v>377</v>
      </c>
      <c r="B107" s="19" t="s">
        <v>378</v>
      </c>
      <c r="C107" s="19" t="s">
        <v>379</v>
      </c>
      <c r="D107" s="20">
        <f t="shared" si="3"/>
        <v>0</v>
      </c>
      <c r="E107" s="22">
        <v>0</v>
      </c>
      <c r="F107" s="22">
        <v>0</v>
      </c>
      <c r="G107" s="22">
        <v>0</v>
      </c>
      <c r="H107" s="22">
        <v>0</v>
      </c>
      <c r="I107" s="22">
        <v>0</v>
      </c>
      <c r="J107" s="22">
        <v>0</v>
      </c>
      <c r="K107" s="22">
        <v>0</v>
      </c>
      <c r="L107" s="22">
        <v>0</v>
      </c>
      <c r="M107" s="22">
        <v>0</v>
      </c>
      <c r="N107" s="22">
        <v>0</v>
      </c>
      <c r="O107" s="22">
        <v>0</v>
      </c>
      <c r="P107" s="22">
        <v>0</v>
      </c>
      <c r="Q107" s="22">
        <v>0</v>
      </c>
      <c r="R107" s="22">
        <v>0</v>
      </c>
      <c r="S107" s="22">
        <v>0</v>
      </c>
      <c r="T107" s="22">
        <v>0</v>
      </c>
      <c r="U107" s="22">
        <v>0</v>
      </c>
      <c r="V107" s="22">
        <v>0</v>
      </c>
      <c r="W107" s="22">
        <v>0</v>
      </c>
      <c r="X107" s="22">
        <v>0</v>
      </c>
      <c r="Y107" s="22">
        <v>0</v>
      </c>
      <c r="Z107" s="22">
        <v>0</v>
      </c>
      <c r="AA107" s="22">
        <v>0</v>
      </c>
      <c r="AB107" s="22">
        <v>0</v>
      </c>
      <c r="AC107" s="22">
        <v>0</v>
      </c>
      <c r="AD107" s="22">
        <v>0</v>
      </c>
      <c r="AE107" s="22">
        <v>0</v>
      </c>
      <c r="AF107" s="22">
        <v>0</v>
      </c>
      <c r="AG107" s="22">
        <v>0</v>
      </c>
      <c r="AH107" s="22">
        <v>0</v>
      </c>
      <c r="AI107" s="22">
        <v>0</v>
      </c>
      <c r="AJ107" s="22">
        <v>0</v>
      </c>
      <c r="AK107" s="22">
        <v>0</v>
      </c>
      <c r="AL107" s="22">
        <v>0</v>
      </c>
      <c r="AM107" s="22">
        <v>0</v>
      </c>
      <c r="AN107" s="22">
        <v>0</v>
      </c>
      <c r="AO107" s="22">
        <v>0</v>
      </c>
      <c r="AP107" s="22">
        <v>0</v>
      </c>
      <c r="AQ107" s="22">
        <v>0</v>
      </c>
      <c r="AR107" s="22">
        <v>0</v>
      </c>
      <c r="AS107" s="22">
        <v>0</v>
      </c>
      <c r="AT107" s="22">
        <v>0</v>
      </c>
      <c r="AU107" s="22">
        <v>0</v>
      </c>
    </row>
    <row r="108" spans="1:48">
      <c r="A108" s="23" t="s">
        <v>380</v>
      </c>
      <c r="B108" s="19" t="s">
        <v>381</v>
      </c>
      <c r="C108" s="19" t="s">
        <v>382</v>
      </c>
      <c r="D108" s="20">
        <f t="shared" si="3"/>
        <v>0</v>
      </c>
      <c r="E108" s="22">
        <v>0</v>
      </c>
      <c r="F108" s="22">
        <v>0</v>
      </c>
      <c r="G108" s="22">
        <v>0</v>
      </c>
      <c r="H108" s="22">
        <v>0</v>
      </c>
      <c r="I108" s="22">
        <v>0</v>
      </c>
      <c r="J108" s="22">
        <v>0</v>
      </c>
      <c r="K108" s="22">
        <v>0</v>
      </c>
      <c r="L108" s="22">
        <v>0</v>
      </c>
      <c r="M108" s="22">
        <v>0</v>
      </c>
      <c r="N108" s="22">
        <v>0</v>
      </c>
      <c r="O108" s="22">
        <v>0</v>
      </c>
      <c r="P108" s="22">
        <v>0</v>
      </c>
      <c r="Q108" s="22">
        <v>0</v>
      </c>
      <c r="R108" s="22">
        <v>0</v>
      </c>
      <c r="S108" s="22">
        <v>0</v>
      </c>
      <c r="T108" s="22">
        <v>0</v>
      </c>
      <c r="U108" s="22">
        <v>0</v>
      </c>
      <c r="V108" s="22">
        <v>0</v>
      </c>
      <c r="W108" s="22">
        <v>0</v>
      </c>
      <c r="X108" s="22">
        <v>0</v>
      </c>
      <c r="Y108" s="22">
        <v>0</v>
      </c>
      <c r="Z108" s="22">
        <v>0</v>
      </c>
      <c r="AA108" s="22">
        <v>0</v>
      </c>
      <c r="AB108" s="22">
        <v>0</v>
      </c>
      <c r="AC108" s="22">
        <v>0</v>
      </c>
      <c r="AD108" s="22">
        <v>0</v>
      </c>
      <c r="AE108" s="22">
        <v>0</v>
      </c>
      <c r="AF108" s="22">
        <v>0</v>
      </c>
      <c r="AG108" s="22">
        <v>0</v>
      </c>
      <c r="AH108" s="22">
        <v>0</v>
      </c>
      <c r="AI108" s="22">
        <v>0</v>
      </c>
      <c r="AJ108" s="22">
        <v>0</v>
      </c>
      <c r="AK108" s="22">
        <v>0</v>
      </c>
      <c r="AL108" s="22">
        <v>0</v>
      </c>
      <c r="AM108" s="22">
        <v>0</v>
      </c>
      <c r="AN108" s="22">
        <v>0</v>
      </c>
      <c r="AO108" s="22">
        <v>0</v>
      </c>
      <c r="AP108" s="22">
        <v>0</v>
      </c>
      <c r="AQ108" s="22">
        <v>0</v>
      </c>
      <c r="AR108" s="22">
        <v>0</v>
      </c>
      <c r="AS108" s="22">
        <v>0</v>
      </c>
      <c r="AT108" s="22">
        <v>0</v>
      </c>
      <c r="AU108" s="22">
        <v>0</v>
      </c>
    </row>
    <row r="109" spans="1:48">
      <c r="A109" s="23"/>
      <c r="B109" s="19" t="s">
        <v>383</v>
      </c>
      <c r="C109" s="19" t="s">
        <v>384</v>
      </c>
      <c r="D109" s="20">
        <f t="shared" si="3"/>
        <v>0</v>
      </c>
      <c r="E109" s="22">
        <v>0</v>
      </c>
      <c r="F109" s="22">
        <v>0</v>
      </c>
      <c r="G109" s="22">
        <v>0</v>
      </c>
      <c r="H109" s="22">
        <v>0</v>
      </c>
      <c r="I109" s="22">
        <v>0</v>
      </c>
      <c r="J109" s="22">
        <v>0</v>
      </c>
      <c r="K109" s="22">
        <v>0</v>
      </c>
      <c r="L109" s="22">
        <v>0</v>
      </c>
      <c r="M109" s="22">
        <v>0</v>
      </c>
      <c r="N109" s="22">
        <v>0</v>
      </c>
      <c r="O109" s="22">
        <v>0</v>
      </c>
      <c r="P109" s="22">
        <v>0</v>
      </c>
      <c r="Q109" s="22">
        <v>0</v>
      </c>
      <c r="R109" s="22">
        <v>0</v>
      </c>
      <c r="S109" s="22">
        <v>0</v>
      </c>
      <c r="T109" s="22">
        <v>0</v>
      </c>
      <c r="U109" s="22">
        <v>0</v>
      </c>
      <c r="V109" s="22">
        <v>0</v>
      </c>
      <c r="W109" s="22">
        <v>0</v>
      </c>
      <c r="X109" s="22">
        <v>0</v>
      </c>
      <c r="Y109" s="22">
        <v>0</v>
      </c>
      <c r="Z109" s="22">
        <v>0</v>
      </c>
      <c r="AA109" s="22">
        <v>0</v>
      </c>
      <c r="AB109" s="22">
        <v>0</v>
      </c>
      <c r="AC109" s="22">
        <v>0</v>
      </c>
      <c r="AD109" s="22">
        <v>0</v>
      </c>
      <c r="AE109" s="22">
        <v>0</v>
      </c>
      <c r="AF109" s="22">
        <v>0</v>
      </c>
      <c r="AG109" s="22">
        <v>0</v>
      </c>
      <c r="AH109" s="22">
        <v>0</v>
      </c>
      <c r="AI109" s="22">
        <v>0</v>
      </c>
      <c r="AJ109" s="22">
        <v>0</v>
      </c>
      <c r="AK109" s="22">
        <v>0</v>
      </c>
      <c r="AL109" s="22">
        <v>0</v>
      </c>
      <c r="AM109" s="22">
        <v>0</v>
      </c>
      <c r="AN109" s="22">
        <v>0</v>
      </c>
      <c r="AO109" s="22">
        <v>0</v>
      </c>
      <c r="AP109" s="22">
        <v>0</v>
      </c>
      <c r="AQ109" s="22">
        <v>0</v>
      </c>
      <c r="AR109" s="22">
        <v>0</v>
      </c>
      <c r="AS109" s="22">
        <v>0</v>
      </c>
      <c r="AT109" s="22">
        <v>0</v>
      </c>
      <c r="AU109" s="22">
        <v>0</v>
      </c>
      <c r="AV109" s="79"/>
    </row>
    <row r="110" spans="1:48">
      <c r="A110" s="23"/>
      <c r="B110" s="19" t="s">
        <v>385</v>
      </c>
      <c r="C110" s="19" t="s">
        <v>287</v>
      </c>
      <c r="D110" s="20">
        <f t="shared" si="3"/>
        <v>0</v>
      </c>
      <c r="E110" s="22">
        <v>0</v>
      </c>
      <c r="F110" s="22">
        <v>0</v>
      </c>
      <c r="G110" s="22">
        <v>0</v>
      </c>
      <c r="H110" s="22">
        <v>0</v>
      </c>
      <c r="I110" s="22">
        <v>0</v>
      </c>
      <c r="J110" s="22">
        <v>0</v>
      </c>
      <c r="K110" s="22">
        <v>0</v>
      </c>
      <c r="L110" s="22">
        <v>0</v>
      </c>
      <c r="M110" s="22">
        <v>0</v>
      </c>
      <c r="N110" s="22">
        <v>0</v>
      </c>
      <c r="O110" s="22">
        <v>0</v>
      </c>
      <c r="P110" s="22">
        <v>0</v>
      </c>
      <c r="Q110" s="22">
        <v>0</v>
      </c>
      <c r="R110" s="22">
        <v>0</v>
      </c>
      <c r="S110" s="22">
        <v>0</v>
      </c>
      <c r="T110" s="22">
        <v>0</v>
      </c>
      <c r="U110" s="22">
        <v>0</v>
      </c>
      <c r="V110" s="22">
        <v>0</v>
      </c>
      <c r="W110" s="22">
        <v>0</v>
      </c>
      <c r="X110" s="22">
        <v>0</v>
      </c>
      <c r="Y110" s="22">
        <v>0</v>
      </c>
      <c r="Z110" s="22">
        <v>0</v>
      </c>
      <c r="AA110" s="22">
        <v>0</v>
      </c>
      <c r="AB110" s="22">
        <v>0</v>
      </c>
      <c r="AC110" s="22">
        <v>0</v>
      </c>
      <c r="AD110" s="22">
        <v>0</v>
      </c>
      <c r="AE110" s="22">
        <v>0</v>
      </c>
      <c r="AF110" s="22">
        <v>0</v>
      </c>
      <c r="AG110" s="22">
        <v>0</v>
      </c>
      <c r="AH110" s="22">
        <v>0</v>
      </c>
      <c r="AI110" s="22">
        <v>0</v>
      </c>
      <c r="AJ110" s="22">
        <v>0</v>
      </c>
      <c r="AK110" s="22">
        <v>0</v>
      </c>
      <c r="AL110" s="22">
        <v>0</v>
      </c>
      <c r="AM110" s="22">
        <v>0</v>
      </c>
      <c r="AN110" s="22">
        <v>0</v>
      </c>
      <c r="AO110" s="22">
        <v>0</v>
      </c>
      <c r="AP110" s="22">
        <v>0</v>
      </c>
      <c r="AQ110" s="22">
        <v>0</v>
      </c>
      <c r="AR110" s="22">
        <v>0</v>
      </c>
      <c r="AS110" s="22">
        <v>0</v>
      </c>
      <c r="AT110" s="22">
        <v>0</v>
      </c>
      <c r="AU110" s="22">
        <v>0</v>
      </c>
      <c r="AV110" s="79"/>
    </row>
    <row r="111" spans="1:48">
      <c r="A111" s="24" t="s">
        <v>386</v>
      </c>
      <c r="B111" s="25"/>
      <c r="C111" s="25"/>
      <c r="D111" s="16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28"/>
      <c r="AJ111" s="28"/>
      <c r="AK111" s="28"/>
      <c r="AL111" s="28"/>
      <c r="AM111" s="28"/>
      <c r="AN111" s="28"/>
      <c r="AO111" s="28"/>
      <c r="AP111" s="28"/>
      <c r="AQ111" s="28"/>
      <c r="AR111" s="28"/>
      <c r="AS111" s="28"/>
      <c r="AT111" s="28"/>
      <c r="AU111" s="28"/>
    </row>
    <row r="112" spans="1:48">
      <c r="A112" s="83" t="s">
        <v>387</v>
      </c>
      <c r="B112" s="19" t="s">
        <v>388</v>
      </c>
      <c r="C112" s="19" t="s">
        <v>389</v>
      </c>
      <c r="D112" s="20">
        <f t="shared" ref="D112:D127" si="4">SUM(E112:AU112)</f>
        <v>0</v>
      </c>
      <c r="E112" s="22">
        <v>0</v>
      </c>
      <c r="F112" s="22">
        <v>0</v>
      </c>
      <c r="G112" s="22">
        <v>0</v>
      </c>
      <c r="H112" s="22">
        <v>0</v>
      </c>
      <c r="I112" s="22">
        <v>0</v>
      </c>
      <c r="J112" s="22">
        <v>0</v>
      </c>
      <c r="K112" s="22">
        <v>0</v>
      </c>
      <c r="L112" s="22">
        <v>0</v>
      </c>
      <c r="M112" s="22">
        <v>0</v>
      </c>
      <c r="N112" s="22">
        <v>0</v>
      </c>
      <c r="O112" s="22">
        <v>0</v>
      </c>
      <c r="P112" s="22">
        <v>0</v>
      </c>
      <c r="Q112" s="22">
        <v>0</v>
      </c>
      <c r="R112" s="22">
        <v>0</v>
      </c>
      <c r="S112" s="22">
        <v>0</v>
      </c>
      <c r="T112" s="22">
        <v>0</v>
      </c>
      <c r="U112" s="22">
        <v>0</v>
      </c>
      <c r="V112" s="22">
        <v>0</v>
      </c>
      <c r="W112" s="22">
        <v>0</v>
      </c>
      <c r="X112" s="22">
        <v>0</v>
      </c>
      <c r="Y112" s="22">
        <v>0</v>
      </c>
      <c r="Z112" s="22">
        <v>0</v>
      </c>
      <c r="AA112" s="22">
        <v>0</v>
      </c>
      <c r="AB112" s="22">
        <v>0</v>
      </c>
      <c r="AC112" s="22">
        <v>0</v>
      </c>
      <c r="AD112" s="22">
        <v>0</v>
      </c>
      <c r="AE112" s="22">
        <v>0</v>
      </c>
      <c r="AF112" s="22">
        <v>0</v>
      </c>
      <c r="AG112" s="22">
        <v>0</v>
      </c>
      <c r="AH112" s="22">
        <v>0</v>
      </c>
      <c r="AI112" s="22">
        <v>0</v>
      </c>
      <c r="AJ112" s="22">
        <v>0</v>
      </c>
      <c r="AK112" s="22">
        <v>0</v>
      </c>
      <c r="AL112" s="22">
        <v>0</v>
      </c>
      <c r="AM112" s="22">
        <v>0</v>
      </c>
      <c r="AN112" s="22">
        <v>0</v>
      </c>
      <c r="AO112" s="22">
        <v>0</v>
      </c>
      <c r="AP112" s="22">
        <v>0</v>
      </c>
      <c r="AQ112" s="22">
        <v>0</v>
      </c>
      <c r="AR112" s="22">
        <v>0</v>
      </c>
      <c r="AS112" s="22">
        <v>0</v>
      </c>
      <c r="AT112" s="22">
        <v>0</v>
      </c>
      <c r="AU112" s="22">
        <v>0</v>
      </c>
    </row>
    <row r="113" spans="1:48">
      <c r="A113" s="84" t="s">
        <v>390</v>
      </c>
      <c r="B113" s="19" t="s">
        <v>391</v>
      </c>
      <c r="C113" s="19" t="s">
        <v>392</v>
      </c>
      <c r="D113" s="20">
        <f>SUM(E113:AU113)</f>
        <v>0</v>
      </c>
      <c r="E113" s="22">
        <v>0</v>
      </c>
      <c r="F113" s="22">
        <v>0</v>
      </c>
      <c r="G113" s="22">
        <v>0</v>
      </c>
      <c r="H113" s="22">
        <v>0</v>
      </c>
      <c r="I113" s="22">
        <v>0</v>
      </c>
      <c r="J113" s="22">
        <v>0</v>
      </c>
      <c r="K113" s="22">
        <v>0</v>
      </c>
      <c r="L113" s="22">
        <v>0</v>
      </c>
      <c r="M113" s="22">
        <v>0</v>
      </c>
      <c r="N113" s="22">
        <v>0</v>
      </c>
      <c r="O113" s="22">
        <v>0</v>
      </c>
      <c r="P113" s="22">
        <v>0</v>
      </c>
      <c r="Q113" s="22">
        <v>0</v>
      </c>
      <c r="R113" s="22">
        <v>0</v>
      </c>
      <c r="S113" s="22">
        <v>0</v>
      </c>
      <c r="T113" s="22">
        <v>0</v>
      </c>
      <c r="U113" s="22">
        <v>0</v>
      </c>
      <c r="V113" s="22">
        <v>0</v>
      </c>
      <c r="W113" s="22">
        <v>0</v>
      </c>
      <c r="X113" s="22">
        <v>0</v>
      </c>
      <c r="Y113" s="22">
        <v>0</v>
      </c>
      <c r="Z113" s="22">
        <v>0</v>
      </c>
      <c r="AA113" s="22">
        <v>0</v>
      </c>
      <c r="AB113" s="22">
        <v>0</v>
      </c>
      <c r="AC113" s="22">
        <v>0</v>
      </c>
      <c r="AD113" s="22">
        <v>0</v>
      </c>
      <c r="AE113" s="22">
        <v>0</v>
      </c>
      <c r="AF113" s="22">
        <v>0</v>
      </c>
      <c r="AG113" s="22">
        <v>0</v>
      </c>
      <c r="AH113" s="22">
        <v>0</v>
      </c>
      <c r="AI113" s="22">
        <v>0</v>
      </c>
      <c r="AJ113" s="22">
        <v>0</v>
      </c>
      <c r="AK113" s="22">
        <v>0</v>
      </c>
      <c r="AL113" s="22">
        <v>0</v>
      </c>
      <c r="AM113" s="22">
        <v>0</v>
      </c>
      <c r="AN113" s="22">
        <v>0</v>
      </c>
      <c r="AO113" s="22">
        <v>0</v>
      </c>
      <c r="AP113" s="22">
        <v>0</v>
      </c>
      <c r="AQ113" s="22">
        <v>0</v>
      </c>
      <c r="AR113" s="22">
        <v>0</v>
      </c>
      <c r="AS113" s="22">
        <v>0</v>
      </c>
      <c r="AT113" s="22">
        <v>0</v>
      </c>
      <c r="AU113" s="22">
        <v>0</v>
      </c>
      <c r="AV113" s="79"/>
    </row>
    <row r="114" spans="1:48">
      <c r="A114" s="23" t="s">
        <v>393</v>
      </c>
      <c r="B114" s="19" t="s">
        <v>394</v>
      </c>
      <c r="C114" s="19" t="s">
        <v>392</v>
      </c>
      <c r="D114" s="20">
        <f t="shared" si="4"/>
        <v>0</v>
      </c>
      <c r="E114" s="22">
        <v>0</v>
      </c>
      <c r="F114" s="22">
        <v>0</v>
      </c>
      <c r="G114" s="22">
        <v>0</v>
      </c>
      <c r="H114" s="22">
        <v>0</v>
      </c>
      <c r="I114" s="22">
        <v>0</v>
      </c>
      <c r="J114" s="22">
        <v>0</v>
      </c>
      <c r="K114" s="22">
        <v>0</v>
      </c>
      <c r="L114" s="22">
        <v>0</v>
      </c>
      <c r="M114" s="22">
        <v>0</v>
      </c>
      <c r="N114" s="22">
        <v>0</v>
      </c>
      <c r="O114" s="22">
        <v>0</v>
      </c>
      <c r="P114" s="22">
        <v>0</v>
      </c>
      <c r="Q114" s="22">
        <v>0</v>
      </c>
      <c r="R114" s="22">
        <v>0</v>
      </c>
      <c r="S114" s="22">
        <v>0</v>
      </c>
      <c r="T114" s="22">
        <v>0</v>
      </c>
      <c r="U114" s="22">
        <v>0</v>
      </c>
      <c r="V114" s="22">
        <v>0</v>
      </c>
      <c r="W114" s="22">
        <v>0</v>
      </c>
      <c r="X114" s="22">
        <v>0</v>
      </c>
      <c r="Y114" s="22">
        <v>0</v>
      </c>
      <c r="Z114" s="22">
        <v>0</v>
      </c>
      <c r="AA114" s="22">
        <v>0</v>
      </c>
      <c r="AB114" s="22">
        <v>0</v>
      </c>
      <c r="AC114" s="22">
        <v>0</v>
      </c>
      <c r="AD114" s="22">
        <v>0</v>
      </c>
      <c r="AE114" s="22">
        <v>0</v>
      </c>
      <c r="AF114" s="22">
        <v>0</v>
      </c>
      <c r="AG114" s="22">
        <v>0</v>
      </c>
      <c r="AH114" s="22">
        <v>0</v>
      </c>
      <c r="AI114" s="22">
        <v>0</v>
      </c>
      <c r="AJ114" s="22">
        <v>0</v>
      </c>
      <c r="AK114" s="22">
        <v>0</v>
      </c>
      <c r="AL114" s="22">
        <v>0</v>
      </c>
      <c r="AM114" s="22">
        <v>0</v>
      </c>
      <c r="AN114" s="22">
        <v>0</v>
      </c>
      <c r="AO114" s="22">
        <v>0</v>
      </c>
      <c r="AP114" s="22">
        <v>0</v>
      </c>
      <c r="AQ114" s="22">
        <v>0</v>
      </c>
      <c r="AR114" s="22">
        <v>0</v>
      </c>
      <c r="AS114" s="22">
        <v>0</v>
      </c>
      <c r="AT114" s="22">
        <v>0</v>
      </c>
      <c r="AU114" s="22">
        <v>0</v>
      </c>
      <c r="AV114" s="79"/>
    </row>
    <row r="115" spans="1:48">
      <c r="A115" s="23" t="s">
        <v>395</v>
      </c>
      <c r="B115" s="19" t="s">
        <v>396</v>
      </c>
      <c r="C115" s="19" t="s">
        <v>392</v>
      </c>
      <c r="D115" s="20">
        <f t="shared" si="4"/>
        <v>0</v>
      </c>
      <c r="E115" s="22">
        <v>0</v>
      </c>
      <c r="F115" s="22">
        <v>0</v>
      </c>
      <c r="G115" s="22">
        <v>0</v>
      </c>
      <c r="H115" s="22">
        <v>0</v>
      </c>
      <c r="I115" s="22">
        <v>0</v>
      </c>
      <c r="J115" s="22">
        <v>0</v>
      </c>
      <c r="K115" s="22">
        <v>0</v>
      </c>
      <c r="L115" s="22">
        <v>0</v>
      </c>
      <c r="M115" s="22">
        <v>0</v>
      </c>
      <c r="N115" s="22">
        <v>0</v>
      </c>
      <c r="O115" s="22">
        <v>0</v>
      </c>
      <c r="P115" s="22">
        <v>0</v>
      </c>
      <c r="Q115" s="22">
        <v>0</v>
      </c>
      <c r="R115" s="22">
        <v>0</v>
      </c>
      <c r="S115" s="22">
        <v>0</v>
      </c>
      <c r="T115" s="22">
        <v>0</v>
      </c>
      <c r="U115" s="22">
        <v>0</v>
      </c>
      <c r="V115" s="22">
        <v>0</v>
      </c>
      <c r="W115" s="22">
        <v>0</v>
      </c>
      <c r="X115" s="22">
        <v>0</v>
      </c>
      <c r="Y115" s="22">
        <v>0</v>
      </c>
      <c r="Z115" s="22">
        <v>0</v>
      </c>
      <c r="AA115" s="22">
        <v>0</v>
      </c>
      <c r="AB115" s="22">
        <v>0</v>
      </c>
      <c r="AC115" s="22">
        <v>0</v>
      </c>
      <c r="AD115" s="22">
        <v>0</v>
      </c>
      <c r="AE115" s="22">
        <v>0</v>
      </c>
      <c r="AF115" s="22">
        <v>0</v>
      </c>
      <c r="AG115" s="22">
        <v>0</v>
      </c>
      <c r="AH115" s="22">
        <v>0</v>
      </c>
      <c r="AI115" s="22">
        <v>0</v>
      </c>
      <c r="AJ115" s="22">
        <v>0</v>
      </c>
      <c r="AK115" s="22">
        <v>0</v>
      </c>
      <c r="AL115" s="22">
        <v>0</v>
      </c>
      <c r="AM115" s="22">
        <v>0</v>
      </c>
      <c r="AN115" s="22">
        <v>0</v>
      </c>
      <c r="AO115" s="22">
        <v>0</v>
      </c>
      <c r="AP115" s="22">
        <v>0</v>
      </c>
      <c r="AQ115" s="22">
        <v>0</v>
      </c>
      <c r="AR115" s="22">
        <v>0</v>
      </c>
      <c r="AS115" s="22">
        <v>0</v>
      </c>
      <c r="AT115" s="22">
        <v>0</v>
      </c>
      <c r="AU115" s="22">
        <v>0</v>
      </c>
      <c r="AV115" s="79"/>
    </row>
    <row r="116" spans="1:48" ht="32.1">
      <c r="A116" s="23" t="s">
        <v>397</v>
      </c>
      <c r="B116" s="19" t="s">
        <v>398</v>
      </c>
      <c r="C116" s="19" t="s">
        <v>399</v>
      </c>
      <c r="D116" s="20">
        <f t="shared" si="4"/>
        <v>17</v>
      </c>
      <c r="E116" s="21">
        <v>3</v>
      </c>
      <c r="F116" s="21">
        <v>11</v>
      </c>
      <c r="G116" s="21">
        <v>3</v>
      </c>
      <c r="H116" s="22">
        <v>0</v>
      </c>
      <c r="I116" s="22">
        <v>0</v>
      </c>
      <c r="J116" s="22">
        <v>0</v>
      </c>
      <c r="K116" s="22">
        <v>0</v>
      </c>
      <c r="L116" s="22">
        <v>0</v>
      </c>
      <c r="M116" s="22">
        <v>0</v>
      </c>
      <c r="N116" s="22">
        <v>0</v>
      </c>
      <c r="O116" s="22">
        <v>0</v>
      </c>
      <c r="P116" s="22">
        <v>0</v>
      </c>
      <c r="Q116" s="22">
        <v>0</v>
      </c>
      <c r="R116" s="22">
        <v>0</v>
      </c>
      <c r="S116" s="22">
        <v>0</v>
      </c>
      <c r="T116" s="22">
        <v>0</v>
      </c>
      <c r="U116" s="22">
        <v>0</v>
      </c>
      <c r="V116" s="22">
        <v>0</v>
      </c>
      <c r="W116" s="22">
        <v>0</v>
      </c>
      <c r="X116" s="22">
        <v>0</v>
      </c>
      <c r="Y116" s="22">
        <v>0</v>
      </c>
      <c r="Z116" s="22">
        <v>0</v>
      </c>
      <c r="AA116" s="22">
        <v>0</v>
      </c>
      <c r="AB116" s="22">
        <v>0</v>
      </c>
      <c r="AC116" s="22">
        <v>0</v>
      </c>
      <c r="AD116" s="22">
        <v>0</v>
      </c>
      <c r="AE116" s="22">
        <v>0</v>
      </c>
      <c r="AF116" s="22">
        <v>0</v>
      </c>
      <c r="AG116" s="22">
        <v>0</v>
      </c>
      <c r="AH116" s="22">
        <v>0</v>
      </c>
      <c r="AI116" s="22">
        <v>0</v>
      </c>
      <c r="AJ116" s="22">
        <v>0</v>
      </c>
      <c r="AK116" s="22">
        <v>0</v>
      </c>
      <c r="AL116" s="22">
        <v>0</v>
      </c>
      <c r="AM116" s="22">
        <v>0</v>
      </c>
      <c r="AN116" s="22">
        <v>0</v>
      </c>
      <c r="AO116" s="22">
        <v>0</v>
      </c>
      <c r="AP116" s="22">
        <v>0</v>
      </c>
      <c r="AQ116" s="22">
        <v>0</v>
      </c>
      <c r="AR116" s="22">
        <v>0</v>
      </c>
      <c r="AS116" s="22">
        <v>0</v>
      </c>
      <c r="AT116" s="22">
        <v>0</v>
      </c>
      <c r="AU116" s="22">
        <v>0</v>
      </c>
      <c r="AV116" s="79"/>
    </row>
    <row r="117" spans="1:48">
      <c r="A117" s="23" t="s">
        <v>400</v>
      </c>
      <c r="B117" s="19" t="s">
        <v>401</v>
      </c>
      <c r="C117" s="19" t="s">
        <v>402</v>
      </c>
      <c r="D117" s="20">
        <f t="shared" si="4"/>
        <v>8</v>
      </c>
      <c r="E117" s="21">
        <v>0</v>
      </c>
      <c r="F117" s="21">
        <v>4</v>
      </c>
      <c r="G117" s="22">
        <v>0</v>
      </c>
      <c r="H117" s="22">
        <v>0</v>
      </c>
      <c r="I117" s="22">
        <v>0</v>
      </c>
      <c r="J117" s="22">
        <v>0</v>
      </c>
      <c r="K117" s="22">
        <v>0</v>
      </c>
      <c r="L117" s="21">
        <v>1</v>
      </c>
      <c r="M117" s="22">
        <v>0</v>
      </c>
      <c r="N117" s="22">
        <v>0</v>
      </c>
      <c r="O117" s="22">
        <v>0</v>
      </c>
      <c r="P117" s="22">
        <v>0</v>
      </c>
      <c r="Q117" s="22">
        <v>0</v>
      </c>
      <c r="R117" s="22">
        <v>0</v>
      </c>
      <c r="S117" s="22">
        <v>0</v>
      </c>
      <c r="T117" s="22">
        <v>0</v>
      </c>
      <c r="U117" s="22">
        <v>0</v>
      </c>
      <c r="V117" s="21">
        <v>1</v>
      </c>
      <c r="W117" s="22">
        <v>0</v>
      </c>
      <c r="X117" s="22">
        <v>0</v>
      </c>
      <c r="Y117" s="22">
        <v>0</v>
      </c>
      <c r="Z117" s="22">
        <v>0</v>
      </c>
      <c r="AA117" s="22">
        <v>0</v>
      </c>
      <c r="AB117" s="22">
        <v>0</v>
      </c>
      <c r="AC117" s="22">
        <v>0</v>
      </c>
      <c r="AD117" s="22">
        <v>0</v>
      </c>
      <c r="AE117" s="22">
        <v>0</v>
      </c>
      <c r="AF117" s="22">
        <v>0</v>
      </c>
      <c r="AG117" s="22">
        <v>0</v>
      </c>
      <c r="AH117" s="21">
        <v>1</v>
      </c>
      <c r="AI117" s="22">
        <v>0</v>
      </c>
      <c r="AJ117" s="22">
        <v>0</v>
      </c>
      <c r="AK117" s="22">
        <v>0</v>
      </c>
      <c r="AL117" s="22">
        <v>0</v>
      </c>
      <c r="AM117" s="22">
        <v>0</v>
      </c>
      <c r="AN117" s="22">
        <v>0</v>
      </c>
      <c r="AO117" s="22">
        <v>0</v>
      </c>
      <c r="AP117" s="21">
        <v>1</v>
      </c>
      <c r="AQ117" s="22">
        <v>0</v>
      </c>
      <c r="AR117" s="22">
        <v>0</v>
      </c>
      <c r="AS117" s="22">
        <v>0</v>
      </c>
      <c r="AT117" s="22">
        <v>0</v>
      </c>
      <c r="AU117" s="22">
        <v>0</v>
      </c>
    </row>
    <row r="118" spans="1:48" ht="24.75" customHeight="1">
      <c r="A118" s="23" t="s">
        <v>403</v>
      </c>
      <c r="B118" s="19" t="s">
        <v>404</v>
      </c>
      <c r="C118" s="19" t="s">
        <v>405</v>
      </c>
      <c r="D118" s="20">
        <f t="shared" si="4"/>
        <v>55</v>
      </c>
      <c r="E118" s="21">
        <v>3</v>
      </c>
      <c r="F118" s="21">
        <v>45</v>
      </c>
      <c r="G118" s="22">
        <v>0</v>
      </c>
      <c r="H118" s="22">
        <v>0</v>
      </c>
      <c r="I118" s="22">
        <v>0</v>
      </c>
      <c r="J118" s="22">
        <v>0</v>
      </c>
      <c r="K118" s="22">
        <v>0</v>
      </c>
      <c r="L118" s="21">
        <v>1</v>
      </c>
      <c r="M118" s="22">
        <v>0</v>
      </c>
      <c r="N118" s="22">
        <v>0</v>
      </c>
      <c r="O118" s="22">
        <v>0</v>
      </c>
      <c r="P118" s="22">
        <v>0</v>
      </c>
      <c r="Q118" s="22">
        <v>0</v>
      </c>
      <c r="R118" s="22">
        <v>0</v>
      </c>
      <c r="S118" s="22">
        <v>0</v>
      </c>
      <c r="T118" s="22">
        <v>0</v>
      </c>
      <c r="U118" s="22">
        <v>0</v>
      </c>
      <c r="V118" s="21">
        <v>4</v>
      </c>
      <c r="W118" s="22">
        <v>0</v>
      </c>
      <c r="X118" s="22">
        <v>0</v>
      </c>
      <c r="Y118" s="22">
        <v>0</v>
      </c>
      <c r="Z118" s="22">
        <v>0</v>
      </c>
      <c r="AA118" s="22">
        <v>0</v>
      </c>
      <c r="AB118" s="22">
        <v>0</v>
      </c>
      <c r="AC118" s="22">
        <v>0</v>
      </c>
      <c r="AD118" s="22">
        <v>0</v>
      </c>
      <c r="AE118" s="22">
        <v>0</v>
      </c>
      <c r="AF118" s="22">
        <v>0</v>
      </c>
      <c r="AG118" s="22">
        <v>0</v>
      </c>
      <c r="AH118" s="22">
        <v>0</v>
      </c>
      <c r="AI118" s="22">
        <v>0</v>
      </c>
      <c r="AJ118" s="22">
        <v>0</v>
      </c>
      <c r="AK118" s="22">
        <v>0</v>
      </c>
      <c r="AL118" s="22">
        <v>0</v>
      </c>
      <c r="AM118" s="22">
        <v>0</v>
      </c>
      <c r="AN118" s="22">
        <v>0</v>
      </c>
      <c r="AO118" s="22">
        <v>0</v>
      </c>
      <c r="AP118" s="22">
        <v>0</v>
      </c>
      <c r="AQ118" s="21">
        <v>2</v>
      </c>
      <c r="AR118" s="22">
        <v>0</v>
      </c>
      <c r="AS118" s="22">
        <v>0</v>
      </c>
      <c r="AT118" s="22">
        <v>0</v>
      </c>
      <c r="AU118" s="22">
        <v>0</v>
      </c>
    </row>
    <row r="119" spans="1:48" ht="32.1">
      <c r="A119" s="23" t="s">
        <v>406</v>
      </c>
      <c r="B119" s="19" t="s">
        <v>407</v>
      </c>
      <c r="C119" s="19" t="s">
        <v>408</v>
      </c>
      <c r="D119" s="20">
        <f t="shared" si="4"/>
        <v>0</v>
      </c>
      <c r="E119" s="22">
        <v>0</v>
      </c>
      <c r="F119" s="22">
        <v>0</v>
      </c>
      <c r="G119" s="22">
        <v>0</v>
      </c>
      <c r="H119" s="22">
        <v>0</v>
      </c>
      <c r="I119" s="22">
        <v>0</v>
      </c>
      <c r="J119" s="22">
        <v>0</v>
      </c>
      <c r="K119" s="22">
        <v>0</v>
      </c>
      <c r="L119" s="22">
        <v>0</v>
      </c>
      <c r="M119" s="22">
        <v>0</v>
      </c>
      <c r="N119" s="22">
        <v>0</v>
      </c>
      <c r="O119" s="22">
        <v>0</v>
      </c>
      <c r="P119" s="22">
        <v>0</v>
      </c>
      <c r="Q119" s="22">
        <v>0</v>
      </c>
      <c r="R119" s="22">
        <v>0</v>
      </c>
      <c r="S119" s="22">
        <v>0</v>
      </c>
      <c r="T119" s="22">
        <v>0</v>
      </c>
      <c r="U119" s="22">
        <v>0</v>
      </c>
      <c r="V119" s="22">
        <v>0</v>
      </c>
      <c r="W119" s="22">
        <v>0</v>
      </c>
      <c r="X119" s="22">
        <v>0</v>
      </c>
      <c r="Y119" s="22">
        <v>0</v>
      </c>
      <c r="Z119" s="22">
        <v>0</v>
      </c>
      <c r="AA119" s="22">
        <v>0</v>
      </c>
      <c r="AB119" s="22">
        <v>0</v>
      </c>
      <c r="AC119" s="22">
        <v>0</v>
      </c>
      <c r="AD119" s="22">
        <v>0</v>
      </c>
      <c r="AE119" s="22">
        <v>0</v>
      </c>
      <c r="AF119" s="22">
        <v>0</v>
      </c>
      <c r="AG119" s="22">
        <v>0</v>
      </c>
      <c r="AH119" s="22">
        <v>0</v>
      </c>
      <c r="AI119" s="22">
        <v>0</v>
      </c>
      <c r="AJ119" s="22">
        <v>0</v>
      </c>
      <c r="AK119" s="22">
        <v>0</v>
      </c>
      <c r="AL119" s="22">
        <v>0</v>
      </c>
      <c r="AM119" s="22">
        <v>0</v>
      </c>
      <c r="AN119" s="22">
        <v>0</v>
      </c>
      <c r="AO119" s="22">
        <v>0</v>
      </c>
      <c r="AP119" s="22">
        <v>0</v>
      </c>
      <c r="AQ119" s="22">
        <v>0</v>
      </c>
      <c r="AR119" s="22">
        <v>0</v>
      </c>
      <c r="AS119" s="22">
        <v>0</v>
      </c>
      <c r="AT119" s="22">
        <v>0</v>
      </c>
      <c r="AU119" s="22">
        <v>0</v>
      </c>
      <c r="AV119" s="79"/>
    </row>
    <row r="120" spans="1:48">
      <c r="A120" s="23" t="s">
        <v>409</v>
      </c>
      <c r="B120" s="19" t="s">
        <v>410</v>
      </c>
      <c r="C120" s="19" t="s">
        <v>411</v>
      </c>
      <c r="D120" s="20">
        <f t="shared" si="4"/>
        <v>0</v>
      </c>
      <c r="E120" s="22">
        <v>0</v>
      </c>
      <c r="F120" s="22">
        <v>0</v>
      </c>
      <c r="G120" s="22">
        <v>0</v>
      </c>
      <c r="H120" s="22">
        <v>0</v>
      </c>
      <c r="I120" s="22">
        <v>0</v>
      </c>
      <c r="J120" s="22">
        <v>0</v>
      </c>
      <c r="K120" s="22">
        <v>0</v>
      </c>
      <c r="L120" s="22">
        <v>0</v>
      </c>
      <c r="M120" s="22">
        <v>0</v>
      </c>
      <c r="N120" s="22">
        <v>0</v>
      </c>
      <c r="O120" s="22">
        <v>0</v>
      </c>
      <c r="P120" s="22">
        <v>0</v>
      </c>
      <c r="Q120" s="22">
        <v>0</v>
      </c>
      <c r="R120" s="22">
        <v>0</v>
      </c>
      <c r="S120" s="22">
        <v>0</v>
      </c>
      <c r="T120" s="22">
        <v>0</v>
      </c>
      <c r="U120" s="22">
        <v>0</v>
      </c>
      <c r="V120" s="22">
        <v>0</v>
      </c>
      <c r="W120" s="22">
        <v>0</v>
      </c>
      <c r="X120" s="22">
        <v>0</v>
      </c>
      <c r="Y120" s="22">
        <v>0</v>
      </c>
      <c r="Z120" s="22">
        <v>0</v>
      </c>
      <c r="AA120" s="22">
        <v>0</v>
      </c>
      <c r="AB120" s="22">
        <v>0</v>
      </c>
      <c r="AC120" s="22">
        <v>0</v>
      </c>
      <c r="AD120" s="22">
        <v>0</v>
      </c>
      <c r="AE120" s="22">
        <v>0</v>
      </c>
      <c r="AF120" s="22">
        <v>0</v>
      </c>
      <c r="AG120" s="22">
        <v>0</v>
      </c>
      <c r="AH120" s="22">
        <v>0</v>
      </c>
      <c r="AI120" s="22">
        <v>0</v>
      </c>
      <c r="AJ120" s="22">
        <v>0</v>
      </c>
      <c r="AK120" s="22">
        <v>0</v>
      </c>
      <c r="AL120" s="22">
        <v>0</v>
      </c>
      <c r="AM120" s="22">
        <v>0</v>
      </c>
      <c r="AN120" s="22">
        <v>0</v>
      </c>
      <c r="AO120" s="22">
        <v>0</v>
      </c>
      <c r="AP120" s="22">
        <v>0</v>
      </c>
      <c r="AQ120" s="22">
        <v>0</v>
      </c>
      <c r="AR120" s="22">
        <v>0</v>
      </c>
      <c r="AS120" s="22">
        <v>0</v>
      </c>
      <c r="AT120" s="22">
        <v>0</v>
      </c>
      <c r="AU120" s="22">
        <v>0</v>
      </c>
      <c r="AV120" s="79"/>
    </row>
    <row r="121" spans="1:48">
      <c r="A121" s="23" t="s">
        <v>412</v>
      </c>
      <c r="B121" s="19" t="s">
        <v>413</v>
      </c>
      <c r="C121" s="19" t="s">
        <v>392</v>
      </c>
      <c r="D121" s="20">
        <f t="shared" si="4"/>
        <v>2</v>
      </c>
      <c r="E121" s="21">
        <v>1</v>
      </c>
      <c r="F121" s="21">
        <v>1</v>
      </c>
      <c r="G121" s="22">
        <v>0</v>
      </c>
      <c r="H121" s="22">
        <v>0</v>
      </c>
      <c r="I121" s="22">
        <v>0</v>
      </c>
      <c r="J121" s="22">
        <v>0</v>
      </c>
      <c r="K121" s="22">
        <v>0</v>
      </c>
      <c r="L121" s="22">
        <v>0</v>
      </c>
      <c r="M121" s="22">
        <v>0</v>
      </c>
      <c r="N121" s="22">
        <v>0</v>
      </c>
      <c r="O121" s="22">
        <v>0</v>
      </c>
      <c r="P121" s="22">
        <v>0</v>
      </c>
      <c r="Q121" s="22">
        <v>0</v>
      </c>
      <c r="R121" s="22">
        <v>0</v>
      </c>
      <c r="S121" s="22">
        <v>0</v>
      </c>
      <c r="T121" s="22">
        <v>0</v>
      </c>
      <c r="U121" s="22">
        <v>0</v>
      </c>
      <c r="V121" s="22">
        <v>0</v>
      </c>
      <c r="W121" s="22">
        <v>0</v>
      </c>
      <c r="X121" s="22">
        <v>0</v>
      </c>
      <c r="Y121" s="22">
        <v>0</v>
      </c>
      <c r="Z121" s="22">
        <v>0</v>
      </c>
      <c r="AA121" s="22">
        <v>0</v>
      </c>
      <c r="AB121" s="22">
        <v>0</v>
      </c>
      <c r="AC121" s="22">
        <v>0</v>
      </c>
      <c r="AD121" s="22">
        <v>0</v>
      </c>
      <c r="AE121" s="22">
        <v>0</v>
      </c>
      <c r="AF121" s="22">
        <v>0</v>
      </c>
      <c r="AG121" s="22">
        <v>0</v>
      </c>
      <c r="AH121" s="22">
        <v>0</v>
      </c>
      <c r="AI121" s="22">
        <v>0</v>
      </c>
      <c r="AJ121" s="22">
        <v>0</v>
      </c>
      <c r="AK121" s="22">
        <v>0</v>
      </c>
      <c r="AL121" s="22">
        <v>0</v>
      </c>
      <c r="AM121" s="22">
        <v>0</v>
      </c>
      <c r="AN121" s="22">
        <v>0</v>
      </c>
      <c r="AO121" s="22">
        <v>0</v>
      </c>
      <c r="AP121" s="22">
        <v>0</v>
      </c>
      <c r="AQ121" s="22">
        <v>0</v>
      </c>
      <c r="AR121" s="22">
        <v>0</v>
      </c>
      <c r="AS121" s="22">
        <v>0</v>
      </c>
      <c r="AT121" s="22">
        <v>0</v>
      </c>
      <c r="AU121" s="22">
        <v>0</v>
      </c>
      <c r="AV121" s="79"/>
    </row>
    <row r="122" spans="1:48">
      <c r="A122" s="23" t="s">
        <v>414</v>
      </c>
      <c r="B122" s="19" t="s">
        <v>415</v>
      </c>
      <c r="C122" s="19" t="s">
        <v>392</v>
      </c>
      <c r="D122" s="20">
        <f t="shared" si="4"/>
        <v>1</v>
      </c>
      <c r="E122" s="22">
        <v>0</v>
      </c>
      <c r="F122" s="21">
        <v>1</v>
      </c>
      <c r="G122" s="22">
        <v>0</v>
      </c>
      <c r="H122" s="22">
        <v>0</v>
      </c>
      <c r="I122" s="22">
        <v>0</v>
      </c>
      <c r="J122" s="22">
        <v>0</v>
      </c>
      <c r="K122" s="22">
        <v>0</v>
      </c>
      <c r="L122" s="22">
        <v>0</v>
      </c>
      <c r="M122" s="22">
        <v>0</v>
      </c>
      <c r="N122" s="22">
        <v>0</v>
      </c>
      <c r="O122" s="22">
        <v>0</v>
      </c>
      <c r="P122" s="22">
        <v>0</v>
      </c>
      <c r="Q122" s="22">
        <v>0</v>
      </c>
      <c r="R122" s="22">
        <v>0</v>
      </c>
      <c r="S122" s="22">
        <v>0</v>
      </c>
      <c r="T122" s="22">
        <v>0</v>
      </c>
      <c r="U122" s="22">
        <v>0</v>
      </c>
      <c r="V122" s="22">
        <v>0</v>
      </c>
      <c r="W122" s="22">
        <v>0</v>
      </c>
      <c r="X122" s="22">
        <v>0</v>
      </c>
      <c r="Y122" s="22">
        <v>0</v>
      </c>
      <c r="Z122" s="22">
        <v>0</v>
      </c>
      <c r="AA122" s="22">
        <v>0</v>
      </c>
      <c r="AB122" s="22">
        <v>0</v>
      </c>
      <c r="AC122" s="22">
        <v>0</v>
      </c>
      <c r="AD122" s="22">
        <v>0</v>
      </c>
      <c r="AE122" s="22">
        <v>0</v>
      </c>
      <c r="AF122" s="22">
        <v>0</v>
      </c>
      <c r="AG122" s="22">
        <v>0</v>
      </c>
      <c r="AH122" s="22">
        <v>0</v>
      </c>
      <c r="AI122" s="22">
        <v>0</v>
      </c>
      <c r="AJ122" s="22">
        <v>0</v>
      </c>
      <c r="AK122" s="22">
        <v>0</v>
      </c>
      <c r="AL122" s="22">
        <v>0</v>
      </c>
      <c r="AM122" s="22">
        <v>0</v>
      </c>
      <c r="AN122" s="22">
        <v>0</v>
      </c>
      <c r="AO122" s="22">
        <v>0</v>
      </c>
      <c r="AP122" s="22">
        <v>0</v>
      </c>
      <c r="AQ122" s="22">
        <v>0</v>
      </c>
      <c r="AR122" s="22">
        <v>0</v>
      </c>
      <c r="AS122" s="22">
        <v>0</v>
      </c>
      <c r="AT122" s="22">
        <v>0</v>
      </c>
      <c r="AU122" s="22">
        <v>0</v>
      </c>
      <c r="AV122" s="79"/>
    </row>
    <row r="123" spans="1:48">
      <c r="A123" s="23" t="s">
        <v>416</v>
      </c>
      <c r="B123" s="19" t="s">
        <v>417</v>
      </c>
      <c r="C123" s="19" t="s">
        <v>392</v>
      </c>
      <c r="D123" s="20">
        <f t="shared" si="4"/>
        <v>0</v>
      </c>
      <c r="E123" s="22">
        <v>0</v>
      </c>
      <c r="F123" s="22">
        <v>0</v>
      </c>
      <c r="G123" s="22">
        <v>0</v>
      </c>
      <c r="H123" s="22">
        <v>0</v>
      </c>
      <c r="I123" s="22">
        <v>0</v>
      </c>
      <c r="J123" s="22">
        <v>0</v>
      </c>
      <c r="K123" s="22">
        <v>0</v>
      </c>
      <c r="L123" s="22">
        <v>0</v>
      </c>
      <c r="M123" s="22">
        <v>0</v>
      </c>
      <c r="N123" s="22">
        <v>0</v>
      </c>
      <c r="O123" s="22">
        <v>0</v>
      </c>
      <c r="P123" s="22">
        <v>0</v>
      </c>
      <c r="Q123" s="22">
        <v>0</v>
      </c>
      <c r="R123" s="22">
        <v>0</v>
      </c>
      <c r="S123" s="22">
        <v>0</v>
      </c>
      <c r="T123" s="22">
        <v>0</v>
      </c>
      <c r="U123" s="22">
        <v>0</v>
      </c>
      <c r="V123" s="22">
        <v>0</v>
      </c>
      <c r="W123" s="22">
        <v>0</v>
      </c>
      <c r="X123" s="22">
        <v>0</v>
      </c>
      <c r="Y123" s="22">
        <v>0</v>
      </c>
      <c r="Z123" s="22">
        <v>0</v>
      </c>
      <c r="AA123" s="22">
        <v>0</v>
      </c>
      <c r="AB123" s="22">
        <v>0</v>
      </c>
      <c r="AC123" s="22">
        <v>0</v>
      </c>
      <c r="AD123" s="22">
        <v>0</v>
      </c>
      <c r="AE123" s="22">
        <v>0</v>
      </c>
      <c r="AF123" s="22">
        <v>0</v>
      </c>
      <c r="AG123" s="22">
        <v>0</v>
      </c>
      <c r="AH123" s="22">
        <v>0</v>
      </c>
      <c r="AI123" s="22">
        <v>0</v>
      </c>
      <c r="AJ123" s="22">
        <v>0</v>
      </c>
      <c r="AK123" s="22">
        <v>0</v>
      </c>
      <c r="AL123" s="22">
        <v>0</v>
      </c>
      <c r="AM123" s="22">
        <v>0</v>
      </c>
      <c r="AN123" s="22">
        <v>0</v>
      </c>
      <c r="AO123" s="22">
        <v>0</v>
      </c>
      <c r="AP123" s="22">
        <v>0</v>
      </c>
      <c r="AQ123" s="22">
        <v>0</v>
      </c>
      <c r="AR123" s="22">
        <v>0</v>
      </c>
      <c r="AS123" s="22">
        <v>0</v>
      </c>
      <c r="AT123" s="22">
        <v>0</v>
      </c>
      <c r="AU123" s="22">
        <v>0</v>
      </c>
      <c r="AV123" s="79"/>
    </row>
    <row r="124" spans="1:48">
      <c r="A124" s="23" t="s">
        <v>418</v>
      </c>
      <c r="B124" s="19" t="s">
        <v>419</v>
      </c>
      <c r="C124" s="19" t="s">
        <v>392</v>
      </c>
      <c r="D124" s="20">
        <f t="shared" si="4"/>
        <v>0</v>
      </c>
      <c r="E124" s="22">
        <v>0</v>
      </c>
      <c r="F124" s="22">
        <v>0</v>
      </c>
      <c r="G124" s="22">
        <v>0</v>
      </c>
      <c r="H124" s="22">
        <v>0</v>
      </c>
      <c r="I124" s="22">
        <v>0</v>
      </c>
      <c r="J124" s="22">
        <v>0</v>
      </c>
      <c r="K124" s="22">
        <v>0</v>
      </c>
      <c r="L124" s="22">
        <v>0</v>
      </c>
      <c r="M124" s="22">
        <v>0</v>
      </c>
      <c r="N124" s="22">
        <v>0</v>
      </c>
      <c r="O124" s="22">
        <v>0</v>
      </c>
      <c r="P124" s="22">
        <v>0</v>
      </c>
      <c r="Q124" s="22">
        <v>0</v>
      </c>
      <c r="R124" s="22">
        <v>0</v>
      </c>
      <c r="S124" s="22">
        <v>0</v>
      </c>
      <c r="T124" s="22">
        <v>0</v>
      </c>
      <c r="U124" s="22">
        <v>0</v>
      </c>
      <c r="V124" s="22">
        <v>0</v>
      </c>
      <c r="W124" s="22">
        <v>0</v>
      </c>
      <c r="X124" s="22">
        <v>0</v>
      </c>
      <c r="Y124" s="22">
        <v>0</v>
      </c>
      <c r="Z124" s="22">
        <v>0</v>
      </c>
      <c r="AA124" s="22">
        <v>0</v>
      </c>
      <c r="AB124" s="22">
        <v>0</v>
      </c>
      <c r="AC124" s="22">
        <v>0</v>
      </c>
      <c r="AD124" s="22">
        <v>0</v>
      </c>
      <c r="AE124" s="22">
        <v>0</v>
      </c>
      <c r="AF124" s="22">
        <v>0</v>
      </c>
      <c r="AG124" s="22">
        <v>0</v>
      </c>
      <c r="AH124" s="22">
        <v>0</v>
      </c>
      <c r="AI124" s="22">
        <v>0</v>
      </c>
      <c r="AJ124" s="22">
        <v>0</v>
      </c>
      <c r="AK124" s="22">
        <v>0</v>
      </c>
      <c r="AL124" s="22">
        <v>0</v>
      </c>
      <c r="AM124" s="22">
        <v>0</v>
      </c>
      <c r="AN124" s="22">
        <v>0</v>
      </c>
      <c r="AO124" s="22">
        <v>0</v>
      </c>
      <c r="AP124" s="22">
        <v>0</v>
      </c>
      <c r="AQ124" s="22">
        <v>0</v>
      </c>
      <c r="AR124" s="22">
        <v>0</v>
      </c>
      <c r="AS124" s="22">
        <v>0</v>
      </c>
      <c r="AT124" s="22">
        <v>0</v>
      </c>
      <c r="AU124" s="22">
        <v>0</v>
      </c>
      <c r="AV124" s="79"/>
    </row>
    <row r="125" spans="1:48">
      <c r="A125" s="23" t="s">
        <v>420</v>
      </c>
      <c r="B125" s="19" t="s">
        <v>421</v>
      </c>
      <c r="C125" s="19" t="s">
        <v>392</v>
      </c>
      <c r="D125" s="20">
        <f t="shared" si="4"/>
        <v>0</v>
      </c>
      <c r="E125" s="22">
        <v>0</v>
      </c>
      <c r="F125" s="22">
        <v>0</v>
      </c>
      <c r="G125" s="22">
        <v>0</v>
      </c>
      <c r="H125" s="22">
        <v>0</v>
      </c>
      <c r="I125" s="22">
        <v>0</v>
      </c>
      <c r="J125" s="22">
        <v>0</v>
      </c>
      <c r="K125" s="22">
        <v>0</v>
      </c>
      <c r="L125" s="22">
        <v>0</v>
      </c>
      <c r="M125" s="22">
        <v>0</v>
      </c>
      <c r="N125" s="22">
        <v>0</v>
      </c>
      <c r="O125" s="22">
        <v>0</v>
      </c>
      <c r="P125" s="22">
        <v>0</v>
      </c>
      <c r="Q125" s="22">
        <v>0</v>
      </c>
      <c r="R125" s="22">
        <v>0</v>
      </c>
      <c r="S125" s="22">
        <v>0</v>
      </c>
      <c r="T125" s="22">
        <v>0</v>
      </c>
      <c r="U125" s="22">
        <v>0</v>
      </c>
      <c r="V125" s="22">
        <v>0</v>
      </c>
      <c r="W125" s="22">
        <v>0</v>
      </c>
      <c r="X125" s="22">
        <v>0</v>
      </c>
      <c r="Y125" s="22">
        <v>0</v>
      </c>
      <c r="Z125" s="22">
        <v>0</v>
      </c>
      <c r="AA125" s="22">
        <v>0</v>
      </c>
      <c r="AB125" s="22">
        <v>0</v>
      </c>
      <c r="AC125" s="22">
        <v>0</v>
      </c>
      <c r="AD125" s="22">
        <v>0</v>
      </c>
      <c r="AE125" s="22">
        <v>0</v>
      </c>
      <c r="AF125" s="22">
        <v>0</v>
      </c>
      <c r="AG125" s="22">
        <v>0</v>
      </c>
      <c r="AH125" s="22">
        <v>0</v>
      </c>
      <c r="AI125" s="22">
        <v>0</v>
      </c>
      <c r="AJ125" s="22">
        <v>0</v>
      </c>
      <c r="AK125" s="22">
        <v>0</v>
      </c>
      <c r="AL125" s="22">
        <v>0</v>
      </c>
      <c r="AM125" s="22">
        <v>0</v>
      </c>
      <c r="AN125" s="22">
        <v>0</v>
      </c>
      <c r="AO125" s="22">
        <v>0</v>
      </c>
      <c r="AP125" s="22">
        <v>0</v>
      </c>
      <c r="AQ125" s="22">
        <v>0</v>
      </c>
      <c r="AR125" s="22">
        <v>0</v>
      </c>
      <c r="AS125" s="22">
        <v>0</v>
      </c>
      <c r="AT125" s="22">
        <v>0</v>
      </c>
      <c r="AU125" s="22">
        <v>0</v>
      </c>
      <c r="AV125" s="79"/>
    </row>
    <row r="126" spans="1:48">
      <c r="A126" s="23" t="s">
        <v>422</v>
      </c>
      <c r="B126" s="19" t="s">
        <v>423</v>
      </c>
      <c r="C126" s="19" t="s">
        <v>392</v>
      </c>
      <c r="D126" s="20">
        <f t="shared" si="4"/>
        <v>0</v>
      </c>
      <c r="E126" s="22">
        <v>0</v>
      </c>
      <c r="F126" s="22">
        <v>0</v>
      </c>
      <c r="G126" s="22">
        <v>0</v>
      </c>
      <c r="H126" s="22">
        <v>0</v>
      </c>
      <c r="I126" s="22">
        <v>0</v>
      </c>
      <c r="J126" s="22">
        <v>0</v>
      </c>
      <c r="K126" s="22">
        <v>0</v>
      </c>
      <c r="L126" s="22">
        <v>0</v>
      </c>
      <c r="M126" s="22">
        <v>0</v>
      </c>
      <c r="N126" s="22">
        <v>0</v>
      </c>
      <c r="O126" s="22">
        <v>0</v>
      </c>
      <c r="P126" s="22">
        <v>0</v>
      </c>
      <c r="Q126" s="22">
        <v>0</v>
      </c>
      <c r="R126" s="22">
        <v>0</v>
      </c>
      <c r="S126" s="22">
        <v>0</v>
      </c>
      <c r="T126" s="22">
        <v>0</v>
      </c>
      <c r="U126" s="22">
        <v>0</v>
      </c>
      <c r="V126" s="22">
        <v>0</v>
      </c>
      <c r="W126" s="22">
        <v>0</v>
      </c>
      <c r="X126" s="22">
        <v>0</v>
      </c>
      <c r="Y126" s="22">
        <v>0</v>
      </c>
      <c r="Z126" s="22">
        <v>0</v>
      </c>
      <c r="AA126" s="22">
        <v>0</v>
      </c>
      <c r="AB126" s="22">
        <v>0</v>
      </c>
      <c r="AC126" s="22">
        <v>0</v>
      </c>
      <c r="AD126" s="22">
        <v>0</v>
      </c>
      <c r="AE126" s="22">
        <v>0</v>
      </c>
      <c r="AF126" s="22">
        <v>0</v>
      </c>
      <c r="AG126" s="22">
        <v>0</v>
      </c>
      <c r="AH126" s="22">
        <v>0</v>
      </c>
      <c r="AI126" s="22">
        <v>0</v>
      </c>
      <c r="AJ126" s="22">
        <v>0</v>
      </c>
      <c r="AK126" s="22">
        <v>0</v>
      </c>
      <c r="AL126" s="22">
        <v>0</v>
      </c>
      <c r="AM126" s="22">
        <v>0</v>
      </c>
      <c r="AN126" s="22">
        <v>0</v>
      </c>
      <c r="AO126" s="22">
        <v>0</v>
      </c>
      <c r="AP126" s="22">
        <v>0</v>
      </c>
      <c r="AQ126" s="22">
        <v>0</v>
      </c>
      <c r="AR126" s="22">
        <v>0</v>
      </c>
      <c r="AS126" s="22">
        <v>0</v>
      </c>
      <c r="AT126" s="22">
        <v>0</v>
      </c>
      <c r="AU126" s="22">
        <v>0</v>
      </c>
      <c r="AV126" s="79"/>
    </row>
    <row r="127" spans="1:48">
      <c r="A127" s="23" t="s">
        <v>424</v>
      </c>
      <c r="B127" s="19" t="s">
        <v>425</v>
      </c>
      <c r="C127" s="19" t="s">
        <v>285</v>
      </c>
      <c r="D127" s="20">
        <f t="shared" si="4"/>
        <v>0</v>
      </c>
      <c r="E127" s="22">
        <v>0</v>
      </c>
      <c r="F127" s="22">
        <v>0</v>
      </c>
      <c r="G127" s="22">
        <v>0</v>
      </c>
      <c r="H127" s="22">
        <v>0</v>
      </c>
      <c r="I127" s="22">
        <v>0</v>
      </c>
      <c r="J127" s="22">
        <v>0</v>
      </c>
      <c r="K127" s="22">
        <v>0</v>
      </c>
      <c r="L127" s="22">
        <v>0</v>
      </c>
      <c r="M127" s="22">
        <v>0</v>
      </c>
      <c r="N127" s="22">
        <v>0</v>
      </c>
      <c r="O127" s="22">
        <v>0</v>
      </c>
      <c r="P127" s="22">
        <v>0</v>
      </c>
      <c r="Q127" s="22">
        <v>0</v>
      </c>
      <c r="R127" s="22">
        <v>0</v>
      </c>
      <c r="S127" s="22">
        <v>0</v>
      </c>
      <c r="T127" s="22">
        <v>0</v>
      </c>
      <c r="U127" s="22">
        <v>0</v>
      </c>
      <c r="V127" s="22">
        <v>0</v>
      </c>
      <c r="W127" s="22">
        <v>0</v>
      </c>
      <c r="X127" s="22">
        <v>0</v>
      </c>
      <c r="Y127" s="22">
        <v>0</v>
      </c>
      <c r="Z127" s="22">
        <v>0</v>
      </c>
      <c r="AA127" s="22">
        <v>0</v>
      </c>
      <c r="AB127" s="22">
        <v>0</v>
      </c>
      <c r="AC127" s="22">
        <v>0</v>
      </c>
      <c r="AD127" s="22">
        <v>0</v>
      </c>
      <c r="AE127" s="22">
        <v>0</v>
      </c>
      <c r="AF127" s="22">
        <v>0</v>
      </c>
      <c r="AG127" s="22">
        <v>0</v>
      </c>
      <c r="AH127" s="22">
        <v>0</v>
      </c>
      <c r="AI127" s="22">
        <v>0</v>
      </c>
      <c r="AJ127" s="22">
        <v>0</v>
      </c>
      <c r="AK127" s="22">
        <v>0</v>
      </c>
      <c r="AL127" s="22">
        <v>0</v>
      </c>
      <c r="AM127" s="22">
        <v>0</v>
      </c>
      <c r="AN127" s="22">
        <v>0</v>
      </c>
      <c r="AO127" s="22">
        <v>0</v>
      </c>
      <c r="AP127" s="22">
        <v>0</v>
      </c>
      <c r="AQ127" s="22">
        <v>0</v>
      </c>
      <c r="AR127" s="22">
        <v>0</v>
      </c>
      <c r="AS127" s="22">
        <v>0</v>
      </c>
      <c r="AT127" s="22">
        <v>0</v>
      </c>
      <c r="AU127" s="22">
        <v>0</v>
      </c>
      <c r="AV127" s="79"/>
    </row>
    <row r="128" spans="1:48">
      <c r="A128" s="24" t="s">
        <v>426</v>
      </c>
      <c r="B128" s="25"/>
      <c r="C128" s="25"/>
      <c r="D128" s="16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28"/>
      <c r="AI128" s="28"/>
      <c r="AJ128" s="28"/>
      <c r="AK128" s="28"/>
      <c r="AL128" s="28"/>
      <c r="AM128" s="28"/>
      <c r="AN128" s="28"/>
      <c r="AO128" s="28"/>
      <c r="AP128" s="28"/>
      <c r="AQ128" s="28"/>
      <c r="AR128" s="28"/>
      <c r="AS128" s="28"/>
      <c r="AT128" s="28"/>
      <c r="AU128" s="28"/>
    </row>
    <row r="129" spans="1:52">
      <c r="A129" s="23"/>
      <c r="B129" s="19" t="s">
        <v>427</v>
      </c>
      <c r="C129" s="19" t="s">
        <v>428</v>
      </c>
      <c r="D129" s="20">
        <f t="shared" ref="D129:D132" si="5">SUM(E129:AU129)</f>
        <v>49023</v>
      </c>
      <c r="E129" s="22">
        <v>4072</v>
      </c>
      <c r="F129" s="22">
        <v>16754</v>
      </c>
      <c r="G129" s="22">
        <v>1386</v>
      </c>
      <c r="H129" s="22">
        <v>320</v>
      </c>
      <c r="I129" s="22">
        <v>274</v>
      </c>
      <c r="J129" s="22">
        <v>390</v>
      </c>
      <c r="K129" s="22">
        <v>1286</v>
      </c>
      <c r="L129" s="22">
        <v>1604</v>
      </c>
      <c r="M129" s="22">
        <v>272</v>
      </c>
      <c r="N129" s="22">
        <v>321</v>
      </c>
      <c r="O129" s="22">
        <v>241</v>
      </c>
      <c r="P129" s="22">
        <v>0</v>
      </c>
      <c r="Q129" s="22">
        <v>167</v>
      </c>
      <c r="R129" s="22">
        <v>390</v>
      </c>
      <c r="S129" s="22">
        <v>304</v>
      </c>
      <c r="T129" s="22">
        <v>288</v>
      </c>
      <c r="U129" s="22">
        <v>170</v>
      </c>
      <c r="V129" s="22">
        <v>2901</v>
      </c>
      <c r="W129" s="22">
        <v>423</v>
      </c>
      <c r="X129" s="22">
        <v>567</v>
      </c>
      <c r="Y129" s="22">
        <v>663</v>
      </c>
      <c r="Z129" s="22">
        <v>670</v>
      </c>
      <c r="AA129" s="22">
        <v>1298</v>
      </c>
      <c r="AB129" s="22">
        <v>141</v>
      </c>
      <c r="AC129" s="22">
        <v>674</v>
      </c>
      <c r="AD129" s="22">
        <v>0</v>
      </c>
      <c r="AE129" s="22">
        <v>298</v>
      </c>
      <c r="AF129" s="22">
        <v>249</v>
      </c>
      <c r="AG129" s="22">
        <v>152</v>
      </c>
      <c r="AH129" s="22">
        <v>1232</v>
      </c>
      <c r="AI129" s="22">
        <v>365</v>
      </c>
      <c r="AJ129" s="22">
        <v>207</v>
      </c>
      <c r="AK129" s="22">
        <v>1092</v>
      </c>
      <c r="AL129" s="22">
        <v>523</v>
      </c>
      <c r="AM129" s="22">
        <v>59</v>
      </c>
      <c r="AN129" s="22">
        <v>393</v>
      </c>
      <c r="AO129" s="22">
        <v>215</v>
      </c>
      <c r="AP129" s="22">
        <v>246</v>
      </c>
      <c r="AQ129" s="22">
        <v>4250</v>
      </c>
      <c r="AR129" s="22">
        <v>2287</v>
      </c>
      <c r="AS129" s="22">
        <v>1010</v>
      </c>
      <c r="AT129" s="22">
        <v>219</v>
      </c>
      <c r="AU129" s="22">
        <v>650</v>
      </c>
    </row>
    <row r="130" spans="1:52">
      <c r="A130" s="23"/>
      <c r="B130" s="19" t="s">
        <v>429</v>
      </c>
      <c r="C130" s="19" t="s">
        <v>428</v>
      </c>
      <c r="D130" s="20">
        <f t="shared" si="5"/>
        <v>49023</v>
      </c>
      <c r="E130" s="22">
        <v>4072</v>
      </c>
      <c r="F130" s="22">
        <v>16754</v>
      </c>
      <c r="G130" s="22">
        <v>1386</v>
      </c>
      <c r="H130" s="22">
        <v>320</v>
      </c>
      <c r="I130" s="22">
        <v>274</v>
      </c>
      <c r="J130" s="22">
        <v>390</v>
      </c>
      <c r="K130" s="22">
        <v>1286</v>
      </c>
      <c r="L130" s="22">
        <v>1604</v>
      </c>
      <c r="M130" s="22">
        <v>272</v>
      </c>
      <c r="N130" s="22">
        <v>321</v>
      </c>
      <c r="O130" s="22">
        <v>241</v>
      </c>
      <c r="P130" s="22">
        <v>0</v>
      </c>
      <c r="Q130" s="22">
        <v>167</v>
      </c>
      <c r="R130" s="22">
        <v>390</v>
      </c>
      <c r="S130" s="22">
        <v>304</v>
      </c>
      <c r="T130" s="22">
        <v>288</v>
      </c>
      <c r="U130" s="22">
        <v>170</v>
      </c>
      <c r="V130" s="22">
        <v>2901</v>
      </c>
      <c r="W130" s="22">
        <v>423</v>
      </c>
      <c r="X130" s="22">
        <v>567</v>
      </c>
      <c r="Y130" s="22">
        <v>663</v>
      </c>
      <c r="Z130" s="22">
        <v>670</v>
      </c>
      <c r="AA130" s="22">
        <v>1298</v>
      </c>
      <c r="AB130" s="22">
        <v>141</v>
      </c>
      <c r="AC130" s="22">
        <v>674</v>
      </c>
      <c r="AD130" s="22">
        <v>0</v>
      </c>
      <c r="AE130" s="22">
        <v>298</v>
      </c>
      <c r="AF130" s="22">
        <v>249</v>
      </c>
      <c r="AG130" s="22">
        <v>152</v>
      </c>
      <c r="AH130" s="22">
        <v>1232</v>
      </c>
      <c r="AI130" s="22">
        <v>365</v>
      </c>
      <c r="AJ130" s="22">
        <v>207</v>
      </c>
      <c r="AK130" s="22">
        <v>1092</v>
      </c>
      <c r="AL130" s="22">
        <v>523</v>
      </c>
      <c r="AM130" s="22">
        <v>59</v>
      </c>
      <c r="AN130" s="22">
        <v>393</v>
      </c>
      <c r="AO130" s="22">
        <v>215</v>
      </c>
      <c r="AP130" s="22">
        <v>246</v>
      </c>
      <c r="AQ130" s="22">
        <v>4250</v>
      </c>
      <c r="AR130" s="22">
        <v>2287</v>
      </c>
      <c r="AS130" s="22">
        <v>1010</v>
      </c>
      <c r="AT130" s="22">
        <v>219</v>
      </c>
      <c r="AU130" s="22">
        <v>650</v>
      </c>
    </row>
    <row r="131" spans="1:52">
      <c r="A131" s="23"/>
      <c r="B131" s="19" t="s">
        <v>430</v>
      </c>
      <c r="C131" s="19" t="s">
        <v>428</v>
      </c>
      <c r="D131" s="20">
        <f t="shared" si="5"/>
        <v>49023</v>
      </c>
      <c r="E131" s="22">
        <v>4072</v>
      </c>
      <c r="F131" s="22">
        <v>16754</v>
      </c>
      <c r="G131" s="22">
        <v>1386</v>
      </c>
      <c r="H131" s="22">
        <v>320</v>
      </c>
      <c r="I131" s="22">
        <v>274</v>
      </c>
      <c r="J131" s="22">
        <v>390</v>
      </c>
      <c r="K131" s="22">
        <v>1286</v>
      </c>
      <c r="L131" s="22">
        <v>1604</v>
      </c>
      <c r="M131" s="22">
        <v>272</v>
      </c>
      <c r="N131" s="22">
        <v>321</v>
      </c>
      <c r="O131" s="22">
        <v>241</v>
      </c>
      <c r="P131" s="22">
        <v>0</v>
      </c>
      <c r="Q131" s="22">
        <v>167</v>
      </c>
      <c r="R131" s="22">
        <v>390</v>
      </c>
      <c r="S131" s="22">
        <v>304</v>
      </c>
      <c r="T131" s="22">
        <v>288</v>
      </c>
      <c r="U131" s="22">
        <v>170</v>
      </c>
      <c r="V131" s="22">
        <v>2901</v>
      </c>
      <c r="W131" s="22">
        <v>423</v>
      </c>
      <c r="X131" s="22">
        <v>567</v>
      </c>
      <c r="Y131" s="22">
        <v>663</v>
      </c>
      <c r="Z131" s="22">
        <v>670</v>
      </c>
      <c r="AA131" s="22">
        <v>1298</v>
      </c>
      <c r="AB131" s="22">
        <v>141</v>
      </c>
      <c r="AC131" s="22">
        <v>674</v>
      </c>
      <c r="AD131" s="22">
        <v>0</v>
      </c>
      <c r="AE131" s="22">
        <v>298</v>
      </c>
      <c r="AF131" s="22">
        <v>249</v>
      </c>
      <c r="AG131" s="22">
        <v>152</v>
      </c>
      <c r="AH131" s="22">
        <v>1232</v>
      </c>
      <c r="AI131" s="22">
        <v>365</v>
      </c>
      <c r="AJ131" s="22">
        <v>207</v>
      </c>
      <c r="AK131" s="22">
        <v>1092</v>
      </c>
      <c r="AL131" s="22">
        <v>523</v>
      </c>
      <c r="AM131" s="22">
        <v>59</v>
      </c>
      <c r="AN131" s="22">
        <v>393</v>
      </c>
      <c r="AO131" s="22">
        <v>215</v>
      </c>
      <c r="AP131" s="22">
        <v>246</v>
      </c>
      <c r="AQ131" s="22">
        <v>4250</v>
      </c>
      <c r="AR131" s="22">
        <v>2287</v>
      </c>
      <c r="AS131" s="22">
        <v>1010</v>
      </c>
      <c r="AT131" s="22">
        <v>219</v>
      </c>
      <c r="AU131" s="22">
        <v>650</v>
      </c>
    </row>
    <row r="132" spans="1:52">
      <c r="A132" s="23"/>
      <c r="B132" s="19" t="s">
        <v>431</v>
      </c>
      <c r="C132" s="19" t="s">
        <v>428</v>
      </c>
      <c r="D132" s="20">
        <f t="shared" si="5"/>
        <v>49023</v>
      </c>
      <c r="E132" s="22">
        <v>4072</v>
      </c>
      <c r="F132" s="22">
        <v>16754</v>
      </c>
      <c r="G132" s="22">
        <v>1386</v>
      </c>
      <c r="H132" s="22">
        <v>320</v>
      </c>
      <c r="I132" s="22">
        <v>274</v>
      </c>
      <c r="J132" s="22">
        <v>390</v>
      </c>
      <c r="K132" s="22">
        <v>1286</v>
      </c>
      <c r="L132" s="22">
        <v>1604</v>
      </c>
      <c r="M132" s="22">
        <v>272</v>
      </c>
      <c r="N132" s="22">
        <v>321</v>
      </c>
      <c r="O132" s="22">
        <v>241</v>
      </c>
      <c r="P132" s="22">
        <v>0</v>
      </c>
      <c r="Q132" s="22">
        <v>167</v>
      </c>
      <c r="R132" s="22">
        <v>390</v>
      </c>
      <c r="S132" s="22">
        <v>304</v>
      </c>
      <c r="T132" s="22">
        <v>288</v>
      </c>
      <c r="U132" s="22">
        <v>170</v>
      </c>
      <c r="V132" s="22">
        <v>2901</v>
      </c>
      <c r="W132" s="22">
        <v>423</v>
      </c>
      <c r="X132" s="22">
        <v>567</v>
      </c>
      <c r="Y132" s="22">
        <v>663</v>
      </c>
      <c r="Z132" s="22">
        <v>670</v>
      </c>
      <c r="AA132" s="22">
        <v>1298</v>
      </c>
      <c r="AB132" s="22">
        <v>141</v>
      </c>
      <c r="AC132" s="22">
        <v>674</v>
      </c>
      <c r="AD132" s="22">
        <v>0</v>
      </c>
      <c r="AE132" s="22">
        <v>298</v>
      </c>
      <c r="AF132" s="22">
        <v>249</v>
      </c>
      <c r="AG132" s="22">
        <v>152</v>
      </c>
      <c r="AH132" s="22">
        <v>1232</v>
      </c>
      <c r="AI132" s="22">
        <v>365</v>
      </c>
      <c r="AJ132" s="22">
        <v>207</v>
      </c>
      <c r="AK132" s="22">
        <v>1092</v>
      </c>
      <c r="AL132" s="22">
        <v>523</v>
      </c>
      <c r="AM132" s="22">
        <v>59</v>
      </c>
      <c r="AN132" s="22">
        <v>393</v>
      </c>
      <c r="AO132" s="22">
        <v>215</v>
      </c>
      <c r="AP132" s="22">
        <v>246</v>
      </c>
      <c r="AQ132" s="22">
        <v>4250</v>
      </c>
      <c r="AR132" s="22">
        <v>2287</v>
      </c>
      <c r="AS132" s="22">
        <v>1010</v>
      </c>
      <c r="AT132" s="22">
        <v>219</v>
      </c>
      <c r="AU132" s="22">
        <v>650</v>
      </c>
    </row>
    <row r="133" spans="1:52">
      <c r="A133" s="24" t="s">
        <v>432</v>
      </c>
      <c r="B133" s="25"/>
      <c r="C133" s="25"/>
      <c r="D133" s="16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  <c r="AG133" s="28"/>
      <c r="AH133" s="28"/>
      <c r="AI133" s="28"/>
      <c r="AJ133" s="28"/>
      <c r="AK133" s="28"/>
      <c r="AL133" s="28"/>
      <c r="AM133" s="28"/>
      <c r="AN133" s="28"/>
      <c r="AO133" s="28"/>
      <c r="AP133" s="28"/>
      <c r="AQ133" s="28"/>
      <c r="AR133" s="28"/>
      <c r="AS133" s="28"/>
      <c r="AT133" s="28"/>
      <c r="AU133" s="28"/>
    </row>
    <row r="134" spans="1:52">
      <c r="A134" s="23"/>
      <c r="B134" s="19" t="s">
        <v>433</v>
      </c>
      <c r="C134" s="19" t="s">
        <v>434</v>
      </c>
      <c r="D134" s="20">
        <f>SUM(E134:AU134)</f>
        <v>0</v>
      </c>
      <c r="E134" s="22" t="s">
        <v>683</v>
      </c>
      <c r="F134" s="22" t="s">
        <v>683</v>
      </c>
      <c r="G134" s="22" t="s">
        <v>683</v>
      </c>
      <c r="H134" s="22" t="s">
        <v>683</v>
      </c>
      <c r="I134" s="22" t="s">
        <v>683</v>
      </c>
      <c r="J134" s="22" t="s">
        <v>683</v>
      </c>
      <c r="K134" s="22" t="s">
        <v>683</v>
      </c>
      <c r="L134" s="22" t="s">
        <v>683</v>
      </c>
      <c r="M134" s="22" t="s">
        <v>683</v>
      </c>
      <c r="N134" s="22" t="s">
        <v>683</v>
      </c>
      <c r="O134" s="22" t="s">
        <v>683</v>
      </c>
      <c r="P134" s="22" t="s">
        <v>683</v>
      </c>
      <c r="Q134" s="22" t="s">
        <v>683</v>
      </c>
      <c r="R134" s="22" t="s">
        <v>683</v>
      </c>
      <c r="S134" s="22" t="s">
        <v>683</v>
      </c>
      <c r="T134" s="22" t="s">
        <v>683</v>
      </c>
      <c r="U134" s="22" t="s">
        <v>683</v>
      </c>
      <c r="V134" s="22" t="s">
        <v>683</v>
      </c>
      <c r="W134" s="22" t="s">
        <v>683</v>
      </c>
      <c r="X134" s="22" t="s">
        <v>683</v>
      </c>
      <c r="Y134" s="22" t="s">
        <v>683</v>
      </c>
      <c r="Z134" s="22" t="s">
        <v>683</v>
      </c>
      <c r="AA134" s="22" t="s">
        <v>683</v>
      </c>
      <c r="AB134" s="22" t="s">
        <v>683</v>
      </c>
      <c r="AC134" s="22" t="s">
        <v>683</v>
      </c>
      <c r="AD134" s="22" t="s">
        <v>683</v>
      </c>
      <c r="AE134" s="22" t="s">
        <v>683</v>
      </c>
      <c r="AF134" s="22" t="s">
        <v>683</v>
      </c>
      <c r="AG134" s="22" t="s">
        <v>683</v>
      </c>
      <c r="AH134" s="22" t="s">
        <v>683</v>
      </c>
      <c r="AI134" s="22" t="s">
        <v>683</v>
      </c>
      <c r="AJ134" s="22" t="s">
        <v>683</v>
      </c>
      <c r="AK134" s="22" t="s">
        <v>683</v>
      </c>
      <c r="AL134" s="22" t="s">
        <v>683</v>
      </c>
      <c r="AM134" s="22" t="s">
        <v>683</v>
      </c>
      <c r="AN134" s="22" t="s">
        <v>683</v>
      </c>
      <c r="AO134" s="22" t="s">
        <v>683</v>
      </c>
      <c r="AP134" s="22" t="s">
        <v>683</v>
      </c>
      <c r="AQ134" s="22" t="s">
        <v>683</v>
      </c>
      <c r="AR134" s="22" t="s">
        <v>683</v>
      </c>
      <c r="AS134" s="22" t="s">
        <v>683</v>
      </c>
      <c r="AT134" s="22" t="s">
        <v>683</v>
      </c>
      <c r="AU134" s="22" t="s">
        <v>683</v>
      </c>
    </row>
    <row r="135" spans="1:52">
      <c r="A135" s="23"/>
      <c r="B135" s="19" t="s">
        <v>435</v>
      </c>
      <c r="C135" s="19" t="s">
        <v>434</v>
      </c>
      <c r="D135" s="20">
        <f t="shared" ref="D135:D136" si="6">SUM(E135:AU135)</f>
        <v>79934.73000000001</v>
      </c>
      <c r="E135" s="22">
        <v>6618</v>
      </c>
      <c r="F135" s="22">
        <v>28286</v>
      </c>
      <c r="G135" s="22">
        <v>21603</v>
      </c>
      <c r="H135" s="22">
        <v>993</v>
      </c>
      <c r="I135" s="22">
        <v>133.72999999999999</v>
      </c>
      <c r="J135" s="22">
        <v>0</v>
      </c>
      <c r="K135" s="22">
        <v>536</v>
      </c>
      <c r="L135" s="22" t="s">
        <v>683</v>
      </c>
      <c r="M135" s="22" t="s">
        <v>683</v>
      </c>
      <c r="N135" s="22" t="s">
        <v>683</v>
      </c>
      <c r="O135" s="22" t="s">
        <v>683</v>
      </c>
      <c r="P135" s="22">
        <v>184</v>
      </c>
      <c r="Q135" s="22" t="s">
        <v>683</v>
      </c>
      <c r="R135" s="22">
        <v>386</v>
      </c>
      <c r="S135" s="22" t="s">
        <v>683</v>
      </c>
      <c r="T135" s="22" t="s">
        <v>683</v>
      </c>
      <c r="U135" s="22" t="s">
        <v>683</v>
      </c>
      <c r="V135" s="22">
        <v>2314</v>
      </c>
      <c r="W135" s="22">
        <v>283</v>
      </c>
      <c r="X135" s="22">
        <v>1417</v>
      </c>
      <c r="Y135" s="22" t="s">
        <v>683</v>
      </c>
      <c r="Z135" s="22">
        <v>975</v>
      </c>
      <c r="AA135" s="22">
        <v>2718</v>
      </c>
      <c r="AB135" s="22" t="s">
        <v>683</v>
      </c>
      <c r="AC135" s="22" t="s">
        <v>683</v>
      </c>
      <c r="AD135" s="22" t="s">
        <v>683</v>
      </c>
      <c r="AE135" s="22" t="s">
        <v>683</v>
      </c>
      <c r="AF135" s="22" t="s">
        <v>683</v>
      </c>
      <c r="AG135" s="22" t="s">
        <v>683</v>
      </c>
      <c r="AH135" s="22">
        <v>1485</v>
      </c>
      <c r="AI135" s="22">
        <v>287</v>
      </c>
      <c r="AJ135" s="22">
        <v>178</v>
      </c>
      <c r="AK135" s="22">
        <v>3029</v>
      </c>
      <c r="AL135" s="22">
        <v>1086</v>
      </c>
      <c r="AM135" s="22" t="s">
        <v>683</v>
      </c>
      <c r="AN135" s="22">
        <v>386</v>
      </c>
      <c r="AO135" s="22" t="s">
        <v>683</v>
      </c>
      <c r="AP135" s="22">
        <v>96</v>
      </c>
      <c r="AQ135" s="22">
        <v>6307</v>
      </c>
      <c r="AR135" s="22" t="s">
        <v>683</v>
      </c>
      <c r="AS135" s="22">
        <v>634</v>
      </c>
      <c r="AT135" s="22" t="s">
        <v>683</v>
      </c>
      <c r="AU135" s="22" t="s">
        <v>683</v>
      </c>
    </row>
    <row r="136" spans="1:52">
      <c r="A136" s="23"/>
      <c r="B136" s="19" t="s">
        <v>436</v>
      </c>
      <c r="C136" s="19" t="s">
        <v>434</v>
      </c>
      <c r="D136" s="20">
        <f t="shared" si="6"/>
        <v>98590</v>
      </c>
      <c r="E136" s="22">
        <v>10557</v>
      </c>
      <c r="F136" s="22">
        <v>53466</v>
      </c>
      <c r="G136" s="22">
        <v>3976</v>
      </c>
      <c r="H136" s="22">
        <v>1899</v>
      </c>
      <c r="I136" s="22">
        <v>242</v>
      </c>
      <c r="J136" s="22">
        <v>0</v>
      </c>
      <c r="K136" s="22">
        <v>797</v>
      </c>
      <c r="L136" s="22" t="s">
        <v>683</v>
      </c>
      <c r="M136" s="22" t="s">
        <v>683</v>
      </c>
      <c r="N136" s="22" t="s">
        <v>683</v>
      </c>
      <c r="O136" s="22" t="s">
        <v>683</v>
      </c>
      <c r="P136" s="22">
        <v>167</v>
      </c>
      <c r="Q136" s="22" t="s">
        <v>683</v>
      </c>
      <c r="R136" s="22">
        <v>307</v>
      </c>
      <c r="S136" s="22" t="s">
        <v>683</v>
      </c>
      <c r="T136" s="22" t="s">
        <v>683</v>
      </c>
      <c r="U136" s="22" t="s">
        <v>683</v>
      </c>
      <c r="V136" s="22">
        <v>2917</v>
      </c>
      <c r="W136" s="22">
        <v>619</v>
      </c>
      <c r="X136" s="22">
        <v>1583</v>
      </c>
      <c r="Y136" s="22" t="s">
        <v>683</v>
      </c>
      <c r="Z136" s="22">
        <v>1503</v>
      </c>
      <c r="AA136" s="22">
        <v>720</v>
      </c>
      <c r="AB136" s="22" t="s">
        <v>683</v>
      </c>
      <c r="AC136" s="22" t="s">
        <v>683</v>
      </c>
      <c r="AD136" s="22" t="s">
        <v>683</v>
      </c>
      <c r="AE136" s="22" t="s">
        <v>683</v>
      </c>
      <c r="AF136" s="22" t="s">
        <v>683</v>
      </c>
      <c r="AG136" s="22" t="s">
        <v>683</v>
      </c>
      <c r="AH136" s="22">
        <v>1902</v>
      </c>
      <c r="AI136" s="22">
        <v>169</v>
      </c>
      <c r="AJ136" s="22">
        <v>317</v>
      </c>
      <c r="AK136" s="22">
        <v>4724</v>
      </c>
      <c r="AL136" s="22">
        <v>1225</v>
      </c>
      <c r="AM136" s="22" t="s">
        <v>683</v>
      </c>
      <c r="AN136" s="22">
        <v>498</v>
      </c>
      <c r="AO136" s="22" t="s">
        <v>683</v>
      </c>
      <c r="AP136" s="22">
        <v>55</v>
      </c>
      <c r="AQ136" s="22">
        <v>9002</v>
      </c>
      <c r="AR136" s="22" t="s">
        <v>683</v>
      </c>
      <c r="AS136" s="22">
        <v>1945</v>
      </c>
      <c r="AT136" s="22" t="s">
        <v>683</v>
      </c>
      <c r="AU136" s="22" t="s">
        <v>683</v>
      </c>
    </row>
    <row r="137" spans="1:52" ht="15.6" customHeight="1">
      <c r="A137"/>
      <c r="B137"/>
      <c r="C137"/>
      <c r="D137" s="39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  <c r="AU137" s="31"/>
      <c r="AW137" s="70"/>
      <c r="AZ137" s="70"/>
    </row>
    <row r="138" spans="1:52">
      <c r="A138"/>
      <c r="B138"/>
      <c r="D138" s="39"/>
    </row>
    <row r="139" spans="1:52">
      <c r="D139" s="37"/>
    </row>
  </sheetData>
  <mergeCells count="3">
    <mergeCell ref="A1:C7"/>
    <mergeCell ref="E71:AU71"/>
    <mergeCell ref="E72:AU72"/>
  </mergeCells>
  <pageMargins left="0.70866141732283472" right="0.70866141732283472" top="0.74803149606299213" bottom="0.74803149606299213" header="0.31496062992125984" footer="0.31496062992125984"/>
  <pageSetup paperSize="8" scale="14" fitToHeight="5" orientation="landscape" verticalDpi="300" r:id="rId1"/>
  <rowBreaks count="1" manualBreakCount="1">
    <brk id="77" max="45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CCDDE-02FF-407B-A690-F28732EF9620}">
  <sheetPr codeName="Sheet4">
    <pageSetUpPr fitToPage="1"/>
  </sheetPr>
  <dimension ref="A1:BC138"/>
  <sheetViews>
    <sheetView showGridLines="0" topLeftCell="A105" zoomScale="90" zoomScaleNormal="90" workbookViewId="0">
      <selection activeCell="B43" sqref="B43"/>
    </sheetView>
  </sheetViews>
  <sheetFormatPr defaultColWidth="9.140625" defaultRowHeight="15.95"/>
  <cols>
    <col min="1" max="1" width="27.7109375" style="4" customWidth="1"/>
    <col min="2" max="2" width="57.42578125" style="30" customWidth="1"/>
    <col min="3" max="3" width="29.5703125" style="30" bestFit="1" customWidth="1"/>
    <col min="4" max="4" width="26.42578125" style="31" bestFit="1" customWidth="1"/>
    <col min="5" max="5" width="21.7109375" style="32" bestFit="1" customWidth="1"/>
    <col min="6" max="6" width="17.42578125" style="32" bestFit="1" customWidth="1"/>
    <col min="7" max="7" width="15.85546875" style="32" bestFit="1" customWidth="1"/>
    <col min="8" max="8" width="30.5703125" style="32" customWidth="1"/>
    <col min="9" max="9" width="11.7109375" style="32" bestFit="1" customWidth="1"/>
    <col min="10" max="10" width="17.42578125" style="32" bestFit="1" customWidth="1"/>
    <col min="11" max="11" width="16.28515625" style="32" bestFit="1" customWidth="1"/>
    <col min="12" max="12" width="19.5703125" style="32" bestFit="1" customWidth="1"/>
    <col min="13" max="13" width="14.140625" style="32" bestFit="1" customWidth="1"/>
    <col min="14" max="14" width="17.5703125" style="32" bestFit="1" customWidth="1"/>
    <col min="15" max="15" width="13.42578125" style="32" bestFit="1" customWidth="1"/>
    <col min="16" max="16" width="17.5703125" style="32" bestFit="1" customWidth="1"/>
    <col min="17" max="17" width="16" style="32" bestFit="1" customWidth="1"/>
    <col min="18" max="18" width="24.28515625" style="32" bestFit="1" customWidth="1"/>
    <col min="19" max="19" width="22.5703125" style="32" bestFit="1" customWidth="1"/>
    <col min="20" max="20" width="11.140625" style="32" bestFit="1" customWidth="1"/>
    <col min="21" max="21" width="19" style="32" bestFit="1" customWidth="1"/>
    <col min="22" max="22" width="13.7109375" style="32" bestFit="1" customWidth="1"/>
    <col min="23" max="23" width="14" style="32" bestFit="1" customWidth="1"/>
    <col min="24" max="24" width="13.7109375" style="32" bestFit="1" customWidth="1"/>
    <col min="25" max="25" width="10.42578125" style="32" bestFit="1" customWidth="1"/>
    <col min="26" max="26" width="11.140625" style="32" bestFit="1" customWidth="1"/>
    <col min="27" max="27" width="26" style="32" bestFit="1" customWidth="1"/>
    <col min="28" max="28" width="14.85546875" style="32" bestFit="1" customWidth="1"/>
    <col min="29" max="29" width="11.85546875" style="32" bestFit="1" customWidth="1"/>
    <col min="30" max="30" width="22.7109375" style="32" bestFit="1" customWidth="1"/>
    <col min="31" max="31" width="20.85546875" style="32" bestFit="1" customWidth="1"/>
    <col min="32" max="32" width="11.140625" style="32" bestFit="1" customWidth="1"/>
    <col min="33" max="33" width="21.85546875" style="32" bestFit="1" customWidth="1"/>
    <col min="34" max="34" width="17.85546875" style="32" bestFit="1" customWidth="1"/>
    <col min="35" max="35" width="16.42578125" style="32" bestFit="1" customWidth="1"/>
    <col min="36" max="36" width="17.7109375" style="32" bestFit="1" customWidth="1"/>
    <col min="37" max="37" width="23.28515625" style="32" bestFit="1" customWidth="1"/>
    <col min="38" max="38" width="17.5703125" style="32" bestFit="1" customWidth="1"/>
    <col min="39" max="39" width="17.85546875" style="32" bestFit="1" customWidth="1"/>
    <col min="40" max="40" width="17.5703125" style="32" bestFit="1" customWidth="1"/>
    <col min="41" max="41" width="16.140625" style="32" bestFit="1" customWidth="1"/>
    <col min="42" max="42" width="15.85546875" style="32" bestFit="1" customWidth="1"/>
    <col min="43" max="43" width="17.85546875" style="32" bestFit="1" customWidth="1"/>
    <col min="44" max="44" width="19.140625" style="32" bestFit="1" customWidth="1"/>
    <col min="45" max="45" width="11.7109375" style="32" bestFit="1" customWidth="1"/>
    <col min="46" max="46" width="21.28515625" style="32" bestFit="1" customWidth="1"/>
    <col min="47" max="47" width="26.28515625" style="32" customWidth="1"/>
    <col min="48" max="48" width="16.7109375" style="32" bestFit="1" customWidth="1"/>
    <col min="49" max="49" width="13.85546875" style="32" bestFit="1" customWidth="1"/>
    <col min="50" max="50" width="19.140625" style="32" bestFit="1" customWidth="1"/>
    <col min="51" max="51" width="11.5703125" style="50" bestFit="1" customWidth="1"/>
    <col min="52" max="52" width="15.85546875" style="67" bestFit="1" customWidth="1"/>
    <col min="53" max="53" width="14.42578125" style="76" bestFit="1" customWidth="1"/>
    <col min="55" max="55" width="14.42578125" style="76" bestFit="1" customWidth="1"/>
    <col min="212" max="212" width="24.5703125" customWidth="1"/>
    <col min="213" max="213" width="59.5703125" customWidth="1"/>
    <col min="214" max="214" width="23.140625" customWidth="1"/>
    <col min="215" max="215" width="14.85546875" bestFit="1" customWidth="1"/>
    <col min="216" max="217" width="20.42578125" customWidth="1"/>
    <col min="218" max="218" width="17.42578125" customWidth="1"/>
    <col min="219" max="219" width="11.5703125" bestFit="1" customWidth="1"/>
    <col min="220" max="220" width="16.140625" customWidth="1"/>
    <col min="222" max="222" width="14.140625" bestFit="1" customWidth="1"/>
    <col min="468" max="468" width="24.5703125" customWidth="1"/>
    <col min="469" max="469" width="59.5703125" customWidth="1"/>
    <col min="470" max="470" width="23.140625" customWidth="1"/>
    <col min="471" max="471" width="14.85546875" bestFit="1" customWidth="1"/>
    <col min="472" max="473" width="20.42578125" customWidth="1"/>
    <col min="474" max="474" width="17.42578125" customWidth="1"/>
    <col min="475" max="475" width="11.5703125" bestFit="1" customWidth="1"/>
    <col min="476" max="476" width="16.140625" customWidth="1"/>
    <col min="478" max="478" width="14.140625" bestFit="1" customWidth="1"/>
    <col min="724" max="724" width="24.5703125" customWidth="1"/>
    <col min="725" max="725" width="59.5703125" customWidth="1"/>
    <col min="726" max="726" width="23.140625" customWidth="1"/>
    <col min="727" max="727" width="14.85546875" bestFit="1" customWidth="1"/>
    <col min="728" max="729" width="20.42578125" customWidth="1"/>
    <col min="730" max="730" width="17.42578125" customWidth="1"/>
    <col min="731" max="731" width="11.5703125" bestFit="1" customWidth="1"/>
    <col min="732" max="732" width="16.140625" customWidth="1"/>
    <col min="734" max="734" width="14.140625" bestFit="1" customWidth="1"/>
    <col min="980" max="980" width="24.5703125" customWidth="1"/>
    <col min="981" max="981" width="59.5703125" customWidth="1"/>
    <col min="982" max="982" width="23.140625" customWidth="1"/>
    <col min="983" max="983" width="14.85546875" bestFit="1" customWidth="1"/>
    <col min="984" max="985" width="20.42578125" customWidth="1"/>
    <col min="986" max="986" width="17.42578125" customWidth="1"/>
    <col min="987" max="987" width="11.5703125" bestFit="1" customWidth="1"/>
    <col min="988" max="988" width="16.140625" customWidth="1"/>
    <col min="990" max="990" width="14.140625" bestFit="1" customWidth="1"/>
    <col min="1236" max="1236" width="24.5703125" customWidth="1"/>
    <col min="1237" max="1237" width="59.5703125" customWidth="1"/>
    <col min="1238" max="1238" width="23.140625" customWidth="1"/>
    <col min="1239" max="1239" width="14.85546875" bestFit="1" customWidth="1"/>
    <col min="1240" max="1241" width="20.42578125" customWidth="1"/>
    <col min="1242" max="1242" width="17.42578125" customWidth="1"/>
    <col min="1243" max="1243" width="11.5703125" bestFit="1" customWidth="1"/>
    <col min="1244" max="1244" width="16.140625" customWidth="1"/>
    <col min="1246" max="1246" width="14.140625" bestFit="1" customWidth="1"/>
    <col min="1492" max="1492" width="24.5703125" customWidth="1"/>
    <col min="1493" max="1493" width="59.5703125" customWidth="1"/>
    <col min="1494" max="1494" width="23.140625" customWidth="1"/>
    <col min="1495" max="1495" width="14.85546875" bestFit="1" customWidth="1"/>
    <col min="1496" max="1497" width="20.42578125" customWidth="1"/>
    <col min="1498" max="1498" width="17.42578125" customWidth="1"/>
    <col min="1499" max="1499" width="11.5703125" bestFit="1" customWidth="1"/>
    <col min="1500" max="1500" width="16.140625" customWidth="1"/>
    <col min="1502" max="1502" width="14.140625" bestFit="1" customWidth="1"/>
    <col min="1748" max="1748" width="24.5703125" customWidth="1"/>
    <col min="1749" max="1749" width="59.5703125" customWidth="1"/>
    <col min="1750" max="1750" width="23.140625" customWidth="1"/>
    <col min="1751" max="1751" width="14.85546875" bestFit="1" customWidth="1"/>
    <col min="1752" max="1753" width="20.42578125" customWidth="1"/>
    <col min="1754" max="1754" width="17.42578125" customWidth="1"/>
    <col min="1755" max="1755" width="11.5703125" bestFit="1" customWidth="1"/>
    <col min="1756" max="1756" width="16.140625" customWidth="1"/>
    <col min="1758" max="1758" width="14.140625" bestFit="1" customWidth="1"/>
    <col min="2004" max="2004" width="24.5703125" customWidth="1"/>
    <col min="2005" max="2005" width="59.5703125" customWidth="1"/>
    <col min="2006" max="2006" width="23.140625" customWidth="1"/>
    <col min="2007" max="2007" width="14.85546875" bestFit="1" customWidth="1"/>
    <col min="2008" max="2009" width="20.42578125" customWidth="1"/>
    <col min="2010" max="2010" width="17.42578125" customWidth="1"/>
    <col min="2011" max="2011" width="11.5703125" bestFit="1" customWidth="1"/>
    <col min="2012" max="2012" width="16.140625" customWidth="1"/>
    <col min="2014" max="2014" width="14.140625" bestFit="1" customWidth="1"/>
    <col min="2260" max="2260" width="24.5703125" customWidth="1"/>
    <col min="2261" max="2261" width="59.5703125" customWidth="1"/>
    <col min="2262" max="2262" width="23.140625" customWidth="1"/>
    <col min="2263" max="2263" width="14.85546875" bestFit="1" customWidth="1"/>
    <col min="2264" max="2265" width="20.42578125" customWidth="1"/>
    <col min="2266" max="2266" width="17.42578125" customWidth="1"/>
    <col min="2267" max="2267" width="11.5703125" bestFit="1" customWidth="1"/>
    <col min="2268" max="2268" width="16.140625" customWidth="1"/>
    <col min="2270" max="2270" width="14.140625" bestFit="1" customWidth="1"/>
    <col min="2516" max="2516" width="24.5703125" customWidth="1"/>
    <col min="2517" max="2517" width="59.5703125" customWidth="1"/>
    <col min="2518" max="2518" width="23.140625" customWidth="1"/>
    <col min="2519" max="2519" width="14.85546875" bestFit="1" customWidth="1"/>
    <col min="2520" max="2521" width="20.42578125" customWidth="1"/>
    <col min="2522" max="2522" width="17.42578125" customWidth="1"/>
    <col min="2523" max="2523" width="11.5703125" bestFit="1" customWidth="1"/>
    <col min="2524" max="2524" width="16.140625" customWidth="1"/>
    <col min="2526" max="2526" width="14.140625" bestFit="1" customWidth="1"/>
    <col min="2772" max="2772" width="24.5703125" customWidth="1"/>
    <col min="2773" max="2773" width="59.5703125" customWidth="1"/>
    <col min="2774" max="2774" width="23.140625" customWidth="1"/>
    <col min="2775" max="2775" width="14.85546875" bestFit="1" customWidth="1"/>
    <col min="2776" max="2777" width="20.42578125" customWidth="1"/>
    <col min="2778" max="2778" width="17.42578125" customWidth="1"/>
    <col min="2779" max="2779" width="11.5703125" bestFit="1" customWidth="1"/>
    <col min="2780" max="2780" width="16.140625" customWidth="1"/>
    <col min="2782" max="2782" width="14.140625" bestFit="1" customWidth="1"/>
    <col min="3028" max="3028" width="24.5703125" customWidth="1"/>
    <col min="3029" max="3029" width="59.5703125" customWidth="1"/>
    <col min="3030" max="3030" width="23.140625" customWidth="1"/>
    <col min="3031" max="3031" width="14.85546875" bestFit="1" customWidth="1"/>
    <col min="3032" max="3033" width="20.42578125" customWidth="1"/>
    <col min="3034" max="3034" width="17.42578125" customWidth="1"/>
    <col min="3035" max="3035" width="11.5703125" bestFit="1" customWidth="1"/>
    <col min="3036" max="3036" width="16.140625" customWidth="1"/>
    <col min="3038" max="3038" width="14.140625" bestFit="1" customWidth="1"/>
    <col min="3284" max="3284" width="24.5703125" customWidth="1"/>
    <col min="3285" max="3285" width="59.5703125" customWidth="1"/>
    <col min="3286" max="3286" width="23.140625" customWidth="1"/>
    <col min="3287" max="3287" width="14.85546875" bestFit="1" customWidth="1"/>
    <col min="3288" max="3289" width="20.42578125" customWidth="1"/>
    <col min="3290" max="3290" width="17.42578125" customWidth="1"/>
    <col min="3291" max="3291" width="11.5703125" bestFit="1" customWidth="1"/>
    <col min="3292" max="3292" width="16.140625" customWidth="1"/>
    <col min="3294" max="3294" width="14.140625" bestFit="1" customWidth="1"/>
    <col min="3540" max="3540" width="24.5703125" customWidth="1"/>
    <col min="3541" max="3541" width="59.5703125" customWidth="1"/>
    <col min="3542" max="3542" width="23.140625" customWidth="1"/>
    <col min="3543" max="3543" width="14.85546875" bestFit="1" customWidth="1"/>
    <col min="3544" max="3545" width="20.42578125" customWidth="1"/>
    <col min="3546" max="3546" width="17.42578125" customWidth="1"/>
    <col min="3547" max="3547" width="11.5703125" bestFit="1" customWidth="1"/>
    <col min="3548" max="3548" width="16.140625" customWidth="1"/>
    <col min="3550" max="3550" width="14.140625" bestFit="1" customWidth="1"/>
    <col min="3796" max="3796" width="24.5703125" customWidth="1"/>
    <col min="3797" max="3797" width="59.5703125" customWidth="1"/>
    <col min="3798" max="3798" width="23.140625" customWidth="1"/>
    <col min="3799" max="3799" width="14.85546875" bestFit="1" customWidth="1"/>
    <col min="3800" max="3801" width="20.42578125" customWidth="1"/>
    <col min="3802" max="3802" width="17.42578125" customWidth="1"/>
    <col min="3803" max="3803" width="11.5703125" bestFit="1" customWidth="1"/>
    <col min="3804" max="3804" width="16.140625" customWidth="1"/>
    <col min="3806" max="3806" width="14.140625" bestFit="1" customWidth="1"/>
    <col min="4052" max="4052" width="24.5703125" customWidth="1"/>
    <col min="4053" max="4053" width="59.5703125" customWidth="1"/>
    <col min="4054" max="4054" width="23.140625" customWidth="1"/>
    <col min="4055" max="4055" width="14.85546875" bestFit="1" customWidth="1"/>
    <col min="4056" max="4057" width="20.42578125" customWidth="1"/>
    <col min="4058" max="4058" width="17.42578125" customWidth="1"/>
    <col min="4059" max="4059" width="11.5703125" bestFit="1" customWidth="1"/>
    <col min="4060" max="4060" width="16.140625" customWidth="1"/>
    <col min="4062" max="4062" width="14.140625" bestFit="1" customWidth="1"/>
    <col min="4308" max="4308" width="24.5703125" customWidth="1"/>
    <col min="4309" max="4309" width="59.5703125" customWidth="1"/>
    <col min="4310" max="4310" width="23.140625" customWidth="1"/>
    <col min="4311" max="4311" width="14.85546875" bestFit="1" customWidth="1"/>
    <col min="4312" max="4313" width="20.42578125" customWidth="1"/>
    <col min="4314" max="4314" width="17.42578125" customWidth="1"/>
    <col min="4315" max="4315" width="11.5703125" bestFit="1" customWidth="1"/>
    <col min="4316" max="4316" width="16.140625" customWidth="1"/>
    <col min="4318" max="4318" width="14.140625" bestFit="1" customWidth="1"/>
    <col min="4564" max="4564" width="24.5703125" customWidth="1"/>
    <col min="4565" max="4565" width="59.5703125" customWidth="1"/>
    <col min="4566" max="4566" width="23.140625" customWidth="1"/>
    <col min="4567" max="4567" width="14.85546875" bestFit="1" customWidth="1"/>
    <col min="4568" max="4569" width="20.42578125" customWidth="1"/>
    <col min="4570" max="4570" width="17.42578125" customWidth="1"/>
    <col min="4571" max="4571" width="11.5703125" bestFit="1" customWidth="1"/>
    <col min="4572" max="4572" width="16.140625" customWidth="1"/>
    <col min="4574" max="4574" width="14.140625" bestFit="1" customWidth="1"/>
    <col min="4820" max="4820" width="24.5703125" customWidth="1"/>
    <col min="4821" max="4821" width="59.5703125" customWidth="1"/>
    <col min="4822" max="4822" width="23.140625" customWidth="1"/>
    <col min="4823" max="4823" width="14.85546875" bestFit="1" customWidth="1"/>
    <col min="4824" max="4825" width="20.42578125" customWidth="1"/>
    <col min="4826" max="4826" width="17.42578125" customWidth="1"/>
    <col min="4827" max="4827" width="11.5703125" bestFit="1" customWidth="1"/>
    <col min="4828" max="4828" width="16.140625" customWidth="1"/>
    <col min="4830" max="4830" width="14.140625" bestFit="1" customWidth="1"/>
    <col min="5076" max="5076" width="24.5703125" customWidth="1"/>
    <col min="5077" max="5077" width="59.5703125" customWidth="1"/>
    <col min="5078" max="5078" width="23.140625" customWidth="1"/>
    <col min="5079" max="5079" width="14.85546875" bestFit="1" customWidth="1"/>
    <col min="5080" max="5081" width="20.42578125" customWidth="1"/>
    <col min="5082" max="5082" width="17.42578125" customWidth="1"/>
    <col min="5083" max="5083" width="11.5703125" bestFit="1" customWidth="1"/>
    <col min="5084" max="5084" width="16.140625" customWidth="1"/>
    <col min="5086" max="5086" width="14.140625" bestFit="1" customWidth="1"/>
    <col min="5332" max="5332" width="24.5703125" customWidth="1"/>
    <col min="5333" max="5333" width="59.5703125" customWidth="1"/>
    <col min="5334" max="5334" width="23.140625" customWidth="1"/>
    <col min="5335" max="5335" width="14.85546875" bestFit="1" customWidth="1"/>
    <col min="5336" max="5337" width="20.42578125" customWidth="1"/>
    <col min="5338" max="5338" width="17.42578125" customWidth="1"/>
    <col min="5339" max="5339" width="11.5703125" bestFit="1" customWidth="1"/>
    <col min="5340" max="5340" width="16.140625" customWidth="1"/>
    <col min="5342" max="5342" width="14.140625" bestFit="1" customWidth="1"/>
    <col min="5588" max="5588" width="24.5703125" customWidth="1"/>
    <col min="5589" max="5589" width="59.5703125" customWidth="1"/>
    <col min="5590" max="5590" width="23.140625" customWidth="1"/>
    <col min="5591" max="5591" width="14.85546875" bestFit="1" customWidth="1"/>
    <col min="5592" max="5593" width="20.42578125" customWidth="1"/>
    <col min="5594" max="5594" width="17.42578125" customWidth="1"/>
    <col min="5595" max="5595" width="11.5703125" bestFit="1" customWidth="1"/>
    <col min="5596" max="5596" width="16.140625" customWidth="1"/>
    <col min="5598" max="5598" width="14.140625" bestFit="1" customWidth="1"/>
    <col min="5844" max="5844" width="24.5703125" customWidth="1"/>
    <col min="5845" max="5845" width="59.5703125" customWidth="1"/>
    <col min="5846" max="5846" width="23.140625" customWidth="1"/>
    <col min="5847" max="5847" width="14.85546875" bestFit="1" customWidth="1"/>
    <col min="5848" max="5849" width="20.42578125" customWidth="1"/>
    <col min="5850" max="5850" width="17.42578125" customWidth="1"/>
    <col min="5851" max="5851" width="11.5703125" bestFit="1" customWidth="1"/>
    <col min="5852" max="5852" width="16.140625" customWidth="1"/>
    <col min="5854" max="5854" width="14.140625" bestFit="1" customWidth="1"/>
    <col min="6100" max="6100" width="24.5703125" customWidth="1"/>
    <col min="6101" max="6101" width="59.5703125" customWidth="1"/>
    <col min="6102" max="6102" width="23.140625" customWidth="1"/>
    <col min="6103" max="6103" width="14.85546875" bestFit="1" customWidth="1"/>
    <col min="6104" max="6105" width="20.42578125" customWidth="1"/>
    <col min="6106" max="6106" width="17.42578125" customWidth="1"/>
    <col min="6107" max="6107" width="11.5703125" bestFit="1" customWidth="1"/>
    <col min="6108" max="6108" width="16.140625" customWidth="1"/>
    <col min="6110" max="6110" width="14.140625" bestFit="1" customWidth="1"/>
    <col min="6356" max="6356" width="24.5703125" customWidth="1"/>
    <col min="6357" max="6357" width="59.5703125" customWidth="1"/>
    <col min="6358" max="6358" width="23.140625" customWidth="1"/>
    <col min="6359" max="6359" width="14.85546875" bestFit="1" customWidth="1"/>
    <col min="6360" max="6361" width="20.42578125" customWidth="1"/>
    <col min="6362" max="6362" width="17.42578125" customWidth="1"/>
    <col min="6363" max="6363" width="11.5703125" bestFit="1" customWidth="1"/>
    <col min="6364" max="6364" width="16.140625" customWidth="1"/>
    <col min="6366" max="6366" width="14.140625" bestFit="1" customWidth="1"/>
    <col min="6612" max="6612" width="24.5703125" customWidth="1"/>
    <col min="6613" max="6613" width="59.5703125" customWidth="1"/>
    <col min="6614" max="6614" width="23.140625" customWidth="1"/>
    <col min="6615" max="6615" width="14.85546875" bestFit="1" customWidth="1"/>
    <col min="6616" max="6617" width="20.42578125" customWidth="1"/>
    <col min="6618" max="6618" width="17.42578125" customWidth="1"/>
    <col min="6619" max="6619" width="11.5703125" bestFit="1" customWidth="1"/>
    <col min="6620" max="6620" width="16.140625" customWidth="1"/>
    <col min="6622" max="6622" width="14.140625" bestFit="1" customWidth="1"/>
    <col min="6868" max="6868" width="24.5703125" customWidth="1"/>
    <col min="6869" max="6869" width="59.5703125" customWidth="1"/>
    <col min="6870" max="6870" width="23.140625" customWidth="1"/>
    <col min="6871" max="6871" width="14.85546875" bestFit="1" customWidth="1"/>
    <col min="6872" max="6873" width="20.42578125" customWidth="1"/>
    <col min="6874" max="6874" width="17.42578125" customWidth="1"/>
    <col min="6875" max="6875" width="11.5703125" bestFit="1" customWidth="1"/>
    <col min="6876" max="6876" width="16.140625" customWidth="1"/>
    <col min="6878" max="6878" width="14.140625" bestFit="1" customWidth="1"/>
    <col min="7124" max="7124" width="24.5703125" customWidth="1"/>
    <col min="7125" max="7125" width="59.5703125" customWidth="1"/>
    <col min="7126" max="7126" width="23.140625" customWidth="1"/>
    <col min="7127" max="7127" width="14.85546875" bestFit="1" customWidth="1"/>
    <col min="7128" max="7129" width="20.42578125" customWidth="1"/>
    <col min="7130" max="7130" width="17.42578125" customWidth="1"/>
    <col min="7131" max="7131" width="11.5703125" bestFit="1" customWidth="1"/>
    <col min="7132" max="7132" width="16.140625" customWidth="1"/>
    <col min="7134" max="7134" width="14.140625" bestFit="1" customWidth="1"/>
    <col min="7380" max="7380" width="24.5703125" customWidth="1"/>
    <col min="7381" max="7381" width="59.5703125" customWidth="1"/>
    <col min="7382" max="7382" width="23.140625" customWidth="1"/>
    <col min="7383" max="7383" width="14.85546875" bestFit="1" customWidth="1"/>
    <col min="7384" max="7385" width="20.42578125" customWidth="1"/>
    <col min="7386" max="7386" width="17.42578125" customWidth="1"/>
    <col min="7387" max="7387" width="11.5703125" bestFit="1" customWidth="1"/>
    <col min="7388" max="7388" width="16.140625" customWidth="1"/>
    <col min="7390" max="7390" width="14.140625" bestFit="1" customWidth="1"/>
    <col min="7636" max="7636" width="24.5703125" customWidth="1"/>
    <col min="7637" max="7637" width="59.5703125" customWidth="1"/>
    <col min="7638" max="7638" width="23.140625" customWidth="1"/>
    <col min="7639" max="7639" width="14.85546875" bestFit="1" customWidth="1"/>
    <col min="7640" max="7641" width="20.42578125" customWidth="1"/>
    <col min="7642" max="7642" width="17.42578125" customWidth="1"/>
    <col min="7643" max="7643" width="11.5703125" bestFit="1" customWidth="1"/>
    <col min="7644" max="7644" width="16.140625" customWidth="1"/>
    <col min="7646" max="7646" width="14.140625" bestFit="1" customWidth="1"/>
    <col min="7892" max="7892" width="24.5703125" customWidth="1"/>
    <col min="7893" max="7893" width="59.5703125" customWidth="1"/>
    <col min="7894" max="7894" width="23.140625" customWidth="1"/>
    <col min="7895" max="7895" width="14.85546875" bestFit="1" customWidth="1"/>
    <col min="7896" max="7897" width="20.42578125" customWidth="1"/>
    <col min="7898" max="7898" width="17.42578125" customWidth="1"/>
    <col min="7899" max="7899" width="11.5703125" bestFit="1" customWidth="1"/>
    <col min="7900" max="7900" width="16.140625" customWidth="1"/>
    <col min="7902" max="7902" width="14.140625" bestFit="1" customWidth="1"/>
    <col min="8148" max="8148" width="24.5703125" customWidth="1"/>
    <col min="8149" max="8149" width="59.5703125" customWidth="1"/>
    <col min="8150" max="8150" width="23.140625" customWidth="1"/>
    <col min="8151" max="8151" width="14.85546875" bestFit="1" customWidth="1"/>
    <col min="8152" max="8153" width="20.42578125" customWidth="1"/>
    <col min="8154" max="8154" width="17.42578125" customWidth="1"/>
    <col min="8155" max="8155" width="11.5703125" bestFit="1" customWidth="1"/>
    <col min="8156" max="8156" width="16.140625" customWidth="1"/>
    <col min="8158" max="8158" width="14.140625" bestFit="1" customWidth="1"/>
    <col min="8404" max="8404" width="24.5703125" customWidth="1"/>
    <col min="8405" max="8405" width="59.5703125" customWidth="1"/>
    <col min="8406" max="8406" width="23.140625" customWidth="1"/>
    <col min="8407" max="8407" width="14.85546875" bestFit="1" customWidth="1"/>
    <col min="8408" max="8409" width="20.42578125" customWidth="1"/>
    <col min="8410" max="8410" width="17.42578125" customWidth="1"/>
    <col min="8411" max="8411" width="11.5703125" bestFit="1" customWidth="1"/>
    <col min="8412" max="8412" width="16.140625" customWidth="1"/>
    <col min="8414" max="8414" width="14.140625" bestFit="1" customWidth="1"/>
    <col min="8660" max="8660" width="24.5703125" customWidth="1"/>
    <col min="8661" max="8661" width="59.5703125" customWidth="1"/>
    <col min="8662" max="8662" width="23.140625" customWidth="1"/>
    <col min="8663" max="8663" width="14.85546875" bestFit="1" customWidth="1"/>
    <col min="8664" max="8665" width="20.42578125" customWidth="1"/>
    <col min="8666" max="8666" width="17.42578125" customWidth="1"/>
    <col min="8667" max="8667" width="11.5703125" bestFit="1" customWidth="1"/>
    <col min="8668" max="8668" width="16.140625" customWidth="1"/>
    <col min="8670" max="8670" width="14.140625" bestFit="1" customWidth="1"/>
    <col min="8916" max="8916" width="24.5703125" customWidth="1"/>
    <col min="8917" max="8917" width="59.5703125" customWidth="1"/>
    <col min="8918" max="8918" width="23.140625" customWidth="1"/>
    <col min="8919" max="8919" width="14.85546875" bestFit="1" customWidth="1"/>
    <col min="8920" max="8921" width="20.42578125" customWidth="1"/>
    <col min="8922" max="8922" width="17.42578125" customWidth="1"/>
    <col min="8923" max="8923" width="11.5703125" bestFit="1" customWidth="1"/>
    <col min="8924" max="8924" width="16.140625" customWidth="1"/>
    <col min="8926" max="8926" width="14.140625" bestFit="1" customWidth="1"/>
    <col min="9172" max="9172" width="24.5703125" customWidth="1"/>
    <col min="9173" max="9173" width="59.5703125" customWidth="1"/>
    <col min="9174" max="9174" width="23.140625" customWidth="1"/>
    <col min="9175" max="9175" width="14.85546875" bestFit="1" customWidth="1"/>
    <col min="9176" max="9177" width="20.42578125" customWidth="1"/>
    <col min="9178" max="9178" width="17.42578125" customWidth="1"/>
    <col min="9179" max="9179" width="11.5703125" bestFit="1" customWidth="1"/>
    <col min="9180" max="9180" width="16.140625" customWidth="1"/>
    <col min="9182" max="9182" width="14.140625" bestFit="1" customWidth="1"/>
    <col min="9428" max="9428" width="24.5703125" customWidth="1"/>
    <col min="9429" max="9429" width="59.5703125" customWidth="1"/>
    <col min="9430" max="9430" width="23.140625" customWidth="1"/>
    <col min="9431" max="9431" width="14.85546875" bestFit="1" customWidth="1"/>
    <col min="9432" max="9433" width="20.42578125" customWidth="1"/>
    <col min="9434" max="9434" width="17.42578125" customWidth="1"/>
    <col min="9435" max="9435" width="11.5703125" bestFit="1" customWidth="1"/>
    <col min="9436" max="9436" width="16.140625" customWidth="1"/>
    <col min="9438" max="9438" width="14.140625" bestFit="1" customWidth="1"/>
    <col min="9684" max="9684" width="24.5703125" customWidth="1"/>
    <col min="9685" max="9685" width="59.5703125" customWidth="1"/>
    <col min="9686" max="9686" width="23.140625" customWidth="1"/>
    <col min="9687" max="9687" width="14.85546875" bestFit="1" customWidth="1"/>
    <col min="9688" max="9689" width="20.42578125" customWidth="1"/>
    <col min="9690" max="9690" width="17.42578125" customWidth="1"/>
    <col min="9691" max="9691" width="11.5703125" bestFit="1" customWidth="1"/>
    <col min="9692" max="9692" width="16.140625" customWidth="1"/>
    <col min="9694" max="9694" width="14.140625" bestFit="1" customWidth="1"/>
    <col min="9940" max="9940" width="24.5703125" customWidth="1"/>
    <col min="9941" max="9941" width="59.5703125" customWidth="1"/>
    <col min="9942" max="9942" width="23.140625" customWidth="1"/>
    <col min="9943" max="9943" width="14.85546875" bestFit="1" customWidth="1"/>
    <col min="9944" max="9945" width="20.42578125" customWidth="1"/>
    <col min="9946" max="9946" width="17.42578125" customWidth="1"/>
    <col min="9947" max="9947" width="11.5703125" bestFit="1" customWidth="1"/>
    <col min="9948" max="9948" width="16.140625" customWidth="1"/>
    <col min="9950" max="9950" width="14.140625" bestFit="1" customWidth="1"/>
    <col min="10196" max="10196" width="24.5703125" customWidth="1"/>
    <col min="10197" max="10197" width="59.5703125" customWidth="1"/>
    <col min="10198" max="10198" width="23.140625" customWidth="1"/>
    <col min="10199" max="10199" width="14.85546875" bestFit="1" customWidth="1"/>
    <col min="10200" max="10201" width="20.42578125" customWidth="1"/>
    <col min="10202" max="10202" width="17.42578125" customWidth="1"/>
    <col min="10203" max="10203" width="11.5703125" bestFit="1" customWidth="1"/>
    <col min="10204" max="10204" width="16.140625" customWidth="1"/>
    <col min="10206" max="10206" width="14.140625" bestFit="1" customWidth="1"/>
    <col min="10452" max="10452" width="24.5703125" customWidth="1"/>
    <col min="10453" max="10453" width="59.5703125" customWidth="1"/>
    <col min="10454" max="10454" width="23.140625" customWidth="1"/>
    <col min="10455" max="10455" width="14.85546875" bestFit="1" customWidth="1"/>
    <col min="10456" max="10457" width="20.42578125" customWidth="1"/>
    <col min="10458" max="10458" width="17.42578125" customWidth="1"/>
    <col min="10459" max="10459" width="11.5703125" bestFit="1" customWidth="1"/>
    <col min="10460" max="10460" width="16.140625" customWidth="1"/>
    <col min="10462" max="10462" width="14.140625" bestFit="1" customWidth="1"/>
    <col min="10708" max="10708" width="24.5703125" customWidth="1"/>
    <col min="10709" max="10709" width="59.5703125" customWidth="1"/>
    <col min="10710" max="10710" width="23.140625" customWidth="1"/>
    <col min="10711" max="10711" width="14.85546875" bestFit="1" customWidth="1"/>
    <col min="10712" max="10713" width="20.42578125" customWidth="1"/>
    <col min="10714" max="10714" width="17.42578125" customWidth="1"/>
    <col min="10715" max="10715" width="11.5703125" bestFit="1" customWidth="1"/>
    <col min="10716" max="10716" width="16.140625" customWidth="1"/>
    <col min="10718" max="10718" width="14.140625" bestFit="1" customWidth="1"/>
    <col min="10964" max="10964" width="24.5703125" customWidth="1"/>
    <col min="10965" max="10965" width="59.5703125" customWidth="1"/>
    <col min="10966" max="10966" width="23.140625" customWidth="1"/>
    <col min="10967" max="10967" width="14.85546875" bestFit="1" customWidth="1"/>
    <col min="10968" max="10969" width="20.42578125" customWidth="1"/>
    <col min="10970" max="10970" width="17.42578125" customWidth="1"/>
    <col min="10971" max="10971" width="11.5703125" bestFit="1" customWidth="1"/>
    <col min="10972" max="10972" width="16.140625" customWidth="1"/>
    <col min="10974" max="10974" width="14.140625" bestFit="1" customWidth="1"/>
    <col min="11220" max="11220" width="24.5703125" customWidth="1"/>
    <col min="11221" max="11221" width="59.5703125" customWidth="1"/>
    <col min="11222" max="11222" width="23.140625" customWidth="1"/>
    <col min="11223" max="11223" width="14.85546875" bestFit="1" customWidth="1"/>
    <col min="11224" max="11225" width="20.42578125" customWidth="1"/>
    <col min="11226" max="11226" width="17.42578125" customWidth="1"/>
    <col min="11227" max="11227" width="11.5703125" bestFit="1" customWidth="1"/>
    <col min="11228" max="11228" width="16.140625" customWidth="1"/>
    <col min="11230" max="11230" width="14.140625" bestFit="1" customWidth="1"/>
    <col min="11476" max="11476" width="24.5703125" customWidth="1"/>
    <col min="11477" max="11477" width="59.5703125" customWidth="1"/>
    <col min="11478" max="11478" width="23.140625" customWidth="1"/>
    <col min="11479" max="11479" width="14.85546875" bestFit="1" customWidth="1"/>
    <col min="11480" max="11481" width="20.42578125" customWidth="1"/>
    <col min="11482" max="11482" width="17.42578125" customWidth="1"/>
    <col min="11483" max="11483" width="11.5703125" bestFit="1" customWidth="1"/>
    <col min="11484" max="11484" width="16.140625" customWidth="1"/>
    <col min="11486" max="11486" width="14.140625" bestFit="1" customWidth="1"/>
    <col min="11732" max="11732" width="24.5703125" customWidth="1"/>
    <col min="11733" max="11733" width="59.5703125" customWidth="1"/>
    <col min="11734" max="11734" width="23.140625" customWidth="1"/>
    <col min="11735" max="11735" width="14.85546875" bestFit="1" customWidth="1"/>
    <col min="11736" max="11737" width="20.42578125" customWidth="1"/>
    <col min="11738" max="11738" width="17.42578125" customWidth="1"/>
    <col min="11739" max="11739" width="11.5703125" bestFit="1" customWidth="1"/>
    <col min="11740" max="11740" width="16.140625" customWidth="1"/>
    <col min="11742" max="11742" width="14.140625" bestFit="1" customWidth="1"/>
    <col min="11988" max="11988" width="24.5703125" customWidth="1"/>
    <col min="11989" max="11989" width="59.5703125" customWidth="1"/>
    <col min="11990" max="11990" width="23.140625" customWidth="1"/>
    <col min="11991" max="11991" width="14.85546875" bestFit="1" customWidth="1"/>
    <col min="11992" max="11993" width="20.42578125" customWidth="1"/>
    <col min="11994" max="11994" width="17.42578125" customWidth="1"/>
    <col min="11995" max="11995" width="11.5703125" bestFit="1" customWidth="1"/>
    <col min="11996" max="11996" width="16.140625" customWidth="1"/>
    <col min="11998" max="11998" width="14.140625" bestFit="1" customWidth="1"/>
    <col min="12244" max="12244" width="24.5703125" customWidth="1"/>
    <col min="12245" max="12245" width="59.5703125" customWidth="1"/>
    <col min="12246" max="12246" width="23.140625" customWidth="1"/>
    <col min="12247" max="12247" width="14.85546875" bestFit="1" customWidth="1"/>
    <col min="12248" max="12249" width="20.42578125" customWidth="1"/>
    <col min="12250" max="12250" width="17.42578125" customWidth="1"/>
    <col min="12251" max="12251" width="11.5703125" bestFit="1" customWidth="1"/>
    <col min="12252" max="12252" width="16.140625" customWidth="1"/>
    <col min="12254" max="12254" width="14.140625" bestFit="1" customWidth="1"/>
    <col min="12500" max="12500" width="24.5703125" customWidth="1"/>
    <col min="12501" max="12501" width="59.5703125" customWidth="1"/>
    <col min="12502" max="12502" width="23.140625" customWidth="1"/>
    <col min="12503" max="12503" width="14.85546875" bestFit="1" customWidth="1"/>
    <col min="12504" max="12505" width="20.42578125" customWidth="1"/>
    <col min="12506" max="12506" width="17.42578125" customWidth="1"/>
    <col min="12507" max="12507" width="11.5703125" bestFit="1" customWidth="1"/>
    <col min="12508" max="12508" width="16.140625" customWidth="1"/>
    <col min="12510" max="12510" width="14.140625" bestFit="1" customWidth="1"/>
    <col min="12756" max="12756" width="24.5703125" customWidth="1"/>
    <col min="12757" max="12757" width="59.5703125" customWidth="1"/>
    <col min="12758" max="12758" width="23.140625" customWidth="1"/>
    <col min="12759" max="12759" width="14.85546875" bestFit="1" customWidth="1"/>
    <col min="12760" max="12761" width="20.42578125" customWidth="1"/>
    <col min="12762" max="12762" width="17.42578125" customWidth="1"/>
    <col min="12763" max="12763" width="11.5703125" bestFit="1" customWidth="1"/>
    <col min="12764" max="12764" width="16.140625" customWidth="1"/>
    <col min="12766" max="12766" width="14.140625" bestFit="1" customWidth="1"/>
    <col min="13012" max="13012" width="24.5703125" customWidth="1"/>
    <col min="13013" max="13013" width="59.5703125" customWidth="1"/>
    <col min="13014" max="13014" width="23.140625" customWidth="1"/>
    <col min="13015" max="13015" width="14.85546875" bestFit="1" customWidth="1"/>
    <col min="13016" max="13017" width="20.42578125" customWidth="1"/>
    <col min="13018" max="13018" width="17.42578125" customWidth="1"/>
    <col min="13019" max="13019" width="11.5703125" bestFit="1" customWidth="1"/>
    <col min="13020" max="13020" width="16.140625" customWidth="1"/>
    <col min="13022" max="13022" width="14.140625" bestFit="1" customWidth="1"/>
    <col min="13268" max="13268" width="24.5703125" customWidth="1"/>
    <col min="13269" max="13269" width="59.5703125" customWidth="1"/>
    <col min="13270" max="13270" width="23.140625" customWidth="1"/>
    <col min="13271" max="13271" width="14.85546875" bestFit="1" customWidth="1"/>
    <col min="13272" max="13273" width="20.42578125" customWidth="1"/>
    <col min="13274" max="13274" width="17.42578125" customWidth="1"/>
    <col min="13275" max="13275" width="11.5703125" bestFit="1" customWidth="1"/>
    <col min="13276" max="13276" width="16.140625" customWidth="1"/>
    <col min="13278" max="13278" width="14.140625" bestFit="1" customWidth="1"/>
    <col min="13524" max="13524" width="24.5703125" customWidth="1"/>
    <col min="13525" max="13525" width="59.5703125" customWidth="1"/>
    <col min="13526" max="13526" width="23.140625" customWidth="1"/>
    <col min="13527" max="13527" width="14.85546875" bestFit="1" customWidth="1"/>
    <col min="13528" max="13529" width="20.42578125" customWidth="1"/>
    <col min="13530" max="13530" width="17.42578125" customWidth="1"/>
    <col min="13531" max="13531" width="11.5703125" bestFit="1" customWidth="1"/>
    <col min="13532" max="13532" width="16.140625" customWidth="1"/>
    <col min="13534" max="13534" width="14.140625" bestFit="1" customWidth="1"/>
    <col min="13780" max="13780" width="24.5703125" customWidth="1"/>
    <col min="13781" max="13781" width="59.5703125" customWidth="1"/>
    <col min="13782" max="13782" width="23.140625" customWidth="1"/>
    <col min="13783" max="13783" width="14.85546875" bestFit="1" customWidth="1"/>
    <col min="13784" max="13785" width="20.42578125" customWidth="1"/>
    <col min="13786" max="13786" width="17.42578125" customWidth="1"/>
    <col min="13787" max="13787" width="11.5703125" bestFit="1" customWidth="1"/>
    <col min="13788" max="13788" width="16.140625" customWidth="1"/>
    <col min="13790" max="13790" width="14.140625" bestFit="1" customWidth="1"/>
    <col min="14036" max="14036" width="24.5703125" customWidth="1"/>
    <col min="14037" max="14037" width="59.5703125" customWidth="1"/>
    <col min="14038" max="14038" width="23.140625" customWidth="1"/>
    <col min="14039" max="14039" width="14.85546875" bestFit="1" customWidth="1"/>
    <col min="14040" max="14041" width="20.42578125" customWidth="1"/>
    <col min="14042" max="14042" width="17.42578125" customWidth="1"/>
    <col min="14043" max="14043" width="11.5703125" bestFit="1" customWidth="1"/>
    <col min="14044" max="14044" width="16.140625" customWidth="1"/>
    <col min="14046" max="14046" width="14.140625" bestFit="1" customWidth="1"/>
    <col min="14292" max="14292" width="24.5703125" customWidth="1"/>
    <col min="14293" max="14293" width="59.5703125" customWidth="1"/>
    <col min="14294" max="14294" width="23.140625" customWidth="1"/>
    <col min="14295" max="14295" width="14.85546875" bestFit="1" customWidth="1"/>
    <col min="14296" max="14297" width="20.42578125" customWidth="1"/>
    <col min="14298" max="14298" width="17.42578125" customWidth="1"/>
    <col min="14299" max="14299" width="11.5703125" bestFit="1" customWidth="1"/>
    <col min="14300" max="14300" width="16.140625" customWidth="1"/>
    <col min="14302" max="14302" width="14.140625" bestFit="1" customWidth="1"/>
    <col min="14548" max="14548" width="24.5703125" customWidth="1"/>
    <col min="14549" max="14549" width="59.5703125" customWidth="1"/>
    <col min="14550" max="14550" width="23.140625" customWidth="1"/>
    <col min="14551" max="14551" width="14.85546875" bestFit="1" customWidth="1"/>
    <col min="14552" max="14553" width="20.42578125" customWidth="1"/>
    <col min="14554" max="14554" width="17.42578125" customWidth="1"/>
    <col min="14555" max="14555" width="11.5703125" bestFit="1" customWidth="1"/>
    <col min="14556" max="14556" width="16.140625" customWidth="1"/>
    <col min="14558" max="14558" width="14.140625" bestFit="1" customWidth="1"/>
    <col min="14804" max="14804" width="24.5703125" customWidth="1"/>
    <col min="14805" max="14805" width="59.5703125" customWidth="1"/>
    <col min="14806" max="14806" width="23.140625" customWidth="1"/>
    <col min="14807" max="14807" width="14.85546875" bestFit="1" customWidth="1"/>
    <col min="14808" max="14809" width="20.42578125" customWidth="1"/>
    <col min="14810" max="14810" width="17.42578125" customWidth="1"/>
    <col min="14811" max="14811" width="11.5703125" bestFit="1" customWidth="1"/>
    <col min="14812" max="14812" width="16.140625" customWidth="1"/>
    <col min="14814" max="14814" width="14.140625" bestFit="1" customWidth="1"/>
    <col min="15060" max="15060" width="24.5703125" customWidth="1"/>
    <col min="15061" max="15061" width="59.5703125" customWidth="1"/>
    <col min="15062" max="15062" width="23.140625" customWidth="1"/>
    <col min="15063" max="15063" width="14.85546875" bestFit="1" customWidth="1"/>
    <col min="15064" max="15065" width="20.42578125" customWidth="1"/>
    <col min="15066" max="15066" width="17.42578125" customWidth="1"/>
    <col min="15067" max="15067" width="11.5703125" bestFit="1" customWidth="1"/>
    <col min="15068" max="15068" width="16.140625" customWidth="1"/>
    <col min="15070" max="15070" width="14.140625" bestFit="1" customWidth="1"/>
    <col min="15316" max="15316" width="24.5703125" customWidth="1"/>
    <col min="15317" max="15317" width="59.5703125" customWidth="1"/>
    <col min="15318" max="15318" width="23.140625" customWidth="1"/>
    <col min="15319" max="15319" width="14.85546875" bestFit="1" customWidth="1"/>
    <col min="15320" max="15321" width="20.42578125" customWidth="1"/>
    <col min="15322" max="15322" width="17.42578125" customWidth="1"/>
    <col min="15323" max="15323" width="11.5703125" bestFit="1" customWidth="1"/>
    <col min="15324" max="15324" width="16.140625" customWidth="1"/>
    <col min="15326" max="15326" width="14.140625" bestFit="1" customWidth="1"/>
    <col min="15572" max="15572" width="24.5703125" customWidth="1"/>
    <col min="15573" max="15573" width="59.5703125" customWidth="1"/>
    <col min="15574" max="15574" width="23.140625" customWidth="1"/>
    <col min="15575" max="15575" width="14.85546875" bestFit="1" customWidth="1"/>
    <col min="15576" max="15577" width="20.42578125" customWidth="1"/>
    <col min="15578" max="15578" width="17.42578125" customWidth="1"/>
    <col min="15579" max="15579" width="11.5703125" bestFit="1" customWidth="1"/>
    <col min="15580" max="15580" width="16.140625" customWidth="1"/>
    <col min="15582" max="15582" width="14.140625" bestFit="1" customWidth="1"/>
    <col min="15828" max="15828" width="24.5703125" customWidth="1"/>
    <col min="15829" max="15829" width="59.5703125" customWidth="1"/>
    <col min="15830" max="15830" width="23.140625" customWidth="1"/>
    <col min="15831" max="15831" width="14.85546875" bestFit="1" customWidth="1"/>
    <col min="15832" max="15833" width="20.42578125" customWidth="1"/>
    <col min="15834" max="15834" width="17.42578125" customWidth="1"/>
    <col min="15835" max="15835" width="11.5703125" bestFit="1" customWidth="1"/>
    <col min="15836" max="15836" width="16.140625" customWidth="1"/>
    <col min="15838" max="15838" width="14.140625" bestFit="1" customWidth="1"/>
    <col min="16084" max="16084" width="24.5703125" customWidth="1"/>
    <col min="16085" max="16085" width="59.5703125" customWidth="1"/>
    <col min="16086" max="16086" width="23.140625" customWidth="1"/>
    <col min="16087" max="16087" width="14.85546875" bestFit="1" customWidth="1"/>
    <col min="16088" max="16089" width="20.42578125" customWidth="1"/>
    <col min="16090" max="16090" width="17.42578125" customWidth="1"/>
    <col min="16091" max="16091" width="11.5703125" bestFit="1" customWidth="1"/>
    <col min="16092" max="16092" width="16.140625" customWidth="1"/>
    <col min="16094" max="16094" width="14.140625" bestFit="1" customWidth="1"/>
  </cols>
  <sheetData>
    <row r="1" spans="1:54" ht="12.95" customHeight="1">
      <c r="A1" s="85" t="s">
        <v>824</v>
      </c>
      <c r="B1" s="86"/>
      <c r="C1" s="87"/>
      <c r="D1" s="40" t="s">
        <v>1</v>
      </c>
      <c r="E1" s="2">
        <v>1</v>
      </c>
      <c r="F1" s="2">
        <v>2</v>
      </c>
      <c r="G1" s="2">
        <v>3</v>
      </c>
      <c r="H1" s="2">
        <v>4</v>
      </c>
      <c r="I1" s="2">
        <v>5</v>
      </c>
      <c r="J1" s="2">
        <v>6</v>
      </c>
      <c r="K1" s="2">
        <v>7</v>
      </c>
      <c r="L1" s="2">
        <v>8</v>
      </c>
      <c r="M1" s="2">
        <v>9</v>
      </c>
      <c r="N1" s="2">
        <v>10</v>
      </c>
      <c r="O1" s="2">
        <v>11</v>
      </c>
      <c r="P1" s="2">
        <v>12</v>
      </c>
      <c r="Q1" s="2">
        <v>13</v>
      </c>
      <c r="R1" s="2">
        <v>14</v>
      </c>
      <c r="S1" s="2">
        <v>15</v>
      </c>
      <c r="T1" s="2">
        <v>16</v>
      </c>
      <c r="U1" s="2">
        <v>17</v>
      </c>
      <c r="V1" s="2">
        <v>18</v>
      </c>
      <c r="W1" s="2">
        <v>19</v>
      </c>
      <c r="X1" s="2">
        <v>20</v>
      </c>
      <c r="Y1" s="2">
        <v>21</v>
      </c>
      <c r="Z1" s="2">
        <v>22</v>
      </c>
      <c r="AA1" s="2">
        <v>23</v>
      </c>
      <c r="AB1" s="2">
        <v>24</v>
      </c>
      <c r="AC1" s="2">
        <v>25</v>
      </c>
      <c r="AD1" s="2">
        <v>26</v>
      </c>
      <c r="AE1" s="2">
        <v>27</v>
      </c>
      <c r="AF1" s="2">
        <v>28</v>
      </c>
      <c r="AG1" s="2">
        <v>29</v>
      </c>
      <c r="AH1" s="2">
        <v>30</v>
      </c>
      <c r="AI1" s="2">
        <v>31</v>
      </c>
      <c r="AJ1" s="2">
        <v>32</v>
      </c>
      <c r="AK1" s="2">
        <v>33</v>
      </c>
      <c r="AL1" s="2">
        <v>34</v>
      </c>
      <c r="AM1" s="2">
        <v>35</v>
      </c>
      <c r="AN1" s="2">
        <v>36</v>
      </c>
      <c r="AO1" s="2">
        <v>37</v>
      </c>
      <c r="AP1" s="2">
        <v>38</v>
      </c>
      <c r="AQ1" s="2">
        <v>39</v>
      </c>
      <c r="AR1" s="2">
        <v>40</v>
      </c>
      <c r="AS1" s="2">
        <v>41</v>
      </c>
      <c r="AT1" s="2">
        <v>42</v>
      </c>
      <c r="AU1" s="2">
        <v>43</v>
      </c>
      <c r="AV1" s="2">
        <v>44</v>
      </c>
      <c r="AW1" s="2">
        <v>45</v>
      </c>
      <c r="AX1" s="2">
        <v>46</v>
      </c>
    </row>
    <row r="2" spans="1:54" ht="12.95" customHeight="1">
      <c r="A2" s="88"/>
      <c r="B2" s="89"/>
      <c r="C2" s="90"/>
      <c r="D2" s="40" t="s">
        <v>2</v>
      </c>
      <c r="E2" s="5" t="s">
        <v>372</v>
      </c>
      <c r="F2" s="5" t="s">
        <v>377</v>
      </c>
      <c r="G2" s="5" t="s">
        <v>380</v>
      </c>
      <c r="H2" s="5" t="s">
        <v>825</v>
      </c>
      <c r="I2" s="5" t="s">
        <v>826</v>
      </c>
      <c r="J2" s="5" t="s">
        <v>827</v>
      </c>
      <c r="K2" s="5" t="s">
        <v>828</v>
      </c>
      <c r="L2" s="5" t="s">
        <v>829</v>
      </c>
      <c r="M2" s="5" t="s">
        <v>830</v>
      </c>
      <c r="N2" s="5" t="s">
        <v>831</v>
      </c>
      <c r="O2" s="5" t="s">
        <v>832</v>
      </c>
      <c r="P2" s="5" t="s">
        <v>833</v>
      </c>
      <c r="Q2" s="5" t="s">
        <v>834</v>
      </c>
      <c r="R2" s="5" t="s">
        <v>835</v>
      </c>
      <c r="S2" s="5" t="s">
        <v>836</v>
      </c>
      <c r="T2" s="5" t="s">
        <v>837</v>
      </c>
      <c r="U2" s="5" t="s">
        <v>838</v>
      </c>
      <c r="V2" s="5" t="s">
        <v>839</v>
      </c>
      <c r="W2" s="5" t="s">
        <v>840</v>
      </c>
      <c r="X2" s="5" t="s">
        <v>841</v>
      </c>
      <c r="Y2" s="5" t="s">
        <v>842</v>
      </c>
      <c r="Z2" s="5" t="s">
        <v>843</v>
      </c>
      <c r="AA2" s="5" t="s">
        <v>844</v>
      </c>
      <c r="AB2" s="5" t="s">
        <v>845</v>
      </c>
      <c r="AC2" s="5" t="s">
        <v>846</v>
      </c>
      <c r="AD2" s="5" t="s">
        <v>847</v>
      </c>
      <c r="AE2" s="5" t="s">
        <v>848</v>
      </c>
      <c r="AF2" s="5" t="s">
        <v>849</v>
      </c>
      <c r="AG2" s="5" t="s">
        <v>850</v>
      </c>
      <c r="AH2" s="5" t="s">
        <v>851</v>
      </c>
      <c r="AI2" s="5" t="s">
        <v>852</v>
      </c>
      <c r="AJ2" s="5" t="s">
        <v>853</v>
      </c>
      <c r="AK2" s="5" t="s">
        <v>854</v>
      </c>
      <c r="AL2" s="5" t="s">
        <v>855</v>
      </c>
      <c r="AM2" s="5" t="s">
        <v>856</v>
      </c>
      <c r="AN2" s="5" t="s">
        <v>857</v>
      </c>
      <c r="AO2" s="5" t="s">
        <v>858</v>
      </c>
      <c r="AP2" s="5" t="s">
        <v>859</v>
      </c>
      <c r="AQ2" s="5" t="s">
        <v>860</v>
      </c>
      <c r="AR2" s="5" t="s">
        <v>861</v>
      </c>
      <c r="AS2" s="5" t="s">
        <v>862</v>
      </c>
      <c r="AT2" s="5" t="s">
        <v>863</v>
      </c>
      <c r="AU2" s="5" t="s">
        <v>864</v>
      </c>
      <c r="AV2" s="5" t="s">
        <v>865</v>
      </c>
      <c r="AW2" s="5" t="s">
        <v>866</v>
      </c>
      <c r="AX2" s="5" t="s">
        <v>867</v>
      </c>
    </row>
    <row r="3" spans="1:54" ht="32.1">
      <c r="A3" s="88"/>
      <c r="B3" s="89"/>
      <c r="C3" s="90"/>
      <c r="D3" s="40" t="s">
        <v>11</v>
      </c>
      <c r="E3" s="6" t="s">
        <v>541</v>
      </c>
      <c r="F3" s="6" t="s">
        <v>868</v>
      </c>
      <c r="G3" s="6" t="s">
        <v>869</v>
      </c>
      <c r="H3" s="6" t="s">
        <v>870</v>
      </c>
      <c r="I3" s="6" t="s">
        <v>871</v>
      </c>
      <c r="J3" s="6" t="s">
        <v>872</v>
      </c>
      <c r="K3" s="6" t="s">
        <v>873</v>
      </c>
      <c r="L3" s="6" t="s">
        <v>874</v>
      </c>
      <c r="M3" s="6" t="s">
        <v>875</v>
      </c>
      <c r="N3" s="6" t="s">
        <v>876</v>
      </c>
      <c r="O3" s="6" t="s">
        <v>877</v>
      </c>
      <c r="P3" s="6" t="s">
        <v>876</v>
      </c>
      <c r="Q3" s="6" t="s">
        <v>878</v>
      </c>
      <c r="R3" s="6" t="s">
        <v>879</v>
      </c>
      <c r="S3" s="6" t="s">
        <v>880</v>
      </c>
      <c r="T3" s="6" t="s">
        <v>881</v>
      </c>
      <c r="U3" s="6" t="s">
        <v>882</v>
      </c>
      <c r="V3" s="6" t="s">
        <v>883</v>
      </c>
      <c r="W3" s="6" t="s">
        <v>884</v>
      </c>
      <c r="X3" s="6" t="s">
        <v>883</v>
      </c>
      <c r="Y3" s="6" t="s">
        <v>885</v>
      </c>
      <c r="Z3" s="6" t="s">
        <v>886</v>
      </c>
      <c r="AA3" s="6" t="s">
        <v>887</v>
      </c>
      <c r="AB3" s="6" t="s">
        <v>868</v>
      </c>
      <c r="AC3" s="6" t="s">
        <v>541</v>
      </c>
      <c r="AD3" s="38" t="s">
        <v>888</v>
      </c>
      <c r="AE3" s="38" t="s">
        <v>889</v>
      </c>
      <c r="AF3" s="6" t="s">
        <v>890</v>
      </c>
      <c r="AG3" s="38" t="s">
        <v>891</v>
      </c>
      <c r="AH3" s="6" t="s">
        <v>892</v>
      </c>
      <c r="AI3" s="6" t="s">
        <v>883</v>
      </c>
      <c r="AJ3" s="6" t="s">
        <v>893</v>
      </c>
      <c r="AK3" s="6" t="s">
        <v>894</v>
      </c>
      <c r="AL3" s="6" t="s">
        <v>876</v>
      </c>
      <c r="AM3" s="6" t="s">
        <v>895</v>
      </c>
      <c r="AN3" s="6" t="s">
        <v>876</v>
      </c>
      <c r="AO3" s="6" t="s">
        <v>896</v>
      </c>
      <c r="AP3" s="6" t="s">
        <v>897</v>
      </c>
      <c r="AQ3" s="6" t="s">
        <v>892</v>
      </c>
      <c r="AR3" s="6" t="s">
        <v>876</v>
      </c>
      <c r="AS3" s="6" t="s">
        <v>898</v>
      </c>
      <c r="AT3" s="6" t="s">
        <v>899</v>
      </c>
      <c r="AU3" s="6" t="s">
        <v>876</v>
      </c>
      <c r="AV3" s="6" t="s">
        <v>875</v>
      </c>
      <c r="AW3" s="6" t="s">
        <v>875</v>
      </c>
      <c r="AX3" s="6" t="s">
        <v>900</v>
      </c>
    </row>
    <row r="4" spans="1:54" ht="32.1">
      <c r="A4" s="88"/>
      <c r="B4" s="89"/>
      <c r="C4" s="90"/>
      <c r="D4" s="40" t="s">
        <v>14</v>
      </c>
      <c r="E4" s="6" t="s">
        <v>901</v>
      </c>
      <c r="F4" s="6" t="s">
        <v>902</v>
      </c>
      <c r="G4" s="6" t="s">
        <v>903</v>
      </c>
      <c r="H4" s="6" t="s">
        <v>904</v>
      </c>
      <c r="I4" s="6" t="s">
        <v>905</v>
      </c>
      <c r="J4" s="6" t="s">
        <v>906</v>
      </c>
      <c r="K4" s="6" t="s">
        <v>907</v>
      </c>
      <c r="L4" s="6" t="s">
        <v>908</v>
      </c>
      <c r="M4" s="6" t="s">
        <v>909</v>
      </c>
      <c r="N4" s="6" t="s">
        <v>910</v>
      </c>
      <c r="O4" s="6" t="s">
        <v>911</v>
      </c>
      <c r="P4" s="6" t="s">
        <v>912</v>
      </c>
      <c r="Q4" s="6" t="s">
        <v>913</v>
      </c>
      <c r="R4" s="6" t="s">
        <v>914</v>
      </c>
      <c r="S4" s="6" t="s">
        <v>915</v>
      </c>
      <c r="T4" s="6" t="s">
        <v>916</v>
      </c>
      <c r="U4" s="6" t="s">
        <v>917</v>
      </c>
      <c r="V4" s="6" t="s">
        <v>918</v>
      </c>
      <c r="W4" s="6" t="s">
        <v>919</v>
      </c>
      <c r="X4" s="6" t="s">
        <v>920</v>
      </c>
      <c r="Y4" s="6" t="s">
        <v>921</v>
      </c>
      <c r="Z4" s="6" t="s">
        <v>922</v>
      </c>
      <c r="AA4" s="6" t="s">
        <v>923</v>
      </c>
      <c r="AB4" s="6" t="s">
        <v>924</v>
      </c>
      <c r="AC4" s="6" t="s">
        <v>925</v>
      </c>
      <c r="AD4" s="6" t="s">
        <v>926</v>
      </c>
      <c r="AE4" s="6" t="s">
        <v>927</v>
      </c>
      <c r="AF4" s="6" t="s">
        <v>928</v>
      </c>
      <c r="AG4" s="6" t="s">
        <v>929</v>
      </c>
      <c r="AH4" s="6" t="s">
        <v>908</v>
      </c>
      <c r="AI4" s="6" t="s">
        <v>930</v>
      </c>
      <c r="AJ4" s="6" t="s">
        <v>931</v>
      </c>
      <c r="AK4" s="6" t="s">
        <v>932</v>
      </c>
      <c r="AL4" s="6" t="s">
        <v>933</v>
      </c>
      <c r="AM4" s="6" t="s">
        <v>934</v>
      </c>
      <c r="AN4" s="6" t="s">
        <v>935</v>
      </c>
      <c r="AO4" s="6" t="s">
        <v>936</v>
      </c>
      <c r="AP4" s="6" t="s">
        <v>937</v>
      </c>
      <c r="AQ4" s="6" t="s">
        <v>938</v>
      </c>
      <c r="AR4" s="6" t="s">
        <v>939</v>
      </c>
      <c r="AS4" s="6" t="s">
        <v>940</v>
      </c>
      <c r="AT4" s="6" t="s">
        <v>941</v>
      </c>
      <c r="AU4" s="38" t="s">
        <v>942</v>
      </c>
      <c r="AV4" s="6" t="s">
        <v>943</v>
      </c>
      <c r="AW4" s="6" t="s">
        <v>944</v>
      </c>
      <c r="AX4" s="6" t="s">
        <v>945</v>
      </c>
    </row>
    <row r="5" spans="1:54" ht="12.95" customHeight="1">
      <c r="A5" s="88"/>
      <c r="B5" s="89"/>
      <c r="C5" s="90"/>
      <c r="D5" s="40" t="s">
        <v>122</v>
      </c>
      <c r="E5" s="7" t="s">
        <v>123</v>
      </c>
      <c r="F5" s="7" t="s">
        <v>131</v>
      </c>
      <c r="G5" s="7" t="s">
        <v>131</v>
      </c>
      <c r="H5" s="7" t="s">
        <v>125</v>
      </c>
      <c r="I5" s="7" t="s">
        <v>131</v>
      </c>
      <c r="J5" s="7" t="s">
        <v>123</v>
      </c>
      <c r="K5" s="7" t="s">
        <v>123</v>
      </c>
      <c r="L5" s="7" t="s">
        <v>131</v>
      </c>
      <c r="M5" s="7" t="s">
        <v>128</v>
      </c>
      <c r="N5" s="7" t="s">
        <v>126</v>
      </c>
      <c r="O5" s="7" t="s">
        <v>124</v>
      </c>
      <c r="P5" s="7" t="s">
        <v>126</v>
      </c>
      <c r="Q5" s="7" t="s">
        <v>126</v>
      </c>
      <c r="R5" s="7" t="s">
        <v>131</v>
      </c>
      <c r="S5" s="7" t="s">
        <v>131</v>
      </c>
      <c r="T5" s="7" t="s">
        <v>131</v>
      </c>
      <c r="U5" s="7" t="s">
        <v>123</v>
      </c>
      <c r="V5" s="7" t="s">
        <v>126</v>
      </c>
      <c r="W5" s="7" t="s">
        <v>124</v>
      </c>
      <c r="X5" s="7" t="s">
        <v>125</v>
      </c>
      <c r="Y5" s="7" t="s">
        <v>123</v>
      </c>
      <c r="Z5" s="7" t="s">
        <v>124</v>
      </c>
      <c r="AA5" s="7" t="s">
        <v>125</v>
      </c>
      <c r="AB5" s="7" t="s">
        <v>131</v>
      </c>
      <c r="AC5" s="7" t="s">
        <v>123</v>
      </c>
      <c r="AD5" s="7" t="s">
        <v>124</v>
      </c>
      <c r="AE5" s="7" t="s">
        <v>126</v>
      </c>
      <c r="AF5" s="7" t="s">
        <v>125</v>
      </c>
      <c r="AG5" s="7" t="s">
        <v>124</v>
      </c>
      <c r="AH5" s="7" t="s">
        <v>126</v>
      </c>
      <c r="AI5" s="7" t="s">
        <v>666</v>
      </c>
      <c r="AJ5" s="7" t="s">
        <v>123</v>
      </c>
      <c r="AK5" s="7" t="s">
        <v>131</v>
      </c>
      <c r="AL5" s="7" t="s">
        <v>125</v>
      </c>
      <c r="AM5" s="7" t="s">
        <v>125</v>
      </c>
      <c r="AN5" s="7" t="s">
        <v>123</v>
      </c>
      <c r="AO5" s="7" t="s">
        <v>125</v>
      </c>
      <c r="AP5" s="7" t="s">
        <v>123</v>
      </c>
      <c r="AQ5" s="7" t="s">
        <v>123</v>
      </c>
      <c r="AR5" s="7" t="s">
        <v>126</v>
      </c>
      <c r="AS5" s="7" t="s">
        <v>127</v>
      </c>
      <c r="AT5" s="7" t="s">
        <v>125</v>
      </c>
      <c r="AU5" s="7" t="s">
        <v>131</v>
      </c>
      <c r="AV5" s="7" t="s">
        <v>131</v>
      </c>
      <c r="AW5" s="7" t="s">
        <v>131</v>
      </c>
      <c r="AX5" s="7" t="s">
        <v>131</v>
      </c>
    </row>
    <row r="6" spans="1:54" ht="32.1">
      <c r="A6" s="88"/>
      <c r="B6" s="89"/>
      <c r="C6" s="90"/>
      <c r="D6" s="40" t="s">
        <v>134</v>
      </c>
      <c r="E6" s="9" t="s">
        <v>946</v>
      </c>
      <c r="F6" s="9" t="s">
        <v>822</v>
      </c>
      <c r="G6" s="9" t="s">
        <v>822</v>
      </c>
      <c r="H6" s="9" t="s">
        <v>820</v>
      </c>
      <c r="I6" s="9" t="s">
        <v>820</v>
      </c>
      <c r="J6" s="9" t="s">
        <v>822</v>
      </c>
      <c r="K6" s="9" t="s">
        <v>821</v>
      </c>
      <c r="L6" s="9" t="s">
        <v>820</v>
      </c>
      <c r="M6" s="9" t="s">
        <v>820</v>
      </c>
      <c r="N6" s="9" t="s">
        <v>822</v>
      </c>
      <c r="O6" s="9" t="s">
        <v>822</v>
      </c>
      <c r="P6" s="9" t="s">
        <v>822</v>
      </c>
      <c r="Q6" s="9" t="s">
        <v>822</v>
      </c>
      <c r="R6" s="9" t="s">
        <v>820</v>
      </c>
      <c r="S6" s="9" t="s">
        <v>820</v>
      </c>
      <c r="T6" s="9" t="s">
        <v>822</v>
      </c>
      <c r="U6" s="9" t="s">
        <v>820</v>
      </c>
      <c r="V6" s="9" t="s">
        <v>822</v>
      </c>
      <c r="W6" s="9" t="s">
        <v>822</v>
      </c>
      <c r="X6" s="9" t="s">
        <v>820</v>
      </c>
      <c r="Y6" s="9" t="s">
        <v>821</v>
      </c>
      <c r="Z6" s="9" t="s">
        <v>822</v>
      </c>
      <c r="AA6" s="9" t="s">
        <v>822</v>
      </c>
      <c r="AB6" s="9" t="s">
        <v>947</v>
      </c>
      <c r="AC6" s="9" t="s">
        <v>821</v>
      </c>
      <c r="AD6" s="9" t="s">
        <v>821</v>
      </c>
      <c r="AE6" s="9" t="s">
        <v>822</v>
      </c>
      <c r="AF6" s="9" t="s">
        <v>822</v>
      </c>
      <c r="AG6" s="9" t="s">
        <v>821</v>
      </c>
      <c r="AH6" s="9" t="s">
        <v>822</v>
      </c>
      <c r="AI6" s="9" t="s">
        <v>822</v>
      </c>
      <c r="AJ6" s="9" t="s">
        <v>822</v>
      </c>
      <c r="AK6" s="9" t="s">
        <v>822</v>
      </c>
      <c r="AL6" s="9" t="s">
        <v>821</v>
      </c>
      <c r="AM6" s="9" t="s">
        <v>820</v>
      </c>
      <c r="AN6" s="9" t="s">
        <v>820</v>
      </c>
      <c r="AO6" s="9" t="s">
        <v>820</v>
      </c>
      <c r="AP6" s="9" t="s">
        <v>822</v>
      </c>
      <c r="AQ6" s="9" t="s">
        <v>822</v>
      </c>
      <c r="AR6" s="9" t="s">
        <v>822</v>
      </c>
      <c r="AS6" s="9" t="s">
        <v>820</v>
      </c>
      <c r="AT6" s="9" t="s">
        <v>820</v>
      </c>
      <c r="AU6" s="9" t="s">
        <v>822</v>
      </c>
      <c r="AV6" s="9" t="s">
        <v>820</v>
      </c>
      <c r="AW6" s="9" t="s">
        <v>820</v>
      </c>
      <c r="AX6" s="9" t="s">
        <v>820</v>
      </c>
    </row>
    <row r="7" spans="1:54" ht="32.1">
      <c r="A7" s="91"/>
      <c r="B7" s="92"/>
      <c r="C7" s="93"/>
      <c r="D7" s="40" t="s">
        <v>147</v>
      </c>
      <c r="E7" s="9" t="s">
        <v>681</v>
      </c>
      <c r="F7" s="9" t="s">
        <v>948</v>
      </c>
      <c r="G7" s="9" t="s">
        <v>948</v>
      </c>
      <c r="H7" s="9" t="s">
        <v>681</v>
      </c>
      <c r="I7" s="9" t="s">
        <v>948</v>
      </c>
      <c r="J7" s="9" t="s">
        <v>681</v>
      </c>
      <c r="K7" s="9" t="s">
        <v>681</v>
      </c>
      <c r="L7" s="9" t="s">
        <v>948</v>
      </c>
      <c r="M7" s="9" t="s">
        <v>681</v>
      </c>
      <c r="N7" s="9" t="s">
        <v>681</v>
      </c>
      <c r="O7" s="9" t="s">
        <v>681</v>
      </c>
      <c r="P7" s="9" t="s">
        <v>681</v>
      </c>
      <c r="Q7" s="9" t="s">
        <v>681</v>
      </c>
      <c r="R7" s="9" t="s">
        <v>948</v>
      </c>
      <c r="S7" s="9" t="s">
        <v>948</v>
      </c>
      <c r="T7" s="9" t="s">
        <v>948</v>
      </c>
      <c r="U7" s="9" t="s">
        <v>681</v>
      </c>
      <c r="V7" s="9" t="s">
        <v>681</v>
      </c>
      <c r="W7" s="9" t="s">
        <v>681</v>
      </c>
      <c r="X7" s="9" t="s">
        <v>681</v>
      </c>
      <c r="Y7" s="9" t="s">
        <v>681</v>
      </c>
      <c r="Z7" s="9" t="s">
        <v>681</v>
      </c>
      <c r="AA7" s="9" t="s">
        <v>681</v>
      </c>
      <c r="AB7" s="9" t="s">
        <v>948</v>
      </c>
      <c r="AC7" s="9" t="s">
        <v>681</v>
      </c>
      <c r="AD7" s="9" t="s">
        <v>681</v>
      </c>
      <c r="AE7" s="9" t="s">
        <v>681</v>
      </c>
      <c r="AF7" s="9" t="s">
        <v>681</v>
      </c>
      <c r="AG7" s="9" t="s">
        <v>681</v>
      </c>
      <c r="AH7" s="9" t="s">
        <v>681</v>
      </c>
      <c r="AI7" s="9" t="s">
        <v>681</v>
      </c>
      <c r="AJ7" s="9" t="s">
        <v>681</v>
      </c>
      <c r="AK7" s="9" t="s">
        <v>948</v>
      </c>
      <c r="AL7" s="9" t="s">
        <v>681</v>
      </c>
      <c r="AM7" s="9" t="s">
        <v>681</v>
      </c>
      <c r="AN7" s="9" t="s">
        <v>681</v>
      </c>
      <c r="AO7" s="9" t="s">
        <v>681</v>
      </c>
      <c r="AP7" s="9" t="s">
        <v>681</v>
      </c>
      <c r="AQ7" s="9" t="s">
        <v>681</v>
      </c>
      <c r="AR7" s="9" t="s">
        <v>681</v>
      </c>
      <c r="AS7" s="9" t="s">
        <v>681</v>
      </c>
      <c r="AT7" s="9" t="s">
        <v>681</v>
      </c>
      <c r="AU7" s="9" t="s">
        <v>948</v>
      </c>
      <c r="AV7" s="9" t="s">
        <v>948</v>
      </c>
      <c r="AW7" s="9" t="s">
        <v>948</v>
      </c>
      <c r="AX7" s="9" t="s">
        <v>948</v>
      </c>
      <c r="BB7" s="58"/>
    </row>
    <row r="8" spans="1:54">
      <c r="A8" s="10" t="s">
        <v>151</v>
      </c>
      <c r="B8" s="11" t="s">
        <v>152</v>
      </c>
      <c r="C8" s="11" t="s">
        <v>153</v>
      </c>
      <c r="D8" s="12" t="s">
        <v>154</v>
      </c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</row>
    <row r="9" spans="1:54">
      <c r="A9" s="14" t="s">
        <v>155</v>
      </c>
      <c r="B9" s="15"/>
      <c r="C9" s="15"/>
      <c r="D9" s="16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51"/>
      <c r="AZ9" s="69"/>
    </row>
    <row r="10" spans="1:54">
      <c r="A10" s="19" t="s">
        <v>156</v>
      </c>
      <c r="B10" s="19" t="s">
        <v>157</v>
      </c>
      <c r="C10" s="19" t="s">
        <v>158</v>
      </c>
      <c r="D10" s="20">
        <f>SUM(E10:AX10)</f>
        <v>20</v>
      </c>
      <c r="E10" s="21">
        <v>0</v>
      </c>
      <c r="F10" s="21">
        <v>0</v>
      </c>
      <c r="G10" s="21">
        <v>0</v>
      </c>
      <c r="H10" s="21">
        <v>0</v>
      </c>
      <c r="I10" s="21">
        <v>0</v>
      </c>
      <c r="J10" s="21">
        <v>1</v>
      </c>
      <c r="K10" s="21">
        <v>0</v>
      </c>
      <c r="L10" s="21">
        <v>0</v>
      </c>
      <c r="M10" s="21">
        <v>0</v>
      </c>
      <c r="N10" s="21">
        <v>1</v>
      </c>
      <c r="O10" s="21">
        <v>0</v>
      </c>
      <c r="P10" s="21">
        <v>0</v>
      </c>
      <c r="Q10" s="21">
        <v>0</v>
      </c>
      <c r="R10" s="21">
        <v>0</v>
      </c>
      <c r="S10" s="21">
        <v>0</v>
      </c>
      <c r="T10" s="21">
        <v>0</v>
      </c>
      <c r="U10" s="21">
        <v>1</v>
      </c>
      <c r="V10" s="21">
        <v>1</v>
      </c>
      <c r="W10" s="21">
        <v>0</v>
      </c>
      <c r="X10" s="21">
        <v>1</v>
      </c>
      <c r="Y10" s="21">
        <v>0</v>
      </c>
      <c r="Z10" s="21">
        <v>0</v>
      </c>
      <c r="AA10" s="21">
        <v>1</v>
      </c>
      <c r="AB10" s="21">
        <v>0</v>
      </c>
      <c r="AC10" s="21">
        <v>0</v>
      </c>
      <c r="AD10" s="21">
        <v>0</v>
      </c>
      <c r="AE10" s="21">
        <v>0</v>
      </c>
      <c r="AF10" s="21">
        <v>3</v>
      </c>
      <c r="AG10" s="21">
        <v>0</v>
      </c>
      <c r="AH10" s="21">
        <v>0</v>
      </c>
      <c r="AI10" s="21">
        <v>0</v>
      </c>
      <c r="AJ10" s="21">
        <v>2</v>
      </c>
      <c r="AK10" s="21">
        <v>2</v>
      </c>
      <c r="AL10" s="21">
        <v>0</v>
      </c>
      <c r="AM10" s="21">
        <v>0</v>
      </c>
      <c r="AN10" s="21">
        <v>0</v>
      </c>
      <c r="AO10" s="21">
        <v>1</v>
      </c>
      <c r="AP10" s="21">
        <v>1</v>
      </c>
      <c r="AQ10" s="21">
        <v>2</v>
      </c>
      <c r="AR10" s="21">
        <v>2</v>
      </c>
      <c r="AS10" s="21">
        <v>0</v>
      </c>
      <c r="AT10" s="21">
        <v>1</v>
      </c>
      <c r="AU10" s="21">
        <v>0</v>
      </c>
      <c r="AV10" s="21">
        <v>0</v>
      </c>
      <c r="AW10" s="21">
        <v>0</v>
      </c>
      <c r="AX10" s="21">
        <v>0</v>
      </c>
      <c r="AY10" s="67"/>
    </row>
    <row r="11" spans="1:54">
      <c r="A11" s="19" t="s">
        <v>156</v>
      </c>
      <c r="B11" s="19" t="s">
        <v>159</v>
      </c>
      <c r="C11" s="19" t="s">
        <v>158</v>
      </c>
      <c r="D11" s="20">
        <f t="shared" ref="D11:D76" si="0">SUM(E11:AX11)</f>
        <v>22</v>
      </c>
      <c r="E11" s="21">
        <v>1</v>
      </c>
      <c r="F11" s="21">
        <v>1</v>
      </c>
      <c r="G11" s="21">
        <v>0</v>
      </c>
      <c r="H11" s="21">
        <v>1</v>
      </c>
      <c r="I11" s="21">
        <v>0</v>
      </c>
      <c r="J11" s="21">
        <v>0</v>
      </c>
      <c r="K11" s="21">
        <v>0</v>
      </c>
      <c r="L11" s="21">
        <v>0</v>
      </c>
      <c r="M11" s="21">
        <v>0</v>
      </c>
      <c r="N11" s="21">
        <v>0</v>
      </c>
      <c r="O11" s="21">
        <v>0</v>
      </c>
      <c r="P11" s="21">
        <v>0</v>
      </c>
      <c r="Q11" s="21">
        <v>0</v>
      </c>
      <c r="R11" s="21">
        <v>5</v>
      </c>
      <c r="S11" s="21">
        <v>2</v>
      </c>
      <c r="T11" s="21">
        <v>0</v>
      </c>
      <c r="U11" s="21">
        <v>0</v>
      </c>
      <c r="V11" s="21">
        <v>0</v>
      </c>
      <c r="W11" s="21">
        <v>0</v>
      </c>
      <c r="X11" s="21">
        <v>0</v>
      </c>
      <c r="Y11" s="21">
        <v>2</v>
      </c>
      <c r="Z11" s="21">
        <v>0</v>
      </c>
      <c r="AA11" s="21">
        <v>0</v>
      </c>
      <c r="AB11" s="21">
        <v>0</v>
      </c>
      <c r="AC11" s="21">
        <v>5</v>
      </c>
      <c r="AD11" s="21">
        <v>0</v>
      </c>
      <c r="AE11" s="21">
        <v>0</v>
      </c>
      <c r="AF11" s="21">
        <v>0</v>
      </c>
      <c r="AG11" s="21">
        <v>0</v>
      </c>
      <c r="AH11" s="21">
        <v>1</v>
      </c>
      <c r="AI11" s="21">
        <v>0</v>
      </c>
      <c r="AJ11" s="21">
        <v>0</v>
      </c>
      <c r="AK11" s="21">
        <v>0</v>
      </c>
      <c r="AL11" s="21">
        <v>1</v>
      </c>
      <c r="AM11" s="21">
        <v>1</v>
      </c>
      <c r="AN11" s="21">
        <v>2</v>
      </c>
      <c r="AO11" s="21">
        <v>0</v>
      </c>
      <c r="AP11" s="21">
        <v>0</v>
      </c>
      <c r="AQ11" s="21">
        <v>0</v>
      </c>
      <c r="AR11" s="21">
        <v>0</v>
      </c>
      <c r="AS11" s="21">
        <v>0</v>
      </c>
      <c r="AT11" s="21">
        <v>0</v>
      </c>
      <c r="AU11" s="21">
        <v>0</v>
      </c>
      <c r="AV11" s="21">
        <v>0</v>
      </c>
      <c r="AW11" s="21">
        <v>0</v>
      </c>
      <c r="AX11" s="21">
        <v>0</v>
      </c>
      <c r="AY11" s="67"/>
    </row>
    <row r="12" spans="1:54">
      <c r="A12" s="19" t="s">
        <v>156</v>
      </c>
      <c r="B12" s="19" t="s">
        <v>160</v>
      </c>
      <c r="C12" s="19" t="s">
        <v>158</v>
      </c>
      <c r="D12" s="20">
        <f t="shared" si="0"/>
        <v>1</v>
      </c>
      <c r="E12" s="21">
        <v>0</v>
      </c>
      <c r="F12" s="21">
        <v>1</v>
      </c>
      <c r="G12" s="21">
        <v>0</v>
      </c>
      <c r="H12" s="21">
        <v>0</v>
      </c>
      <c r="I12" s="21">
        <v>0</v>
      </c>
      <c r="J12" s="21">
        <v>0</v>
      </c>
      <c r="K12" s="21">
        <v>0</v>
      </c>
      <c r="L12" s="21">
        <v>0</v>
      </c>
      <c r="M12" s="21">
        <v>0</v>
      </c>
      <c r="N12" s="21">
        <v>0</v>
      </c>
      <c r="O12" s="21">
        <v>0</v>
      </c>
      <c r="P12" s="21">
        <v>0</v>
      </c>
      <c r="Q12" s="21">
        <v>0</v>
      </c>
      <c r="R12" s="21">
        <v>0</v>
      </c>
      <c r="S12" s="21">
        <v>0</v>
      </c>
      <c r="T12" s="21">
        <v>0</v>
      </c>
      <c r="U12" s="21">
        <v>0</v>
      </c>
      <c r="V12" s="21">
        <v>0</v>
      </c>
      <c r="W12" s="21">
        <v>0</v>
      </c>
      <c r="X12" s="21">
        <v>0</v>
      </c>
      <c r="Y12" s="21">
        <v>0</v>
      </c>
      <c r="Z12" s="21">
        <v>0</v>
      </c>
      <c r="AA12" s="21">
        <v>0</v>
      </c>
      <c r="AB12" s="21">
        <v>0</v>
      </c>
      <c r="AC12" s="21">
        <v>0</v>
      </c>
      <c r="AD12" s="21">
        <v>0</v>
      </c>
      <c r="AE12" s="21">
        <v>0</v>
      </c>
      <c r="AF12" s="21">
        <v>0</v>
      </c>
      <c r="AG12" s="21">
        <v>0</v>
      </c>
      <c r="AH12" s="21">
        <v>0</v>
      </c>
      <c r="AI12" s="21">
        <v>0</v>
      </c>
      <c r="AJ12" s="21">
        <v>0</v>
      </c>
      <c r="AK12" s="21">
        <v>0</v>
      </c>
      <c r="AL12" s="21">
        <v>0</v>
      </c>
      <c r="AM12" s="21">
        <v>0</v>
      </c>
      <c r="AN12" s="21">
        <v>0</v>
      </c>
      <c r="AO12" s="21">
        <v>0</v>
      </c>
      <c r="AP12" s="21">
        <v>0</v>
      </c>
      <c r="AQ12" s="21">
        <v>0</v>
      </c>
      <c r="AR12" s="21">
        <v>0</v>
      </c>
      <c r="AS12" s="21">
        <v>0</v>
      </c>
      <c r="AT12" s="21">
        <v>0</v>
      </c>
      <c r="AU12" s="21">
        <v>0</v>
      </c>
      <c r="AV12" s="21">
        <v>0</v>
      </c>
      <c r="AW12" s="21">
        <v>0</v>
      </c>
      <c r="AX12" s="21">
        <v>0</v>
      </c>
      <c r="AY12" s="67"/>
    </row>
    <row r="13" spans="1:54">
      <c r="A13" s="19" t="s">
        <v>156</v>
      </c>
      <c r="B13" s="19" t="s">
        <v>161</v>
      </c>
      <c r="C13" s="19" t="s">
        <v>158</v>
      </c>
      <c r="D13" s="20">
        <f t="shared" si="0"/>
        <v>4</v>
      </c>
      <c r="E13" s="21">
        <v>4</v>
      </c>
      <c r="F13" s="21">
        <v>0</v>
      </c>
      <c r="G13" s="21">
        <v>0</v>
      </c>
      <c r="H13" s="21">
        <v>0</v>
      </c>
      <c r="I13" s="21">
        <v>0</v>
      </c>
      <c r="J13" s="21">
        <v>0</v>
      </c>
      <c r="K13" s="21">
        <v>0</v>
      </c>
      <c r="L13" s="21">
        <v>0</v>
      </c>
      <c r="M13" s="21">
        <v>0</v>
      </c>
      <c r="N13" s="21">
        <v>0</v>
      </c>
      <c r="O13" s="21">
        <v>0</v>
      </c>
      <c r="P13" s="21">
        <v>0</v>
      </c>
      <c r="Q13" s="21">
        <v>0</v>
      </c>
      <c r="R13" s="21">
        <v>0</v>
      </c>
      <c r="S13" s="21">
        <v>0</v>
      </c>
      <c r="T13" s="21">
        <v>0</v>
      </c>
      <c r="U13" s="21">
        <v>0</v>
      </c>
      <c r="V13" s="21">
        <v>0</v>
      </c>
      <c r="W13" s="21">
        <v>0</v>
      </c>
      <c r="X13" s="21">
        <v>0</v>
      </c>
      <c r="Y13" s="21">
        <v>0</v>
      </c>
      <c r="Z13" s="21">
        <v>0</v>
      </c>
      <c r="AA13" s="21">
        <v>0</v>
      </c>
      <c r="AB13" s="21">
        <v>0</v>
      </c>
      <c r="AC13" s="21">
        <v>0</v>
      </c>
      <c r="AD13" s="21">
        <v>0</v>
      </c>
      <c r="AE13" s="21">
        <v>0</v>
      </c>
      <c r="AF13" s="21">
        <v>0</v>
      </c>
      <c r="AG13" s="21">
        <v>0</v>
      </c>
      <c r="AH13" s="21">
        <v>0</v>
      </c>
      <c r="AI13" s="21">
        <v>0</v>
      </c>
      <c r="AJ13" s="21">
        <v>0</v>
      </c>
      <c r="AK13" s="21">
        <v>0</v>
      </c>
      <c r="AL13" s="21">
        <v>0</v>
      </c>
      <c r="AM13" s="21">
        <v>0</v>
      </c>
      <c r="AN13" s="21">
        <v>0</v>
      </c>
      <c r="AO13" s="21">
        <v>0</v>
      </c>
      <c r="AP13" s="21">
        <v>0</v>
      </c>
      <c r="AQ13" s="21">
        <v>0</v>
      </c>
      <c r="AR13" s="21">
        <v>0</v>
      </c>
      <c r="AS13" s="21">
        <v>0</v>
      </c>
      <c r="AT13" s="21">
        <v>0</v>
      </c>
      <c r="AU13" s="21">
        <v>0</v>
      </c>
      <c r="AV13" s="21">
        <v>0</v>
      </c>
      <c r="AW13" s="21">
        <v>0</v>
      </c>
      <c r="AX13" s="21">
        <v>0</v>
      </c>
      <c r="AY13" s="67"/>
    </row>
    <row r="14" spans="1:54">
      <c r="A14" s="19" t="s">
        <v>162</v>
      </c>
      <c r="B14" s="19" t="s">
        <v>163</v>
      </c>
      <c r="C14" s="19" t="s">
        <v>164</v>
      </c>
      <c r="D14" s="20">
        <f t="shared" si="0"/>
        <v>0</v>
      </c>
      <c r="E14" s="21">
        <v>0</v>
      </c>
      <c r="F14" s="21">
        <v>0</v>
      </c>
      <c r="G14" s="21">
        <v>0</v>
      </c>
      <c r="H14" s="21">
        <v>0</v>
      </c>
      <c r="I14" s="21">
        <v>0</v>
      </c>
      <c r="J14" s="21">
        <v>0</v>
      </c>
      <c r="K14" s="21">
        <v>0</v>
      </c>
      <c r="L14" s="21">
        <v>0</v>
      </c>
      <c r="M14" s="21">
        <v>0</v>
      </c>
      <c r="N14" s="21">
        <v>0</v>
      </c>
      <c r="O14" s="21">
        <v>0</v>
      </c>
      <c r="P14" s="21">
        <v>0</v>
      </c>
      <c r="Q14" s="21">
        <v>0</v>
      </c>
      <c r="R14" s="21">
        <v>0</v>
      </c>
      <c r="S14" s="21">
        <v>0</v>
      </c>
      <c r="T14" s="21">
        <v>0</v>
      </c>
      <c r="U14" s="21">
        <v>0</v>
      </c>
      <c r="V14" s="21">
        <v>0</v>
      </c>
      <c r="W14" s="21">
        <v>0</v>
      </c>
      <c r="X14" s="21">
        <v>0</v>
      </c>
      <c r="Y14" s="21">
        <v>0</v>
      </c>
      <c r="Z14" s="21">
        <v>0</v>
      </c>
      <c r="AA14" s="21">
        <v>0</v>
      </c>
      <c r="AB14" s="21">
        <v>0</v>
      </c>
      <c r="AC14" s="21">
        <v>0</v>
      </c>
      <c r="AD14" s="21">
        <v>0</v>
      </c>
      <c r="AE14" s="21">
        <v>0</v>
      </c>
      <c r="AF14" s="21">
        <v>0</v>
      </c>
      <c r="AG14" s="21">
        <v>0</v>
      </c>
      <c r="AH14" s="21">
        <v>0</v>
      </c>
      <c r="AI14" s="21">
        <v>0</v>
      </c>
      <c r="AJ14" s="21">
        <v>0</v>
      </c>
      <c r="AK14" s="21">
        <v>0</v>
      </c>
      <c r="AL14" s="21">
        <v>0</v>
      </c>
      <c r="AM14" s="21">
        <v>0</v>
      </c>
      <c r="AN14" s="21">
        <v>0</v>
      </c>
      <c r="AO14" s="21">
        <v>0</v>
      </c>
      <c r="AP14" s="21">
        <v>0</v>
      </c>
      <c r="AQ14" s="21">
        <v>0</v>
      </c>
      <c r="AR14" s="21">
        <v>0</v>
      </c>
      <c r="AS14" s="21">
        <v>0</v>
      </c>
      <c r="AT14" s="21">
        <v>0</v>
      </c>
      <c r="AU14" s="21">
        <v>0</v>
      </c>
      <c r="AV14" s="21">
        <v>0</v>
      </c>
      <c r="AW14" s="21">
        <v>0</v>
      </c>
      <c r="AX14" s="21">
        <v>0</v>
      </c>
      <c r="AY14" s="67"/>
    </row>
    <row r="15" spans="1:54">
      <c r="A15" s="19" t="s">
        <v>165</v>
      </c>
      <c r="B15" s="19" t="s">
        <v>166</v>
      </c>
      <c r="C15" s="19" t="s">
        <v>167</v>
      </c>
      <c r="D15" s="20">
        <f t="shared" si="0"/>
        <v>3</v>
      </c>
      <c r="E15" s="21">
        <v>3</v>
      </c>
      <c r="F15" s="21">
        <v>0</v>
      </c>
      <c r="G15" s="21">
        <v>0</v>
      </c>
      <c r="H15" s="21">
        <v>0</v>
      </c>
      <c r="I15" s="21">
        <v>0</v>
      </c>
      <c r="J15" s="21">
        <v>0</v>
      </c>
      <c r="K15" s="21">
        <v>0</v>
      </c>
      <c r="L15" s="21">
        <v>0</v>
      </c>
      <c r="M15" s="21">
        <v>0</v>
      </c>
      <c r="N15" s="21">
        <v>0</v>
      </c>
      <c r="O15" s="21">
        <v>0</v>
      </c>
      <c r="P15" s="21">
        <v>0</v>
      </c>
      <c r="Q15" s="21">
        <v>0</v>
      </c>
      <c r="R15" s="21">
        <v>0</v>
      </c>
      <c r="S15" s="21">
        <v>0</v>
      </c>
      <c r="T15" s="21">
        <v>0</v>
      </c>
      <c r="U15" s="21">
        <v>0</v>
      </c>
      <c r="V15" s="21">
        <v>0</v>
      </c>
      <c r="W15" s="21">
        <v>0</v>
      </c>
      <c r="X15" s="21">
        <v>0</v>
      </c>
      <c r="Y15" s="21">
        <v>0</v>
      </c>
      <c r="Z15" s="21">
        <v>0</v>
      </c>
      <c r="AA15" s="21">
        <v>0</v>
      </c>
      <c r="AB15" s="21">
        <v>0</v>
      </c>
      <c r="AC15" s="21">
        <v>0</v>
      </c>
      <c r="AD15" s="21">
        <v>0</v>
      </c>
      <c r="AE15" s="21">
        <v>0</v>
      </c>
      <c r="AF15" s="21">
        <v>0</v>
      </c>
      <c r="AG15" s="21">
        <v>0</v>
      </c>
      <c r="AH15" s="21">
        <v>0</v>
      </c>
      <c r="AI15" s="21">
        <v>0</v>
      </c>
      <c r="AJ15" s="21">
        <v>0</v>
      </c>
      <c r="AK15" s="21">
        <v>0</v>
      </c>
      <c r="AL15" s="21">
        <v>0</v>
      </c>
      <c r="AM15" s="21">
        <v>0</v>
      </c>
      <c r="AN15" s="21">
        <v>0</v>
      </c>
      <c r="AO15" s="21">
        <v>0</v>
      </c>
      <c r="AP15" s="21">
        <v>0</v>
      </c>
      <c r="AQ15" s="21">
        <v>0</v>
      </c>
      <c r="AR15" s="21">
        <v>0</v>
      </c>
      <c r="AS15" s="21">
        <v>0</v>
      </c>
      <c r="AT15" s="21">
        <v>0</v>
      </c>
      <c r="AU15" s="21">
        <v>0</v>
      </c>
      <c r="AV15" s="21">
        <v>0</v>
      </c>
      <c r="AW15" s="21">
        <v>0</v>
      </c>
      <c r="AX15" s="21">
        <v>0</v>
      </c>
      <c r="AY15" s="67"/>
    </row>
    <row r="16" spans="1:54">
      <c r="A16" s="19" t="s">
        <v>168</v>
      </c>
      <c r="B16" s="19" t="s">
        <v>169</v>
      </c>
      <c r="C16" s="19" t="s">
        <v>170</v>
      </c>
      <c r="D16" s="20">
        <f t="shared" si="0"/>
        <v>1</v>
      </c>
      <c r="E16" s="21">
        <v>0</v>
      </c>
      <c r="F16" s="21">
        <v>0</v>
      </c>
      <c r="G16" s="21">
        <v>0</v>
      </c>
      <c r="H16" s="21">
        <v>0</v>
      </c>
      <c r="I16" s="21">
        <v>0</v>
      </c>
      <c r="J16" s="21">
        <v>0</v>
      </c>
      <c r="K16" s="21">
        <v>0</v>
      </c>
      <c r="L16" s="21">
        <v>0</v>
      </c>
      <c r="M16" s="21">
        <v>0</v>
      </c>
      <c r="N16" s="21">
        <v>0</v>
      </c>
      <c r="O16" s="21">
        <v>0</v>
      </c>
      <c r="P16" s="21">
        <v>0</v>
      </c>
      <c r="Q16" s="21">
        <v>0</v>
      </c>
      <c r="R16" s="21">
        <v>0</v>
      </c>
      <c r="S16" s="21">
        <v>0</v>
      </c>
      <c r="T16" s="21">
        <v>0</v>
      </c>
      <c r="U16" s="21">
        <v>0</v>
      </c>
      <c r="V16" s="21">
        <v>0</v>
      </c>
      <c r="W16" s="21">
        <v>0</v>
      </c>
      <c r="X16" s="21">
        <v>0</v>
      </c>
      <c r="Y16" s="21">
        <v>1</v>
      </c>
      <c r="Z16" s="21">
        <v>0</v>
      </c>
      <c r="AA16" s="21">
        <v>0</v>
      </c>
      <c r="AB16" s="21">
        <v>0</v>
      </c>
      <c r="AC16" s="21">
        <v>0</v>
      </c>
      <c r="AD16" s="21">
        <v>0</v>
      </c>
      <c r="AE16" s="21">
        <v>0</v>
      </c>
      <c r="AF16" s="21">
        <v>0</v>
      </c>
      <c r="AG16" s="21">
        <v>0</v>
      </c>
      <c r="AH16" s="21">
        <v>0</v>
      </c>
      <c r="AI16" s="21">
        <v>0</v>
      </c>
      <c r="AJ16" s="21">
        <v>0</v>
      </c>
      <c r="AK16" s="21">
        <v>0</v>
      </c>
      <c r="AL16" s="21">
        <v>0</v>
      </c>
      <c r="AM16" s="21">
        <v>0</v>
      </c>
      <c r="AN16" s="21">
        <v>0</v>
      </c>
      <c r="AO16" s="21">
        <v>0</v>
      </c>
      <c r="AP16" s="21">
        <v>0</v>
      </c>
      <c r="AQ16" s="21">
        <v>0</v>
      </c>
      <c r="AR16" s="21">
        <v>0</v>
      </c>
      <c r="AS16" s="21">
        <v>0</v>
      </c>
      <c r="AT16" s="21">
        <v>0</v>
      </c>
      <c r="AU16" s="21">
        <v>0</v>
      </c>
      <c r="AV16" s="21">
        <v>0</v>
      </c>
      <c r="AW16" s="21">
        <v>0</v>
      </c>
      <c r="AX16" s="21">
        <v>0</v>
      </c>
      <c r="AY16" s="67"/>
    </row>
    <row r="17" spans="1:51">
      <c r="A17" s="19" t="s">
        <v>168</v>
      </c>
      <c r="B17" s="19" t="s">
        <v>171</v>
      </c>
      <c r="C17" s="19" t="s">
        <v>170</v>
      </c>
      <c r="D17" s="20">
        <f t="shared" si="0"/>
        <v>6</v>
      </c>
      <c r="E17" s="21">
        <v>1</v>
      </c>
      <c r="F17" s="21">
        <v>0</v>
      </c>
      <c r="G17" s="21">
        <v>0</v>
      </c>
      <c r="H17" s="21">
        <v>0</v>
      </c>
      <c r="I17" s="21">
        <v>0</v>
      </c>
      <c r="J17" s="21">
        <v>0</v>
      </c>
      <c r="K17" s="21">
        <v>0</v>
      </c>
      <c r="L17" s="21">
        <v>0</v>
      </c>
      <c r="M17" s="21">
        <v>0</v>
      </c>
      <c r="N17" s="21">
        <v>0</v>
      </c>
      <c r="O17" s="21">
        <v>0</v>
      </c>
      <c r="P17" s="21">
        <v>0</v>
      </c>
      <c r="Q17" s="21">
        <v>0</v>
      </c>
      <c r="R17" s="21">
        <v>0</v>
      </c>
      <c r="S17" s="21">
        <v>0</v>
      </c>
      <c r="T17" s="21">
        <v>0</v>
      </c>
      <c r="U17" s="21">
        <v>0</v>
      </c>
      <c r="V17" s="21">
        <v>0</v>
      </c>
      <c r="W17" s="21">
        <v>0</v>
      </c>
      <c r="X17" s="21">
        <v>0</v>
      </c>
      <c r="Y17" s="21">
        <v>0</v>
      </c>
      <c r="Z17" s="21">
        <v>0</v>
      </c>
      <c r="AA17" s="21">
        <v>0</v>
      </c>
      <c r="AB17" s="21">
        <v>0</v>
      </c>
      <c r="AC17" s="21">
        <v>4</v>
      </c>
      <c r="AD17" s="21">
        <v>0</v>
      </c>
      <c r="AE17" s="21">
        <v>0</v>
      </c>
      <c r="AF17" s="21">
        <v>0</v>
      </c>
      <c r="AG17" s="21">
        <v>0</v>
      </c>
      <c r="AH17" s="21">
        <v>0</v>
      </c>
      <c r="AI17" s="21">
        <v>0</v>
      </c>
      <c r="AJ17" s="21">
        <v>0</v>
      </c>
      <c r="AK17" s="21">
        <v>0</v>
      </c>
      <c r="AL17" s="21">
        <v>0</v>
      </c>
      <c r="AM17" s="21">
        <v>1</v>
      </c>
      <c r="AN17" s="21">
        <v>0</v>
      </c>
      <c r="AO17" s="21">
        <v>0</v>
      </c>
      <c r="AP17" s="21">
        <v>0</v>
      </c>
      <c r="AQ17" s="21">
        <v>0</v>
      </c>
      <c r="AR17" s="21">
        <v>0</v>
      </c>
      <c r="AS17" s="21">
        <v>0</v>
      </c>
      <c r="AT17" s="21">
        <v>0</v>
      </c>
      <c r="AU17" s="21">
        <v>0</v>
      </c>
      <c r="AV17" s="21">
        <v>0</v>
      </c>
      <c r="AW17" s="21">
        <v>0</v>
      </c>
      <c r="AX17" s="21">
        <v>0</v>
      </c>
      <c r="AY17" s="67"/>
    </row>
    <row r="18" spans="1:51">
      <c r="A18" s="19" t="s">
        <v>168</v>
      </c>
      <c r="B18" s="19" t="s">
        <v>172</v>
      </c>
      <c r="C18" s="19" t="s">
        <v>170</v>
      </c>
      <c r="D18" s="20">
        <f t="shared" si="0"/>
        <v>3</v>
      </c>
      <c r="E18" s="21">
        <v>2</v>
      </c>
      <c r="F18" s="21">
        <v>1</v>
      </c>
      <c r="G18" s="21">
        <v>0</v>
      </c>
      <c r="H18" s="21">
        <v>0</v>
      </c>
      <c r="I18" s="21">
        <v>0</v>
      </c>
      <c r="J18" s="21">
        <v>0</v>
      </c>
      <c r="K18" s="21">
        <v>0</v>
      </c>
      <c r="L18" s="21">
        <v>0</v>
      </c>
      <c r="M18" s="21">
        <v>0</v>
      </c>
      <c r="N18" s="21">
        <v>0</v>
      </c>
      <c r="O18" s="21">
        <v>0</v>
      </c>
      <c r="P18" s="21">
        <v>0</v>
      </c>
      <c r="Q18" s="21">
        <v>0</v>
      </c>
      <c r="R18" s="21">
        <v>0</v>
      </c>
      <c r="S18" s="21">
        <v>0</v>
      </c>
      <c r="T18" s="21">
        <v>0</v>
      </c>
      <c r="U18" s="21">
        <v>0</v>
      </c>
      <c r="V18" s="21">
        <v>0</v>
      </c>
      <c r="W18" s="21">
        <v>0</v>
      </c>
      <c r="X18" s="21">
        <v>0</v>
      </c>
      <c r="Y18" s="21">
        <v>0</v>
      </c>
      <c r="Z18" s="21">
        <v>0</v>
      </c>
      <c r="AA18" s="21">
        <v>0</v>
      </c>
      <c r="AB18" s="21">
        <v>0</v>
      </c>
      <c r="AC18" s="21">
        <v>0</v>
      </c>
      <c r="AD18" s="21">
        <v>0</v>
      </c>
      <c r="AE18" s="21">
        <v>0</v>
      </c>
      <c r="AF18" s="21">
        <v>0</v>
      </c>
      <c r="AG18" s="21">
        <v>0</v>
      </c>
      <c r="AH18" s="21">
        <v>0</v>
      </c>
      <c r="AI18" s="21">
        <v>0</v>
      </c>
      <c r="AJ18" s="21">
        <v>0</v>
      </c>
      <c r="AK18" s="21">
        <v>0</v>
      </c>
      <c r="AL18" s="21">
        <v>0</v>
      </c>
      <c r="AM18" s="21">
        <v>0</v>
      </c>
      <c r="AN18" s="21">
        <v>0</v>
      </c>
      <c r="AO18" s="21">
        <v>0</v>
      </c>
      <c r="AP18" s="21">
        <v>0</v>
      </c>
      <c r="AQ18" s="21">
        <v>0</v>
      </c>
      <c r="AR18" s="21">
        <v>0</v>
      </c>
      <c r="AS18" s="21">
        <v>0</v>
      </c>
      <c r="AT18" s="21">
        <v>0</v>
      </c>
      <c r="AU18" s="21">
        <v>0</v>
      </c>
      <c r="AV18" s="21">
        <v>0</v>
      </c>
      <c r="AW18" s="21">
        <v>0</v>
      </c>
      <c r="AX18" s="21">
        <v>0</v>
      </c>
      <c r="AY18" s="67"/>
    </row>
    <row r="19" spans="1:51">
      <c r="A19" s="19" t="s">
        <v>173</v>
      </c>
      <c r="B19" s="19" t="s">
        <v>174</v>
      </c>
      <c r="C19" s="19" t="s">
        <v>175</v>
      </c>
      <c r="D19" s="20">
        <f t="shared" si="0"/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67"/>
    </row>
    <row r="20" spans="1:51">
      <c r="A20" s="19" t="s">
        <v>176</v>
      </c>
      <c r="B20" s="19" t="s">
        <v>177</v>
      </c>
      <c r="C20" s="19" t="s">
        <v>178</v>
      </c>
      <c r="D20" s="20">
        <f t="shared" si="0"/>
        <v>0</v>
      </c>
      <c r="E20" s="21">
        <v>0</v>
      </c>
      <c r="F20" s="21">
        <v>0</v>
      </c>
      <c r="G20" s="21">
        <v>0</v>
      </c>
      <c r="H20" s="21">
        <v>0</v>
      </c>
      <c r="I20" s="21">
        <v>0</v>
      </c>
      <c r="J20" s="21">
        <v>0</v>
      </c>
      <c r="K20" s="21">
        <v>0</v>
      </c>
      <c r="L20" s="21">
        <v>0</v>
      </c>
      <c r="M20" s="21">
        <v>0</v>
      </c>
      <c r="N20" s="21">
        <v>0</v>
      </c>
      <c r="O20" s="21">
        <v>0</v>
      </c>
      <c r="P20" s="21">
        <v>0</v>
      </c>
      <c r="Q20" s="21">
        <v>0</v>
      </c>
      <c r="R20" s="21">
        <v>0</v>
      </c>
      <c r="S20" s="21">
        <v>0</v>
      </c>
      <c r="T20" s="21">
        <v>0</v>
      </c>
      <c r="U20" s="21">
        <v>0</v>
      </c>
      <c r="V20" s="21">
        <v>0</v>
      </c>
      <c r="W20" s="21">
        <v>0</v>
      </c>
      <c r="X20" s="21">
        <v>0</v>
      </c>
      <c r="Y20" s="21">
        <v>0</v>
      </c>
      <c r="Z20" s="21">
        <v>0</v>
      </c>
      <c r="AA20" s="21">
        <v>0</v>
      </c>
      <c r="AB20" s="21">
        <v>0</v>
      </c>
      <c r="AC20" s="21">
        <v>0</v>
      </c>
      <c r="AD20" s="21">
        <v>0</v>
      </c>
      <c r="AE20" s="21">
        <v>0</v>
      </c>
      <c r="AF20" s="21">
        <v>0</v>
      </c>
      <c r="AG20" s="21">
        <v>0</v>
      </c>
      <c r="AH20" s="21">
        <v>0</v>
      </c>
      <c r="AI20" s="21">
        <v>0</v>
      </c>
      <c r="AJ20" s="21">
        <v>0</v>
      </c>
      <c r="AK20" s="21">
        <v>0</v>
      </c>
      <c r="AL20" s="21">
        <v>0</v>
      </c>
      <c r="AM20" s="21">
        <v>0</v>
      </c>
      <c r="AN20" s="21">
        <v>0</v>
      </c>
      <c r="AO20" s="21">
        <v>0</v>
      </c>
      <c r="AP20" s="21">
        <v>0</v>
      </c>
      <c r="AQ20" s="21">
        <v>0</v>
      </c>
      <c r="AR20" s="21">
        <v>0</v>
      </c>
      <c r="AS20" s="21">
        <v>0</v>
      </c>
      <c r="AT20" s="21">
        <v>0</v>
      </c>
      <c r="AU20" s="21">
        <v>0</v>
      </c>
      <c r="AV20" s="21">
        <v>0</v>
      </c>
      <c r="AW20" s="21">
        <v>0</v>
      </c>
      <c r="AX20" s="21">
        <v>0</v>
      </c>
      <c r="AY20" s="67"/>
    </row>
    <row r="21" spans="1:51">
      <c r="A21" s="19" t="s">
        <v>179</v>
      </c>
      <c r="B21" s="19" t="s">
        <v>180</v>
      </c>
      <c r="C21" s="19" t="s">
        <v>181</v>
      </c>
      <c r="D21" s="20">
        <f t="shared" si="0"/>
        <v>14500</v>
      </c>
      <c r="E21" s="21">
        <v>7500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1">
        <v>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  <c r="W21" s="21">
        <v>0</v>
      </c>
      <c r="X21" s="21">
        <v>0</v>
      </c>
      <c r="Y21" s="21">
        <v>0</v>
      </c>
      <c r="Z21" s="21">
        <v>0</v>
      </c>
      <c r="AA21" s="21">
        <v>0</v>
      </c>
      <c r="AB21" s="21">
        <v>0</v>
      </c>
      <c r="AC21" s="21">
        <v>7000</v>
      </c>
      <c r="AD21" s="21">
        <v>0</v>
      </c>
      <c r="AE21" s="21">
        <v>0</v>
      </c>
      <c r="AF21" s="21">
        <v>0</v>
      </c>
      <c r="AG21" s="21">
        <v>0</v>
      </c>
      <c r="AH21" s="21">
        <v>0</v>
      </c>
      <c r="AI21" s="21">
        <v>0</v>
      </c>
      <c r="AJ21" s="21">
        <v>0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1">
        <v>0</v>
      </c>
      <c r="AS21" s="21">
        <v>0</v>
      </c>
      <c r="AT21" s="21">
        <v>0</v>
      </c>
      <c r="AU21" s="21">
        <v>0</v>
      </c>
      <c r="AV21" s="21">
        <v>0</v>
      </c>
      <c r="AW21" s="21">
        <v>0</v>
      </c>
      <c r="AX21" s="21">
        <v>0</v>
      </c>
      <c r="AY21" s="67"/>
    </row>
    <row r="22" spans="1:51">
      <c r="A22" s="19" t="s">
        <v>182</v>
      </c>
      <c r="B22" s="19" t="s">
        <v>183</v>
      </c>
      <c r="C22" s="19" t="s">
        <v>181</v>
      </c>
      <c r="D22" s="20">
        <f t="shared" si="0"/>
        <v>1000</v>
      </c>
      <c r="E22" s="21">
        <v>0</v>
      </c>
      <c r="F22" s="21">
        <v>0</v>
      </c>
      <c r="G22" s="21">
        <v>0</v>
      </c>
      <c r="H22" s="21">
        <v>0</v>
      </c>
      <c r="I22" s="21">
        <v>0</v>
      </c>
      <c r="J22" s="21">
        <v>0</v>
      </c>
      <c r="K22" s="21">
        <v>0</v>
      </c>
      <c r="L22" s="21">
        <v>0</v>
      </c>
      <c r="M22" s="21">
        <v>0</v>
      </c>
      <c r="N22" s="21">
        <v>0</v>
      </c>
      <c r="O22" s="21">
        <v>0</v>
      </c>
      <c r="P22" s="21">
        <v>0</v>
      </c>
      <c r="Q22" s="21">
        <v>0</v>
      </c>
      <c r="R22" s="21">
        <v>0</v>
      </c>
      <c r="S22" s="21">
        <v>0</v>
      </c>
      <c r="T22" s="21">
        <v>0</v>
      </c>
      <c r="U22" s="21">
        <v>0</v>
      </c>
      <c r="V22" s="21">
        <v>0</v>
      </c>
      <c r="W22" s="21">
        <v>0</v>
      </c>
      <c r="X22" s="21">
        <v>0</v>
      </c>
      <c r="Y22" s="21">
        <v>0</v>
      </c>
      <c r="Z22" s="21">
        <v>0</v>
      </c>
      <c r="AA22" s="21">
        <v>0</v>
      </c>
      <c r="AB22" s="21">
        <v>0</v>
      </c>
      <c r="AC22" s="21">
        <v>1000</v>
      </c>
      <c r="AD22" s="21">
        <v>0</v>
      </c>
      <c r="AE22" s="21">
        <v>0</v>
      </c>
      <c r="AF22" s="21">
        <v>0</v>
      </c>
      <c r="AG22" s="21">
        <v>0</v>
      </c>
      <c r="AH22" s="21">
        <v>0</v>
      </c>
      <c r="AI22" s="21">
        <v>0</v>
      </c>
      <c r="AJ22" s="21">
        <v>0</v>
      </c>
      <c r="AK22" s="21">
        <v>0</v>
      </c>
      <c r="AL22" s="21">
        <v>0</v>
      </c>
      <c r="AM22" s="21">
        <v>0</v>
      </c>
      <c r="AN22" s="21">
        <v>0</v>
      </c>
      <c r="AO22" s="21">
        <v>0</v>
      </c>
      <c r="AP22" s="21">
        <v>0</v>
      </c>
      <c r="AQ22" s="21">
        <v>0</v>
      </c>
      <c r="AR22" s="21">
        <v>0</v>
      </c>
      <c r="AS22" s="21">
        <v>0</v>
      </c>
      <c r="AT22" s="21">
        <v>0</v>
      </c>
      <c r="AU22" s="21">
        <v>0</v>
      </c>
      <c r="AV22" s="21">
        <v>0</v>
      </c>
      <c r="AW22" s="21">
        <v>0</v>
      </c>
      <c r="AX22" s="21">
        <v>0</v>
      </c>
      <c r="AY22" s="68"/>
    </row>
    <row r="23" spans="1:51">
      <c r="A23" s="19" t="s">
        <v>182</v>
      </c>
      <c r="B23" s="19" t="s">
        <v>184</v>
      </c>
      <c r="C23" s="19" t="s">
        <v>181</v>
      </c>
      <c r="D23" s="20">
        <f t="shared" si="0"/>
        <v>800</v>
      </c>
      <c r="E23" s="21">
        <v>800</v>
      </c>
      <c r="F23" s="21">
        <v>0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  <c r="M23" s="21">
        <v>0</v>
      </c>
      <c r="N23" s="21">
        <v>0</v>
      </c>
      <c r="O23" s="21">
        <v>0</v>
      </c>
      <c r="P23" s="21">
        <v>0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21">
        <v>0</v>
      </c>
      <c r="Y23" s="21">
        <v>0</v>
      </c>
      <c r="Z23" s="21">
        <v>0</v>
      </c>
      <c r="AA23" s="21">
        <v>0</v>
      </c>
      <c r="AB23" s="21">
        <v>0</v>
      </c>
      <c r="AC23" s="21">
        <v>0</v>
      </c>
      <c r="AD23" s="21">
        <v>0</v>
      </c>
      <c r="AE23" s="21">
        <v>0</v>
      </c>
      <c r="AF23" s="21">
        <v>0</v>
      </c>
      <c r="AG23" s="21">
        <v>0</v>
      </c>
      <c r="AH23" s="21">
        <v>0</v>
      </c>
      <c r="AI23" s="21">
        <v>0</v>
      </c>
      <c r="AJ23" s="21">
        <v>0</v>
      </c>
      <c r="AK23" s="21">
        <v>0</v>
      </c>
      <c r="AL23" s="21">
        <v>0</v>
      </c>
      <c r="AM23" s="21">
        <v>0</v>
      </c>
      <c r="AN23" s="21">
        <v>0</v>
      </c>
      <c r="AO23" s="21">
        <v>0</v>
      </c>
      <c r="AP23" s="21">
        <v>0</v>
      </c>
      <c r="AQ23" s="21">
        <v>0</v>
      </c>
      <c r="AR23" s="21">
        <v>0</v>
      </c>
      <c r="AS23" s="21">
        <v>0</v>
      </c>
      <c r="AT23" s="21">
        <v>0</v>
      </c>
      <c r="AU23" s="21">
        <v>0</v>
      </c>
      <c r="AV23" s="21">
        <v>0</v>
      </c>
      <c r="AW23" s="21">
        <v>0</v>
      </c>
      <c r="AX23" s="21">
        <v>0</v>
      </c>
      <c r="AY23" s="67"/>
    </row>
    <row r="24" spans="1:51">
      <c r="A24" s="19" t="s">
        <v>185</v>
      </c>
      <c r="B24" s="19" t="s">
        <v>186</v>
      </c>
      <c r="C24" s="19" t="s">
        <v>187</v>
      </c>
      <c r="D24" s="20">
        <f t="shared" si="0"/>
        <v>49</v>
      </c>
      <c r="E24" s="21">
        <v>12</v>
      </c>
      <c r="F24" s="21">
        <v>1</v>
      </c>
      <c r="G24" s="21">
        <v>0</v>
      </c>
      <c r="H24" s="21">
        <v>2</v>
      </c>
      <c r="I24" s="21">
        <v>0</v>
      </c>
      <c r="J24" s="21">
        <v>0</v>
      </c>
      <c r="K24" s="21">
        <v>1</v>
      </c>
      <c r="L24" s="21">
        <v>0</v>
      </c>
      <c r="M24" s="21">
        <v>0</v>
      </c>
      <c r="N24" s="21">
        <v>1</v>
      </c>
      <c r="O24" s="21">
        <v>2</v>
      </c>
      <c r="P24" s="21">
        <v>1</v>
      </c>
      <c r="Q24" s="21">
        <v>1</v>
      </c>
      <c r="R24" s="21">
        <v>5</v>
      </c>
      <c r="S24" s="21">
        <v>0</v>
      </c>
      <c r="T24" s="21">
        <v>2</v>
      </c>
      <c r="U24" s="21">
        <v>0</v>
      </c>
      <c r="V24" s="21">
        <v>0</v>
      </c>
      <c r="W24" s="21">
        <v>1</v>
      </c>
      <c r="X24" s="21">
        <v>0</v>
      </c>
      <c r="Y24" s="21">
        <v>2</v>
      </c>
      <c r="Z24" s="21">
        <v>0</v>
      </c>
      <c r="AA24" s="21">
        <v>0</v>
      </c>
      <c r="AB24" s="21">
        <v>0</v>
      </c>
      <c r="AC24" s="21">
        <v>4</v>
      </c>
      <c r="AD24" s="21">
        <v>1</v>
      </c>
      <c r="AE24" s="21">
        <v>0</v>
      </c>
      <c r="AF24" s="21">
        <v>0</v>
      </c>
      <c r="AG24" s="21">
        <v>2</v>
      </c>
      <c r="AH24" s="21">
        <v>0</v>
      </c>
      <c r="AI24" s="21">
        <v>0</v>
      </c>
      <c r="AJ24" s="21">
        <v>2</v>
      </c>
      <c r="AK24" s="21">
        <v>0</v>
      </c>
      <c r="AL24" s="21">
        <v>0</v>
      </c>
      <c r="AM24" s="21">
        <v>2</v>
      </c>
      <c r="AN24" s="21">
        <v>1</v>
      </c>
      <c r="AO24" s="21">
        <v>0</v>
      </c>
      <c r="AP24" s="21">
        <v>0</v>
      </c>
      <c r="AQ24" s="21">
        <v>0</v>
      </c>
      <c r="AR24" s="21">
        <v>0</v>
      </c>
      <c r="AS24" s="21">
        <v>0</v>
      </c>
      <c r="AT24" s="21">
        <v>0</v>
      </c>
      <c r="AU24" s="21">
        <v>4</v>
      </c>
      <c r="AV24" s="21">
        <v>1</v>
      </c>
      <c r="AW24" s="21">
        <v>0</v>
      </c>
      <c r="AX24" s="21">
        <v>1</v>
      </c>
      <c r="AY24" s="67"/>
    </row>
    <row r="25" spans="1:51">
      <c r="A25" s="19" t="s">
        <v>185</v>
      </c>
      <c r="B25" s="19" t="s">
        <v>188</v>
      </c>
      <c r="C25" s="19" t="s">
        <v>187</v>
      </c>
      <c r="D25" s="20">
        <f t="shared" si="0"/>
        <v>3</v>
      </c>
      <c r="E25" s="21">
        <v>2</v>
      </c>
      <c r="F25" s="21">
        <v>1</v>
      </c>
      <c r="G25" s="21">
        <v>0</v>
      </c>
      <c r="H25" s="21">
        <v>0</v>
      </c>
      <c r="I25" s="21">
        <v>0</v>
      </c>
      <c r="J25" s="21">
        <v>0</v>
      </c>
      <c r="K25" s="21">
        <v>0</v>
      </c>
      <c r="L25" s="21">
        <v>0</v>
      </c>
      <c r="M25" s="21">
        <v>0</v>
      </c>
      <c r="N25" s="21">
        <v>0</v>
      </c>
      <c r="O25" s="21">
        <v>0</v>
      </c>
      <c r="P25" s="21">
        <v>0</v>
      </c>
      <c r="Q25" s="21">
        <v>0</v>
      </c>
      <c r="R25" s="21">
        <v>0</v>
      </c>
      <c r="S25" s="21">
        <v>0</v>
      </c>
      <c r="T25" s="21">
        <v>0</v>
      </c>
      <c r="U25" s="21">
        <v>0</v>
      </c>
      <c r="V25" s="21">
        <v>0</v>
      </c>
      <c r="W25" s="21">
        <v>0</v>
      </c>
      <c r="X25" s="21">
        <v>0</v>
      </c>
      <c r="Y25" s="21">
        <v>0</v>
      </c>
      <c r="Z25" s="21">
        <v>0</v>
      </c>
      <c r="AA25" s="21">
        <v>0</v>
      </c>
      <c r="AB25" s="21">
        <v>0</v>
      </c>
      <c r="AC25" s="21">
        <v>0</v>
      </c>
      <c r="AD25" s="21">
        <v>0</v>
      </c>
      <c r="AE25" s="21">
        <v>0</v>
      </c>
      <c r="AF25" s="21">
        <v>0</v>
      </c>
      <c r="AG25" s="21">
        <v>0</v>
      </c>
      <c r="AH25" s="21">
        <v>0</v>
      </c>
      <c r="AI25" s="21">
        <v>0</v>
      </c>
      <c r="AJ25" s="21">
        <v>0</v>
      </c>
      <c r="AK25" s="21">
        <v>0</v>
      </c>
      <c r="AL25" s="21">
        <v>0</v>
      </c>
      <c r="AM25" s="21">
        <v>0</v>
      </c>
      <c r="AN25" s="21">
        <v>0</v>
      </c>
      <c r="AO25" s="21">
        <v>0</v>
      </c>
      <c r="AP25" s="21">
        <v>0</v>
      </c>
      <c r="AQ25" s="21">
        <v>0</v>
      </c>
      <c r="AR25" s="21">
        <v>0</v>
      </c>
      <c r="AS25" s="21">
        <v>0</v>
      </c>
      <c r="AT25" s="21">
        <v>0</v>
      </c>
      <c r="AU25" s="21">
        <v>0</v>
      </c>
      <c r="AV25" s="21">
        <v>0</v>
      </c>
      <c r="AW25" s="21">
        <v>0</v>
      </c>
      <c r="AX25" s="21">
        <v>0</v>
      </c>
      <c r="AY25" s="67"/>
    </row>
    <row r="26" spans="1:51">
      <c r="A26" s="19" t="s">
        <v>185</v>
      </c>
      <c r="B26" s="19" t="s">
        <v>189</v>
      </c>
      <c r="C26" s="19" t="s">
        <v>187</v>
      </c>
      <c r="D26" s="20">
        <f t="shared" si="0"/>
        <v>2</v>
      </c>
      <c r="E26" s="21">
        <v>2</v>
      </c>
      <c r="F26" s="21">
        <v>0</v>
      </c>
      <c r="G26" s="21">
        <v>0</v>
      </c>
      <c r="H26" s="21">
        <v>0</v>
      </c>
      <c r="I26" s="21">
        <v>0</v>
      </c>
      <c r="J26" s="21">
        <v>0</v>
      </c>
      <c r="K26" s="21">
        <v>0</v>
      </c>
      <c r="L26" s="21">
        <v>0</v>
      </c>
      <c r="M26" s="21">
        <v>0</v>
      </c>
      <c r="N26" s="21">
        <v>0</v>
      </c>
      <c r="O26" s="21">
        <v>0</v>
      </c>
      <c r="P26" s="21">
        <v>0</v>
      </c>
      <c r="Q26" s="21">
        <v>0</v>
      </c>
      <c r="R26" s="21">
        <v>0</v>
      </c>
      <c r="S26" s="21">
        <v>0</v>
      </c>
      <c r="T26" s="21">
        <v>0</v>
      </c>
      <c r="U26" s="21">
        <v>0</v>
      </c>
      <c r="V26" s="21">
        <v>0</v>
      </c>
      <c r="W26" s="21">
        <v>0</v>
      </c>
      <c r="X26" s="21">
        <v>0</v>
      </c>
      <c r="Y26" s="21">
        <v>0</v>
      </c>
      <c r="Z26" s="21">
        <v>0</v>
      </c>
      <c r="AA26" s="21">
        <v>0</v>
      </c>
      <c r="AB26" s="21">
        <v>0</v>
      </c>
      <c r="AC26" s="21">
        <v>0</v>
      </c>
      <c r="AD26" s="21">
        <v>0</v>
      </c>
      <c r="AE26" s="21">
        <v>0</v>
      </c>
      <c r="AF26" s="21">
        <v>0</v>
      </c>
      <c r="AG26" s="21">
        <v>0</v>
      </c>
      <c r="AH26" s="21">
        <v>0</v>
      </c>
      <c r="AI26" s="21">
        <v>0</v>
      </c>
      <c r="AJ26" s="21">
        <v>0</v>
      </c>
      <c r="AK26" s="21">
        <v>0</v>
      </c>
      <c r="AL26" s="21">
        <v>0</v>
      </c>
      <c r="AM26" s="21">
        <v>0</v>
      </c>
      <c r="AN26" s="21">
        <v>0</v>
      </c>
      <c r="AO26" s="21">
        <v>0</v>
      </c>
      <c r="AP26" s="21">
        <v>0</v>
      </c>
      <c r="AQ26" s="21">
        <v>0</v>
      </c>
      <c r="AR26" s="21">
        <v>0</v>
      </c>
      <c r="AS26" s="21">
        <v>0</v>
      </c>
      <c r="AT26" s="21">
        <v>0</v>
      </c>
      <c r="AU26" s="21">
        <v>0</v>
      </c>
      <c r="AV26" s="21">
        <v>0</v>
      </c>
      <c r="AW26" s="21">
        <v>0</v>
      </c>
      <c r="AX26" s="21">
        <v>0</v>
      </c>
      <c r="AY26" s="67"/>
    </row>
    <row r="27" spans="1:51">
      <c r="A27" s="19" t="s">
        <v>185</v>
      </c>
      <c r="B27" s="19" t="s">
        <v>190</v>
      </c>
      <c r="C27" s="19" t="s">
        <v>187</v>
      </c>
      <c r="D27" s="20">
        <f t="shared" si="0"/>
        <v>1</v>
      </c>
      <c r="E27" s="21">
        <v>1</v>
      </c>
      <c r="F27" s="21">
        <v>0</v>
      </c>
      <c r="G27" s="21">
        <v>0</v>
      </c>
      <c r="H27" s="21">
        <v>0</v>
      </c>
      <c r="I27" s="21">
        <v>0</v>
      </c>
      <c r="J27" s="21">
        <v>0</v>
      </c>
      <c r="K27" s="21">
        <v>0</v>
      </c>
      <c r="L27" s="21">
        <v>0</v>
      </c>
      <c r="M27" s="21">
        <v>0</v>
      </c>
      <c r="N27" s="21">
        <v>0</v>
      </c>
      <c r="O27" s="21">
        <v>0</v>
      </c>
      <c r="P27" s="21">
        <v>0</v>
      </c>
      <c r="Q27" s="21">
        <v>0</v>
      </c>
      <c r="R27" s="21">
        <v>0</v>
      </c>
      <c r="S27" s="21">
        <v>0</v>
      </c>
      <c r="T27" s="21">
        <v>0</v>
      </c>
      <c r="U27" s="21">
        <v>0</v>
      </c>
      <c r="V27" s="21">
        <v>0</v>
      </c>
      <c r="W27" s="21">
        <v>0</v>
      </c>
      <c r="X27" s="21">
        <v>0</v>
      </c>
      <c r="Y27" s="21">
        <v>0</v>
      </c>
      <c r="Z27" s="21">
        <v>0</v>
      </c>
      <c r="AA27" s="21">
        <v>0</v>
      </c>
      <c r="AB27" s="21">
        <v>0</v>
      </c>
      <c r="AC27" s="21">
        <v>0</v>
      </c>
      <c r="AD27" s="21">
        <v>0</v>
      </c>
      <c r="AE27" s="21">
        <v>0</v>
      </c>
      <c r="AF27" s="21">
        <v>0</v>
      </c>
      <c r="AG27" s="21">
        <v>0</v>
      </c>
      <c r="AH27" s="21">
        <v>0</v>
      </c>
      <c r="AI27" s="21">
        <v>0</v>
      </c>
      <c r="AJ27" s="21">
        <v>0</v>
      </c>
      <c r="AK27" s="21">
        <v>0</v>
      </c>
      <c r="AL27" s="21">
        <v>0</v>
      </c>
      <c r="AM27" s="21">
        <v>0</v>
      </c>
      <c r="AN27" s="21">
        <v>0</v>
      </c>
      <c r="AO27" s="21">
        <v>0</v>
      </c>
      <c r="AP27" s="21">
        <v>0</v>
      </c>
      <c r="AQ27" s="21">
        <v>0</v>
      </c>
      <c r="AR27" s="21">
        <v>0</v>
      </c>
      <c r="AS27" s="21">
        <v>0</v>
      </c>
      <c r="AT27" s="21">
        <v>0</v>
      </c>
      <c r="AU27" s="21">
        <v>0</v>
      </c>
      <c r="AV27" s="21">
        <v>0</v>
      </c>
      <c r="AW27" s="21">
        <v>0</v>
      </c>
      <c r="AX27" s="21">
        <v>0</v>
      </c>
      <c r="AY27" s="67"/>
    </row>
    <row r="28" spans="1:51">
      <c r="A28" s="19" t="s">
        <v>191</v>
      </c>
      <c r="B28" s="19" t="s">
        <v>192</v>
      </c>
      <c r="C28" s="19" t="s">
        <v>193</v>
      </c>
      <c r="D28" s="20">
        <f t="shared" si="0"/>
        <v>2</v>
      </c>
      <c r="E28" s="21">
        <v>2</v>
      </c>
      <c r="F28" s="21">
        <v>0</v>
      </c>
      <c r="G28" s="21">
        <v>0</v>
      </c>
      <c r="H28" s="21">
        <v>0</v>
      </c>
      <c r="I28" s="21">
        <v>0</v>
      </c>
      <c r="J28" s="21">
        <v>0</v>
      </c>
      <c r="K28" s="21">
        <v>0</v>
      </c>
      <c r="L28" s="21">
        <v>0</v>
      </c>
      <c r="M28" s="21">
        <v>0</v>
      </c>
      <c r="N28" s="21">
        <v>0</v>
      </c>
      <c r="O28" s="21">
        <v>0</v>
      </c>
      <c r="P28" s="21">
        <v>0</v>
      </c>
      <c r="Q28" s="21">
        <v>0</v>
      </c>
      <c r="R28" s="21">
        <v>0</v>
      </c>
      <c r="S28" s="21">
        <v>0</v>
      </c>
      <c r="T28" s="21">
        <v>0</v>
      </c>
      <c r="U28" s="21">
        <v>0</v>
      </c>
      <c r="V28" s="21">
        <v>0</v>
      </c>
      <c r="W28" s="21">
        <v>0</v>
      </c>
      <c r="X28" s="21">
        <v>0</v>
      </c>
      <c r="Y28" s="21">
        <v>0</v>
      </c>
      <c r="Z28" s="21">
        <v>0</v>
      </c>
      <c r="AA28" s="21">
        <v>0</v>
      </c>
      <c r="AB28" s="21">
        <v>0</v>
      </c>
      <c r="AC28" s="21">
        <v>0</v>
      </c>
      <c r="AD28" s="21">
        <v>0</v>
      </c>
      <c r="AE28" s="21">
        <v>0</v>
      </c>
      <c r="AF28" s="21">
        <v>0</v>
      </c>
      <c r="AG28" s="21">
        <v>0</v>
      </c>
      <c r="AH28" s="21">
        <v>0</v>
      </c>
      <c r="AI28" s="21">
        <v>0</v>
      </c>
      <c r="AJ28" s="21">
        <v>0</v>
      </c>
      <c r="AK28" s="21">
        <v>0</v>
      </c>
      <c r="AL28" s="21">
        <v>0</v>
      </c>
      <c r="AM28" s="21">
        <v>0</v>
      </c>
      <c r="AN28" s="21">
        <v>0</v>
      </c>
      <c r="AO28" s="21">
        <v>0</v>
      </c>
      <c r="AP28" s="21">
        <v>0</v>
      </c>
      <c r="AQ28" s="21">
        <v>0</v>
      </c>
      <c r="AR28" s="21">
        <v>0</v>
      </c>
      <c r="AS28" s="21">
        <v>0</v>
      </c>
      <c r="AT28" s="21">
        <v>0</v>
      </c>
      <c r="AU28" s="21">
        <v>0</v>
      </c>
      <c r="AV28" s="21">
        <v>0</v>
      </c>
      <c r="AW28" s="21">
        <v>0</v>
      </c>
      <c r="AX28" s="21">
        <v>0</v>
      </c>
      <c r="AY28" s="67"/>
    </row>
    <row r="29" spans="1:51" ht="32.1">
      <c r="A29" s="19" t="s">
        <v>194</v>
      </c>
      <c r="B29" s="19" t="s">
        <v>195</v>
      </c>
      <c r="C29" s="19" t="s">
        <v>196</v>
      </c>
      <c r="D29" s="20">
        <f t="shared" si="0"/>
        <v>30220</v>
      </c>
      <c r="E29" s="21">
        <v>9259</v>
      </c>
      <c r="F29" s="21">
        <v>372</v>
      </c>
      <c r="G29" s="21">
        <v>203</v>
      </c>
      <c r="H29" s="21">
        <v>842</v>
      </c>
      <c r="I29" s="21">
        <v>0</v>
      </c>
      <c r="J29" s="21">
        <v>192</v>
      </c>
      <c r="K29" s="21">
        <v>42</v>
      </c>
      <c r="L29" s="21">
        <v>89</v>
      </c>
      <c r="M29" s="21">
        <v>94</v>
      </c>
      <c r="N29" s="21">
        <v>1049</v>
      </c>
      <c r="O29" s="21">
        <v>0</v>
      </c>
      <c r="P29" s="21">
        <v>0</v>
      </c>
      <c r="Q29" s="21">
        <v>1582</v>
      </c>
      <c r="R29" s="21">
        <v>1669</v>
      </c>
      <c r="S29" s="21">
        <v>0</v>
      </c>
      <c r="T29" s="21">
        <v>169</v>
      </c>
      <c r="U29" s="21">
        <v>712</v>
      </c>
      <c r="V29" s="21">
        <v>203</v>
      </c>
      <c r="W29" s="21">
        <v>102</v>
      </c>
      <c r="X29" s="21">
        <v>147</v>
      </c>
      <c r="Y29" s="21">
        <v>1400</v>
      </c>
      <c r="Z29" s="21">
        <v>139</v>
      </c>
      <c r="AA29" s="21">
        <v>447</v>
      </c>
      <c r="AB29" s="21">
        <v>0</v>
      </c>
      <c r="AC29" s="21">
        <v>6406</v>
      </c>
      <c r="AD29" s="21">
        <v>438</v>
      </c>
      <c r="AE29" s="21">
        <v>28</v>
      </c>
      <c r="AF29" s="21">
        <v>353</v>
      </c>
      <c r="AG29" s="21">
        <v>569</v>
      </c>
      <c r="AH29" s="21">
        <v>162</v>
      </c>
      <c r="AI29" s="21">
        <v>244</v>
      </c>
      <c r="AJ29" s="21">
        <v>352</v>
      </c>
      <c r="AK29" s="21">
        <v>0</v>
      </c>
      <c r="AL29" s="21">
        <v>314</v>
      </c>
      <c r="AM29" s="21">
        <v>548</v>
      </c>
      <c r="AN29" s="21">
        <v>785</v>
      </c>
      <c r="AO29" s="21">
        <v>0</v>
      </c>
      <c r="AP29" s="21">
        <v>354</v>
      </c>
      <c r="AQ29" s="21">
        <v>0</v>
      </c>
      <c r="AR29" s="21">
        <v>0</v>
      </c>
      <c r="AS29" s="21">
        <v>93</v>
      </c>
      <c r="AT29" s="21">
        <v>15</v>
      </c>
      <c r="AU29" s="21">
        <v>751</v>
      </c>
      <c r="AV29" s="21">
        <v>0</v>
      </c>
      <c r="AW29" s="21">
        <v>0</v>
      </c>
      <c r="AX29" s="21">
        <v>96</v>
      </c>
      <c r="AY29" s="67"/>
    </row>
    <row r="30" spans="1:51">
      <c r="A30" s="19" t="s">
        <v>197</v>
      </c>
      <c r="B30" s="19" t="s">
        <v>198</v>
      </c>
      <c r="C30" s="19" t="s">
        <v>199</v>
      </c>
      <c r="D30" s="20">
        <f t="shared" si="0"/>
        <v>546</v>
      </c>
      <c r="E30" s="21">
        <v>122</v>
      </c>
      <c r="F30" s="21">
        <v>152</v>
      </c>
      <c r="G30" s="21">
        <v>0</v>
      </c>
      <c r="H30" s="21">
        <v>0</v>
      </c>
      <c r="I30" s="21">
        <v>0</v>
      </c>
      <c r="J30" s="21">
        <v>0</v>
      </c>
      <c r="K30" s="21">
        <v>0</v>
      </c>
      <c r="L30" s="21">
        <v>0</v>
      </c>
      <c r="M30" s="21">
        <v>0</v>
      </c>
      <c r="N30" s="21">
        <v>19</v>
      </c>
      <c r="O30" s="21">
        <v>0</v>
      </c>
      <c r="P30" s="21">
        <v>0</v>
      </c>
      <c r="Q30" s="21">
        <v>0</v>
      </c>
      <c r="R30" s="21">
        <v>41</v>
      </c>
      <c r="S30" s="21">
        <v>0</v>
      </c>
      <c r="T30" s="21">
        <v>0</v>
      </c>
      <c r="U30" s="21">
        <v>0</v>
      </c>
      <c r="V30" s="21">
        <v>0</v>
      </c>
      <c r="W30" s="21">
        <v>8</v>
      </c>
      <c r="X30" s="21">
        <v>0</v>
      </c>
      <c r="Y30" s="21">
        <v>52</v>
      </c>
      <c r="Z30" s="21">
        <v>0</v>
      </c>
      <c r="AA30" s="21">
        <v>0</v>
      </c>
      <c r="AB30" s="21">
        <v>0</v>
      </c>
      <c r="AC30" s="21">
        <v>81</v>
      </c>
      <c r="AD30" s="21">
        <v>0</v>
      </c>
      <c r="AE30" s="21">
        <v>0</v>
      </c>
      <c r="AF30" s="21">
        <v>0</v>
      </c>
      <c r="AG30" s="21">
        <v>0</v>
      </c>
      <c r="AH30" s="21">
        <v>0</v>
      </c>
      <c r="AI30" s="21">
        <v>0</v>
      </c>
      <c r="AJ30" s="21">
        <v>36</v>
      </c>
      <c r="AK30" s="21">
        <v>0</v>
      </c>
      <c r="AL30" s="21">
        <v>0</v>
      </c>
      <c r="AM30" s="21">
        <v>13</v>
      </c>
      <c r="AN30" s="21">
        <v>0</v>
      </c>
      <c r="AO30" s="21">
        <v>0</v>
      </c>
      <c r="AP30" s="21">
        <v>0</v>
      </c>
      <c r="AQ30" s="21">
        <v>0</v>
      </c>
      <c r="AR30" s="21">
        <v>0</v>
      </c>
      <c r="AS30" s="21">
        <v>0</v>
      </c>
      <c r="AT30" s="21">
        <v>0</v>
      </c>
      <c r="AU30" s="21">
        <v>22</v>
      </c>
      <c r="AV30" s="21">
        <v>0</v>
      </c>
      <c r="AW30" s="21">
        <v>0</v>
      </c>
      <c r="AX30" s="21">
        <v>0</v>
      </c>
      <c r="AY30" s="67"/>
    </row>
    <row r="31" spans="1:51">
      <c r="A31" s="19" t="s">
        <v>200</v>
      </c>
      <c r="B31" s="19" t="s">
        <v>201</v>
      </c>
      <c r="C31" s="19" t="s">
        <v>202</v>
      </c>
      <c r="D31" s="20">
        <f t="shared" si="0"/>
        <v>5</v>
      </c>
      <c r="E31" s="21">
        <v>4</v>
      </c>
      <c r="F31" s="21"/>
      <c r="G31" s="21">
        <v>0</v>
      </c>
      <c r="H31" s="21">
        <v>0</v>
      </c>
      <c r="I31" s="21">
        <v>0</v>
      </c>
      <c r="J31" s="21">
        <v>0</v>
      </c>
      <c r="K31" s="21">
        <v>0</v>
      </c>
      <c r="L31" s="21">
        <v>0</v>
      </c>
      <c r="M31" s="21">
        <v>0</v>
      </c>
      <c r="N31" s="21">
        <v>0</v>
      </c>
      <c r="O31" s="21">
        <v>0</v>
      </c>
      <c r="P31" s="21">
        <v>0</v>
      </c>
      <c r="Q31" s="21">
        <v>0</v>
      </c>
      <c r="R31" s="21">
        <v>0</v>
      </c>
      <c r="S31" s="21">
        <v>0</v>
      </c>
      <c r="T31" s="21">
        <v>0</v>
      </c>
      <c r="U31" s="21">
        <v>0</v>
      </c>
      <c r="V31" s="21">
        <v>0</v>
      </c>
      <c r="W31" s="21">
        <v>0</v>
      </c>
      <c r="X31" s="21">
        <v>0</v>
      </c>
      <c r="Y31" s="21">
        <v>0</v>
      </c>
      <c r="Z31" s="21">
        <v>0</v>
      </c>
      <c r="AA31" s="21">
        <v>0</v>
      </c>
      <c r="AB31" s="21">
        <v>0</v>
      </c>
      <c r="AC31" s="21">
        <v>1</v>
      </c>
      <c r="AD31" s="21">
        <v>0</v>
      </c>
      <c r="AE31" s="21">
        <v>0</v>
      </c>
      <c r="AF31" s="21">
        <v>0</v>
      </c>
      <c r="AG31" s="21">
        <v>0</v>
      </c>
      <c r="AH31" s="21">
        <v>0</v>
      </c>
      <c r="AI31" s="21">
        <v>0</v>
      </c>
      <c r="AJ31" s="21">
        <v>0</v>
      </c>
      <c r="AK31" s="21">
        <v>0</v>
      </c>
      <c r="AL31" s="21">
        <v>0</v>
      </c>
      <c r="AM31" s="21">
        <v>0</v>
      </c>
      <c r="AN31" s="21">
        <v>0</v>
      </c>
      <c r="AO31" s="21">
        <v>0</v>
      </c>
      <c r="AP31" s="21">
        <v>0</v>
      </c>
      <c r="AQ31" s="21">
        <v>0</v>
      </c>
      <c r="AR31" s="21">
        <v>0</v>
      </c>
      <c r="AS31" s="21">
        <v>0</v>
      </c>
      <c r="AT31" s="21">
        <v>0</v>
      </c>
      <c r="AU31" s="21">
        <v>0</v>
      </c>
      <c r="AV31" s="21">
        <v>0</v>
      </c>
      <c r="AW31" s="21">
        <v>0</v>
      </c>
      <c r="AX31" s="21">
        <v>0</v>
      </c>
      <c r="AY31" s="67"/>
    </row>
    <row r="32" spans="1:51">
      <c r="A32" s="19" t="s">
        <v>203</v>
      </c>
      <c r="B32" s="19" t="s">
        <v>204</v>
      </c>
      <c r="C32" s="19" t="s">
        <v>205</v>
      </c>
      <c r="D32" s="20">
        <f t="shared" si="0"/>
        <v>846</v>
      </c>
      <c r="E32" s="21">
        <v>285</v>
      </c>
      <c r="F32" s="21">
        <v>23</v>
      </c>
      <c r="G32" s="21">
        <v>4</v>
      </c>
      <c r="H32" s="21">
        <v>19</v>
      </c>
      <c r="I32" s="21">
        <v>0</v>
      </c>
      <c r="J32" s="21">
        <v>6</v>
      </c>
      <c r="K32" s="21">
        <v>0</v>
      </c>
      <c r="L32" s="21">
        <v>0</v>
      </c>
      <c r="M32" s="21">
        <v>0</v>
      </c>
      <c r="N32" s="21">
        <v>44</v>
      </c>
      <c r="O32" s="21">
        <v>27</v>
      </c>
      <c r="P32" s="21">
        <v>1</v>
      </c>
      <c r="Q32" s="21">
        <v>0</v>
      </c>
      <c r="R32" s="21">
        <v>1</v>
      </c>
      <c r="S32" s="21">
        <v>0</v>
      </c>
      <c r="T32" s="21">
        <v>0</v>
      </c>
      <c r="U32" s="21">
        <v>22</v>
      </c>
      <c r="V32" s="21">
        <v>9</v>
      </c>
      <c r="W32" s="21">
        <v>0</v>
      </c>
      <c r="X32" s="21">
        <v>5</v>
      </c>
      <c r="Y32" s="21">
        <v>10</v>
      </c>
      <c r="Z32" s="21">
        <v>7</v>
      </c>
      <c r="AA32" s="21">
        <v>13</v>
      </c>
      <c r="AB32" s="21">
        <v>2</v>
      </c>
      <c r="AC32" s="21">
        <v>109</v>
      </c>
      <c r="AD32" s="21">
        <v>18</v>
      </c>
      <c r="AE32" s="21">
        <v>28</v>
      </c>
      <c r="AF32" s="21">
        <v>17</v>
      </c>
      <c r="AG32" s="21">
        <v>33</v>
      </c>
      <c r="AH32" s="21">
        <v>11</v>
      </c>
      <c r="AI32" s="21">
        <v>0</v>
      </c>
      <c r="AJ32" s="21">
        <v>5</v>
      </c>
      <c r="AK32" s="21">
        <v>1</v>
      </c>
      <c r="AL32" s="21">
        <v>7</v>
      </c>
      <c r="AM32" s="21">
        <v>29</v>
      </c>
      <c r="AN32" s="21">
        <v>16</v>
      </c>
      <c r="AO32" s="21">
        <v>4</v>
      </c>
      <c r="AP32" s="21">
        <v>15</v>
      </c>
      <c r="AQ32" s="21">
        <v>15</v>
      </c>
      <c r="AR32" s="21">
        <v>19</v>
      </c>
      <c r="AS32" s="21">
        <v>5</v>
      </c>
      <c r="AT32" s="21">
        <v>4</v>
      </c>
      <c r="AU32" s="21">
        <v>22</v>
      </c>
      <c r="AV32" s="21">
        <v>5</v>
      </c>
      <c r="AW32" s="21">
        <v>5</v>
      </c>
      <c r="AX32" s="21">
        <v>0</v>
      </c>
      <c r="AY32" s="67"/>
    </row>
    <row r="33" spans="1:51">
      <c r="A33" s="19" t="s">
        <v>206</v>
      </c>
      <c r="B33" s="19" t="s">
        <v>207</v>
      </c>
      <c r="C33" s="19" t="s">
        <v>208</v>
      </c>
      <c r="D33" s="20">
        <f t="shared" si="0"/>
        <v>41</v>
      </c>
      <c r="E33" s="21">
        <v>21</v>
      </c>
      <c r="F33" s="21">
        <v>2</v>
      </c>
      <c r="G33" s="21">
        <v>0</v>
      </c>
      <c r="H33" s="21">
        <v>0</v>
      </c>
      <c r="I33" s="21">
        <v>0</v>
      </c>
      <c r="J33" s="21">
        <v>0</v>
      </c>
      <c r="K33" s="21">
        <v>1</v>
      </c>
      <c r="L33" s="21">
        <v>0</v>
      </c>
      <c r="M33" s="21">
        <v>0</v>
      </c>
      <c r="N33" s="21">
        <v>3</v>
      </c>
      <c r="O33" s="21">
        <v>1</v>
      </c>
      <c r="P33" s="21">
        <v>1</v>
      </c>
      <c r="Q33" s="21">
        <v>0</v>
      </c>
      <c r="R33" s="21">
        <v>0</v>
      </c>
      <c r="S33" s="21">
        <v>3</v>
      </c>
      <c r="T33" s="21">
        <v>0</v>
      </c>
      <c r="U33" s="21">
        <v>0</v>
      </c>
      <c r="V33" s="21">
        <v>0</v>
      </c>
      <c r="W33" s="21">
        <v>0</v>
      </c>
      <c r="X33" s="21">
        <v>0</v>
      </c>
      <c r="Y33" s="21">
        <v>0</v>
      </c>
      <c r="Z33" s="21">
        <v>0</v>
      </c>
      <c r="AA33" s="21">
        <v>0</v>
      </c>
      <c r="AB33" s="21">
        <v>0</v>
      </c>
      <c r="AC33" s="21">
        <v>1</v>
      </c>
      <c r="AD33" s="21">
        <v>0</v>
      </c>
      <c r="AE33" s="21">
        <v>0</v>
      </c>
      <c r="AF33" s="21">
        <v>0</v>
      </c>
      <c r="AG33" s="21">
        <v>0</v>
      </c>
      <c r="AH33" s="21">
        <v>0</v>
      </c>
      <c r="AI33" s="21">
        <v>0</v>
      </c>
      <c r="AJ33" s="21">
        <v>2</v>
      </c>
      <c r="AK33" s="21">
        <v>0</v>
      </c>
      <c r="AL33" s="21">
        <v>0</v>
      </c>
      <c r="AM33" s="21">
        <v>0</v>
      </c>
      <c r="AN33" s="21">
        <v>2</v>
      </c>
      <c r="AO33" s="21">
        <v>1</v>
      </c>
      <c r="AP33" s="21">
        <v>0</v>
      </c>
      <c r="AQ33" s="21">
        <v>0</v>
      </c>
      <c r="AR33" s="21">
        <v>0</v>
      </c>
      <c r="AS33" s="21">
        <v>0</v>
      </c>
      <c r="AT33" s="21">
        <v>0</v>
      </c>
      <c r="AU33" s="21">
        <v>3</v>
      </c>
      <c r="AV33" s="21">
        <v>0</v>
      </c>
      <c r="AW33" s="21">
        <v>0</v>
      </c>
      <c r="AX33" s="21">
        <v>0</v>
      </c>
      <c r="AY33" s="67"/>
    </row>
    <row r="34" spans="1:51">
      <c r="A34" s="19" t="s">
        <v>206</v>
      </c>
      <c r="B34" s="19" t="s">
        <v>209</v>
      </c>
      <c r="C34" s="19" t="s">
        <v>208</v>
      </c>
      <c r="D34" s="20">
        <f t="shared" si="0"/>
        <v>16</v>
      </c>
      <c r="E34" s="21">
        <v>10</v>
      </c>
      <c r="F34" s="21">
        <v>0</v>
      </c>
      <c r="G34" s="21">
        <v>0</v>
      </c>
      <c r="H34" s="21">
        <v>0</v>
      </c>
      <c r="I34" s="21">
        <v>0</v>
      </c>
      <c r="J34" s="21">
        <v>0</v>
      </c>
      <c r="K34" s="21">
        <v>0</v>
      </c>
      <c r="L34" s="21">
        <v>0</v>
      </c>
      <c r="M34" s="21">
        <v>0</v>
      </c>
      <c r="N34" s="21">
        <v>0</v>
      </c>
      <c r="O34" s="21">
        <v>0</v>
      </c>
      <c r="P34" s="21">
        <v>0</v>
      </c>
      <c r="Q34" s="21">
        <v>0</v>
      </c>
      <c r="R34" s="21">
        <v>0</v>
      </c>
      <c r="S34" s="21">
        <v>0</v>
      </c>
      <c r="T34" s="21">
        <v>0</v>
      </c>
      <c r="U34" s="21">
        <v>0</v>
      </c>
      <c r="V34" s="21">
        <v>0</v>
      </c>
      <c r="W34" s="21">
        <v>0</v>
      </c>
      <c r="X34" s="21">
        <v>0</v>
      </c>
      <c r="Y34" s="21">
        <v>2</v>
      </c>
      <c r="Z34" s="21">
        <v>0</v>
      </c>
      <c r="AA34" s="21">
        <v>0</v>
      </c>
      <c r="AB34" s="21">
        <v>0</v>
      </c>
      <c r="AC34" s="21">
        <v>4</v>
      </c>
      <c r="AD34" s="21">
        <v>0</v>
      </c>
      <c r="AE34" s="21">
        <v>0</v>
      </c>
      <c r="AF34" s="21">
        <v>0</v>
      </c>
      <c r="AG34" s="21">
        <v>0</v>
      </c>
      <c r="AH34" s="21">
        <v>0</v>
      </c>
      <c r="AI34" s="21">
        <v>0</v>
      </c>
      <c r="AJ34" s="21">
        <v>0</v>
      </c>
      <c r="AK34" s="21">
        <v>0</v>
      </c>
      <c r="AL34" s="21">
        <v>0</v>
      </c>
      <c r="AM34" s="21">
        <v>0</v>
      </c>
      <c r="AN34" s="21">
        <v>0</v>
      </c>
      <c r="AO34" s="21">
        <v>0</v>
      </c>
      <c r="AP34" s="21">
        <v>0</v>
      </c>
      <c r="AQ34" s="21">
        <v>0</v>
      </c>
      <c r="AR34" s="21">
        <v>0</v>
      </c>
      <c r="AS34" s="21">
        <v>0</v>
      </c>
      <c r="AT34" s="21">
        <v>0</v>
      </c>
      <c r="AU34" s="21">
        <v>0</v>
      </c>
      <c r="AV34" s="21">
        <v>0</v>
      </c>
      <c r="AW34" s="21">
        <v>0</v>
      </c>
      <c r="AX34" s="21">
        <v>0</v>
      </c>
      <c r="AY34" s="67"/>
    </row>
    <row r="35" spans="1:51">
      <c r="A35" s="19" t="s">
        <v>210</v>
      </c>
      <c r="B35" s="19" t="s">
        <v>211</v>
      </c>
      <c r="C35" s="19" t="s">
        <v>212</v>
      </c>
      <c r="D35" s="20">
        <f t="shared" si="0"/>
        <v>0</v>
      </c>
      <c r="E35" s="21">
        <v>0</v>
      </c>
      <c r="F35" s="21">
        <v>0</v>
      </c>
      <c r="G35" s="21">
        <v>0</v>
      </c>
      <c r="H35" s="21">
        <v>0</v>
      </c>
      <c r="I35" s="21">
        <v>0</v>
      </c>
      <c r="J35" s="21">
        <v>0</v>
      </c>
      <c r="K35" s="21">
        <v>0</v>
      </c>
      <c r="L35" s="21">
        <v>0</v>
      </c>
      <c r="M35" s="21">
        <v>0</v>
      </c>
      <c r="N35" s="21">
        <v>0</v>
      </c>
      <c r="O35" s="21">
        <v>0</v>
      </c>
      <c r="P35" s="21">
        <v>0</v>
      </c>
      <c r="Q35" s="21">
        <v>0</v>
      </c>
      <c r="R35" s="21">
        <v>0</v>
      </c>
      <c r="S35" s="21">
        <v>0</v>
      </c>
      <c r="T35" s="21">
        <v>0</v>
      </c>
      <c r="U35" s="21">
        <v>0</v>
      </c>
      <c r="V35" s="21">
        <v>0</v>
      </c>
      <c r="W35" s="21">
        <v>0</v>
      </c>
      <c r="X35" s="21">
        <v>0</v>
      </c>
      <c r="Y35" s="21">
        <v>0</v>
      </c>
      <c r="Z35" s="21">
        <v>0</v>
      </c>
      <c r="AA35" s="21">
        <v>0</v>
      </c>
      <c r="AB35" s="21">
        <v>0</v>
      </c>
      <c r="AC35" s="21">
        <v>0</v>
      </c>
      <c r="AD35" s="21">
        <v>0</v>
      </c>
      <c r="AE35" s="21">
        <v>0</v>
      </c>
      <c r="AF35" s="21">
        <v>0</v>
      </c>
      <c r="AG35" s="21">
        <v>0</v>
      </c>
      <c r="AH35" s="21">
        <v>0</v>
      </c>
      <c r="AI35" s="21">
        <v>0</v>
      </c>
      <c r="AJ35" s="21">
        <v>0</v>
      </c>
      <c r="AK35" s="21">
        <v>0</v>
      </c>
      <c r="AL35" s="21">
        <v>0</v>
      </c>
      <c r="AM35" s="21">
        <v>0</v>
      </c>
      <c r="AN35" s="21">
        <v>0</v>
      </c>
      <c r="AO35" s="21">
        <v>0</v>
      </c>
      <c r="AP35" s="21">
        <v>0</v>
      </c>
      <c r="AQ35" s="21">
        <v>0</v>
      </c>
      <c r="AR35" s="21">
        <v>0</v>
      </c>
      <c r="AS35" s="21">
        <v>0</v>
      </c>
      <c r="AT35" s="21">
        <v>0</v>
      </c>
      <c r="AU35" s="21">
        <v>0</v>
      </c>
      <c r="AV35" s="21">
        <v>0</v>
      </c>
      <c r="AW35" s="21">
        <v>0</v>
      </c>
      <c r="AX35" s="21">
        <v>0</v>
      </c>
      <c r="AY35" s="68"/>
    </row>
    <row r="36" spans="1:51" ht="32.1">
      <c r="A36" s="19" t="s">
        <v>213</v>
      </c>
      <c r="B36" s="19" t="s">
        <v>214</v>
      </c>
      <c r="C36" s="19" t="s">
        <v>215</v>
      </c>
      <c r="D36" s="20">
        <f t="shared" si="0"/>
        <v>19446.82</v>
      </c>
      <c r="E36" s="21">
        <v>7673.6799999999994</v>
      </c>
      <c r="F36" s="21">
        <v>2938.14</v>
      </c>
      <c r="G36" s="21">
        <v>0</v>
      </c>
      <c r="H36" s="21">
        <v>0</v>
      </c>
      <c r="I36" s="21">
        <v>0</v>
      </c>
      <c r="J36" s="21">
        <v>0</v>
      </c>
      <c r="K36" s="21">
        <v>312</v>
      </c>
      <c r="L36" s="21">
        <v>0</v>
      </c>
      <c r="M36" s="21">
        <v>0</v>
      </c>
      <c r="N36" s="21">
        <v>277</v>
      </c>
      <c r="O36" s="21">
        <v>672</v>
      </c>
      <c r="P36" s="21">
        <v>421</v>
      </c>
      <c r="Q36" s="21">
        <v>0</v>
      </c>
      <c r="R36" s="21">
        <v>0</v>
      </c>
      <c r="S36" s="21">
        <v>732</v>
      </c>
      <c r="T36" s="21">
        <v>0</v>
      </c>
      <c r="U36" s="21">
        <v>0</v>
      </c>
      <c r="V36" s="21">
        <v>0</v>
      </c>
      <c r="W36" s="21">
        <v>0</v>
      </c>
      <c r="X36" s="21">
        <v>0</v>
      </c>
      <c r="Y36" s="21">
        <v>435</v>
      </c>
      <c r="Z36" s="21">
        <v>0</v>
      </c>
      <c r="AA36" s="21">
        <v>0</v>
      </c>
      <c r="AB36" s="21">
        <v>0</v>
      </c>
      <c r="AC36" s="21">
        <v>2827</v>
      </c>
      <c r="AD36" s="21">
        <v>0</v>
      </c>
      <c r="AE36" s="21">
        <v>0</v>
      </c>
      <c r="AF36" s="21">
        <v>0</v>
      </c>
      <c r="AG36" s="21">
        <v>0</v>
      </c>
      <c r="AH36" s="21">
        <v>0</v>
      </c>
      <c r="AI36" s="21">
        <v>0</v>
      </c>
      <c r="AJ36" s="21">
        <v>1313</v>
      </c>
      <c r="AK36" s="21">
        <v>0</v>
      </c>
      <c r="AL36" s="21">
        <v>0</v>
      </c>
      <c r="AM36" s="21">
        <v>0</v>
      </c>
      <c r="AN36" s="21">
        <v>991</v>
      </c>
      <c r="AO36" s="21">
        <v>104</v>
      </c>
      <c r="AP36" s="21">
        <v>0</v>
      </c>
      <c r="AQ36" s="21">
        <v>0</v>
      </c>
      <c r="AR36" s="21">
        <v>0</v>
      </c>
      <c r="AS36" s="21">
        <v>0</v>
      </c>
      <c r="AT36" s="21">
        <v>0</v>
      </c>
      <c r="AU36" s="21">
        <v>751</v>
      </c>
      <c r="AV36" s="21">
        <v>0</v>
      </c>
      <c r="AW36" s="21">
        <v>0</v>
      </c>
      <c r="AX36" s="21">
        <v>0</v>
      </c>
      <c r="AY36" s="67"/>
    </row>
    <row r="37" spans="1:51" ht="32.1">
      <c r="A37" s="19" t="s">
        <v>216</v>
      </c>
      <c r="B37" s="19" t="s">
        <v>217</v>
      </c>
      <c r="C37" s="19" t="s">
        <v>218</v>
      </c>
      <c r="D37" s="20">
        <f t="shared" si="0"/>
        <v>0</v>
      </c>
      <c r="E37" s="21">
        <v>0</v>
      </c>
      <c r="F37" s="21">
        <v>0</v>
      </c>
      <c r="G37" s="21">
        <v>0</v>
      </c>
      <c r="H37" s="21">
        <v>0</v>
      </c>
      <c r="I37" s="21">
        <v>0</v>
      </c>
      <c r="J37" s="21">
        <v>0</v>
      </c>
      <c r="K37" s="21">
        <v>0</v>
      </c>
      <c r="L37" s="21">
        <v>0</v>
      </c>
      <c r="M37" s="21">
        <v>0</v>
      </c>
      <c r="N37" s="21">
        <v>0</v>
      </c>
      <c r="O37" s="21">
        <v>0</v>
      </c>
      <c r="P37" s="21">
        <v>0</v>
      </c>
      <c r="Q37" s="21">
        <v>0</v>
      </c>
      <c r="R37" s="21">
        <v>0</v>
      </c>
      <c r="S37" s="21">
        <v>0</v>
      </c>
      <c r="T37" s="21">
        <v>0</v>
      </c>
      <c r="U37" s="21">
        <v>0</v>
      </c>
      <c r="V37" s="21">
        <v>0</v>
      </c>
      <c r="W37" s="21">
        <v>0</v>
      </c>
      <c r="X37" s="21">
        <v>0</v>
      </c>
      <c r="Y37" s="21">
        <v>0</v>
      </c>
      <c r="Z37" s="21">
        <v>0</v>
      </c>
      <c r="AA37" s="21">
        <v>0</v>
      </c>
      <c r="AB37" s="21">
        <v>0</v>
      </c>
      <c r="AC37" s="21">
        <v>0</v>
      </c>
      <c r="AD37" s="21">
        <v>0</v>
      </c>
      <c r="AE37" s="21">
        <v>0</v>
      </c>
      <c r="AF37" s="21">
        <v>0</v>
      </c>
      <c r="AG37" s="21">
        <v>0</v>
      </c>
      <c r="AH37" s="21">
        <v>0</v>
      </c>
      <c r="AI37" s="21">
        <v>0</v>
      </c>
      <c r="AJ37" s="21">
        <v>0</v>
      </c>
      <c r="AK37" s="21">
        <v>0</v>
      </c>
      <c r="AL37" s="21">
        <v>0</v>
      </c>
      <c r="AM37" s="21">
        <v>0</v>
      </c>
      <c r="AN37" s="21">
        <v>0</v>
      </c>
      <c r="AO37" s="21">
        <v>0</v>
      </c>
      <c r="AP37" s="21">
        <v>0</v>
      </c>
      <c r="AQ37" s="21">
        <v>0</v>
      </c>
      <c r="AR37" s="21">
        <v>0</v>
      </c>
      <c r="AS37" s="21">
        <v>0</v>
      </c>
      <c r="AT37" s="21">
        <v>0</v>
      </c>
      <c r="AU37" s="21">
        <v>0</v>
      </c>
      <c r="AV37" s="21">
        <v>0</v>
      </c>
      <c r="AW37" s="21">
        <v>0</v>
      </c>
      <c r="AX37" s="21">
        <v>0</v>
      </c>
      <c r="AY37" s="68"/>
    </row>
    <row r="38" spans="1:51" ht="48">
      <c r="A38" s="23" t="s">
        <v>216</v>
      </c>
      <c r="B38" s="19" t="s">
        <v>219</v>
      </c>
      <c r="C38" s="19" t="s">
        <v>218</v>
      </c>
      <c r="D38" s="20">
        <f t="shared" si="0"/>
        <v>0</v>
      </c>
      <c r="E38" s="21">
        <v>0</v>
      </c>
      <c r="F38" s="21">
        <v>0</v>
      </c>
      <c r="G38" s="21">
        <v>0</v>
      </c>
      <c r="H38" s="21">
        <v>0</v>
      </c>
      <c r="I38" s="21">
        <v>0</v>
      </c>
      <c r="J38" s="21">
        <v>0</v>
      </c>
      <c r="K38" s="21">
        <v>0</v>
      </c>
      <c r="L38" s="21">
        <v>0</v>
      </c>
      <c r="M38" s="21">
        <v>0</v>
      </c>
      <c r="N38" s="21">
        <v>0</v>
      </c>
      <c r="O38" s="21">
        <v>0</v>
      </c>
      <c r="P38" s="21">
        <v>0</v>
      </c>
      <c r="Q38" s="21">
        <v>0</v>
      </c>
      <c r="R38" s="21">
        <v>0</v>
      </c>
      <c r="S38" s="21">
        <v>0</v>
      </c>
      <c r="T38" s="21">
        <v>0</v>
      </c>
      <c r="U38" s="21">
        <v>0</v>
      </c>
      <c r="V38" s="21">
        <v>0</v>
      </c>
      <c r="W38" s="21">
        <v>0</v>
      </c>
      <c r="X38" s="21">
        <v>0</v>
      </c>
      <c r="Y38" s="21">
        <v>0</v>
      </c>
      <c r="Z38" s="21">
        <v>0</v>
      </c>
      <c r="AA38" s="21">
        <v>0</v>
      </c>
      <c r="AB38" s="21">
        <v>0</v>
      </c>
      <c r="AC38" s="21">
        <v>0</v>
      </c>
      <c r="AD38" s="21">
        <v>0</v>
      </c>
      <c r="AE38" s="21">
        <v>0</v>
      </c>
      <c r="AF38" s="21">
        <v>0</v>
      </c>
      <c r="AG38" s="21">
        <v>0</v>
      </c>
      <c r="AH38" s="21">
        <v>0</v>
      </c>
      <c r="AI38" s="21">
        <v>0</v>
      </c>
      <c r="AJ38" s="21">
        <v>0</v>
      </c>
      <c r="AK38" s="21">
        <v>0</v>
      </c>
      <c r="AL38" s="21">
        <v>0</v>
      </c>
      <c r="AM38" s="21">
        <v>0</v>
      </c>
      <c r="AN38" s="21">
        <v>0</v>
      </c>
      <c r="AO38" s="21">
        <v>0</v>
      </c>
      <c r="AP38" s="21">
        <v>0</v>
      </c>
      <c r="AQ38" s="21">
        <v>0</v>
      </c>
      <c r="AR38" s="21">
        <v>0</v>
      </c>
      <c r="AS38" s="21">
        <v>0</v>
      </c>
      <c r="AT38" s="21">
        <v>0</v>
      </c>
      <c r="AU38" s="21">
        <v>0</v>
      </c>
      <c r="AV38" s="21">
        <v>0</v>
      </c>
      <c r="AW38" s="21">
        <v>0</v>
      </c>
      <c r="AX38" s="21">
        <v>0</v>
      </c>
      <c r="AY38" s="68"/>
    </row>
    <row r="39" spans="1:51" ht="48">
      <c r="A39" s="23" t="s">
        <v>216</v>
      </c>
      <c r="B39" s="19" t="s">
        <v>220</v>
      </c>
      <c r="C39" s="19" t="s">
        <v>218</v>
      </c>
      <c r="D39" s="20">
        <f t="shared" si="0"/>
        <v>0</v>
      </c>
      <c r="E39" s="21">
        <v>0</v>
      </c>
      <c r="F39" s="21">
        <v>0</v>
      </c>
      <c r="G39" s="21">
        <v>0</v>
      </c>
      <c r="H39" s="21">
        <v>0</v>
      </c>
      <c r="I39" s="21">
        <v>0</v>
      </c>
      <c r="J39" s="21">
        <v>0</v>
      </c>
      <c r="K39" s="21">
        <v>0</v>
      </c>
      <c r="L39" s="21">
        <v>0</v>
      </c>
      <c r="M39" s="21">
        <v>0</v>
      </c>
      <c r="N39" s="21">
        <v>0</v>
      </c>
      <c r="O39" s="21">
        <v>0</v>
      </c>
      <c r="P39" s="21">
        <v>0</v>
      </c>
      <c r="Q39" s="21">
        <v>0</v>
      </c>
      <c r="R39" s="21">
        <v>0</v>
      </c>
      <c r="S39" s="21">
        <v>0</v>
      </c>
      <c r="T39" s="21">
        <v>0</v>
      </c>
      <c r="U39" s="21">
        <v>0</v>
      </c>
      <c r="V39" s="21">
        <v>0</v>
      </c>
      <c r="W39" s="21">
        <v>0</v>
      </c>
      <c r="X39" s="21">
        <v>0</v>
      </c>
      <c r="Y39" s="21">
        <v>0</v>
      </c>
      <c r="Z39" s="21">
        <v>0</v>
      </c>
      <c r="AA39" s="21">
        <v>0</v>
      </c>
      <c r="AB39" s="21">
        <v>0</v>
      </c>
      <c r="AC39" s="21">
        <v>0</v>
      </c>
      <c r="AD39" s="21">
        <v>0</v>
      </c>
      <c r="AE39" s="21">
        <v>0</v>
      </c>
      <c r="AF39" s="21">
        <v>0</v>
      </c>
      <c r="AG39" s="21">
        <v>0</v>
      </c>
      <c r="AH39" s="21">
        <v>0</v>
      </c>
      <c r="AI39" s="21">
        <v>0</v>
      </c>
      <c r="AJ39" s="21">
        <v>0</v>
      </c>
      <c r="AK39" s="21">
        <v>0</v>
      </c>
      <c r="AL39" s="21">
        <v>0</v>
      </c>
      <c r="AM39" s="21">
        <v>0</v>
      </c>
      <c r="AN39" s="21">
        <v>0</v>
      </c>
      <c r="AO39" s="21">
        <v>0</v>
      </c>
      <c r="AP39" s="21">
        <v>0</v>
      </c>
      <c r="AQ39" s="21">
        <v>0</v>
      </c>
      <c r="AR39" s="21">
        <v>0</v>
      </c>
      <c r="AS39" s="21">
        <v>0</v>
      </c>
      <c r="AT39" s="21">
        <v>0</v>
      </c>
      <c r="AU39" s="21">
        <v>0</v>
      </c>
      <c r="AV39" s="21">
        <v>0</v>
      </c>
      <c r="AW39" s="21">
        <v>0</v>
      </c>
      <c r="AX39" s="21">
        <v>0</v>
      </c>
      <c r="AY39" s="68"/>
    </row>
    <row r="40" spans="1:51" ht="32.1">
      <c r="A40" s="23"/>
      <c r="B40" s="19" t="s">
        <v>221</v>
      </c>
      <c r="C40" s="19" t="s">
        <v>222</v>
      </c>
      <c r="D40" s="20">
        <f t="shared" si="0"/>
        <v>0</v>
      </c>
      <c r="E40" s="21">
        <v>0</v>
      </c>
      <c r="F40" s="21">
        <v>0</v>
      </c>
      <c r="G40" s="21">
        <v>0</v>
      </c>
      <c r="H40" s="21">
        <v>0</v>
      </c>
      <c r="I40" s="21">
        <v>0</v>
      </c>
      <c r="J40" s="21">
        <v>0</v>
      </c>
      <c r="K40" s="21">
        <v>0</v>
      </c>
      <c r="L40" s="21">
        <v>0</v>
      </c>
      <c r="M40" s="21">
        <v>0</v>
      </c>
      <c r="N40" s="21">
        <v>0</v>
      </c>
      <c r="O40" s="21">
        <v>0</v>
      </c>
      <c r="P40" s="21">
        <v>0</v>
      </c>
      <c r="Q40" s="21">
        <v>0</v>
      </c>
      <c r="R40" s="21">
        <v>0</v>
      </c>
      <c r="S40" s="21">
        <v>0</v>
      </c>
      <c r="T40" s="21">
        <v>0</v>
      </c>
      <c r="U40" s="21">
        <v>0</v>
      </c>
      <c r="V40" s="21">
        <v>0</v>
      </c>
      <c r="W40" s="21">
        <v>0</v>
      </c>
      <c r="X40" s="21">
        <v>0</v>
      </c>
      <c r="Y40" s="21">
        <v>0</v>
      </c>
      <c r="Z40" s="21">
        <v>0</v>
      </c>
      <c r="AA40" s="21">
        <v>0</v>
      </c>
      <c r="AB40" s="21">
        <v>0</v>
      </c>
      <c r="AC40" s="21">
        <v>0</v>
      </c>
      <c r="AD40" s="21">
        <v>0</v>
      </c>
      <c r="AE40" s="21">
        <v>0</v>
      </c>
      <c r="AF40" s="21">
        <v>0</v>
      </c>
      <c r="AG40" s="21">
        <v>0</v>
      </c>
      <c r="AH40" s="21">
        <v>0</v>
      </c>
      <c r="AI40" s="21">
        <v>0</v>
      </c>
      <c r="AJ40" s="21">
        <v>0</v>
      </c>
      <c r="AK40" s="21">
        <v>0</v>
      </c>
      <c r="AL40" s="21">
        <v>0</v>
      </c>
      <c r="AM40" s="21">
        <v>0</v>
      </c>
      <c r="AN40" s="21">
        <v>0</v>
      </c>
      <c r="AO40" s="21">
        <v>0</v>
      </c>
      <c r="AP40" s="21">
        <v>0</v>
      </c>
      <c r="AQ40" s="21">
        <v>0</v>
      </c>
      <c r="AR40" s="21">
        <v>0</v>
      </c>
      <c r="AS40" s="21">
        <v>0</v>
      </c>
      <c r="AT40" s="21">
        <v>0</v>
      </c>
      <c r="AU40" s="21">
        <v>0</v>
      </c>
      <c r="AV40" s="21">
        <v>0</v>
      </c>
      <c r="AW40" s="21">
        <v>0</v>
      </c>
      <c r="AX40" s="21">
        <v>0</v>
      </c>
      <c r="AY40" s="68"/>
    </row>
    <row r="41" spans="1:51">
      <c r="A41" s="23" t="s">
        <v>223</v>
      </c>
      <c r="B41" s="19" t="s">
        <v>224</v>
      </c>
      <c r="C41" s="19" t="s">
        <v>225</v>
      </c>
      <c r="D41" s="20">
        <f t="shared" si="0"/>
        <v>0</v>
      </c>
      <c r="E41" s="21">
        <v>0</v>
      </c>
      <c r="F41" s="21">
        <v>0</v>
      </c>
      <c r="G41" s="21">
        <v>0</v>
      </c>
      <c r="H41" s="21">
        <v>0</v>
      </c>
      <c r="I41" s="21">
        <v>0</v>
      </c>
      <c r="J41" s="21">
        <v>0</v>
      </c>
      <c r="K41" s="21">
        <v>0</v>
      </c>
      <c r="L41" s="21">
        <v>0</v>
      </c>
      <c r="M41" s="21">
        <v>0</v>
      </c>
      <c r="N41" s="21">
        <v>0</v>
      </c>
      <c r="O41" s="21">
        <v>0</v>
      </c>
      <c r="P41" s="21">
        <v>0</v>
      </c>
      <c r="Q41" s="21">
        <v>0</v>
      </c>
      <c r="R41" s="21">
        <v>0</v>
      </c>
      <c r="S41" s="21">
        <v>0</v>
      </c>
      <c r="T41" s="21">
        <v>0</v>
      </c>
      <c r="U41" s="21">
        <v>0</v>
      </c>
      <c r="V41" s="21">
        <v>0</v>
      </c>
      <c r="W41" s="21">
        <v>0</v>
      </c>
      <c r="X41" s="21">
        <v>0</v>
      </c>
      <c r="Y41" s="21">
        <v>0</v>
      </c>
      <c r="Z41" s="21">
        <v>0</v>
      </c>
      <c r="AA41" s="21">
        <v>0</v>
      </c>
      <c r="AB41" s="21">
        <v>0</v>
      </c>
      <c r="AC41" s="21">
        <v>0</v>
      </c>
      <c r="AD41" s="21">
        <v>0</v>
      </c>
      <c r="AE41" s="21">
        <v>0</v>
      </c>
      <c r="AF41" s="21">
        <v>0</v>
      </c>
      <c r="AG41" s="21">
        <v>0</v>
      </c>
      <c r="AH41" s="21">
        <v>0</v>
      </c>
      <c r="AI41" s="21">
        <v>0</v>
      </c>
      <c r="AJ41" s="21">
        <v>0</v>
      </c>
      <c r="AK41" s="21">
        <v>0</v>
      </c>
      <c r="AL41" s="21">
        <v>0</v>
      </c>
      <c r="AM41" s="21">
        <v>0</v>
      </c>
      <c r="AN41" s="21">
        <v>0</v>
      </c>
      <c r="AO41" s="21">
        <v>0</v>
      </c>
      <c r="AP41" s="21">
        <v>0</v>
      </c>
      <c r="AQ41" s="21">
        <v>0</v>
      </c>
      <c r="AR41" s="21">
        <v>0</v>
      </c>
      <c r="AS41" s="21">
        <v>0</v>
      </c>
      <c r="AT41" s="21">
        <v>0</v>
      </c>
      <c r="AU41" s="21">
        <v>0</v>
      </c>
      <c r="AV41" s="21">
        <v>0</v>
      </c>
      <c r="AW41" s="21">
        <v>0</v>
      </c>
      <c r="AX41" s="21">
        <v>0</v>
      </c>
      <c r="AY41" s="68"/>
    </row>
    <row r="42" spans="1:51" ht="32.1">
      <c r="A42" s="23"/>
      <c r="B42" s="19" t="s">
        <v>226</v>
      </c>
      <c r="C42" s="27" t="s">
        <v>227</v>
      </c>
      <c r="D42" s="20">
        <f t="shared" si="0"/>
        <v>2</v>
      </c>
      <c r="E42" s="21">
        <v>1</v>
      </c>
      <c r="F42" s="21">
        <v>0</v>
      </c>
      <c r="G42" s="21">
        <v>0</v>
      </c>
      <c r="H42" s="21">
        <v>0</v>
      </c>
      <c r="I42" s="21">
        <v>0</v>
      </c>
      <c r="J42" s="21">
        <v>0</v>
      </c>
      <c r="K42" s="21">
        <v>0</v>
      </c>
      <c r="L42" s="21">
        <v>0</v>
      </c>
      <c r="M42" s="21">
        <v>0</v>
      </c>
      <c r="N42" s="21">
        <v>0</v>
      </c>
      <c r="O42" s="21">
        <v>0</v>
      </c>
      <c r="P42" s="21">
        <v>0</v>
      </c>
      <c r="Q42" s="21">
        <v>0</v>
      </c>
      <c r="R42" s="21">
        <v>0</v>
      </c>
      <c r="S42" s="21">
        <v>0</v>
      </c>
      <c r="T42" s="21">
        <v>0</v>
      </c>
      <c r="U42" s="21">
        <v>0</v>
      </c>
      <c r="V42" s="21">
        <v>0</v>
      </c>
      <c r="W42" s="21">
        <v>0</v>
      </c>
      <c r="X42" s="21">
        <v>0</v>
      </c>
      <c r="Y42" s="21">
        <v>0</v>
      </c>
      <c r="Z42" s="21">
        <v>0</v>
      </c>
      <c r="AA42" s="21">
        <v>0</v>
      </c>
      <c r="AB42" s="21">
        <v>0</v>
      </c>
      <c r="AC42" s="21">
        <v>1</v>
      </c>
      <c r="AD42" s="21">
        <v>0</v>
      </c>
      <c r="AE42" s="21">
        <v>0</v>
      </c>
      <c r="AF42" s="21">
        <v>0</v>
      </c>
      <c r="AG42" s="21">
        <v>0</v>
      </c>
      <c r="AH42" s="21">
        <v>0</v>
      </c>
      <c r="AI42" s="21">
        <v>0</v>
      </c>
      <c r="AJ42" s="21">
        <v>0</v>
      </c>
      <c r="AK42" s="21">
        <v>0</v>
      </c>
      <c r="AL42" s="21">
        <v>0</v>
      </c>
      <c r="AM42" s="21">
        <v>0</v>
      </c>
      <c r="AN42" s="21">
        <v>0</v>
      </c>
      <c r="AO42" s="21">
        <v>0</v>
      </c>
      <c r="AP42" s="21">
        <v>0</v>
      </c>
      <c r="AQ42" s="21">
        <v>0</v>
      </c>
      <c r="AR42" s="21">
        <v>0</v>
      </c>
      <c r="AS42" s="21">
        <v>0</v>
      </c>
      <c r="AT42" s="21">
        <v>0</v>
      </c>
      <c r="AU42" s="21">
        <v>0</v>
      </c>
      <c r="AV42" s="21">
        <v>0</v>
      </c>
      <c r="AW42" s="21">
        <v>0</v>
      </c>
      <c r="AX42" s="21">
        <v>0</v>
      </c>
      <c r="AY42" s="68"/>
    </row>
    <row r="43" spans="1:51">
      <c r="A43" s="23" t="s">
        <v>228</v>
      </c>
      <c r="B43" s="19" t="s">
        <v>229</v>
      </c>
      <c r="C43" s="19" t="s">
        <v>230</v>
      </c>
      <c r="D43" s="20">
        <f t="shared" si="0"/>
        <v>1</v>
      </c>
      <c r="E43" s="21">
        <v>1</v>
      </c>
      <c r="F43" s="21">
        <v>0</v>
      </c>
      <c r="G43" s="21">
        <v>0</v>
      </c>
      <c r="H43" s="21">
        <v>0</v>
      </c>
      <c r="I43" s="21">
        <v>0</v>
      </c>
      <c r="J43" s="21">
        <v>0</v>
      </c>
      <c r="K43" s="21">
        <v>0</v>
      </c>
      <c r="L43" s="21">
        <v>0</v>
      </c>
      <c r="M43" s="21">
        <v>0</v>
      </c>
      <c r="N43" s="21">
        <v>0</v>
      </c>
      <c r="O43" s="21">
        <v>0</v>
      </c>
      <c r="P43" s="21">
        <v>0</v>
      </c>
      <c r="Q43" s="21">
        <v>0</v>
      </c>
      <c r="R43" s="21">
        <v>0</v>
      </c>
      <c r="S43" s="21">
        <v>0</v>
      </c>
      <c r="T43" s="21">
        <v>0</v>
      </c>
      <c r="U43" s="21">
        <v>0</v>
      </c>
      <c r="V43" s="21">
        <v>0</v>
      </c>
      <c r="W43" s="21">
        <v>0</v>
      </c>
      <c r="X43" s="21">
        <v>0</v>
      </c>
      <c r="Y43" s="21">
        <v>0</v>
      </c>
      <c r="Z43" s="21">
        <v>0</v>
      </c>
      <c r="AA43" s="21">
        <v>0</v>
      </c>
      <c r="AB43" s="21">
        <v>0</v>
      </c>
      <c r="AC43" s="21">
        <v>0</v>
      </c>
      <c r="AD43" s="21">
        <v>0</v>
      </c>
      <c r="AE43" s="21">
        <v>0</v>
      </c>
      <c r="AF43" s="21">
        <v>0</v>
      </c>
      <c r="AG43" s="21">
        <v>0</v>
      </c>
      <c r="AH43" s="21">
        <v>0</v>
      </c>
      <c r="AI43" s="21">
        <v>0</v>
      </c>
      <c r="AJ43" s="21">
        <v>0</v>
      </c>
      <c r="AK43" s="21">
        <v>0</v>
      </c>
      <c r="AL43" s="21">
        <v>0</v>
      </c>
      <c r="AM43" s="21">
        <v>0</v>
      </c>
      <c r="AN43" s="21">
        <v>0</v>
      </c>
      <c r="AO43" s="21">
        <v>0</v>
      </c>
      <c r="AP43" s="21">
        <v>0</v>
      </c>
      <c r="AQ43" s="21">
        <v>0</v>
      </c>
      <c r="AR43" s="21">
        <v>0</v>
      </c>
      <c r="AS43" s="21">
        <v>0</v>
      </c>
      <c r="AT43" s="21">
        <v>0</v>
      </c>
      <c r="AU43" s="21">
        <v>0</v>
      </c>
      <c r="AV43" s="21">
        <v>0</v>
      </c>
      <c r="AW43" s="21">
        <v>0</v>
      </c>
      <c r="AX43" s="21">
        <v>0</v>
      </c>
      <c r="AY43" s="67"/>
    </row>
    <row r="44" spans="1:51">
      <c r="A44" s="24" t="s">
        <v>231</v>
      </c>
      <c r="B44" s="25"/>
      <c r="C44" s="25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67"/>
    </row>
    <row r="45" spans="1:51">
      <c r="A45" s="23" t="s">
        <v>232</v>
      </c>
      <c r="B45" s="19" t="s">
        <v>233</v>
      </c>
      <c r="C45" s="19" t="s">
        <v>196</v>
      </c>
      <c r="D45" s="20">
        <f t="shared" si="0"/>
        <v>61621</v>
      </c>
      <c r="E45" s="21">
        <v>22198</v>
      </c>
      <c r="F45" s="21">
        <v>5239</v>
      </c>
      <c r="G45" s="21">
        <v>228</v>
      </c>
      <c r="H45" s="21">
        <v>1240</v>
      </c>
      <c r="I45" s="21">
        <v>126</v>
      </c>
      <c r="J45" s="21">
        <v>192</v>
      </c>
      <c r="K45" s="21">
        <v>539</v>
      </c>
      <c r="L45" s="21">
        <v>127</v>
      </c>
      <c r="M45" s="21">
        <v>98</v>
      </c>
      <c r="N45" s="21">
        <v>1476</v>
      </c>
      <c r="O45" s="21">
        <v>724</v>
      </c>
      <c r="P45" s="21">
        <v>500</v>
      </c>
      <c r="Q45" s="21">
        <v>316</v>
      </c>
      <c r="R45" s="21">
        <v>1669</v>
      </c>
      <c r="S45" s="21">
        <v>732</v>
      </c>
      <c r="T45" s="21">
        <v>169</v>
      </c>
      <c r="U45" s="21">
        <v>1001</v>
      </c>
      <c r="V45" s="21">
        <v>203</v>
      </c>
      <c r="W45" s="21">
        <v>102</v>
      </c>
      <c r="X45" s="21">
        <v>147</v>
      </c>
      <c r="Y45" s="21">
        <v>1855</v>
      </c>
      <c r="Z45" s="21">
        <v>139</v>
      </c>
      <c r="AA45" s="21">
        <v>451</v>
      </c>
      <c r="AB45" s="21">
        <v>73</v>
      </c>
      <c r="AC45" s="21">
        <v>11759</v>
      </c>
      <c r="AD45" s="21">
        <v>488</v>
      </c>
      <c r="AE45" s="21">
        <v>665</v>
      </c>
      <c r="AF45" s="21">
        <v>412</v>
      </c>
      <c r="AG45" s="21">
        <v>795</v>
      </c>
      <c r="AH45" s="21">
        <v>166</v>
      </c>
      <c r="AI45" s="21">
        <v>577</v>
      </c>
      <c r="AJ45" s="21">
        <v>1313</v>
      </c>
      <c r="AK45" s="21">
        <v>540</v>
      </c>
      <c r="AL45" s="21">
        <v>494</v>
      </c>
      <c r="AM45" s="21">
        <v>590</v>
      </c>
      <c r="AN45" s="21">
        <v>961</v>
      </c>
      <c r="AO45" s="21">
        <v>104</v>
      </c>
      <c r="AP45" s="21">
        <v>460</v>
      </c>
      <c r="AQ45" s="21">
        <v>537</v>
      </c>
      <c r="AR45" s="21">
        <v>828</v>
      </c>
      <c r="AS45" s="21">
        <v>93</v>
      </c>
      <c r="AT45" s="21">
        <v>173</v>
      </c>
      <c r="AU45" s="21">
        <v>751</v>
      </c>
      <c r="AV45" s="21">
        <v>80</v>
      </c>
      <c r="AW45" s="21">
        <v>138</v>
      </c>
      <c r="AX45" s="21">
        <v>153</v>
      </c>
      <c r="AY45" s="67"/>
    </row>
    <row r="46" spans="1:51">
      <c r="A46" s="23" t="s">
        <v>234</v>
      </c>
      <c r="B46" s="19" t="s">
        <v>235</v>
      </c>
      <c r="C46" s="19" t="s">
        <v>236</v>
      </c>
      <c r="D46" s="20">
        <f t="shared" si="0"/>
        <v>505</v>
      </c>
      <c r="E46" s="21">
        <v>122</v>
      </c>
      <c r="F46" s="21">
        <v>28</v>
      </c>
      <c r="G46" s="21">
        <v>0</v>
      </c>
      <c r="H46" s="21">
        <v>0</v>
      </c>
      <c r="I46" s="21">
        <v>0</v>
      </c>
      <c r="J46" s="21">
        <v>1</v>
      </c>
      <c r="K46" s="21">
        <v>0</v>
      </c>
      <c r="L46" s="21">
        <v>0</v>
      </c>
      <c r="M46" s="21">
        <v>0</v>
      </c>
      <c r="N46" s="21">
        <v>12</v>
      </c>
      <c r="O46" s="21">
        <v>0</v>
      </c>
      <c r="P46" s="21">
        <v>2</v>
      </c>
      <c r="Q46" s="21">
        <v>3</v>
      </c>
      <c r="R46" s="21">
        <v>40</v>
      </c>
      <c r="S46" s="21">
        <v>0</v>
      </c>
      <c r="T46" s="21">
        <v>1</v>
      </c>
      <c r="U46" s="21">
        <v>5</v>
      </c>
      <c r="V46" s="21">
        <v>0</v>
      </c>
      <c r="W46" s="21">
        <v>2</v>
      </c>
      <c r="X46" s="21">
        <v>1</v>
      </c>
      <c r="Y46" s="21">
        <v>72</v>
      </c>
      <c r="Z46" s="21">
        <v>0</v>
      </c>
      <c r="AA46" s="21">
        <v>0</v>
      </c>
      <c r="AB46" s="21">
        <v>0</v>
      </c>
      <c r="AC46" s="21">
        <v>122</v>
      </c>
      <c r="AD46" s="21">
        <v>8</v>
      </c>
      <c r="AE46" s="21">
        <v>1</v>
      </c>
      <c r="AF46" s="21">
        <v>6</v>
      </c>
      <c r="AG46" s="21">
        <v>15</v>
      </c>
      <c r="AH46" s="21">
        <v>0</v>
      </c>
      <c r="AI46" s="21">
        <v>14</v>
      </c>
      <c r="AJ46" s="21">
        <v>6</v>
      </c>
      <c r="AK46" s="21">
        <v>18</v>
      </c>
      <c r="AL46" s="21">
        <v>1</v>
      </c>
      <c r="AM46" s="21">
        <v>1</v>
      </c>
      <c r="AN46" s="21">
        <v>12</v>
      </c>
      <c r="AO46" s="21">
        <v>0</v>
      </c>
      <c r="AP46" s="21">
        <v>0</v>
      </c>
      <c r="AQ46" s="21">
        <v>8</v>
      </c>
      <c r="AR46" s="21">
        <v>3</v>
      </c>
      <c r="AS46" s="21">
        <v>0</v>
      </c>
      <c r="AT46" s="21">
        <v>1</v>
      </c>
      <c r="AU46" s="21">
        <v>0</v>
      </c>
      <c r="AV46" s="21">
        <v>0</v>
      </c>
      <c r="AW46" s="21">
        <v>0</v>
      </c>
      <c r="AX46" s="21">
        <v>0</v>
      </c>
      <c r="AY46" s="67"/>
    </row>
    <row r="47" spans="1:51">
      <c r="A47" s="23" t="s">
        <v>237</v>
      </c>
      <c r="B47" s="19" t="s">
        <v>238</v>
      </c>
      <c r="C47" s="19" t="s">
        <v>239</v>
      </c>
      <c r="D47" s="20">
        <f t="shared" si="0"/>
        <v>243</v>
      </c>
      <c r="E47" s="22">
        <v>144</v>
      </c>
      <c r="F47" s="22">
        <v>0</v>
      </c>
      <c r="G47" s="22">
        <v>0</v>
      </c>
      <c r="H47" s="22">
        <v>23</v>
      </c>
      <c r="I47" s="22">
        <v>0</v>
      </c>
      <c r="J47" s="22">
        <v>0</v>
      </c>
      <c r="K47" s="22">
        <v>0</v>
      </c>
      <c r="L47" s="22">
        <v>0</v>
      </c>
      <c r="M47" s="22">
        <v>0</v>
      </c>
      <c r="N47" s="22">
        <v>0</v>
      </c>
      <c r="O47" s="22">
        <v>0</v>
      </c>
      <c r="P47" s="22">
        <v>0</v>
      </c>
      <c r="Q47" s="22">
        <v>0</v>
      </c>
      <c r="R47" s="22">
        <v>12</v>
      </c>
      <c r="S47" s="22">
        <v>0</v>
      </c>
      <c r="T47" s="22">
        <v>0</v>
      </c>
      <c r="U47" s="22">
        <v>0</v>
      </c>
      <c r="V47" s="22">
        <v>0</v>
      </c>
      <c r="W47" s="22">
        <v>0</v>
      </c>
      <c r="X47" s="22">
        <v>0</v>
      </c>
      <c r="Y47" s="22">
        <v>5</v>
      </c>
      <c r="Z47" s="22">
        <v>0</v>
      </c>
      <c r="AA47" s="22">
        <v>0</v>
      </c>
      <c r="AB47" s="22">
        <v>0</v>
      </c>
      <c r="AC47" s="22">
        <v>59</v>
      </c>
      <c r="AD47" s="22">
        <v>0</v>
      </c>
      <c r="AE47" s="22">
        <v>0</v>
      </c>
      <c r="AF47" s="22">
        <v>0</v>
      </c>
      <c r="AG47" s="22">
        <v>0</v>
      </c>
      <c r="AH47" s="22">
        <v>0</v>
      </c>
      <c r="AI47" s="22">
        <v>0</v>
      </c>
      <c r="AJ47" s="22">
        <v>0</v>
      </c>
      <c r="AK47" s="22">
        <v>0</v>
      </c>
      <c r="AL47" s="22">
        <v>0</v>
      </c>
      <c r="AM47" s="22">
        <v>0</v>
      </c>
      <c r="AN47" s="22">
        <v>0</v>
      </c>
      <c r="AO47" s="22">
        <v>0</v>
      </c>
      <c r="AP47" s="22">
        <v>0</v>
      </c>
      <c r="AQ47" s="22">
        <v>0</v>
      </c>
      <c r="AR47" s="22">
        <v>0</v>
      </c>
      <c r="AS47" s="22">
        <v>0</v>
      </c>
      <c r="AT47" s="22">
        <v>0</v>
      </c>
      <c r="AU47" s="22">
        <v>0</v>
      </c>
      <c r="AV47" s="22">
        <v>0</v>
      </c>
      <c r="AW47" s="22">
        <v>0</v>
      </c>
      <c r="AX47" s="22">
        <v>0</v>
      </c>
      <c r="AY47" s="67"/>
    </row>
    <row r="48" spans="1:51">
      <c r="A48" s="23" t="s">
        <v>240</v>
      </c>
      <c r="B48" s="19" t="s">
        <v>241</v>
      </c>
      <c r="C48" s="19" t="s">
        <v>242</v>
      </c>
      <c r="D48" s="20">
        <f t="shared" si="0"/>
        <v>2</v>
      </c>
      <c r="E48" s="21">
        <v>1</v>
      </c>
      <c r="F48" s="21">
        <v>0</v>
      </c>
      <c r="G48" s="21">
        <v>0</v>
      </c>
      <c r="H48" s="21">
        <v>0</v>
      </c>
      <c r="I48" s="21">
        <v>0</v>
      </c>
      <c r="J48" s="21">
        <v>0</v>
      </c>
      <c r="K48" s="21">
        <v>0</v>
      </c>
      <c r="L48" s="21">
        <v>0</v>
      </c>
      <c r="M48" s="21">
        <v>0</v>
      </c>
      <c r="N48" s="21">
        <v>0</v>
      </c>
      <c r="O48" s="21">
        <v>0</v>
      </c>
      <c r="P48" s="21">
        <v>0</v>
      </c>
      <c r="Q48" s="21">
        <v>0</v>
      </c>
      <c r="R48" s="21">
        <v>0</v>
      </c>
      <c r="S48" s="21">
        <v>0</v>
      </c>
      <c r="T48" s="21">
        <v>0</v>
      </c>
      <c r="U48" s="21">
        <v>0</v>
      </c>
      <c r="V48" s="21">
        <v>0</v>
      </c>
      <c r="W48" s="21">
        <v>0</v>
      </c>
      <c r="X48" s="21">
        <v>0</v>
      </c>
      <c r="Y48" s="21">
        <v>0</v>
      </c>
      <c r="Z48" s="21">
        <v>0</v>
      </c>
      <c r="AA48" s="21">
        <v>0</v>
      </c>
      <c r="AB48" s="21">
        <v>0</v>
      </c>
      <c r="AC48" s="21">
        <v>1</v>
      </c>
      <c r="AD48" s="21">
        <v>0</v>
      </c>
      <c r="AE48" s="21">
        <v>0</v>
      </c>
      <c r="AF48" s="21">
        <v>0</v>
      </c>
      <c r="AG48" s="21">
        <v>0</v>
      </c>
      <c r="AH48" s="21">
        <v>0</v>
      </c>
      <c r="AI48" s="21">
        <v>0</v>
      </c>
      <c r="AJ48" s="21">
        <v>0</v>
      </c>
      <c r="AK48" s="21">
        <v>0</v>
      </c>
      <c r="AL48" s="21">
        <v>0</v>
      </c>
      <c r="AM48" s="21">
        <v>0</v>
      </c>
      <c r="AN48" s="21">
        <v>0</v>
      </c>
      <c r="AO48" s="21">
        <v>0</v>
      </c>
      <c r="AP48" s="21">
        <v>0</v>
      </c>
      <c r="AQ48" s="21">
        <v>0</v>
      </c>
      <c r="AR48" s="21">
        <v>0</v>
      </c>
      <c r="AS48" s="21">
        <v>0</v>
      </c>
      <c r="AT48" s="21">
        <v>0</v>
      </c>
      <c r="AU48" s="21">
        <v>0</v>
      </c>
      <c r="AV48" s="21">
        <v>0</v>
      </c>
      <c r="AW48" s="21">
        <v>0</v>
      </c>
      <c r="AX48" s="21">
        <v>0</v>
      </c>
      <c r="AY48" s="68"/>
    </row>
    <row r="49" spans="1:51">
      <c r="A49" s="23" t="s">
        <v>243</v>
      </c>
      <c r="B49" s="19" t="s">
        <v>244</v>
      </c>
      <c r="C49" s="19" t="s">
        <v>245</v>
      </c>
      <c r="D49" s="20">
        <f t="shared" si="0"/>
        <v>62334.490000000005</v>
      </c>
      <c r="E49" s="22">
        <v>27490</v>
      </c>
      <c r="F49" s="22">
        <v>5792</v>
      </c>
      <c r="G49" s="21">
        <v>0</v>
      </c>
      <c r="H49" s="21">
        <v>0</v>
      </c>
      <c r="I49" s="21">
        <v>0</v>
      </c>
      <c r="J49" s="21">
        <v>0</v>
      </c>
      <c r="K49" s="21">
        <v>0</v>
      </c>
      <c r="L49" s="21">
        <v>0</v>
      </c>
      <c r="M49" s="21">
        <v>0</v>
      </c>
      <c r="N49" s="22">
        <v>1619.21</v>
      </c>
      <c r="O49" s="21">
        <v>0</v>
      </c>
      <c r="P49" s="22">
        <v>577.66</v>
      </c>
      <c r="Q49" s="21">
        <v>0</v>
      </c>
      <c r="R49" s="22">
        <v>1250</v>
      </c>
      <c r="S49" s="21">
        <v>0</v>
      </c>
      <c r="T49" s="21">
        <v>0</v>
      </c>
      <c r="U49" s="22">
        <v>400</v>
      </c>
      <c r="V49" s="22">
        <v>231</v>
      </c>
      <c r="W49" s="21">
        <v>0</v>
      </c>
      <c r="X49" s="21">
        <v>0</v>
      </c>
      <c r="Y49" s="22">
        <v>2115.8200000000002</v>
      </c>
      <c r="Z49" s="21">
        <v>0</v>
      </c>
      <c r="AA49" s="21">
        <v>0</v>
      </c>
      <c r="AB49" s="21">
        <v>0</v>
      </c>
      <c r="AC49" s="22">
        <v>15000</v>
      </c>
      <c r="AD49" s="22">
        <v>1198.52</v>
      </c>
      <c r="AE49" s="21">
        <v>0</v>
      </c>
      <c r="AF49" s="22">
        <v>841</v>
      </c>
      <c r="AG49" s="22">
        <v>912.66</v>
      </c>
      <c r="AH49" s="21">
        <v>0</v>
      </c>
      <c r="AI49" s="22">
        <v>575</v>
      </c>
      <c r="AJ49" s="21">
        <v>0</v>
      </c>
      <c r="AK49" s="21">
        <v>0</v>
      </c>
      <c r="AL49" s="22">
        <v>345</v>
      </c>
      <c r="AM49" s="22">
        <v>610</v>
      </c>
      <c r="AN49" s="22">
        <v>1054</v>
      </c>
      <c r="AO49" s="22">
        <v>28</v>
      </c>
      <c r="AP49" s="22">
        <v>486</v>
      </c>
      <c r="AQ49" s="22">
        <v>500</v>
      </c>
      <c r="AR49" s="22" t="s">
        <v>949</v>
      </c>
      <c r="AS49" s="22">
        <v>92</v>
      </c>
      <c r="AT49" s="22">
        <v>150.62</v>
      </c>
      <c r="AU49" s="22">
        <v>865</v>
      </c>
      <c r="AV49" s="22">
        <v>86</v>
      </c>
      <c r="AW49" s="21">
        <v>0</v>
      </c>
      <c r="AX49" s="22">
        <v>115</v>
      </c>
      <c r="AY49" s="68"/>
    </row>
    <row r="50" spans="1:51" ht="12" customHeight="1">
      <c r="A50" s="23" t="s">
        <v>246</v>
      </c>
      <c r="B50" s="19" t="s">
        <v>247</v>
      </c>
      <c r="C50" s="19" t="s">
        <v>248</v>
      </c>
      <c r="D50" s="20">
        <f t="shared" si="0"/>
        <v>0</v>
      </c>
      <c r="E50" s="21">
        <v>0</v>
      </c>
      <c r="F50" s="21">
        <v>0</v>
      </c>
      <c r="G50" s="21">
        <v>0</v>
      </c>
      <c r="H50" s="21">
        <v>0</v>
      </c>
      <c r="I50" s="21">
        <v>0</v>
      </c>
      <c r="J50" s="21">
        <v>0</v>
      </c>
      <c r="K50" s="21">
        <v>0</v>
      </c>
      <c r="L50" s="21">
        <v>0</v>
      </c>
      <c r="M50" s="21">
        <v>0</v>
      </c>
      <c r="N50" s="21">
        <v>0</v>
      </c>
      <c r="O50" s="21">
        <v>0</v>
      </c>
      <c r="P50" s="21">
        <v>0</v>
      </c>
      <c r="Q50" s="21">
        <v>0</v>
      </c>
      <c r="R50" s="21">
        <v>0</v>
      </c>
      <c r="S50" s="21">
        <v>0</v>
      </c>
      <c r="T50" s="21">
        <v>0</v>
      </c>
      <c r="U50" s="21">
        <v>0</v>
      </c>
      <c r="V50" s="21">
        <v>0</v>
      </c>
      <c r="W50" s="21">
        <v>0</v>
      </c>
      <c r="X50" s="21">
        <v>0</v>
      </c>
      <c r="Y50" s="21">
        <v>0</v>
      </c>
      <c r="Z50" s="21">
        <v>0</v>
      </c>
      <c r="AA50" s="21">
        <v>0</v>
      </c>
      <c r="AB50" s="21">
        <v>0</v>
      </c>
      <c r="AC50" s="21">
        <v>0</v>
      </c>
      <c r="AD50" s="21">
        <v>0</v>
      </c>
      <c r="AE50" s="21">
        <v>0</v>
      </c>
      <c r="AF50" s="21">
        <v>0</v>
      </c>
      <c r="AG50" s="21">
        <v>0</v>
      </c>
      <c r="AH50" s="21">
        <v>0</v>
      </c>
      <c r="AI50" s="21">
        <v>0</v>
      </c>
      <c r="AJ50" s="21">
        <v>0</v>
      </c>
      <c r="AK50" s="21">
        <v>0</v>
      </c>
      <c r="AL50" s="21">
        <v>0</v>
      </c>
      <c r="AM50" s="21">
        <v>0</v>
      </c>
      <c r="AN50" s="21">
        <v>0</v>
      </c>
      <c r="AO50" s="21">
        <v>0</v>
      </c>
      <c r="AP50" s="21">
        <v>0</v>
      </c>
      <c r="AQ50" s="21">
        <v>0</v>
      </c>
      <c r="AR50" s="21">
        <v>0</v>
      </c>
      <c r="AS50" s="21">
        <v>0</v>
      </c>
      <c r="AT50" s="21">
        <v>0</v>
      </c>
      <c r="AU50" s="21">
        <v>0</v>
      </c>
      <c r="AV50" s="21">
        <v>0</v>
      </c>
      <c r="AW50" s="21">
        <v>0</v>
      </c>
      <c r="AX50" s="21">
        <v>0</v>
      </c>
      <c r="AY50" s="68"/>
    </row>
    <row r="51" spans="1:51">
      <c r="A51" s="23" t="s">
        <v>249</v>
      </c>
      <c r="B51" s="19" t="s">
        <v>250</v>
      </c>
      <c r="C51" s="19" t="s">
        <v>236</v>
      </c>
      <c r="D51" s="20">
        <f t="shared" si="0"/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1">
        <v>0</v>
      </c>
      <c r="AX51" s="21">
        <v>0</v>
      </c>
      <c r="AY51" s="68"/>
    </row>
    <row r="52" spans="1:51">
      <c r="A52" s="23" t="s">
        <v>251</v>
      </c>
      <c r="B52" s="19" t="s">
        <v>252</v>
      </c>
      <c r="C52" s="19" t="s">
        <v>253</v>
      </c>
      <c r="D52" s="20">
        <f t="shared" si="0"/>
        <v>8</v>
      </c>
      <c r="E52" s="22">
        <v>4</v>
      </c>
      <c r="F52" s="22">
        <v>2</v>
      </c>
      <c r="G52" s="22">
        <v>0</v>
      </c>
      <c r="H52" s="22">
        <v>0</v>
      </c>
      <c r="I52" s="22">
        <v>0</v>
      </c>
      <c r="J52" s="22">
        <v>0</v>
      </c>
      <c r="K52" s="22">
        <v>0</v>
      </c>
      <c r="L52" s="22">
        <v>0</v>
      </c>
      <c r="M52" s="22">
        <v>0</v>
      </c>
      <c r="N52" s="22">
        <v>0</v>
      </c>
      <c r="O52" s="22">
        <v>0</v>
      </c>
      <c r="P52" s="22">
        <v>0</v>
      </c>
      <c r="Q52" s="22">
        <v>0</v>
      </c>
      <c r="R52" s="22">
        <v>0</v>
      </c>
      <c r="S52" s="22">
        <v>0</v>
      </c>
      <c r="T52" s="22">
        <v>0</v>
      </c>
      <c r="U52" s="22">
        <v>0</v>
      </c>
      <c r="V52" s="22">
        <v>0</v>
      </c>
      <c r="W52" s="22">
        <v>0</v>
      </c>
      <c r="X52" s="22">
        <v>0</v>
      </c>
      <c r="Y52" s="22">
        <v>0</v>
      </c>
      <c r="Z52" s="22">
        <v>0</v>
      </c>
      <c r="AA52" s="22">
        <v>0</v>
      </c>
      <c r="AB52" s="22">
        <v>0</v>
      </c>
      <c r="AC52" s="22">
        <v>2</v>
      </c>
      <c r="AD52" s="22">
        <v>0</v>
      </c>
      <c r="AE52" s="22">
        <v>0</v>
      </c>
      <c r="AF52" s="22">
        <v>0</v>
      </c>
      <c r="AG52" s="22">
        <v>0</v>
      </c>
      <c r="AH52" s="22">
        <v>0</v>
      </c>
      <c r="AI52" s="22">
        <v>0</v>
      </c>
      <c r="AJ52" s="22">
        <v>0</v>
      </c>
      <c r="AK52" s="22">
        <v>0</v>
      </c>
      <c r="AL52" s="22">
        <v>0</v>
      </c>
      <c r="AM52" s="22">
        <v>0</v>
      </c>
      <c r="AN52" s="22">
        <v>0</v>
      </c>
      <c r="AO52" s="22">
        <v>0</v>
      </c>
      <c r="AP52" s="22">
        <v>0</v>
      </c>
      <c r="AQ52" s="22">
        <v>0</v>
      </c>
      <c r="AR52" s="22">
        <v>0</v>
      </c>
      <c r="AS52" s="22">
        <v>0</v>
      </c>
      <c r="AT52" s="22">
        <v>0</v>
      </c>
      <c r="AU52" s="22">
        <v>0</v>
      </c>
      <c r="AV52" s="22">
        <v>0</v>
      </c>
      <c r="AW52" s="22">
        <v>0</v>
      </c>
      <c r="AX52" s="22">
        <v>0</v>
      </c>
      <c r="AY52" s="68"/>
    </row>
    <row r="53" spans="1:51">
      <c r="A53" s="23" t="s">
        <v>254</v>
      </c>
      <c r="B53" s="19" t="s">
        <v>255</v>
      </c>
      <c r="C53" s="19" t="s">
        <v>256</v>
      </c>
      <c r="D53" s="20">
        <f t="shared" si="0"/>
        <v>4</v>
      </c>
      <c r="E53" s="22">
        <v>2</v>
      </c>
      <c r="F53" s="22">
        <v>1</v>
      </c>
      <c r="G53" s="22">
        <v>0</v>
      </c>
      <c r="H53" s="22">
        <v>0</v>
      </c>
      <c r="I53" s="22">
        <v>0</v>
      </c>
      <c r="J53" s="22">
        <v>0</v>
      </c>
      <c r="K53" s="22">
        <v>0</v>
      </c>
      <c r="L53" s="22">
        <v>0</v>
      </c>
      <c r="M53" s="22">
        <v>0</v>
      </c>
      <c r="N53" s="22">
        <v>0</v>
      </c>
      <c r="O53" s="22">
        <v>0</v>
      </c>
      <c r="P53" s="22">
        <v>0</v>
      </c>
      <c r="Q53" s="22">
        <v>0</v>
      </c>
      <c r="R53" s="22">
        <v>0</v>
      </c>
      <c r="S53" s="22">
        <v>0</v>
      </c>
      <c r="T53" s="22">
        <v>0</v>
      </c>
      <c r="U53" s="22">
        <v>0</v>
      </c>
      <c r="V53" s="22">
        <v>0</v>
      </c>
      <c r="W53" s="22">
        <v>0</v>
      </c>
      <c r="X53" s="22">
        <v>0</v>
      </c>
      <c r="Y53" s="22">
        <v>0</v>
      </c>
      <c r="Z53" s="22">
        <v>0</v>
      </c>
      <c r="AA53" s="22">
        <v>0</v>
      </c>
      <c r="AB53" s="22">
        <v>0</v>
      </c>
      <c r="AC53" s="22">
        <v>1</v>
      </c>
      <c r="AD53" s="22">
        <v>0</v>
      </c>
      <c r="AE53" s="22">
        <v>0</v>
      </c>
      <c r="AF53" s="22">
        <v>0</v>
      </c>
      <c r="AG53" s="22">
        <v>0</v>
      </c>
      <c r="AH53" s="22">
        <v>0</v>
      </c>
      <c r="AI53" s="22">
        <v>0</v>
      </c>
      <c r="AJ53" s="22">
        <v>0</v>
      </c>
      <c r="AK53" s="22">
        <v>0</v>
      </c>
      <c r="AL53" s="22">
        <v>0</v>
      </c>
      <c r="AM53" s="22">
        <v>0</v>
      </c>
      <c r="AN53" s="22">
        <v>0</v>
      </c>
      <c r="AO53" s="22">
        <v>0</v>
      </c>
      <c r="AP53" s="22">
        <v>0</v>
      </c>
      <c r="AQ53" s="22">
        <v>0</v>
      </c>
      <c r="AR53" s="22">
        <v>0</v>
      </c>
      <c r="AS53" s="22">
        <v>0</v>
      </c>
      <c r="AT53" s="22">
        <v>0</v>
      </c>
      <c r="AU53" s="22">
        <v>0</v>
      </c>
      <c r="AV53" s="22">
        <v>0</v>
      </c>
      <c r="AW53" s="22">
        <v>0</v>
      </c>
      <c r="AX53" s="22">
        <v>0</v>
      </c>
      <c r="AY53" s="68"/>
    </row>
    <row r="54" spans="1:51">
      <c r="A54" s="23" t="s">
        <v>257</v>
      </c>
      <c r="B54" s="19" t="s">
        <v>258</v>
      </c>
      <c r="C54" s="19" t="s">
        <v>259</v>
      </c>
      <c r="D54" s="20">
        <f t="shared" si="0"/>
        <v>6</v>
      </c>
      <c r="E54" s="21">
        <v>1</v>
      </c>
      <c r="F54" s="21">
        <v>0</v>
      </c>
      <c r="G54" s="21">
        <v>0</v>
      </c>
      <c r="H54" s="21">
        <v>0</v>
      </c>
      <c r="I54" s="21">
        <v>0</v>
      </c>
      <c r="J54" s="21">
        <v>0</v>
      </c>
      <c r="K54" s="21">
        <v>0</v>
      </c>
      <c r="L54" s="21">
        <v>0</v>
      </c>
      <c r="M54" s="21">
        <v>0</v>
      </c>
      <c r="N54" s="21">
        <v>0</v>
      </c>
      <c r="O54" s="21">
        <v>0</v>
      </c>
      <c r="P54" s="21">
        <v>0</v>
      </c>
      <c r="Q54" s="21">
        <v>0</v>
      </c>
      <c r="R54" s="21">
        <v>1</v>
      </c>
      <c r="S54" s="21">
        <v>0</v>
      </c>
      <c r="T54" s="21">
        <v>0</v>
      </c>
      <c r="U54" s="21">
        <v>0</v>
      </c>
      <c r="V54" s="21">
        <v>0</v>
      </c>
      <c r="W54" s="21">
        <v>0</v>
      </c>
      <c r="X54" s="21">
        <v>0</v>
      </c>
      <c r="Y54" s="21">
        <v>1</v>
      </c>
      <c r="Z54" s="21">
        <v>0</v>
      </c>
      <c r="AA54" s="21">
        <v>0</v>
      </c>
      <c r="AB54" s="21">
        <v>0</v>
      </c>
      <c r="AC54" s="21">
        <v>2</v>
      </c>
      <c r="AD54" s="21">
        <v>0</v>
      </c>
      <c r="AE54" s="21">
        <v>0</v>
      </c>
      <c r="AF54" s="21">
        <v>0</v>
      </c>
      <c r="AG54" s="21">
        <v>0</v>
      </c>
      <c r="AH54" s="21">
        <v>0</v>
      </c>
      <c r="AI54" s="21">
        <v>0</v>
      </c>
      <c r="AJ54" s="21">
        <v>0</v>
      </c>
      <c r="AK54" s="21">
        <v>0</v>
      </c>
      <c r="AL54" s="21">
        <v>0</v>
      </c>
      <c r="AM54" s="21">
        <v>0</v>
      </c>
      <c r="AN54" s="21">
        <v>1</v>
      </c>
      <c r="AO54" s="21">
        <v>0</v>
      </c>
      <c r="AP54" s="21">
        <v>0</v>
      </c>
      <c r="AQ54" s="21">
        <v>0</v>
      </c>
      <c r="AR54" s="21">
        <v>0</v>
      </c>
      <c r="AS54" s="21">
        <v>0</v>
      </c>
      <c r="AT54" s="21">
        <v>0</v>
      </c>
      <c r="AU54" s="21">
        <v>0</v>
      </c>
      <c r="AV54" s="21">
        <v>0</v>
      </c>
      <c r="AW54" s="21">
        <v>0</v>
      </c>
      <c r="AX54" s="21">
        <v>0</v>
      </c>
      <c r="AY54" s="67"/>
    </row>
    <row r="55" spans="1:51">
      <c r="A55" s="23" t="s">
        <v>257</v>
      </c>
      <c r="B55" s="19" t="s">
        <v>260</v>
      </c>
      <c r="C55" s="19" t="s">
        <v>259</v>
      </c>
      <c r="D55" s="20">
        <f t="shared" si="0"/>
        <v>0</v>
      </c>
      <c r="E55" s="22">
        <v>0</v>
      </c>
      <c r="F55" s="22">
        <v>0</v>
      </c>
      <c r="G55" s="22">
        <v>0</v>
      </c>
      <c r="H55" s="22">
        <v>0</v>
      </c>
      <c r="I55" s="22">
        <v>0</v>
      </c>
      <c r="J55" s="22">
        <v>0</v>
      </c>
      <c r="K55" s="22">
        <v>0</v>
      </c>
      <c r="L55" s="22">
        <v>0</v>
      </c>
      <c r="M55" s="22">
        <v>0</v>
      </c>
      <c r="N55" s="22">
        <v>0</v>
      </c>
      <c r="O55" s="22">
        <v>0</v>
      </c>
      <c r="P55" s="22">
        <v>0</v>
      </c>
      <c r="Q55" s="22">
        <v>0</v>
      </c>
      <c r="R55" s="22">
        <v>0</v>
      </c>
      <c r="S55" s="22">
        <v>0</v>
      </c>
      <c r="T55" s="22">
        <v>0</v>
      </c>
      <c r="U55" s="22">
        <v>0</v>
      </c>
      <c r="V55" s="22">
        <v>0</v>
      </c>
      <c r="W55" s="22">
        <v>0</v>
      </c>
      <c r="X55" s="22">
        <v>0</v>
      </c>
      <c r="Y55" s="22">
        <v>0</v>
      </c>
      <c r="Z55" s="22">
        <v>0</v>
      </c>
      <c r="AA55" s="22">
        <v>0</v>
      </c>
      <c r="AB55" s="22">
        <v>0</v>
      </c>
      <c r="AC55" s="22">
        <v>0</v>
      </c>
      <c r="AD55" s="22">
        <v>0</v>
      </c>
      <c r="AE55" s="22">
        <v>0</v>
      </c>
      <c r="AF55" s="22">
        <v>0</v>
      </c>
      <c r="AG55" s="22">
        <v>0</v>
      </c>
      <c r="AH55" s="22">
        <v>0</v>
      </c>
      <c r="AI55" s="22">
        <v>0</v>
      </c>
      <c r="AJ55" s="22">
        <v>0</v>
      </c>
      <c r="AK55" s="22">
        <v>0</v>
      </c>
      <c r="AL55" s="22">
        <v>0</v>
      </c>
      <c r="AM55" s="22">
        <v>0</v>
      </c>
      <c r="AN55" s="22">
        <v>0</v>
      </c>
      <c r="AO55" s="22">
        <v>0</v>
      </c>
      <c r="AP55" s="22">
        <v>0</v>
      </c>
      <c r="AQ55" s="22">
        <v>0</v>
      </c>
      <c r="AR55" s="22">
        <v>0</v>
      </c>
      <c r="AS55" s="22">
        <v>0</v>
      </c>
      <c r="AT55" s="22">
        <v>0</v>
      </c>
      <c r="AU55" s="22">
        <v>0</v>
      </c>
      <c r="AV55" s="22">
        <v>0</v>
      </c>
      <c r="AW55" s="22">
        <v>0</v>
      </c>
      <c r="AX55" s="22">
        <v>0</v>
      </c>
      <c r="AY55" s="67"/>
    </row>
    <row r="56" spans="1:51">
      <c r="A56" s="23" t="s">
        <v>257</v>
      </c>
      <c r="B56" s="19" t="s">
        <v>261</v>
      </c>
      <c r="C56" s="19" t="s">
        <v>259</v>
      </c>
      <c r="D56" s="20">
        <f t="shared" si="0"/>
        <v>0</v>
      </c>
      <c r="E56" s="22">
        <v>0</v>
      </c>
      <c r="F56" s="22">
        <v>0</v>
      </c>
      <c r="G56" s="22">
        <v>0</v>
      </c>
      <c r="H56" s="22">
        <v>0</v>
      </c>
      <c r="I56" s="22">
        <v>0</v>
      </c>
      <c r="J56" s="22">
        <v>0</v>
      </c>
      <c r="K56" s="22">
        <v>0</v>
      </c>
      <c r="L56" s="22">
        <v>0</v>
      </c>
      <c r="M56" s="22">
        <v>0</v>
      </c>
      <c r="N56" s="22">
        <v>0</v>
      </c>
      <c r="O56" s="22">
        <v>0</v>
      </c>
      <c r="P56" s="22">
        <v>0</v>
      </c>
      <c r="Q56" s="22">
        <v>0</v>
      </c>
      <c r="R56" s="22">
        <v>0</v>
      </c>
      <c r="S56" s="22">
        <v>0</v>
      </c>
      <c r="T56" s="22">
        <v>0</v>
      </c>
      <c r="U56" s="22">
        <v>0</v>
      </c>
      <c r="V56" s="22">
        <v>0</v>
      </c>
      <c r="W56" s="22">
        <v>0</v>
      </c>
      <c r="X56" s="22">
        <v>0</v>
      </c>
      <c r="Y56" s="22">
        <v>0</v>
      </c>
      <c r="Z56" s="22">
        <v>0</v>
      </c>
      <c r="AA56" s="22">
        <v>0</v>
      </c>
      <c r="AB56" s="22">
        <v>0</v>
      </c>
      <c r="AC56" s="22">
        <v>0</v>
      </c>
      <c r="AD56" s="22">
        <v>0</v>
      </c>
      <c r="AE56" s="22">
        <v>0</v>
      </c>
      <c r="AF56" s="22">
        <v>0</v>
      </c>
      <c r="AG56" s="22">
        <v>0</v>
      </c>
      <c r="AH56" s="22">
        <v>0</v>
      </c>
      <c r="AI56" s="22">
        <v>0</v>
      </c>
      <c r="AJ56" s="22">
        <v>0</v>
      </c>
      <c r="AK56" s="22">
        <v>0</v>
      </c>
      <c r="AL56" s="22">
        <v>0</v>
      </c>
      <c r="AM56" s="22">
        <v>0</v>
      </c>
      <c r="AN56" s="22">
        <v>0</v>
      </c>
      <c r="AO56" s="22">
        <v>0</v>
      </c>
      <c r="AP56" s="22">
        <v>0</v>
      </c>
      <c r="AQ56" s="22">
        <v>0</v>
      </c>
      <c r="AR56" s="22">
        <v>0</v>
      </c>
      <c r="AS56" s="22">
        <v>0</v>
      </c>
      <c r="AT56" s="22">
        <v>0</v>
      </c>
      <c r="AU56" s="22">
        <v>0</v>
      </c>
      <c r="AV56" s="22">
        <v>0</v>
      </c>
      <c r="AW56" s="22">
        <v>0</v>
      </c>
      <c r="AX56" s="22">
        <v>0</v>
      </c>
      <c r="AY56" s="67"/>
    </row>
    <row r="57" spans="1:51">
      <c r="A57" s="23" t="s">
        <v>262</v>
      </c>
      <c r="B57" s="19" t="s">
        <v>263</v>
      </c>
      <c r="C57" s="19" t="s">
        <v>259</v>
      </c>
      <c r="D57" s="20">
        <f t="shared" si="0"/>
        <v>1</v>
      </c>
      <c r="E57" s="22">
        <v>1</v>
      </c>
      <c r="F57" s="22">
        <v>0</v>
      </c>
      <c r="G57" s="22">
        <v>0</v>
      </c>
      <c r="H57" s="22">
        <v>0</v>
      </c>
      <c r="I57" s="22">
        <v>0</v>
      </c>
      <c r="J57" s="22">
        <v>0</v>
      </c>
      <c r="K57" s="22">
        <v>0</v>
      </c>
      <c r="L57" s="22">
        <v>0</v>
      </c>
      <c r="M57" s="22">
        <v>0</v>
      </c>
      <c r="N57" s="22">
        <v>0</v>
      </c>
      <c r="O57" s="22">
        <v>0</v>
      </c>
      <c r="P57" s="22">
        <v>0</v>
      </c>
      <c r="Q57" s="22">
        <v>0</v>
      </c>
      <c r="R57" s="22">
        <v>0</v>
      </c>
      <c r="S57" s="22">
        <v>0</v>
      </c>
      <c r="T57" s="22">
        <v>0</v>
      </c>
      <c r="U57" s="22">
        <v>0</v>
      </c>
      <c r="V57" s="22">
        <v>0</v>
      </c>
      <c r="W57" s="22">
        <v>0</v>
      </c>
      <c r="X57" s="22">
        <v>0</v>
      </c>
      <c r="Y57" s="22">
        <v>0</v>
      </c>
      <c r="Z57" s="22">
        <v>0</v>
      </c>
      <c r="AA57" s="22">
        <v>0</v>
      </c>
      <c r="AB57" s="22">
        <v>0</v>
      </c>
      <c r="AC57" s="22">
        <v>0</v>
      </c>
      <c r="AD57" s="22">
        <v>0</v>
      </c>
      <c r="AE57" s="22">
        <v>0</v>
      </c>
      <c r="AF57" s="22">
        <v>0</v>
      </c>
      <c r="AG57" s="22">
        <v>0</v>
      </c>
      <c r="AH57" s="22">
        <v>0</v>
      </c>
      <c r="AI57" s="22">
        <v>0</v>
      </c>
      <c r="AJ57" s="22">
        <v>0</v>
      </c>
      <c r="AK57" s="22">
        <v>0</v>
      </c>
      <c r="AL57" s="22">
        <v>0</v>
      </c>
      <c r="AM57" s="22">
        <v>0</v>
      </c>
      <c r="AN57" s="22">
        <v>0</v>
      </c>
      <c r="AO57" s="22">
        <v>0</v>
      </c>
      <c r="AP57" s="22">
        <v>0</v>
      </c>
      <c r="AQ57" s="22">
        <v>0</v>
      </c>
      <c r="AR57" s="22">
        <v>0</v>
      </c>
      <c r="AS57" s="22">
        <v>0</v>
      </c>
      <c r="AT57" s="22">
        <v>0</v>
      </c>
      <c r="AU57" s="22">
        <v>0</v>
      </c>
      <c r="AV57" s="22">
        <v>0</v>
      </c>
      <c r="AW57" s="22">
        <v>0</v>
      </c>
      <c r="AX57" s="22">
        <v>0</v>
      </c>
      <c r="AY57" s="67"/>
    </row>
    <row r="58" spans="1:51">
      <c r="A58" s="23"/>
      <c r="B58" s="19" t="s">
        <v>264</v>
      </c>
      <c r="C58" s="19" t="s">
        <v>265</v>
      </c>
      <c r="D58" s="20">
        <f t="shared" si="0"/>
        <v>0</v>
      </c>
      <c r="E58" s="21">
        <v>0</v>
      </c>
      <c r="F58" s="21">
        <v>0</v>
      </c>
      <c r="G58" s="21">
        <v>0</v>
      </c>
      <c r="H58" s="21">
        <v>0</v>
      </c>
      <c r="I58" s="21">
        <v>0</v>
      </c>
      <c r="J58" s="21">
        <v>0</v>
      </c>
      <c r="K58" s="21">
        <v>0</v>
      </c>
      <c r="L58" s="21">
        <v>0</v>
      </c>
      <c r="M58" s="21">
        <v>0</v>
      </c>
      <c r="N58" s="21">
        <v>0</v>
      </c>
      <c r="O58" s="21">
        <v>0</v>
      </c>
      <c r="P58" s="21">
        <v>0</v>
      </c>
      <c r="Q58" s="21">
        <v>0</v>
      </c>
      <c r="R58" s="21">
        <v>0</v>
      </c>
      <c r="S58" s="21">
        <v>0</v>
      </c>
      <c r="T58" s="21">
        <v>0</v>
      </c>
      <c r="U58" s="21">
        <v>0</v>
      </c>
      <c r="V58" s="21">
        <v>0</v>
      </c>
      <c r="W58" s="21">
        <v>0</v>
      </c>
      <c r="X58" s="21">
        <v>0</v>
      </c>
      <c r="Y58" s="21">
        <v>0</v>
      </c>
      <c r="Z58" s="21">
        <v>0</v>
      </c>
      <c r="AA58" s="21">
        <v>0</v>
      </c>
      <c r="AB58" s="21">
        <v>0</v>
      </c>
      <c r="AC58" s="21">
        <v>0</v>
      </c>
      <c r="AD58" s="21">
        <v>0</v>
      </c>
      <c r="AE58" s="21">
        <v>0</v>
      </c>
      <c r="AF58" s="21">
        <v>0</v>
      </c>
      <c r="AG58" s="21">
        <v>0</v>
      </c>
      <c r="AH58" s="21">
        <v>0</v>
      </c>
      <c r="AI58" s="21">
        <v>0</v>
      </c>
      <c r="AJ58" s="21">
        <v>0</v>
      </c>
      <c r="AK58" s="21">
        <v>0</v>
      </c>
      <c r="AL58" s="21">
        <v>0</v>
      </c>
      <c r="AM58" s="21">
        <v>0</v>
      </c>
      <c r="AN58" s="21">
        <v>0</v>
      </c>
      <c r="AO58" s="21">
        <v>0</v>
      </c>
      <c r="AP58" s="21">
        <v>0</v>
      </c>
      <c r="AQ58" s="21">
        <v>0</v>
      </c>
      <c r="AR58" s="21">
        <v>0</v>
      </c>
      <c r="AS58" s="21">
        <v>0</v>
      </c>
      <c r="AT58" s="21">
        <v>0</v>
      </c>
      <c r="AU58" s="21">
        <v>0</v>
      </c>
      <c r="AV58" s="21">
        <v>0</v>
      </c>
      <c r="AW58" s="21">
        <v>0</v>
      </c>
      <c r="AX58" s="21">
        <v>0</v>
      </c>
      <c r="AY58" s="67"/>
    </row>
    <row r="59" spans="1:51">
      <c r="A59" s="23" t="s">
        <v>262</v>
      </c>
      <c r="B59" s="19" t="s">
        <v>266</v>
      </c>
      <c r="C59" s="19" t="s">
        <v>265</v>
      </c>
      <c r="D59" s="20">
        <f t="shared" si="0"/>
        <v>13</v>
      </c>
      <c r="E59" s="21">
        <v>1</v>
      </c>
      <c r="F59" s="21">
        <v>0</v>
      </c>
      <c r="G59" s="21">
        <v>0</v>
      </c>
      <c r="H59" s="21">
        <v>0</v>
      </c>
      <c r="I59" s="21">
        <v>0</v>
      </c>
      <c r="J59" s="21">
        <v>0</v>
      </c>
      <c r="K59" s="21">
        <v>0</v>
      </c>
      <c r="L59" s="21">
        <v>0</v>
      </c>
      <c r="M59" s="21">
        <v>0</v>
      </c>
      <c r="N59" s="21">
        <v>0</v>
      </c>
      <c r="O59" s="21">
        <v>0</v>
      </c>
      <c r="P59" s="21">
        <v>0</v>
      </c>
      <c r="Q59" s="21">
        <v>0</v>
      </c>
      <c r="R59" s="21">
        <v>1</v>
      </c>
      <c r="S59" s="21">
        <v>1</v>
      </c>
      <c r="T59" s="21">
        <v>0</v>
      </c>
      <c r="U59" s="21">
        <v>0</v>
      </c>
      <c r="V59" s="21">
        <v>0</v>
      </c>
      <c r="W59" s="21">
        <v>0</v>
      </c>
      <c r="X59" s="21">
        <v>0</v>
      </c>
      <c r="Y59" s="21">
        <v>2</v>
      </c>
      <c r="Z59" s="21">
        <v>0</v>
      </c>
      <c r="AA59" s="21">
        <v>0</v>
      </c>
      <c r="AB59" s="21">
        <v>0</v>
      </c>
      <c r="AC59" s="21">
        <v>6</v>
      </c>
      <c r="AD59" s="21">
        <v>0</v>
      </c>
      <c r="AE59" s="21">
        <v>0</v>
      </c>
      <c r="AF59" s="21">
        <v>0</v>
      </c>
      <c r="AG59" s="21">
        <v>0</v>
      </c>
      <c r="AH59" s="21">
        <v>0</v>
      </c>
      <c r="AI59" s="21">
        <v>0</v>
      </c>
      <c r="AJ59" s="21">
        <v>0</v>
      </c>
      <c r="AK59" s="21">
        <v>0</v>
      </c>
      <c r="AL59" s="21">
        <v>0</v>
      </c>
      <c r="AM59" s="21">
        <v>0</v>
      </c>
      <c r="AN59" s="21">
        <v>2</v>
      </c>
      <c r="AO59" s="21">
        <v>0</v>
      </c>
      <c r="AP59" s="21">
        <v>0</v>
      </c>
      <c r="AQ59" s="21">
        <v>0</v>
      </c>
      <c r="AR59" s="21">
        <v>0</v>
      </c>
      <c r="AS59" s="21">
        <v>0</v>
      </c>
      <c r="AT59" s="21">
        <v>0</v>
      </c>
      <c r="AU59" s="21">
        <v>0</v>
      </c>
      <c r="AV59" s="21">
        <v>0</v>
      </c>
      <c r="AW59" s="21">
        <v>0</v>
      </c>
      <c r="AX59" s="21">
        <v>0</v>
      </c>
      <c r="AY59" s="67"/>
    </row>
    <row r="60" spans="1:51">
      <c r="A60" s="23" t="s">
        <v>262</v>
      </c>
      <c r="B60" s="19" t="s">
        <v>267</v>
      </c>
      <c r="C60" s="19" t="s">
        <v>265</v>
      </c>
      <c r="D60" s="20">
        <f t="shared" si="0"/>
        <v>3</v>
      </c>
      <c r="E60" s="22">
        <v>3</v>
      </c>
      <c r="F60" s="22">
        <v>0</v>
      </c>
      <c r="G60" s="22">
        <v>0</v>
      </c>
      <c r="H60" s="22">
        <v>0</v>
      </c>
      <c r="I60" s="22">
        <v>0</v>
      </c>
      <c r="J60" s="22">
        <v>0</v>
      </c>
      <c r="K60" s="22">
        <v>0</v>
      </c>
      <c r="L60" s="22">
        <v>0</v>
      </c>
      <c r="M60" s="22">
        <v>0</v>
      </c>
      <c r="N60" s="22">
        <v>0</v>
      </c>
      <c r="O60" s="22">
        <v>0</v>
      </c>
      <c r="P60" s="22">
        <v>0</v>
      </c>
      <c r="Q60" s="22">
        <v>0</v>
      </c>
      <c r="R60" s="22">
        <v>0</v>
      </c>
      <c r="S60" s="22">
        <v>0</v>
      </c>
      <c r="T60" s="22">
        <v>0</v>
      </c>
      <c r="U60" s="22">
        <v>0</v>
      </c>
      <c r="V60" s="22">
        <v>0</v>
      </c>
      <c r="W60" s="22">
        <v>0</v>
      </c>
      <c r="X60" s="22">
        <v>0</v>
      </c>
      <c r="Y60" s="22">
        <v>0</v>
      </c>
      <c r="Z60" s="22">
        <v>0</v>
      </c>
      <c r="AA60" s="22">
        <v>0</v>
      </c>
      <c r="AB60" s="22">
        <v>0</v>
      </c>
      <c r="AC60" s="22">
        <v>0</v>
      </c>
      <c r="AD60" s="22">
        <v>0</v>
      </c>
      <c r="AE60" s="22">
        <v>0</v>
      </c>
      <c r="AF60" s="22">
        <v>0</v>
      </c>
      <c r="AG60" s="22">
        <v>0</v>
      </c>
      <c r="AH60" s="22">
        <v>0</v>
      </c>
      <c r="AI60" s="22">
        <v>0</v>
      </c>
      <c r="AJ60" s="22">
        <v>0</v>
      </c>
      <c r="AK60" s="22">
        <v>0</v>
      </c>
      <c r="AL60" s="22">
        <v>0</v>
      </c>
      <c r="AM60" s="22">
        <v>0</v>
      </c>
      <c r="AN60" s="22">
        <v>0</v>
      </c>
      <c r="AO60" s="22">
        <v>0</v>
      </c>
      <c r="AP60" s="22">
        <v>0</v>
      </c>
      <c r="AQ60" s="22">
        <v>0</v>
      </c>
      <c r="AR60" s="22">
        <v>0</v>
      </c>
      <c r="AS60" s="22">
        <v>0</v>
      </c>
      <c r="AT60" s="22">
        <v>0</v>
      </c>
      <c r="AU60" s="22">
        <v>0</v>
      </c>
      <c r="AV60" s="22">
        <v>0</v>
      </c>
      <c r="AW60" s="22">
        <v>0</v>
      </c>
      <c r="AX60" s="22">
        <v>0</v>
      </c>
      <c r="AY60" s="67"/>
    </row>
    <row r="61" spans="1:51">
      <c r="A61" s="23" t="s">
        <v>262</v>
      </c>
      <c r="B61" s="19" t="s">
        <v>268</v>
      </c>
      <c r="C61" s="19" t="s">
        <v>265</v>
      </c>
      <c r="D61" s="20">
        <f t="shared" si="0"/>
        <v>0</v>
      </c>
      <c r="E61" s="21">
        <v>0</v>
      </c>
      <c r="F61" s="22">
        <v>0</v>
      </c>
      <c r="G61" s="22">
        <v>0</v>
      </c>
      <c r="H61" s="22">
        <v>0</v>
      </c>
      <c r="I61" s="22">
        <v>0</v>
      </c>
      <c r="J61" s="22">
        <v>0</v>
      </c>
      <c r="K61" s="22">
        <v>0</v>
      </c>
      <c r="L61" s="22">
        <v>0</v>
      </c>
      <c r="M61" s="22">
        <v>0</v>
      </c>
      <c r="N61" s="22">
        <v>0</v>
      </c>
      <c r="O61" s="22">
        <v>0</v>
      </c>
      <c r="P61" s="22">
        <v>0</v>
      </c>
      <c r="Q61" s="22">
        <v>0</v>
      </c>
      <c r="R61" s="22">
        <v>0</v>
      </c>
      <c r="S61" s="22">
        <v>0</v>
      </c>
      <c r="T61" s="22">
        <v>0</v>
      </c>
      <c r="U61" s="22">
        <v>0</v>
      </c>
      <c r="V61" s="22">
        <v>0</v>
      </c>
      <c r="W61" s="22">
        <v>0</v>
      </c>
      <c r="X61" s="22">
        <v>0</v>
      </c>
      <c r="Y61" s="22">
        <v>0</v>
      </c>
      <c r="Z61" s="22">
        <v>0</v>
      </c>
      <c r="AA61" s="22">
        <v>0</v>
      </c>
      <c r="AB61" s="22">
        <v>0</v>
      </c>
      <c r="AC61" s="22">
        <v>0</v>
      </c>
      <c r="AD61" s="22">
        <v>0</v>
      </c>
      <c r="AE61" s="22">
        <v>0</v>
      </c>
      <c r="AF61" s="22">
        <v>0</v>
      </c>
      <c r="AG61" s="22">
        <v>0</v>
      </c>
      <c r="AH61" s="22">
        <v>0</v>
      </c>
      <c r="AI61" s="22">
        <v>0</v>
      </c>
      <c r="AJ61" s="22">
        <v>0</v>
      </c>
      <c r="AK61" s="22">
        <v>0</v>
      </c>
      <c r="AL61" s="22">
        <v>0</v>
      </c>
      <c r="AM61" s="22">
        <v>0</v>
      </c>
      <c r="AN61" s="22">
        <v>0</v>
      </c>
      <c r="AO61" s="22">
        <v>0</v>
      </c>
      <c r="AP61" s="22">
        <v>0</v>
      </c>
      <c r="AQ61" s="22">
        <v>0</v>
      </c>
      <c r="AR61" s="22">
        <v>0</v>
      </c>
      <c r="AS61" s="22">
        <v>0</v>
      </c>
      <c r="AT61" s="22">
        <v>0</v>
      </c>
      <c r="AU61" s="22">
        <v>0</v>
      </c>
      <c r="AV61" s="22">
        <v>0</v>
      </c>
      <c r="AW61" s="22">
        <v>0</v>
      </c>
      <c r="AX61" s="22">
        <v>0</v>
      </c>
      <c r="AY61" s="67"/>
    </row>
    <row r="62" spans="1:51">
      <c r="A62" s="23" t="s">
        <v>262</v>
      </c>
      <c r="B62" s="19" t="s">
        <v>269</v>
      </c>
      <c r="C62" s="19" t="s">
        <v>265</v>
      </c>
      <c r="D62" s="20">
        <f t="shared" si="0"/>
        <v>2</v>
      </c>
      <c r="E62" s="22">
        <v>2</v>
      </c>
      <c r="F62" s="22">
        <v>0</v>
      </c>
      <c r="G62" s="22">
        <v>0</v>
      </c>
      <c r="H62" s="22">
        <v>0</v>
      </c>
      <c r="I62" s="22">
        <v>0</v>
      </c>
      <c r="J62" s="22">
        <v>0</v>
      </c>
      <c r="K62" s="22">
        <v>0</v>
      </c>
      <c r="L62" s="22">
        <v>0</v>
      </c>
      <c r="M62" s="22">
        <v>0</v>
      </c>
      <c r="N62" s="22">
        <v>0</v>
      </c>
      <c r="O62" s="22">
        <v>0</v>
      </c>
      <c r="P62" s="22">
        <v>0</v>
      </c>
      <c r="Q62" s="22">
        <v>0</v>
      </c>
      <c r="R62" s="22">
        <v>0</v>
      </c>
      <c r="S62" s="22">
        <v>0</v>
      </c>
      <c r="T62" s="22">
        <v>0</v>
      </c>
      <c r="U62" s="22">
        <v>0</v>
      </c>
      <c r="V62" s="22">
        <v>0</v>
      </c>
      <c r="W62" s="22">
        <v>0</v>
      </c>
      <c r="X62" s="22">
        <v>0</v>
      </c>
      <c r="Y62" s="22">
        <v>0</v>
      </c>
      <c r="Z62" s="22">
        <v>0</v>
      </c>
      <c r="AA62" s="22">
        <v>0</v>
      </c>
      <c r="AB62" s="22">
        <v>0</v>
      </c>
      <c r="AC62" s="22">
        <v>0</v>
      </c>
      <c r="AD62" s="22">
        <v>0</v>
      </c>
      <c r="AE62" s="22">
        <v>0</v>
      </c>
      <c r="AF62" s="22">
        <v>0</v>
      </c>
      <c r="AG62" s="22">
        <v>0</v>
      </c>
      <c r="AH62" s="22">
        <v>0</v>
      </c>
      <c r="AI62" s="22">
        <v>0</v>
      </c>
      <c r="AJ62" s="22">
        <v>0</v>
      </c>
      <c r="AK62" s="22">
        <v>0</v>
      </c>
      <c r="AL62" s="22">
        <v>0</v>
      </c>
      <c r="AM62" s="22">
        <v>0</v>
      </c>
      <c r="AN62" s="22">
        <v>0</v>
      </c>
      <c r="AO62" s="22">
        <v>0</v>
      </c>
      <c r="AP62" s="22">
        <v>0</v>
      </c>
      <c r="AQ62" s="22">
        <v>0</v>
      </c>
      <c r="AR62" s="22">
        <v>0</v>
      </c>
      <c r="AS62" s="22">
        <v>0</v>
      </c>
      <c r="AT62" s="22">
        <v>0</v>
      </c>
      <c r="AU62" s="22">
        <v>0</v>
      </c>
      <c r="AV62" s="22">
        <v>0</v>
      </c>
      <c r="AW62" s="22">
        <v>0</v>
      </c>
      <c r="AX62" s="22">
        <v>0</v>
      </c>
      <c r="AY62" s="67"/>
    </row>
    <row r="63" spans="1:51">
      <c r="A63" s="23" t="s">
        <v>270</v>
      </c>
      <c r="B63" s="19" t="s">
        <v>271</v>
      </c>
      <c r="C63" s="19" t="s">
        <v>272</v>
      </c>
      <c r="D63" s="20">
        <f t="shared" si="0"/>
        <v>0</v>
      </c>
      <c r="E63" s="21">
        <v>0</v>
      </c>
      <c r="F63" s="21">
        <v>0</v>
      </c>
      <c r="G63" s="21">
        <v>0</v>
      </c>
      <c r="H63" s="21">
        <v>0</v>
      </c>
      <c r="I63" s="21">
        <v>0</v>
      </c>
      <c r="J63" s="21">
        <v>0</v>
      </c>
      <c r="K63" s="21">
        <v>0</v>
      </c>
      <c r="L63" s="21">
        <v>0</v>
      </c>
      <c r="M63" s="21">
        <v>0</v>
      </c>
      <c r="N63" s="21">
        <v>0</v>
      </c>
      <c r="O63" s="21">
        <v>0</v>
      </c>
      <c r="P63" s="21">
        <v>0</v>
      </c>
      <c r="Q63" s="21">
        <v>0</v>
      </c>
      <c r="R63" s="21">
        <v>0</v>
      </c>
      <c r="S63" s="21">
        <v>0</v>
      </c>
      <c r="T63" s="21">
        <v>0</v>
      </c>
      <c r="U63" s="21">
        <v>0</v>
      </c>
      <c r="V63" s="21">
        <v>0</v>
      </c>
      <c r="W63" s="21">
        <v>0</v>
      </c>
      <c r="X63" s="21">
        <v>0</v>
      </c>
      <c r="Y63" s="21">
        <v>0</v>
      </c>
      <c r="Z63" s="21">
        <v>0</v>
      </c>
      <c r="AA63" s="21">
        <v>0</v>
      </c>
      <c r="AB63" s="21">
        <v>0</v>
      </c>
      <c r="AC63" s="21">
        <v>0</v>
      </c>
      <c r="AD63" s="21">
        <v>0</v>
      </c>
      <c r="AE63" s="21">
        <v>0</v>
      </c>
      <c r="AF63" s="21">
        <v>0</v>
      </c>
      <c r="AG63" s="21">
        <v>0</v>
      </c>
      <c r="AH63" s="21">
        <v>0</v>
      </c>
      <c r="AI63" s="21">
        <v>0</v>
      </c>
      <c r="AJ63" s="21">
        <v>0</v>
      </c>
      <c r="AK63" s="21">
        <v>0</v>
      </c>
      <c r="AL63" s="21">
        <v>0</v>
      </c>
      <c r="AM63" s="21">
        <v>0</v>
      </c>
      <c r="AN63" s="21">
        <v>0</v>
      </c>
      <c r="AO63" s="21">
        <v>0</v>
      </c>
      <c r="AP63" s="21">
        <v>0</v>
      </c>
      <c r="AQ63" s="21">
        <v>0</v>
      </c>
      <c r="AR63" s="21">
        <v>0</v>
      </c>
      <c r="AS63" s="21">
        <v>0</v>
      </c>
      <c r="AT63" s="21">
        <v>0</v>
      </c>
      <c r="AU63" s="21">
        <v>0</v>
      </c>
      <c r="AV63" s="21">
        <v>0</v>
      </c>
      <c r="AW63" s="21">
        <v>0</v>
      </c>
      <c r="AX63" s="21">
        <v>0</v>
      </c>
      <c r="AY63" s="67"/>
    </row>
    <row r="64" spans="1:51">
      <c r="A64" s="23" t="s">
        <v>273</v>
      </c>
      <c r="B64" s="19" t="s">
        <v>274</v>
      </c>
      <c r="C64" s="19" t="s">
        <v>275</v>
      </c>
      <c r="D64" s="20">
        <f t="shared" si="0"/>
        <v>392</v>
      </c>
      <c r="E64" s="21">
        <v>165</v>
      </c>
      <c r="F64" s="21">
        <v>0</v>
      </c>
      <c r="G64" s="21">
        <v>0</v>
      </c>
      <c r="H64" s="21">
        <v>12</v>
      </c>
      <c r="I64" s="21">
        <v>0</v>
      </c>
      <c r="J64" s="21">
        <v>2</v>
      </c>
      <c r="K64" s="21">
        <v>0</v>
      </c>
      <c r="L64" s="21">
        <v>0</v>
      </c>
      <c r="M64" s="21">
        <v>2</v>
      </c>
      <c r="N64" s="21">
        <v>12</v>
      </c>
      <c r="O64" s="21">
        <v>3</v>
      </c>
      <c r="P64" s="21">
        <v>11</v>
      </c>
      <c r="Q64" s="21">
        <v>0</v>
      </c>
      <c r="R64" s="21">
        <v>13</v>
      </c>
      <c r="S64" s="21">
        <v>4</v>
      </c>
      <c r="T64" s="21">
        <v>4</v>
      </c>
      <c r="U64" s="21">
        <v>3</v>
      </c>
      <c r="V64" s="21">
        <v>0</v>
      </c>
      <c r="W64" s="21">
        <v>0</v>
      </c>
      <c r="X64" s="21">
        <v>0</v>
      </c>
      <c r="Y64" s="21">
        <v>20</v>
      </c>
      <c r="Z64" s="21">
        <v>0</v>
      </c>
      <c r="AA64" s="21">
        <v>0</v>
      </c>
      <c r="AB64" s="21">
        <v>0</v>
      </c>
      <c r="AC64" s="21">
        <v>86</v>
      </c>
      <c r="AD64" s="21">
        <v>0</v>
      </c>
      <c r="AE64" s="21">
        <v>5</v>
      </c>
      <c r="AF64" s="21">
        <v>0</v>
      </c>
      <c r="AG64" s="21">
        <v>5</v>
      </c>
      <c r="AH64" s="21">
        <v>0</v>
      </c>
      <c r="AI64" s="21">
        <v>0</v>
      </c>
      <c r="AJ64" s="21">
        <v>0</v>
      </c>
      <c r="AK64" s="21">
        <v>0</v>
      </c>
      <c r="AL64" s="21">
        <v>0</v>
      </c>
      <c r="AM64" s="21">
        <v>9</v>
      </c>
      <c r="AN64" s="21">
        <v>18</v>
      </c>
      <c r="AO64" s="21">
        <v>0</v>
      </c>
      <c r="AP64" s="21">
        <v>0</v>
      </c>
      <c r="AQ64" s="21">
        <v>3</v>
      </c>
      <c r="AR64" s="21">
        <v>0</v>
      </c>
      <c r="AS64" s="21">
        <v>3</v>
      </c>
      <c r="AT64" s="21">
        <v>9</v>
      </c>
      <c r="AU64" s="21">
        <v>0</v>
      </c>
      <c r="AV64" s="21">
        <v>0</v>
      </c>
      <c r="AW64" s="21">
        <v>0</v>
      </c>
      <c r="AX64" s="21">
        <v>3</v>
      </c>
      <c r="AY64" s="67"/>
    </row>
    <row r="65" spans="1:51">
      <c r="A65" s="23" t="s">
        <v>273</v>
      </c>
      <c r="B65" s="19" t="s">
        <v>276</v>
      </c>
      <c r="C65" s="19" t="s">
        <v>196</v>
      </c>
      <c r="D65" s="20">
        <f t="shared" si="0"/>
        <v>61673.08</v>
      </c>
      <c r="E65" s="22">
        <v>22198</v>
      </c>
      <c r="F65" s="22">
        <v>5239</v>
      </c>
      <c r="G65" s="22">
        <v>228.97999999999996</v>
      </c>
      <c r="H65" s="22">
        <v>1240.8399999999999</v>
      </c>
      <c r="I65" s="22">
        <v>126.16</v>
      </c>
      <c r="J65" s="22">
        <v>192.72</v>
      </c>
      <c r="K65" s="22">
        <v>539.45000000000005</v>
      </c>
      <c r="L65" s="22">
        <v>127.83000000000001</v>
      </c>
      <c r="M65" s="22">
        <v>98.39</v>
      </c>
      <c r="N65" s="22">
        <v>1476.76</v>
      </c>
      <c r="O65" s="22">
        <v>724.56</v>
      </c>
      <c r="P65" s="22">
        <v>500.26</v>
      </c>
      <c r="Q65" s="22">
        <v>316.51</v>
      </c>
      <c r="R65" s="22">
        <v>1669.98</v>
      </c>
      <c r="S65" s="22">
        <v>732</v>
      </c>
      <c r="T65" s="22">
        <v>169.21</v>
      </c>
      <c r="U65" s="22">
        <v>1001.9100000000001</v>
      </c>
      <c r="V65" s="22">
        <v>203.95</v>
      </c>
      <c r="W65" s="22">
        <v>102.61999999999998</v>
      </c>
      <c r="X65" s="22">
        <v>147.22</v>
      </c>
      <c r="Y65" s="22">
        <v>1855.74</v>
      </c>
      <c r="Z65" s="22">
        <v>139.78</v>
      </c>
      <c r="AA65" s="22">
        <v>451.3</v>
      </c>
      <c r="AB65" s="22">
        <v>73.39</v>
      </c>
      <c r="AC65" s="22">
        <v>11759.28</v>
      </c>
      <c r="AD65" s="22">
        <v>488</v>
      </c>
      <c r="AE65" s="22">
        <v>665.91</v>
      </c>
      <c r="AF65" s="22">
        <v>415.27000000000004</v>
      </c>
      <c r="AG65" s="22">
        <v>795.22</v>
      </c>
      <c r="AH65" s="22">
        <v>166.35</v>
      </c>
      <c r="AI65" s="22">
        <v>577.35</v>
      </c>
      <c r="AJ65" s="22">
        <v>1313.98</v>
      </c>
      <c r="AK65" s="22">
        <v>540.88</v>
      </c>
      <c r="AL65" s="22">
        <v>494.65</v>
      </c>
      <c r="AM65" s="22">
        <v>590.23</v>
      </c>
      <c r="AN65" s="22">
        <v>961.7199999999998</v>
      </c>
      <c r="AO65" s="22">
        <v>104.45</v>
      </c>
      <c r="AP65" s="22">
        <v>469.35</v>
      </c>
      <c r="AQ65" s="22">
        <v>537.53</v>
      </c>
      <c r="AR65" s="22">
        <v>828.27</v>
      </c>
      <c r="AS65" s="22">
        <v>93.27</v>
      </c>
      <c r="AT65" s="22">
        <v>173.97</v>
      </c>
      <c r="AU65" s="22">
        <v>780.5</v>
      </c>
      <c r="AV65" s="22">
        <v>80.489999999999995</v>
      </c>
      <c r="AW65" s="22">
        <v>126.16</v>
      </c>
      <c r="AX65" s="22">
        <v>153.69</v>
      </c>
      <c r="AY65" s="67"/>
    </row>
    <row r="66" spans="1:51">
      <c r="A66" s="23" t="s">
        <v>277</v>
      </c>
      <c r="B66" s="19" t="s">
        <v>278</v>
      </c>
      <c r="C66" s="19" t="s">
        <v>279</v>
      </c>
      <c r="D66" s="20">
        <f t="shared" si="0"/>
        <v>5</v>
      </c>
      <c r="E66" s="22">
        <v>2</v>
      </c>
      <c r="F66" s="22">
        <v>1</v>
      </c>
      <c r="G66" s="21">
        <v>0</v>
      </c>
      <c r="H66" s="21">
        <v>0</v>
      </c>
      <c r="I66" s="21">
        <v>0</v>
      </c>
      <c r="J66" s="21">
        <v>0</v>
      </c>
      <c r="K66" s="21">
        <v>0</v>
      </c>
      <c r="L66" s="21">
        <v>0</v>
      </c>
      <c r="M66" s="21">
        <v>0</v>
      </c>
      <c r="N66" s="21">
        <v>0</v>
      </c>
      <c r="O66" s="21">
        <v>0</v>
      </c>
      <c r="P66" s="21">
        <v>0</v>
      </c>
      <c r="Q66" s="21">
        <v>0</v>
      </c>
      <c r="R66" s="21">
        <v>0</v>
      </c>
      <c r="S66" s="21">
        <v>0</v>
      </c>
      <c r="T66" s="21">
        <v>0</v>
      </c>
      <c r="U66" s="21">
        <v>0</v>
      </c>
      <c r="V66" s="21">
        <v>0</v>
      </c>
      <c r="W66" s="21">
        <v>0</v>
      </c>
      <c r="X66" s="21">
        <v>0</v>
      </c>
      <c r="Y66" s="21">
        <v>0</v>
      </c>
      <c r="Z66" s="21">
        <v>0</v>
      </c>
      <c r="AA66" s="21">
        <v>0</v>
      </c>
      <c r="AB66" s="21">
        <v>0</v>
      </c>
      <c r="AC66" s="22">
        <v>2</v>
      </c>
      <c r="AD66" s="21">
        <v>0</v>
      </c>
      <c r="AE66" s="21">
        <v>0</v>
      </c>
      <c r="AF66" s="21">
        <v>0</v>
      </c>
      <c r="AG66" s="21">
        <v>0</v>
      </c>
      <c r="AH66" s="21">
        <v>0</v>
      </c>
      <c r="AI66" s="21">
        <v>0</v>
      </c>
      <c r="AJ66" s="21">
        <v>0</v>
      </c>
      <c r="AK66" s="21">
        <v>0</v>
      </c>
      <c r="AL66" s="21">
        <v>0</v>
      </c>
      <c r="AM66" s="21">
        <v>0</v>
      </c>
      <c r="AN66" s="21">
        <v>0</v>
      </c>
      <c r="AO66" s="21">
        <v>0</v>
      </c>
      <c r="AP66" s="21">
        <v>0</v>
      </c>
      <c r="AQ66" s="21">
        <v>0</v>
      </c>
      <c r="AR66" s="21">
        <v>0</v>
      </c>
      <c r="AS66" s="21">
        <v>0</v>
      </c>
      <c r="AT66" s="21">
        <v>0</v>
      </c>
      <c r="AU66" s="21">
        <v>0</v>
      </c>
      <c r="AV66" s="21">
        <v>0</v>
      </c>
      <c r="AW66" s="21">
        <v>0</v>
      </c>
      <c r="AX66" s="21">
        <v>0</v>
      </c>
      <c r="AY66" s="67"/>
    </row>
    <row r="67" spans="1:51">
      <c r="A67" s="23" t="s">
        <v>280</v>
      </c>
      <c r="B67" s="19" t="s">
        <v>281</v>
      </c>
      <c r="C67" s="19" t="s">
        <v>282</v>
      </c>
      <c r="D67" s="20">
        <f t="shared" si="0"/>
        <v>5</v>
      </c>
      <c r="E67" s="21">
        <v>5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68"/>
    </row>
    <row r="68" spans="1:51">
      <c r="A68" s="23" t="s">
        <v>283</v>
      </c>
      <c r="B68" s="19" t="s">
        <v>284</v>
      </c>
      <c r="C68" s="19" t="s">
        <v>285</v>
      </c>
      <c r="D68" s="20">
        <f t="shared" si="0"/>
        <v>2</v>
      </c>
      <c r="E68" s="22">
        <v>1</v>
      </c>
      <c r="F68" s="21">
        <v>0</v>
      </c>
      <c r="G68" s="21">
        <v>0</v>
      </c>
      <c r="H68" s="21">
        <v>0</v>
      </c>
      <c r="I68" s="21">
        <v>0</v>
      </c>
      <c r="J68" s="21">
        <v>0</v>
      </c>
      <c r="K68" s="21">
        <v>0</v>
      </c>
      <c r="L68" s="21">
        <v>0</v>
      </c>
      <c r="M68" s="21">
        <v>0</v>
      </c>
      <c r="N68" s="21">
        <v>0</v>
      </c>
      <c r="O68" s="21">
        <v>0</v>
      </c>
      <c r="P68" s="21">
        <v>0</v>
      </c>
      <c r="Q68" s="21">
        <v>0</v>
      </c>
      <c r="R68" s="21">
        <v>0</v>
      </c>
      <c r="S68" s="21">
        <v>0</v>
      </c>
      <c r="T68" s="21">
        <v>0</v>
      </c>
      <c r="U68" s="21">
        <v>0</v>
      </c>
      <c r="V68" s="21">
        <v>0</v>
      </c>
      <c r="W68" s="21">
        <v>0</v>
      </c>
      <c r="X68" s="21">
        <v>0</v>
      </c>
      <c r="Y68" s="21">
        <v>0</v>
      </c>
      <c r="Z68" s="21">
        <v>0</v>
      </c>
      <c r="AA68" s="21">
        <v>0</v>
      </c>
      <c r="AB68" s="21">
        <v>0</v>
      </c>
      <c r="AC68" s="22">
        <v>1</v>
      </c>
      <c r="AD68" s="21">
        <v>0</v>
      </c>
      <c r="AE68" s="21">
        <v>0</v>
      </c>
      <c r="AF68" s="21">
        <v>0</v>
      </c>
      <c r="AG68" s="21">
        <v>0</v>
      </c>
      <c r="AH68" s="21">
        <v>0</v>
      </c>
      <c r="AI68" s="21">
        <v>0</v>
      </c>
      <c r="AJ68" s="21">
        <v>0</v>
      </c>
      <c r="AK68" s="21">
        <v>0</v>
      </c>
      <c r="AL68" s="21">
        <v>0</v>
      </c>
      <c r="AM68" s="21">
        <v>0</v>
      </c>
      <c r="AN68" s="21">
        <v>0</v>
      </c>
      <c r="AO68" s="21">
        <v>0</v>
      </c>
      <c r="AP68" s="21">
        <v>0</v>
      </c>
      <c r="AQ68" s="21">
        <v>0</v>
      </c>
      <c r="AR68" s="21">
        <v>0</v>
      </c>
      <c r="AS68" s="21">
        <v>0</v>
      </c>
      <c r="AT68" s="21">
        <v>0</v>
      </c>
      <c r="AU68" s="21">
        <v>0</v>
      </c>
      <c r="AV68" s="21">
        <v>0</v>
      </c>
      <c r="AW68" s="21">
        <v>0</v>
      </c>
      <c r="AX68" s="21">
        <v>0</v>
      </c>
      <c r="AY68" s="67"/>
    </row>
    <row r="69" spans="1:51">
      <c r="A69" s="23"/>
      <c r="B69" s="19" t="s">
        <v>286</v>
      </c>
      <c r="C69" s="19" t="s">
        <v>287</v>
      </c>
      <c r="D69" s="20">
        <f t="shared" si="0"/>
        <v>1</v>
      </c>
      <c r="E69" s="22">
        <v>1</v>
      </c>
      <c r="F69" s="21">
        <v>0</v>
      </c>
      <c r="G69" s="21">
        <v>0</v>
      </c>
      <c r="H69" s="21">
        <v>0</v>
      </c>
      <c r="I69" s="21">
        <v>0</v>
      </c>
      <c r="J69" s="21">
        <v>0</v>
      </c>
      <c r="K69" s="21">
        <v>0</v>
      </c>
      <c r="L69" s="21">
        <v>0</v>
      </c>
      <c r="M69" s="21">
        <v>0</v>
      </c>
      <c r="N69" s="21">
        <v>0</v>
      </c>
      <c r="O69" s="21">
        <v>0</v>
      </c>
      <c r="P69" s="21">
        <v>0</v>
      </c>
      <c r="Q69" s="21">
        <v>0</v>
      </c>
      <c r="R69" s="21">
        <v>0</v>
      </c>
      <c r="S69" s="21">
        <v>0</v>
      </c>
      <c r="T69" s="21">
        <v>0</v>
      </c>
      <c r="U69" s="21">
        <v>0</v>
      </c>
      <c r="V69" s="21">
        <v>0</v>
      </c>
      <c r="W69" s="21">
        <v>0</v>
      </c>
      <c r="X69" s="21">
        <v>0</v>
      </c>
      <c r="Y69" s="21">
        <v>0</v>
      </c>
      <c r="Z69" s="21">
        <v>0</v>
      </c>
      <c r="AA69" s="21">
        <v>0</v>
      </c>
      <c r="AB69" s="21">
        <v>0</v>
      </c>
      <c r="AC69" s="21">
        <v>0</v>
      </c>
      <c r="AD69" s="21">
        <v>0</v>
      </c>
      <c r="AE69" s="21">
        <v>0</v>
      </c>
      <c r="AF69" s="21">
        <v>0</v>
      </c>
      <c r="AG69" s="21">
        <v>0</v>
      </c>
      <c r="AH69" s="21">
        <v>0</v>
      </c>
      <c r="AI69" s="21">
        <v>0</v>
      </c>
      <c r="AJ69" s="21">
        <v>0</v>
      </c>
      <c r="AK69" s="21">
        <v>0</v>
      </c>
      <c r="AL69" s="21">
        <v>0</v>
      </c>
      <c r="AM69" s="21">
        <v>0</v>
      </c>
      <c r="AN69" s="21">
        <v>0</v>
      </c>
      <c r="AO69" s="21">
        <v>0</v>
      </c>
      <c r="AP69" s="21">
        <v>0</v>
      </c>
      <c r="AQ69" s="21">
        <v>0</v>
      </c>
      <c r="AR69" s="21">
        <v>0</v>
      </c>
      <c r="AS69" s="21">
        <v>0</v>
      </c>
      <c r="AT69" s="21">
        <v>0</v>
      </c>
      <c r="AU69" s="21">
        <v>0</v>
      </c>
      <c r="AV69" s="21">
        <v>0</v>
      </c>
      <c r="AW69" s="21">
        <v>0</v>
      </c>
      <c r="AX69" s="21">
        <v>0</v>
      </c>
      <c r="AY69" s="68"/>
    </row>
    <row r="70" spans="1:51" ht="32.1">
      <c r="A70" s="23"/>
      <c r="B70" s="19" t="s">
        <v>288</v>
      </c>
      <c r="C70" s="19" t="s">
        <v>227</v>
      </c>
      <c r="D70" s="20">
        <f t="shared" si="0"/>
        <v>1</v>
      </c>
      <c r="E70" s="22">
        <v>1</v>
      </c>
      <c r="F70" s="21">
        <v>0</v>
      </c>
      <c r="G70" s="21">
        <v>0</v>
      </c>
      <c r="H70" s="21">
        <v>0</v>
      </c>
      <c r="I70" s="21">
        <v>0</v>
      </c>
      <c r="J70" s="21">
        <v>0</v>
      </c>
      <c r="K70" s="21">
        <v>0</v>
      </c>
      <c r="L70" s="21">
        <v>0</v>
      </c>
      <c r="M70" s="21">
        <v>0</v>
      </c>
      <c r="N70" s="21">
        <v>0</v>
      </c>
      <c r="O70" s="21">
        <v>0</v>
      </c>
      <c r="P70" s="21">
        <v>0</v>
      </c>
      <c r="Q70" s="21">
        <v>0</v>
      </c>
      <c r="R70" s="21">
        <v>0</v>
      </c>
      <c r="S70" s="21">
        <v>0</v>
      </c>
      <c r="T70" s="21">
        <v>0</v>
      </c>
      <c r="U70" s="21">
        <v>0</v>
      </c>
      <c r="V70" s="21">
        <v>0</v>
      </c>
      <c r="W70" s="21">
        <v>0</v>
      </c>
      <c r="X70" s="21">
        <v>0</v>
      </c>
      <c r="Y70" s="21">
        <v>0</v>
      </c>
      <c r="Z70" s="21">
        <v>0</v>
      </c>
      <c r="AA70" s="21">
        <v>0</v>
      </c>
      <c r="AB70" s="21">
        <v>0</v>
      </c>
      <c r="AC70" s="21">
        <v>0</v>
      </c>
      <c r="AD70" s="21">
        <v>0</v>
      </c>
      <c r="AE70" s="21">
        <v>0</v>
      </c>
      <c r="AF70" s="21">
        <v>0</v>
      </c>
      <c r="AG70" s="21">
        <v>0</v>
      </c>
      <c r="AH70" s="21">
        <v>0</v>
      </c>
      <c r="AI70" s="21">
        <v>0</v>
      </c>
      <c r="AJ70" s="21">
        <v>0</v>
      </c>
      <c r="AK70" s="21">
        <v>0</v>
      </c>
      <c r="AL70" s="21">
        <v>0</v>
      </c>
      <c r="AM70" s="21">
        <v>0</v>
      </c>
      <c r="AN70" s="21">
        <v>0</v>
      </c>
      <c r="AO70" s="21">
        <v>0</v>
      </c>
      <c r="AP70" s="21">
        <v>0</v>
      </c>
      <c r="AQ70" s="21">
        <v>0</v>
      </c>
      <c r="AR70" s="21">
        <v>0</v>
      </c>
      <c r="AS70" s="21">
        <v>0</v>
      </c>
      <c r="AT70" s="21">
        <v>0</v>
      </c>
      <c r="AU70" s="21">
        <v>0</v>
      </c>
      <c r="AV70" s="21">
        <v>0</v>
      </c>
      <c r="AW70" s="21">
        <v>0</v>
      </c>
      <c r="AX70" s="21">
        <v>0</v>
      </c>
      <c r="AY70" s="68"/>
    </row>
    <row r="71" spans="1:51">
      <c r="A71" s="23" t="s">
        <v>289</v>
      </c>
      <c r="B71" s="19" t="s">
        <v>290</v>
      </c>
      <c r="C71" s="27" t="s">
        <v>248</v>
      </c>
      <c r="D71" s="20">
        <v>9</v>
      </c>
      <c r="E71" s="94">
        <v>9</v>
      </c>
      <c r="F71" s="95"/>
      <c r="G71" s="95"/>
      <c r="H71" s="95"/>
      <c r="I71" s="95"/>
      <c r="J71" s="95"/>
      <c r="K71" s="95"/>
      <c r="L71" s="95"/>
      <c r="M71" s="9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Z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  <c r="AM71" s="95"/>
      <c r="AN71" s="95"/>
      <c r="AO71" s="95"/>
      <c r="AP71" s="95"/>
      <c r="AQ71" s="95"/>
      <c r="AR71" s="95"/>
      <c r="AS71" s="95"/>
      <c r="AT71" s="95"/>
      <c r="AU71" s="95"/>
      <c r="AV71" s="95"/>
      <c r="AW71" s="95"/>
      <c r="AX71" s="96"/>
      <c r="AY71" s="68"/>
    </row>
    <row r="72" spans="1:51">
      <c r="A72" s="23" t="s">
        <v>289</v>
      </c>
      <c r="B72" s="19" t="s">
        <v>291</v>
      </c>
      <c r="C72" s="27" t="s">
        <v>248</v>
      </c>
      <c r="D72" s="20">
        <v>9</v>
      </c>
      <c r="E72" s="94">
        <v>9</v>
      </c>
      <c r="F72" s="95"/>
      <c r="G72" s="95"/>
      <c r="H72" s="95"/>
      <c r="I72" s="95"/>
      <c r="J72" s="95"/>
      <c r="K72" s="95"/>
      <c r="L72" s="95"/>
      <c r="M72" s="9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Z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  <c r="AM72" s="95"/>
      <c r="AN72" s="95"/>
      <c r="AO72" s="95"/>
      <c r="AP72" s="95"/>
      <c r="AQ72" s="95"/>
      <c r="AR72" s="95"/>
      <c r="AS72" s="95"/>
      <c r="AT72" s="95"/>
      <c r="AU72" s="95"/>
      <c r="AV72" s="95"/>
      <c r="AW72" s="95"/>
      <c r="AX72" s="96"/>
      <c r="AY72" s="68"/>
    </row>
    <row r="73" spans="1:51">
      <c r="A73" s="26" t="s">
        <v>292</v>
      </c>
      <c r="B73" s="27" t="s">
        <v>293</v>
      </c>
      <c r="C73" s="27" t="s">
        <v>294</v>
      </c>
      <c r="D73" s="20">
        <f t="shared" si="0"/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68"/>
    </row>
    <row r="74" spans="1:51">
      <c r="A74" s="26" t="s">
        <v>295</v>
      </c>
      <c r="B74" s="27" t="s">
        <v>296</v>
      </c>
      <c r="C74" s="27" t="s">
        <v>297</v>
      </c>
      <c r="D74" s="20">
        <f t="shared" si="0"/>
        <v>0</v>
      </c>
      <c r="E74" s="21">
        <v>0</v>
      </c>
      <c r="F74" s="21">
        <v>0</v>
      </c>
      <c r="G74" s="21">
        <v>0</v>
      </c>
      <c r="H74" s="21">
        <v>0</v>
      </c>
      <c r="I74" s="21">
        <v>0</v>
      </c>
      <c r="J74" s="21">
        <v>0</v>
      </c>
      <c r="K74" s="21">
        <v>0</v>
      </c>
      <c r="L74" s="21">
        <v>0</v>
      </c>
      <c r="M74" s="21">
        <v>0</v>
      </c>
      <c r="N74" s="21">
        <v>0</v>
      </c>
      <c r="O74" s="21">
        <v>0</v>
      </c>
      <c r="P74" s="21">
        <v>0</v>
      </c>
      <c r="Q74" s="21">
        <v>0</v>
      </c>
      <c r="R74" s="21">
        <v>0</v>
      </c>
      <c r="S74" s="21">
        <v>0</v>
      </c>
      <c r="T74" s="21">
        <v>0</v>
      </c>
      <c r="U74" s="21">
        <v>0</v>
      </c>
      <c r="V74" s="21">
        <v>0</v>
      </c>
      <c r="W74" s="21">
        <v>0</v>
      </c>
      <c r="X74" s="21">
        <v>0</v>
      </c>
      <c r="Y74" s="21">
        <v>0</v>
      </c>
      <c r="Z74" s="21">
        <v>0</v>
      </c>
      <c r="AA74" s="21">
        <v>0</v>
      </c>
      <c r="AB74" s="21">
        <v>0</v>
      </c>
      <c r="AC74" s="21">
        <v>0</v>
      </c>
      <c r="AD74" s="21">
        <v>0</v>
      </c>
      <c r="AE74" s="21">
        <v>0</v>
      </c>
      <c r="AF74" s="21">
        <v>0</v>
      </c>
      <c r="AG74" s="21">
        <v>0</v>
      </c>
      <c r="AH74" s="21">
        <v>0</v>
      </c>
      <c r="AI74" s="21">
        <v>0</v>
      </c>
      <c r="AJ74" s="21">
        <v>0</v>
      </c>
      <c r="AK74" s="21">
        <v>0</v>
      </c>
      <c r="AL74" s="21">
        <v>0</v>
      </c>
      <c r="AM74" s="21">
        <v>0</v>
      </c>
      <c r="AN74" s="21">
        <v>0</v>
      </c>
      <c r="AO74" s="21">
        <v>0</v>
      </c>
      <c r="AP74" s="21">
        <v>0</v>
      </c>
      <c r="AQ74" s="21">
        <v>0</v>
      </c>
      <c r="AR74" s="21">
        <v>0</v>
      </c>
      <c r="AS74" s="21">
        <v>0</v>
      </c>
      <c r="AT74" s="21">
        <v>0</v>
      </c>
      <c r="AU74" s="21">
        <v>0</v>
      </c>
      <c r="AV74" s="21">
        <v>0</v>
      </c>
      <c r="AW74" s="21">
        <v>0</v>
      </c>
      <c r="AX74" s="21">
        <v>0</v>
      </c>
      <c r="AY74" s="67"/>
    </row>
    <row r="75" spans="1:51">
      <c r="A75" s="24" t="s">
        <v>298</v>
      </c>
      <c r="B75" s="25"/>
      <c r="C75" s="25"/>
      <c r="D75" s="16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  <c r="AQ75" s="28"/>
      <c r="AR75" s="28"/>
      <c r="AS75" s="28"/>
      <c r="AT75" s="28"/>
      <c r="AU75" s="28"/>
      <c r="AV75" s="28"/>
      <c r="AW75" s="28"/>
      <c r="AX75" s="28"/>
      <c r="AY75" s="67"/>
    </row>
    <row r="76" spans="1:51">
      <c r="A76" s="23" t="s">
        <v>299</v>
      </c>
      <c r="B76" s="19" t="s">
        <v>300</v>
      </c>
      <c r="C76" s="19" t="s">
        <v>301</v>
      </c>
      <c r="D76" s="20">
        <f t="shared" si="0"/>
        <v>25</v>
      </c>
      <c r="E76" s="22">
        <v>3</v>
      </c>
      <c r="F76" s="21">
        <v>0</v>
      </c>
      <c r="G76" s="21">
        <v>0</v>
      </c>
      <c r="H76" s="22">
        <v>2</v>
      </c>
      <c r="I76" s="21">
        <v>0</v>
      </c>
      <c r="J76" s="21">
        <v>0</v>
      </c>
      <c r="K76" s="21">
        <v>0</v>
      </c>
      <c r="L76" s="21">
        <v>0</v>
      </c>
      <c r="M76" s="21">
        <v>0</v>
      </c>
      <c r="N76" s="22">
        <v>6</v>
      </c>
      <c r="O76" s="21">
        <v>0</v>
      </c>
      <c r="P76" s="21">
        <v>0</v>
      </c>
      <c r="Q76" s="21">
        <v>0</v>
      </c>
      <c r="R76" s="22">
        <v>4</v>
      </c>
      <c r="S76" s="21">
        <v>0</v>
      </c>
      <c r="T76" s="21">
        <v>0</v>
      </c>
      <c r="U76" s="21">
        <v>0</v>
      </c>
      <c r="V76" s="21">
        <v>0</v>
      </c>
      <c r="W76" s="21">
        <v>0</v>
      </c>
      <c r="X76" s="21">
        <v>0</v>
      </c>
      <c r="Y76" s="22">
        <v>1</v>
      </c>
      <c r="Z76" s="21">
        <v>0</v>
      </c>
      <c r="AA76" s="21">
        <v>0</v>
      </c>
      <c r="AB76" s="21">
        <v>0</v>
      </c>
      <c r="AC76" s="22">
        <v>8</v>
      </c>
      <c r="AD76" s="21">
        <v>0</v>
      </c>
      <c r="AE76" s="21">
        <v>0</v>
      </c>
      <c r="AF76" s="21">
        <v>0</v>
      </c>
      <c r="AG76" s="21">
        <v>0</v>
      </c>
      <c r="AH76" s="21">
        <v>0</v>
      </c>
      <c r="AI76" s="21">
        <v>0</v>
      </c>
      <c r="AJ76" s="21">
        <v>0</v>
      </c>
      <c r="AK76" s="21">
        <v>0</v>
      </c>
      <c r="AL76" s="21">
        <v>0</v>
      </c>
      <c r="AM76" s="21">
        <v>0</v>
      </c>
      <c r="AN76" s="22">
        <v>1</v>
      </c>
      <c r="AO76" s="21">
        <v>0</v>
      </c>
      <c r="AP76" s="21">
        <v>0</v>
      </c>
      <c r="AQ76" s="21">
        <v>0</v>
      </c>
      <c r="AR76" s="21">
        <v>0</v>
      </c>
      <c r="AS76" s="21">
        <v>0</v>
      </c>
      <c r="AT76" s="21">
        <v>0</v>
      </c>
      <c r="AU76" s="21">
        <v>0</v>
      </c>
      <c r="AV76" s="21">
        <v>0</v>
      </c>
      <c r="AW76" s="21">
        <v>0</v>
      </c>
      <c r="AX76" s="21">
        <v>0</v>
      </c>
      <c r="AY76" s="67"/>
    </row>
    <row r="77" spans="1:51">
      <c r="A77" s="23" t="s">
        <v>302</v>
      </c>
      <c r="B77" s="19" t="s">
        <v>303</v>
      </c>
      <c r="C77" s="19" t="s">
        <v>304</v>
      </c>
      <c r="D77" s="20">
        <f t="shared" ref="D77:D87" si="1">SUM(E77:AX77)</f>
        <v>3</v>
      </c>
      <c r="E77" s="22">
        <v>1</v>
      </c>
      <c r="F77" s="21">
        <v>0</v>
      </c>
      <c r="G77" s="21">
        <v>0</v>
      </c>
      <c r="H77" s="21">
        <v>0</v>
      </c>
      <c r="I77" s="21">
        <v>0</v>
      </c>
      <c r="J77" s="21">
        <v>0</v>
      </c>
      <c r="K77" s="21">
        <v>0</v>
      </c>
      <c r="L77" s="21">
        <v>0</v>
      </c>
      <c r="M77" s="21">
        <v>0</v>
      </c>
      <c r="N77" s="21">
        <v>0</v>
      </c>
      <c r="O77" s="21">
        <v>0</v>
      </c>
      <c r="P77" s="21">
        <v>0</v>
      </c>
      <c r="Q77" s="21">
        <v>0</v>
      </c>
      <c r="R77" s="22">
        <v>1</v>
      </c>
      <c r="S77" s="21">
        <v>0</v>
      </c>
      <c r="T77" s="21">
        <v>0</v>
      </c>
      <c r="U77" s="21">
        <v>0</v>
      </c>
      <c r="V77" s="21">
        <v>0</v>
      </c>
      <c r="W77" s="21">
        <v>0</v>
      </c>
      <c r="X77" s="21">
        <v>0</v>
      </c>
      <c r="Y77" s="21">
        <v>0</v>
      </c>
      <c r="Z77" s="21">
        <v>0</v>
      </c>
      <c r="AA77" s="21">
        <v>0</v>
      </c>
      <c r="AB77" s="21">
        <v>0</v>
      </c>
      <c r="AC77" s="22">
        <v>1</v>
      </c>
      <c r="AD77" s="21">
        <v>0</v>
      </c>
      <c r="AE77" s="21">
        <v>0</v>
      </c>
      <c r="AF77" s="21">
        <v>0</v>
      </c>
      <c r="AG77" s="21">
        <v>0</v>
      </c>
      <c r="AH77" s="21">
        <v>0</v>
      </c>
      <c r="AI77" s="21">
        <v>0</v>
      </c>
      <c r="AJ77" s="21">
        <v>0</v>
      </c>
      <c r="AK77" s="21">
        <v>0</v>
      </c>
      <c r="AL77" s="21">
        <v>0</v>
      </c>
      <c r="AM77" s="21">
        <v>0</v>
      </c>
      <c r="AN77" s="21">
        <v>0</v>
      </c>
      <c r="AO77" s="21">
        <v>0</v>
      </c>
      <c r="AP77" s="21">
        <v>0</v>
      </c>
      <c r="AQ77" s="21">
        <v>0</v>
      </c>
      <c r="AR77" s="21">
        <v>0</v>
      </c>
      <c r="AS77" s="21">
        <v>0</v>
      </c>
      <c r="AT77" s="21">
        <v>0</v>
      </c>
      <c r="AU77" s="21">
        <v>0</v>
      </c>
      <c r="AV77" s="21">
        <v>0</v>
      </c>
      <c r="AW77" s="21">
        <v>0</v>
      </c>
      <c r="AX77" s="21">
        <v>0</v>
      </c>
      <c r="AY77" s="68"/>
    </row>
    <row r="78" spans="1:51">
      <c r="A78" s="23" t="s">
        <v>305</v>
      </c>
      <c r="B78" s="19" t="s">
        <v>306</v>
      </c>
      <c r="C78" s="19" t="s">
        <v>307</v>
      </c>
      <c r="D78" s="20">
        <f t="shared" si="1"/>
        <v>2</v>
      </c>
      <c r="E78" s="22">
        <v>1</v>
      </c>
      <c r="F78" s="21">
        <v>0</v>
      </c>
      <c r="G78" s="21">
        <v>0</v>
      </c>
      <c r="H78" s="21">
        <v>0</v>
      </c>
      <c r="I78" s="21">
        <v>0</v>
      </c>
      <c r="J78" s="21">
        <v>0</v>
      </c>
      <c r="K78" s="21">
        <v>0</v>
      </c>
      <c r="L78" s="21">
        <v>0</v>
      </c>
      <c r="M78" s="21">
        <v>0</v>
      </c>
      <c r="N78" s="21">
        <v>0</v>
      </c>
      <c r="O78" s="21">
        <v>0</v>
      </c>
      <c r="P78" s="21">
        <v>0</v>
      </c>
      <c r="Q78" s="21">
        <v>0</v>
      </c>
      <c r="R78" s="21">
        <v>0</v>
      </c>
      <c r="S78" s="21">
        <v>0</v>
      </c>
      <c r="T78" s="21">
        <v>0</v>
      </c>
      <c r="U78" s="21">
        <v>0</v>
      </c>
      <c r="V78" s="21">
        <v>0</v>
      </c>
      <c r="W78" s="21">
        <v>0</v>
      </c>
      <c r="X78" s="21">
        <v>0</v>
      </c>
      <c r="Y78" s="21">
        <v>0</v>
      </c>
      <c r="Z78" s="21">
        <v>0</v>
      </c>
      <c r="AA78" s="21">
        <v>0</v>
      </c>
      <c r="AB78" s="21">
        <v>0</v>
      </c>
      <c r="AC78" s="22">
        <v>1</v>
      </c>
      <c r="AD78" s="21">
        <v>0</v>
      </c>
      <c r="AE78" s="21">
        <v>0</v>
      </c>
      <c r="AF78" s="21">
        <v>0</v>
      </c>
      <c r="AG78" s="21">
        <v>0</v>
      </c>
      <c r="AH78" s="21">
        <v>0</v>
      </c>
      <c r="AI78" s="21">
        <v>0</v>
      </c>
      <c r="AJ78" s="21">
        <v>0</v>
      </c>
      <c r="AK78" s="21">
        <v>0</v>
      </c>
      <c r="AL78" s="21">
        <v>0</v>
      </c>
      <c r="AM78" s="21">
        <v>0</v>
      </c>
      <c r="AN78" s="21">
        <v>0</v>
      </c>
      <c r="AO78" s="21">
        <v>0</v>
      </c>
      <c r="AP78" s="21">
        <v>0</v>
      </c>
      <c r="AQ78" s="21">
        <v>0</v>
      </c>
      <c r="AR78" s="21">
        <v>0</v>
      </c>
      <c r="AS78" s="21">
        <v>0</v>
      </c>
      <c r="AT78" s="21">
        <v>0</v>
      </c>
      <c r="AU78" s="21">
        <v>0</v>
      </c>
      <c r="AV78" s="21">
        <v>0</v>
      </c>
      <c r="AW78" s="21">
        <v>0</v>
      </c>
      <c r="AX78" s="21">
        <v>0</v>
      </c>
      <c r="AY78" s="67"/>
    </row>
    <row r="79" spans="1:51">
      <c r="A79" s="23" t="s">
        <v>305</v>
      </c>
      <c r="B79" s="19" t="s">
        <v>308</v>
      </c>
      <c r="C79" s="19" t="s">
        <v>309</v>
      </c>
      <c r="D79" s="20">
        <f t="shared" si="1"/>
        <v>0</v>
      </c>
      <c r="E79" s="21">
        <v>0</v>
      </c>
      <c r="F79" s="21">
        <v>0</v>
      </c>
      <c r="G79" s="21">
        <v>0</v>
      </c>
      <c r="H79" s="21">
        <v>0</v>
      </c>
      <c r="I79" s="21">
        <v>0</v>
      </c>
      <c r="J79" s="21">
        <v>0</v>
      </c>
      <c r="K79" s="21">
        <v>0</v>
      </c>
      <c r="L79" s="21">
        <v>0</v>
      </c>
      <c r="M79" s="21">
        <v>0</v>
      </c>
      <c r="N79" s="21">
        <v>0</v>
      </c>
      <c r="O79" s="21">
        <v>0</v>
      </c>
      <c r="P79" s="21">
        <v>0</v>
      </c>
      <c r="Q79" s="21">
        <v>0</v>
      </c>
      <c r="R79" s="21">
        <v>0</v>
      </c>
      <c r="S79" s="21">
        <v>0</v>
      </c>
      <c r="T79" s="21">
        <v>0</v>
      </c>
      <c r="U79" s="21">
        <v>0</v>
      </c>
      <c r="V79" s="21">
        <v>0</v>
      </c>
      <c r="W79" s="21">
        <v>0</v>
      </c>
      <c r="X79" s="21">
        <v>0</v>
      </c>
      <c r="Y79" s="21">
        <v>0</v>
      </c>
      <c r="Z79" s="21">
        <v>0</v>
      </c>
      <c r="AA79" s="21">
        <v>0</v>
      </c>
      <c r="AB79" s="21">
        <v>0</v>
      </c>
      <c r="AC79" s="21">
        <v>0</v>
      </c>
      <c r="AD79" s="21">
        <v>0</v>
      </c>
      <c r="AE79" s="21">
        <v>0</v>
      </c>
      <c r="AF79" s="21">
        <v>0</v>
      </c>
      <c r="AG79" s="21">
        <v>0</v>
      </c>
      <c r="AH79" s="21">
        <v>0</v>
      </c>
      <c r="AI79" s="21">
        <v>0</v>
      </c>
      <c r="AJ79" s="21">
        <v>0</v>
      </c>
      <c r="AK79" s="21">
        <v>0</v>
      </c>
      <c r="AL79" s="21">
        <v>0</v>
      </c>
      <c r="AM79" s="21">
        <v>0</v>
      </c>
      <c r="AN79" s="21">
        <v>0</v>
      </c>
      <c r="AO79" s="21">
        <v>0</v>
      </c>
      <c r="AP79" s="21">
        <v>0</v>
      </c>
      <c r="AQ79" s="21">
        <v>0</v>
      </c>
      <c r="AR79" s="21">
        <v>0</v>
      </c>
      <c r="AS79" s="21">
        <v>0</v>
      </c>
      <c r="AT79" s="21">
        <v>0</v>
      </c>
      <c r="AU79" s="21">
        <v>0</v>
      </c>
      <c r="AV79" s="21">
        <v>0</v>
      </c>
      <c r="AW79" s="21">
        <v>0</v>
      </c>
      <c r="AX79" s="21">
        <v>0</v>
      </c>
      <c r="AY79" s="67"/>
    </row>
    <row r="80" spans="1:51">
      <c r="A80" s="23" t="s">
        <v>310</v>
      </c>
      <c r="B80" s="19" t="s">
        <v>311</v>
      </c>
      <c r="C80" s="19" t="s">
        <v>312</v>
      </c>
      <c r="D80" s="20">
        <f t="shared" si="1"/>
        <v>1</v>
      </c>
      <c r="E80" s="22">
        <v>1</v>
      </c>
      <c r="F80" s="21">
        <v>0</v>
      </c>
      <c r="G80" s="21">
        <v>0</v>
      </c>
      <c r="H80" s="21">
        <v>0</v>
      </c>
      <c r="I80" s="21">
        <v>0</v>
      </c>
      <c r="J80" s="21">
        <v>0</v>
      </c>
      <c r="K80" s="21">
        <v>0</v>
      </c>
      <c r="L80" s="21">
        <v>0</v>
      </c>
      <c r="M80" s="21">
        <v>0</v>
      </c>
      <c r="N80" s="21">
        <v>0</v>
      </c>
      <c r="O80" s="21">
        <v>0</v>
      </c>
      <c r="P80" s="21">
        <v>0</v>
      </c>
      <c r="Q80" s="21">
        <v>0</v>
      </c>
      <c r="R80" s="21">
        <v>0</v>
      </c>
      <c r="S80" s="21">
        <v>0</v>
      </c>
      <c r="T80" s="21">
        <v>0</v>
      </c>
      <c r="U80" s="21">
        <v>0</v>
      </c>
      <c r="V80" s="21">
        <v>0</v>
      </c>
      <c r="W80" s="21">
        <v>0</v>
      </c>
      <c r="X80" s="21">
        <v>0</v>
      </c>
      <c r="Y80" s="21">
        <v>0</v>
      </c>
      <c r="Z80" s="21">
        <v>0</v>
      </c>
      <c r="AA80" s="21">
        <v>0</v>
      </c>
      <c r="AB80" s="21">
        <v>0</v>
      </c>
      <c r="AC80" s="21">
        <v>0</v>
      </c>
      <c r="AD80" s="21">
        <v>0</v>
      </c>
      <c r="AE80" s="21">
        <v>0</v>
      </c>
      <c r="AF80" s="21">
        <v>0</v>
      </c>
      <c r="AG80" s="21">
        <v>0</v>
      </c>
      <c r="AH80" s="21">
        <v>0</v>
      </c>
      <c r="AI80" s="21">
        <v>0</v>
      </c>
      <c r="AJ80" s="21">
        <v>0</v>
      </c>
      <c r="AK80" s="21">
        <v>0</v>
      </c>
      <c r="AL80" s="21">
        <v>0</v>
      </c>
      <c r="AM80" s="21">
        <v>0</v>
      </c>
      <c r="AN80" s="21">
        <v>0</v>
      </c>
      <c r="AO80" s="21">
        <v>0</v>
      </c>
      <c r="AP80" s="21">
        <v>0</v>
      </c>
      <c r="AQ80" s="21">
        <v>0</v>
      </c>
      <c r="AR80" s="21">
        <v>0</v>
      </c>
      <c r="AS80" s="21">
        <v>0</v>
      </c>
      <c r="AT80" s="21">
        <v>0</v>
      </c>
      <c r="AU80" s="21">
        <v>0</v>
      </c>
      <c r="AV80" s="21">
        <v>0</v>
      </c>
      <c r="AW80" s="21">
        <v>0</v>
      </c>
      <c r="AX80" s="21">
        <v>0</v>
      </c>
      <c r="AY80" s="67"/>
    </row>
    <row r="81" spans="1:51">
      <c r="A81" s="23" t="s">
        <v>313</v>
      </c>
      <c r="B81" s="19" t="s">
        <v>314</v>
      </c>
      <c r="C81" s="19" t="s">
        <v>196</v>
      </c>
      <c r="D81" s="20">
        <f t="shared" si="1"/>
        <v>30220</v>
      </c>
      <c r="E81" s="21">
        <v>9259</v>
      </c>
      <c r="F81" s="21">
        <v>372</v>
      </c>
      <c r="G81" s="21">
        <v>203</v>
      </c>
      <c r="H81" s="21">
        <v>842</v>
      </c>
      <c r="I81" s="21">
        <v>0</v>
      </c>
      <c r="J81" s="21">
        <v>192</v>
      </c>
      <c r="K81" s="21">
        <v>42</v>
      </c>
      <c r="L81" s="21">
        <v>89</v>
      </c>
      <c r="M81" s="21">
        <v>94</v>
      </c>
      <c r="N81" s="21">
        <v>1049</v>
      </c>
      <c r="O81" s="21">
        <v>0</v>
      </c>
      <c r="P81" s="21">
        <v>0</v>
      </c>
      <c r="Q81" s="21">
        <v>1582</v>
      </c>
      <c r="R81" s="21">
        <v>1669</v>
      </c>
      <c r="S81" s="21">
        <v>0</v>
      </c>
      <c r="T81" s="21">
        <v>169</v>
      </c>
      <c r="U81" s="21">
        <v>712</v>
      </c>
      <c r="V81" s="21">
        <v>203</v>
      </c>
      <c r="W81" s="21">
        <v>102</v>
      </c>
      <c r="X81" s="21">
        <v>147</v>
      </c>
      <c r="Y81" s="21">
        <v>1400</v>
      </c>
      <c r="Z81" s="21">
        <v>139</v>
      </c>
      <c r="AA81" s="21">
        <v>447</v>
      </c>
      <c r="AB81" s="21">
        <v>0</v>
      </c>
      <c r="AC81" s="21">
        <v>6406</v>
      </c>
      <c r="AD81" s="21">
        <v>438</v>
      </c>
      <c r="AE81" s="21">
        <v>28</v>
      </c>
      <c r="AF81" s="21">
        <v>353</v>
      </c>
      <c r="AG81" s="21">
        <v>569</v>
      </c>
      <c r="AH81" s="21">
        <v>162</v>
      </c>
      <c r="AI81" s="21">
        <v>244</v>
      </c>
      <c r="AJ81" s="21">
        <v>352</v>
      </c>
      <c r="AK81" s="21">
        <v>0</v>
      </c>
      <c r="AL81" s="21">
        <v>314</v>
      </c>
      <c r="AM81" s="21">
        <v>548</v>
      </c>
      <c r="AN81" s="21">
        <v>785</v>
      </c>
      <c r="AO81" s="21">
        <v>0</v>
      </c>
      <c r="AP81" s="21">
        <v>354</v>
      </c>
      <c r="AQ81" s="21">
        <v>0</v>
      </c>
      <c r="AR81" s="21">
        <v>0</v>
      </c>
      <c r="AS81" s="21">
        <v>93</v>
      </c>
      <c r="AT81" s="21">
        <v>15</v>
      </c>
      <c r="AU81" s="21">
        <v>751</v>
      </c>
      <c r="AV81" s="21">
        <v>0</v>
      </c>
      <c r="AW81" s="21">
        <v>0</v>
      </c>
      <c r="AX81" s="21">
        <v>96</v>
      </c>
      <c r="AY81" s="67"/>
    </row>
    <row r="82" spans="1:51" ht="32.1">
      <c r="A82" s="23" t="s">
        <v>315</v>
      </c>
      <c r="B82" s="19" t="s">
        <v>316</v>
      </c>
      <c r="C82" s="19" t="s">
        <v>317</v>
      </c>
      <c r="D82" s="20">
        <f t="shared" si="1"/>
        <v>0</v>
      </c>
      <c r="E82" s="21">
        <v>0</v>
      </c>
      <c r="F82" s="21">
        <v>0</v>
      </c>
      <c r="G82" s="21">
        <v>0</v>
      </c>
      <c r="H82" s="21">
        <v>0</v>
      </c>
      <c r="I82" s="21">
        <v>0</v>
      </c>
      <c r="J82" s="21">
        <v>0</v>
      </c>
      <c r="K82" s="21">
        <v>0</v>
      </c>
      <c r="L82" s="21">
        <v>0</v>
      </c>
      <c r="M82" s="21">
        <v>0</v>
      </c>
      <c r="N82" s="21">
        <v>0</v>
      </c>
      <c r="O82" s="21">
        <v>0</v>
      </c>
      <c r="P82" s="21">
        <v>0</v>
      </c>
      <c r="Q82" s="21">
        <v>0</v>
      </c>
      <c r="R82" s="21">
        <v>0</v>
      </c>
      <c r="S82" s="21">
        <v>0</v>
      </c>
      <c r="T82" s="21">
        <v>0</v>
      </c>
      <c r="U82" s="21">
        <v>0</v>
      </c>
      <c r="V82" s="21">
        <v>0</v>
      </c>
      <c r="W82" s="21">
        <v>0</v>
      </c>
      <c r="X82" s="21">
        <v>0</v>
      </c>
      <c r="Y82" s="21">
        <v>0</v>
      </c>
      <c r="Z82" s="21">
        <v>0</v>
      </c>
      <c r="AA82" s="21">
        <v>0</v>
      </c>
      <c r="AB82" s="21">
        <v>0</v>
      </c>
      <c r="AC82" s="21">
        <v>0</v>
      </c>
      <c r="AD82" s="21">
        <v>0</v>
      </c>
      <c r="AE82" s="21">
        <v>0</v>
      </c>
      <c r="AF82" s="21">
        <v>0</v>
      </c>
      <c r="AG82" s="21">
        <v>0</v>
      </c>
      <c r="AH82" s="21">
        <v>0</v>
      </c>
      <c r="AI82" s="21">
        <v>0</v>
      </c>
      <c r="AJ82" s="21">
        <v>0</v>
      </c>
      <c r="AK82" s="21">
        <v>0</v>
      </c>
      <c r="AL82" s="21">
        <v>0</v>
      </c>
      <c r="AM82" s="21">
        <v>0</v>
      </c>
      <c r="AN82" s="21">
        <v>0</v>
      </c>
      <c r="AO82" s="21">
        <v>0</v>
      </c>
      <c r="AP82" s="21">
        <v>0</v>
      </c>
      <c r="AQ82" s="21">
        <v>0</v>
      </c>
      <c r="AR82" s="21">
        <v>0</v>
      </c>
      <c r="AS82" s="21">
        <v>0</v>
      </c>
      <c r="AT82" s="21">
        <v>0</v>
      </c>
      <c r="AU82" s="21">
        <v>0</v>
      </c>
      <c r="AV82" s="21">
        <v>0</v>
      </c>
      <c r="AW82" s="21">
        <v>0</v>
      </c>
      <c r="AX82" s="21">
        <v>0</v>
      </c>
      <c r="AY82" s="68"/>
    </row>
    <row r="83" spans="1:51">
      <c r="A83" s="23" t="s">
        <v>318</v>
      </c>
      <c r="B83" s="19" t="s">
        <v>319</v>
      </c>
      <c r="C83" s="19" t="s">
        <v>320</v>
      </c>
      <c r="D83" s="20">
        <f t="shared" si="1"/>
        <v>246</v>
      </c>
      <c r="E83" s="22">
        <v>39</v>
      </c>
      <c r="F83" s="22">
        <v>4</v>
      </c>
      <c r="G83" s="22">
        <v>4</v>
      </c>
      <c r="H83" s="22">
        <v>4</v>
      </c>
      <c r="I83" s="22">
        <v>1</v>
      </c>
      <c r="J83" s="22">
        <v>4</v>
      </c>
      <c r="K83" s="22">
        <v>4</v>
      </c>
      <c r="L83" s="22">
        <v>4</v>
      </c>
      <c r="M83" s="22">
        <v>4</v>
      </c>
      <c r="N83" s="22">
        <v>7</v>
      </c>
      <c r="O83" s="22">
        <v>4</v>
      </c>
      <c r="P83" s="22">
        <v>4</v>
      </c>
      <c r="Q83" s="22">
        <v>4</v>
      </c>
      <c r="R83" s="22">
        <v>14</v>
      </c>
      <c r="S83" s="22">
        <v>4</v>
      </c>
      <c r="T83" s="22">
        <v>4</v>
      </c>
      <c r="U83" s="22">
        <v>4</v>
      </c>
      <c r="V83" s="22">
        <v>4</v>
      </c>
      <c r="W83" s="22">
        <v>4</v>
      </c>
      <c r="X83" s="22">
        <v>4</v>
      </c>
      <c r="Y83" s="22">
        <v>7</v>
      </c>
      <c r="Z83" s="22">
        <v>4</v>
      </c>
      <c r="AA83" s="22">
        <v>4</v>
      </c>
      <c r="AB83" s="22">
        <v>2</v>
      </c>
      <c r="AC83" s="22">
        <v>29</v>
      </c>
      <c r="AD83" s="22">
        <v>4</v>
      </c>
      <c r="AE83" s="22">
        <v>4</v>
      </c>
      <c r="AF83" s="22">
        <v>4</v>
      </c>
      <c r="AG83" s="22">
        <v>8</v>
      </c>
      <c r="AH83" s="22">
        <v>4</v>
      </c>
      <c r="AI83" s="22">
        <v>4</v>
      </c>
      <c r="AJ83" s="22">
        <v>3</v>
      </c>
      <c r="AK83" s="22">
        <v>4</v>
      </c>
      <c r="AL83" s="22">
        <v>4</v>
      </c>
      <c r="AM83" s="22">
        <v>2</v>
      </c>
      <c r="AN83" s="22">
        <v>4</v>
      </c>
      <c r="AO83" s="22">
        <v>2</v>
      </c>
      <c r="AP83" s="22">
        <v>4</v>
      </c>
      <c r="AQ83" s="22">
        <v>4</v>
      </c>
      <c r="AR83" s="22">
        <v>4</v>
      </c>
      <c r="AS83" s="22">
        <v>2</v>
      </c>
      <c r="AT83" s="22">
        <v>4</v>
      </c>
      <c r="AU83" s="22">
        <v>4</v>
      </c>
      <c r="AV83" s="22">
        <v>2</v>
      </c>
      <c r="AW83" s="22">
        <v>2</v>
      </c>
      <c r="AX83" s="22">
        <v>2</v>
      </c>
      <c r="AY83" s="68"/>
    </row>
    <row r="84" spans="1:51">
      <c r="A84" s="23" t="s">
        <v>321</v>
      </c>
      <c r="B84" s="19" t="s">
        <v>322</v>
      </c>
      <c r="C84" s="19" t="s">
        <v>323</v>
      </c>
      <c r="D84" s="20">
        <f t="shared" si="1"/>
        <v>1</v>
      </c>
      <c r="E84" s="22">
        <v>1</v>
      </c>
      <c r="F84" s="21">
        <v>0</v>
      </c>
      <c r="G84" s="21">
        <v>0</v>
      </c>
      <c r="H84" s="21">
        <v>0</v>
      </c>
      <c r="I84" s="21">
        <v>0</v>
      </c>
      <c r="J84" s="21">
        <v>0</v>
      </c>
      <c r="K84" s="21">
        <v>0</v>
      </c>
      <c r="L84" s="21">
        <v>0</v>
      </c>
      <c r="M84" s="21">
        <v>0</v>
      </c>
      <c r="N84" s="21">
        <v>0</v>
      </c>
      <c r="O84" s="21">
        <v>0</v>
      </c>
      <c r="P84" s="21">
        <v>0</v>
      </c>
      <c r="Q84" s="21">
        <v>0</v>
      </c>
      <c r="R84" s="21">
        <v>0</v>
      </c>
      <c r="S84" s="21">
        <v>0</v>
      </c>
      <c r="T84" s="21">
        <v>0</v>
      </c>
      <c r="U84" s="21">
        <v>0</v>
      </c>
      <c r="V84" s="21">
        <v>0</v>
      </c>
      <c r="W84" s="21">
        <v>0</v>
      </c>
      <c r="X84" s="21">
        <v>0</v>
      </c>
      <c r="Y84" s="21">
        <v>0</v>
      </c>
      <c r="Z84" s="21">
        <v>0</v>
      </c>
      <c r="AA84" s="21">
        <v>0</v>
      </c>
      <c r="AB84" s="21">
        <v>0</v>
      </c>
      <c r="AC84" s="21">
        <v>0</v>
      </c>
      <c r="AD84" s="21">
        <v>0</v>
      </c>
      <c r="AE84" s="21">
        <v>0</v>
      </c>
      <c r="AF84" s="21">
        <v>0</v>
      </c>
      <c r="AG84" s="21">
        <v>0</v>
      </c>
      <c r="AH84" s="21">
        <v>0</v>
      </c>
      <c r="AI84" s="21">
        <v>0</v>
      </c>
      <c r="AJ84" s="21">
        <v>0</v>
      </c>
      <c r="AK84" s="21">
        <v>0</v>
      </c>
      <c r="AL84" s="21">
        <v>0</v>
      </c>
      <c r="AM84" s="21">
        <v>0</v>
      </c>
      <c r="AN84" s="21">
        <v>0</v>
      </c>
      <c r="AO84" s="21">
        <v>0</v>
      </c>
      <c r="AP84" s="21">
        <v>0</v>
      </c>
      <c r="AQ84" s="21">
        <v>0</v>
      </c>
      <c r="AR84" s="21">
        <v>0</v>
      </c>
      <c r="AS84" s="21">
        <v>0</v>
      </c>
      <c r="AT84" s="21">
        <v>0</v>
      </c>
      <c r="AU84" s="21">
        <v>0</v>
      </c>
      <c r="AV84" s="21">
        <v>0</v>
      </c>
      <c r="AW84" s="21">
        <v>0</v>
      </c>
      <c r="AX84" s="21">
        <v>0</v>
      </c>
      <c r="AY84" s="68"/>
    </row>
    <row r="85" spans="1:51">
      <c r="A85" s="23" t="s">
        <v>324</v>
      </c>
      <c r="B85" s="19" t="s">
        <v>325</v>
      </c>
      <c r="C85" s="19" t="s">
        <v>326</v>
      </c>
      <c r="D85" s="20">
        <f t="shared" si="1"/>
        <v>134</v>
      </c>
      <c r="E85" s="22">
        <v>90</v>
      </c>
      <c r="F85" s="21">
        <v>0</v>
      </c>
      <c r="G85" s="21">
        <v>0</v>
      </c>
      <c r="H85" s="21">
        <v>0</v>
      </c>
      <c r="I85" s="21">
        <v>0</v>
      </c>
      <c r="J85" s="21">
        <v>0</v>
      </c>
      <c r="K85" s="21">
        <v>0</v>
      </c>
      <c r="L85" s="21">
        <v>0</v>
      </c>
      <c r="M85" s="21">
        <v>0</v>
      </c>
      <c r="N85" s="21">
        <v>0</v>
      </c>
      <c r="O85" s="21">
        <v>0</v>
      </c>
      <c r="P85" s="21">
        <v>0</v>
      </c>
      <c r="Q85" s="21">
        <v>0</v>
      </c>
      <c r="R85" s="21">
        <v>0</v>
      </c>
      <c r="S85" s="21">
        <v>0</v>
      </c>
      <c r="T85" s="21">
        <v>0</v>
      </c>
      <c r="U85" s="21">
        <v>0</v>
      </c>
      <c r="V85" s="21">
        <v>0</v>
      </c>
      <c r="W85" s="21">
        <v>0</v>
      </c>
      <c r="X85" s="21">
        <v>0</v>
      </c>
      <c r="Y85" s="21">
        <v>0</v>
      </c>
      <c r="Z85" s="21">
        <v>0</v>
      </c>
      <c r="AA85" s="21">
        <v>0</v>
      </c>
      <c r="AB85" s="21">
        <v>0</v>
      </c>
      <c r="AC85" s="22">
        <v>44</v>
      </c>
      <c r="AD85" s="21">
        <v>0</v>
      </c>
      <c r="AE85" s="21">
        <v>0</v>
      </c>
      <c r="AF85" s="21">
        <v>0</v>
      </c>
      <c r="AG85" s="21">
        <v>0</v>
      </c>
      <c r="AH85" s="21">
        <v>0</v>
      </c>
      <c r="AI85" s="21">
        <v>0</v>
      </c>
      <c r="AJ85" s="21">
        <v>0</v>
      </c>
      <c r="AK85" s="21">
        <v>0</v>
      </c>
      <c r="AL85" s="21">
        <v>0</v>
      </c>
      <c r="AM85" s="21">
        <v>0</v>
      </c>
      <c r="AN85" s="21">
        <v>0</v>
      </c>
      <c r="AO85" s="21">
        <v>0</v>
      </c>
      <c r="AP85" s="21">
        <v>0</v>
      </c>
      <c r="AQ85" s="21">
        <v>0</v>
      </c>
      <c r="AR85" s="21">
        <v>0</v>
      </c>
      <c r="AS85" s="21">
        <v>0</v>
      </c>
      <c r="AT85" s="21">
        <v>0</v>
      </c>
      <c r="AU85" s="21">
        <v>0</v>
      </c>
      <c r="AV85" s="21">
        <v>0</v>
      </c>
      <c r="AW85" s="21">
        <v>0</v>
      </c>
      <c r="AX85" s="21">
        <v>0</v>
      </c>
      <c r="AY85" s="68"/>
    </row>
    <row r="86" spans="1:51">
      <c r="A86" s="23" t="s">
        <v>327</v>
      </c>
      <c r="B86" s="19" t="s">
        <v>328</v>
      </c>
      <c r="C86" s="19" t="s">
        <v>329</v>
      </c>
      <c r="D86" s="20">
        <f t="shared" si="1"/>
        <v>4</v>
      </c>
      <c r="E86" s="22">
        <v>1</v>
      </c>
      <c r="F86" s="21">
        <v>0</v>
      </c>
      <c r="G86" s="21">
        <v>0</v>
      </c>
      <c r="H86" s="21">
        <v>0</v>
      </c>
      <c r="I86" s="21">
        <v>0</v>
      </c>
      <c r="J86" s="21">
        <v>0</v>
      </c>
      <c r="K86" s="21">
        <v>0</v>
      </c>
      <c r="L86" s="21">
        <v>0</v>
      </c>
      <c r="M86" s="21">
        <v>0</v>
      </c>
      <c r="N86" s="21">
        <v>0</v>
      </c>
      <c r="O86" s="21">
        <v>0</v>
      </c>
      <c r="P86" s="21">
        <v>0</v>
      </c>
      <c r="Q86" s="21">
        <v>0</v>
      </c>
      <c r="R86" s="22">
        <v>3</v>
      </c>
      <c r="S86" s="21">
        <v>0</v>
      </c>
      <c r="T86" s="21">
        <v>0</v>
      </c>
      <c r="U86" s="21">
        <v>0</v>
      </c>
      <c r="V86" s="21">
        <v>0</v>
      </c>
      <c r="W86" s="21">
        <v>0</v>
      </c>
      <c r="X86" s="21">
        <v>0</v>
      </c>
      <c r="Y86" s="21">
        <v>0</v>
      </c>
      <c r="Z86" s="21">
        <v>0</v>
      </c>
      <c r="AA86" s="21">
        <v>0</v>
      </c>
      <c r="AB86" s="21">
        <v>0</v>
      </c>
      <c r="AC86" s="21">
        <v>0</v>
      </c>
      <c r="AD86" s="21">
        <v>0</v>
      </c>
      <c r="AE86" s="21">
        <v>0</v>
      </c>
      <c r="AF86" s="21">
        <v>0</v>
      </c>
      <c r="AG86" s="21">
        <v>0</v>
      </c>
      <c r="AH86" s="21">
        <v>0</v>
      </c>
      <c r="AI86" s="21">
        <v>0</v>
      </c>
      <c r="AJ86" s="21">
        <v>0</v>
      </c>
      <c r="AK86" s="21">
        <v>0</v>
      </c>
      <c r="AL86" s="21">
        <v>0</v>
      </c>
      <c r="AM86" s="21">
        <v>0</v>
      </c>
      <c r="AN86" s="21">
        <v>0</v>
      </c>
      <c r="AO86" s="21">
        <v>0</v>
      </c>
      <c r="AP86" s="21">
        <v>0</v>
      </c>
      <c r="AQ86" s="21">
        <v>0</v>
      </c>
      <c r="AR86" s="21">
        <v>0</v>
      </c>
      <c r="AS86" s="21">
        <v>0</v>
      </c>
      <c r="AT86" s="21">
        <v>0</v>
      </c>
      <c r="AU86" s="21">
        <v>0</v>
      </c>
      <c r="AV86" s="21">
        <v>0</v>
      </c>
      <c r="AW86" s="21">
        <v>0</v>
      </c>
      <c r="AX86" s="21">
        <v>0</v>
      </c>
      <c r="AY86" s="68"/>
    </row>
    <row r="87" spans="1:51">
      <c r="A87" s="23" t="s">
        <v>330</v>
      </c>
      <c r="B87" s="19" t="s">
        <v>331</v>
      </c>
      <c r="C87" s="19" t="s">
        <v>332</v>
      </c>
      <c r="D87" s="20">
        <f t="shared" si="1"/>
        <v>0</v>
      </c>
      <c r="E87" s="21">
        <v>0</v>
      </c>
      <c r="F87" s="21">
        <v>0</v>
      </c>
      <c r="G87" s="21">
        <v>0</v>
      </c>
      <c r="H87" s="21">
        <v>0</v>
      </c>
      <c r="I87" s="21">
        <v>0</v>
      </c>
      <c r="J87" s="21">
        <v>0</v>
      </c>
      <c r="K87" s="21">
        <v>0</v>
      </c>
      <c r="L87" s="21">
        <v>0</v>
      </c>
      <c r="M87" s="21">
        <v>0</v>
      </c>
      <c r="N87" s="21">
        <v>0</v>
      </c>
      <c r="O87" s="21">
        <v>0</v>
      </c>
      <c r="P87" s="21">
        <v>0</v>
      </c>
      <c r="Q87" s="21">
        <v>0</v>
      </c>
      <c r="R87" s="21">
        <v>0</v>
      </c>
      <c r="S87" s="21">
        <v>0</v>
      </c>
      <c r="T87" s="21">
        <v>0</v>
      </c>
      <c r="U87" s="21">
        <v>0</v>
      </c>
      <c r="V87" s="21">
        <v>0</v>
      </c>
      <c r="W87" s="21">
        <v>0</v>
      </c>
      <c r="X87" s="21">
        <v>0</v>
      </c>
      <c r="Y87" s="21">
        <v>0</v>
      </c>
      <c r="Z87" s="21">
        <v>0</v>
      </c>
      <c r="AA87" s="21">
        <v>0</v>
      </c>
      <c r="AB87" s="21">
        <v>0</v>
      </c>
      <c r="AC87" s="21">
        <v>0</v>
      </c>
      <c r="AD87" s="21">
        <v>0</v>
      </c>
      <c r="AE87" s="21">
        <v>0</v>
      </c>
      <c r="AF87" s="21">
        <v>0</v>
      </c>
      <c r="AG87" s="21">
        <v>0</v>
      </c>
      <c r="AH87" s="21">
        <v>0</v>
      </c>
      <c r="AI87" s="21">
        <v>0</v>
      </c>
      <c r="AJ87" s="21">
        <v>0</v>
      </c>
      <c r="AK87" s="21">
        <v>0</v>
      </c>
      <c r="AL87" s="21">
        <v>0</v>
      </c>
      <c r="AM87" s="21">
        <v>0</v>
      </c>
      <c r="AN87" s="21">
        <v>0</v>
      </c>
      <c r="AO87" s="21">
        <v>0</v>
      </c>
      <c r="AP87" s="21">
        <v>0</v>
      </c>
      <c r="AQ87" s="21">
        <v>0</v>
      </c>
      <c r="AR87" s="21">
        <v>0</v>
      </c>
      <c r="AS87" s="21">
        <v>0</v>
      </c>
      <c r="AT87" s="21">
        <v>0</v>
      </c>
      <c r="AU87" s="21">
        <v>0</v>
      </c>
      <c r="AV87" s="21">
        <v>0</v>
      </c>
      <c r="AW87" s="21">
        <v>0</v>
      </c>
      <c r="AX87" s="21">
        <v>0</v>
      </c>
      <c r="AY87" s="68"/>
    </row>
    <row r="88" spans="1:51">
      <c r="A88" s="24" t="s">
        <v>333</v>
      </c>
      <c r="B88" s="25"/>
      <c r="C88" s="25"/>
      <c r="D88" s="16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67"/>
    </row>
    <row r="89" spans="1:51">
      <c r="A89" s="19" t="s">
        <v>334</v>
      </c>
      <c r="B89" s="19" t="s">
        <v>335</v>
      </c>
      <c r="C89" s="19" t="s">
        <v>336</v>
      </c>
      <c r="D89" s="20">
        <f t="shared" ref="D89:D102" si="2">SUM(E89:AX89)</f>
        <v>47119.179999999993</v>
      </c>
      <c r="E89" s="22">
        <v>18543.810000000001</v>
      </c>
      <c r="F89" s="22">
        <v>1461.32</v>
      </c>
      <c r="G89" s="21">
        <v>0</v>
      </c>
      <c r="H89" s="22">
        <v>1376</v>
      </c>
      <c r="I89" s="21">
        <v>0</v>
      </c>
      <c r="J89" s="21">
        <v>0</v>
      </c>
      <c r="K89" s="21">
        <v>0</v>
      </c>
      <c r="L89" s="21">
        <v>0</v>
      </c>
      <c r="M89" s="21">
        <v>0</v>
      </c>
      <c r="N89" s="22">
        <v>1476.7599999999995</v>
      </c>
      <c r="O89" s="21">
        <v>0</v>
      </c>
      <c r="P89" s="21">
        <v>0</v>
      </c>
      <c r="Q89" s="22">
        <v>1969.75</v>
      </c>
      <c r="R89" s="22">
        <v>1669.98</v>
      </c>
      <c r="S89" s="21">
        <v>0</v>
      </c>
      <c r="T89" s="22">
        <v>169.21</v>
      </c>
      <c r="U89" s="22">
        <v>1001.9099999999999</v>
      </c>
      <c r="V89" s="21">
        <v>0</v>
      </c>
      <c r="W89" s="21">
        <v>0</v>
      </c>
      <c r="X89" s="21">
        <v>0</v>
      </c>
      <c r="Y89" s="22">
        <v>1855.74</v>
      </c>
      <c r="Z89" s="21">
        <v>0</v>
      </c>
      <c r="AA89" s="22">
        <v>451.3</v>
      </c>
      <c r="AB89" s="21">
        <v>0</v>
      </c>
      <c r="AC89" s="22">
        <v>10250.92</v>
      </c>
      <c r="AD89" s="22">
        <v>488</v>
      </c>
      <c r="AE89" s="21">
        <v>0</v>
      </c>
      <c r="AF89" s="22">
        <v>415.27</v>
      </c>
      <c r="AG89" s="22">
        <v>795.22</v>
      </c>
      <c r="AH89" s="21">
        <v>0</v>
      </c>
      <c r="AI89" s="21">
        <v>0</v>
      </c>
      <c r="AJ89" s="22">
        <v>1313.98</v>
      </c>
      <c r="AK89" s="21">
        <v>0</v>
      </c>
      <c r="AL89" s="21">
        <v>0</v>
      </c>
      <c r="AM89" s="21">
        <v>0</v>
      </c>
      <c r="AN89" s="22">
        <v>2185.7199999999998</v>
      </c>
      <c r="AO89" s="21">
        <v>0</v>
      </c>
      <c r="AP89" s="21">
        <v>0</v>
      </c>
      <c r="AQ89" s="22">
        <v>537.53</v>
      </c>
      <c r="AR89" s="21">
        <v>0</v>
      </c>
      <c r="AS89" s="22">
        <v>93.27</v>
      </c>
      <c r="AT89" s="22">
        <v>173.97000000000003</v>
      </c>
      <c r="AU89" s="22">
        <v>751.52</v>
      </c>
      <c r="AV89" s="21">
        <v>0</v>
      </c>
      <c r="AW89" s="22">
        <v>138</v>
      </c>
      <c r="AX89" s="21">
        <v>0</v>
      </c>
      <c r="AY89" s="67"/>
    </row>
    <row r="90" spans="1:51">
      <c r="A90" s="19" t="s">
        <v>337</v>
      </c>
      <c r="B90" s="19" t="s">
        <v>338</v>
      </c>
      <c r="C90" s="19" t="s">
        <v>336</v>
      </c>
      <c r="D90" s="20">
        <f t="shared" si="2"/>
        <v>47119.179999999993</v>
      </c>
      <c r="E90" s="22">
        <v>18543.810000000001</v>
      </c>
      <c r="F90" s="22">
        <v>1461.32</v>
      </c>
      <c r="G90" s="21">
        <v>0</v>
      </c>
      <c r="H90" s="22">
        <v>1376</v>
      </c>
      <c r="I90" s="21">
        <v>0</v>
      </c>
      <c r="J90" s="21">
        <v>0</v>
      </c>
      <c r="K90" s="21">
        <v>0</v>
      </c>
      <c r="L90" s="21">
        <v>0</v>
      </c>
      <c r="M90" s="21">
        <v>0</v>
      </c>
      <c r="N90" s="22">
        <v>1476.7599999999995</v>
      </c>
      <c r="O90" s="21">
        <v>0</v>
      </c>
      <c r="P90" s="21">
        <v>0</v>
      </c>
      <c r="Q90" s="22">
        <v>1969.75</v>
      </c>
      <c r="R90" s="22">
        <v>1669.98</v>
      </c>
      <c r="S90" s="21">
        <v>0</v>
      </c>
      <c r="T90" s="22">
        <v>169.21</v>
      </c>
      <c r="U90" s="22">
        <v>1001.9099999999999</v>
      </c>
      <c r="V90" s="21">
        <v>0</v>
      </c>
      <c r="W90" s="21">
        <v>0</v>
      </c>
      <c r="X90" s="21">
        <v>0</v>
      </c>
      <c r="Y90" s="22">
        <v>1855.74</v>
      </c>
      <c r="Z90" s="21">
        <v>0</v>
      </c>
      <c r="AA90" s="22">
        <v>451.3</v>
      </c>
      <c r="AB90" s="21">
        <v>0</v>
      </c>
      <c r="AC90" s="22">
        <v>10250.92</v>
      </c>
      <c r="AD90" s="22">
        <v>488</v>
      </c>
      <c r="AE90" s="21">
        <v>0</v>
      </c>
      <c r="AF90" s="22">
        <v>415.27</v>
      </c>
      <c r="AG90" s="22">
        <v>795.22</v>
      </c>
      <c r="AH90" s="21">
        <v>0</v>
      </c>
      <c r="AI90" s="21">
        <v>0</v>
      </c>
      <c r="AJ90" s="22">
        <v>1313.98</v>
      </c>
      <c r="AK90" s="21">
        <v>0</v>
      </c>
      <c r="AL90" s="21">
        <v>0</v>
      </c>
      <c r="AM90" s="21">
        <v>0</v>
      </c>
      <c r="AN90" s="22">
        <v>2185.7199999999998</v>
      </c>
      <c r="AO90" s="21">
        <v>0</v>
      </c>
      <c r="AP90" s="21">
        <v>0</v>
      </c>
      <c r="AQ90" s="22">
        <v>537.53</v>
      </c>
      <c r="AR90" s="21">
        <v>0</v>
      </c>
      <c r="AS90" s="22">
        <v>93.27</v>
      </c>
      <c r="AT90" s="22">
        <v>173.97000000000003</v>
      </c>
      <c r="AU90" s="22">
        <v>751.52</v>
      </c>
      <c r="AV90" s="21">
        <v>0</v>
      </c>
      <c r="AW90" s="22">
        <v>138</v>
      </c>
      <c r="AX90" s="21">
        <v>0</v>
      </c>
      <c r="AY90" s="67"/>
    </row>
    <row r="91" spans="1:51">
      <c r="A91" s="23" t="s">
        <v>339</v>
      </c>
      <c r="B91" s="19" t="s">
        <v>340</v>
      </c>
      <c r="C91" s="19" t="s">
        <v>196</v>
      </c>
      <c r="D91" s="20">
        <f t="shared" si="2"/>
        <v>47119.179999999993</v>
      </c>
      <c r="E91" s="22">
        <v>18543.810000000001</v>
      </c>
      <c r="F91" s="22">
        <v>1461.32</v>
      </c>
      <c r="G91" s="21">
        <v>0</v>
      </c>
      <c r="H91" s="22">
        <v>1376</v>
      </c>
      <c r="I91" s="21">
        <v>0</v>
      </c>
      <c r="J91" s="21">
        <v>0</v>
      </c>
      <c r="K91" s="21">
        <v>0</v>
      </c>
      <c r="L91" s="21">
        <v>0</v>
      </c>
      <c r="M91" s="21">
        <v>0</v>
      </c>
      <c r="N91" s="22">
        <v>1476.7599999999995</v>
      </c>
      <c r="O91" s="21">
        <v>0</v>
      </c>
      <c r="P91" s="21">
        <v>0</v>
      </c>
      <c r="Q91" s="22">
        <v>1969.75</v>
      </c>
      <c r="R91" s="22">
        <v>1669.98</v>
      </c>
      <c r="S91" s="21">
        <v>0</v>
      </c>
      <c r="T91" s="22">
        <v>169.21</v>
      </c>
      <c r="U91" s="22">
        <v>1001.9099999999999</v>
      </c>
      <c r="V91" s="21">
        <v>0</v>
      </c>
      <c r="W91" s="21">
        <v>0</v>
      </c>
      <c r="X91" s="21">
        <v>0</v>
      </c>
      <c r="Y91" s="22">
        <v>1855.74</v>
      </c>
      <c r="Z91" s="21">
        <v>0</v>
      </c>
      <c r="AA91" s="22">
        <v>451.3</v>
      </c>
      <c r="AB91" s="21">
        <v>0</v>
      </c>
      <c r="AC91" s="22">
        <v>10250.92</v>
      </c>
      <c r="AD91" s="22">
        <v>488</v>
      </c>
      <c r="AE91" s="21">
        <v>0</v>
      </c>
      <c r="AF91" s="22">
        <v>415.27</v>
      </c>
      <c r="AG91" s="22">
        <v>795.22</v>
      </c>
      <c r="AH91" s="21">
        <v>0</v>
      </c>
      <c r="AI91" s="21">
        <v>0</v>
      </c>
      <c r="AJ91" s="22">
        <v>1313.98</v>
      </c>
      <c r="AK91" s="21">
        <v>0</v>
      </c>
      <c r="AL91" s="21">
        <v>0</v>
      </c>
      <c r="AM91" s="21">
        <v>0</v>
      </c>
      <c r="AN91" s="22">
        <v>2185.7199999999998</v>
      </c>
      <c r="AO91" s="21">
        <v>0</v>
      </c>
      <c r="AP91" s="21">
        <v>0</v>
      </c>
      <c r="AQ91" s="22">
        <v>537.53</v>
      </c>
      <c r="AR91" s="21">
        <v>0</v>
      </c>
      <c r="AS91" s="22">
        <v>93.27</v>
      </c>
      <c r="AT91" s="22">
        <v>173.97000000000003</v>
      </c>
      <c r="AU91" s="22">
        <v>751.52</v>
      </c>
      <c r="AV91" s="21">
        <v>0</v>
      </c>
      <c r="AW91" s="22">
        <v>138</v>
      </c>
      <c r="AX91" s="21">
        <v>0</v>
      </c>
      <c r="AY91" s="67"/>
    </row>
    <row r="92" spans="1:51">
      <c r="A92" s="23" t="s">
        <v>341</v>
      </c>
      <c r="B92" s="19" t="s">
        <v>342</v>
      </c>
      <c r="C92" s="19" t="s">
        <v>196</v>
      </c>
      <c r="D92" s="20">
        <f t="shared" si="2"/>
        <v>47119.179999999993</v>
      </c>
      <c r="E92" s="22">
        <v>18543.810000000001</v>
      </c>
      <c r="F92" s="22">
        <v>1461.32</v>
      </c>
      <c r="G92" s="21">
        <v>0</v>
      </c>
      <c r="H92" s="22">
        <v>1376</v>
      </c>
      <c r="I92" s="21">
        <v>0</v>
      </c>
      <c r="J92" s="21">
        <v>0</v>
      </c>
      <c r="K92" s="21">
        <v>0</v>
      </c>
      <c r="L92" s="21">
        <v>0</v>
      </c>
      <c r="M92" s="21">
        <v>0</v>
      </c>
      <c r="N92" s="22">
        <v>1476.7599999999995</v>
      </c>
      <c r="O92" s="21">
        <v>0</v>
      </c>
      <c r="P92" s="21">
        <v>0</v>
      </c>
      <c r="Q92" s="22">
        <v>1969.75</v>
      </c>
      <c r="R92" s="22">
        <v>1669.98</v>
      </c>
      <c r="S92" s="21">
        <v>0</v>
      </c>
      <c r="T92" s="22">
        <v>169.21</v>
      </c>
      <c r="U92" s="22">
        <v>1001.9099999999999</v>
      </c>
      <c r="V92" s="21">
        <v>0</v>
      </c>
      <c r="W92" s="21">
        <v>0</v>
      </c>
      <c r="X92" s="21">
        <v>0</v>
      </c>
      <c r="Y92" s="22">
        <v>1855.74</v>
      </c>
      <c r="Z92" s="21">
        <v>0</v>
      </c>
      <c r="AA92" s="22">
        <v>451.3</v>
      </c>
      <c r="AB92" s="21">
        <v>0</v>
      </c>
      <c r="AC92" s="22">
        <v>10250.92</v>
      </c>
      <c r="AD92" s="22">
        <v>488</v>
      </c>
      <c r="AE92" s="21">
        <v>0</v>
      </c>
      <c r="AF92" s="22">
        <v>415.27</v>
      </c>
      <c r="AG92" s="22">
        <v>795.22</v>
      </c>
      <c r="AH92" s="21">
        <v>0</v>
      </c>
      <c r="AI92" s="21">
        <v>0</v>
      </c>
      <c r="AJ92" s="22">
        <v>1313.98</v>
      </c>
      <c r="AK92" s="21">
        <v>0</v>
      </c>
      <c r="AL92" s="21">
        <v>0</v>
      </c>
      <c r="AM92" s="21">
        <v>0</v>
      </c>
      <c r="AN92" s="22">
        <v>2185.7199999999998</v>
      </c>
      <c r="AO92" s="21">
        <v>0</v>
      </c>
      <c r="AP92" s="21">
        <v>0</v>
      </c>
      <c r="AQ92" s="22">
        <v>537.53</v>
      </c>
      <c r="AR92" s="21">
        <v>0</v>
      </c>
      <c r="AS92" s="22">
        <v>93.27</v>
      </c>
      <c r="AT92" s="22">
        <v>173.97000000000003</v>
      </c>
      <c r="AU92" s="22">
        <v>751.52</v>
      </c>
      <c r="AV92" s="21">
        <v>0</v>
      </c>
      <c r="AW92" s="22">
        <v>138</v>
      </c>
      <c r="AX92" s="21">
        <v>0</v>
      </c>
      <c r="AY92" s="67"/>
    </row>
    <row r="93" spans="1:51">
      <c r="A93" s="23" t="s">
        <v>343</v>
      </c>
      <c r="B93" s="19" t="s">
        <v>344</v>
      </c>
      <c r="C93" s="19" t="s">
        <v>345</v>
      </c>
      <c r="D93" s="20">
        <f t="shared" si="2"/>
        <v>531</v>
      </c>
      <c r="E93" s="22">
        <v>292</v>
      </c>
      <c r="F93" s="22">
        <v>1</v>
      </c>
      <c r="G93" s="21">
        <v>0</v>
      </c>
      <c r="H93" s="22">
        <v>37</v>
      </c>
      <c r="I93" s="21">
        <v>0</v>
      </c>
      <c r="J93" s="21">
        <v>0</v>
      </c>
      <c r="K93" s="21">
        <v>0</v>
      </c>
      <c r="L93" s="21">
        <v>0</v>
      </c>
      <c r="M93" s="21">
        <v>0</v>
      </c>
      <c r="N93" s="22">
        <v>11</v>
      </c>
      <c r="O93" s="22">
        <v>9</v>
      </c>
      <c r="P93" s="21">
        <v>0</v>
      </c>
      <c r="Q93" s="21">
        <v>0</v>
      </c>
      <c r="R93" s="22">
        <v>9</v>
      </c>
      <c r="S93" s="21">
        <v>0</v>
      </c>
      <c r="T93" s="21">
        <v>0</v>
      </c>
      <c r="U93" s="22">
        <v>11</v>
      </c>
      <c r="V93" s="21">
        <v>0</v>
      </c>
      <c r="W93" s="21">
        <v>0</v>
      </c>
      <c r="X93" s="21">
        <v>0</v>
      </c>
      <c r="Y93" s="22">
        <v>10</v>
      </c>
      <c r="Z93" s="21">
        <v>0</v>
      </c>
      <c r="AA93" s="21">
        <v>0</v>
      </c>
      <c r="AB93" s="21">
        <v>0</v>
      </c>
      <c r="AC93" s="22">
        <v>97</v>
      </c>
      <c r="AD93" s="21">
        <v>0</v>
      </c>
      <c r="AE93" s="21">
        <v>0</v>
      </c>
      <c r="AF93" s="22">
        <v>10</v>
      </c>
      <c r="AG93" s="22">
        <v>4</v>
      </c>
      <c r="AH93" s="21">
        <v>0</v>
      </c>
      <c r="AI93" s="21">
        <v>0</v>
      </c>
      <c r="AJ93" s="22">
        <v>8</v>
      </c>
      <c r="AK93" s="21">
        <v>0</v>
      </c>
      <c r="AL93" s="21">
        <v>0</v>
      </c>
      <c r="AM93" s="22">
        <v>7</v>
      </c>
      <c r="AN93" s="22">
        <v>25</v>
      </c>
      <c r="AO93" s="21">
        <v>0</v>
      </c>
      <c r="AP93" s="21">
        <v>0</v>
      </c>
      <c r="AQ93" s="21">
        <v>0</v>
      </c>
      <c r="AR93" s="21">
        <v>0</v>
      </c>
      <c r="AS93" s="21">
        <v>0</v>
      </c>
      <c r="AT93" s="21">
        <v>0</v>
      </c>
      <c r="AU93" s="21">
        <v>0</v>
      </c>
      <c r="AV93" s="21">
        <v>0</v>
      </c>
      <c r="AW93" s="21">
        <v>0</v>
      </c>
      <c r="AX93" s="21">
        <v>0</v>
      </c>
      <c r="AY93" s="67"/>
    </row>
    <row r="94" spans="1:51">
      <c r="A94" s="23" t="s">
        <v>346</v>
      </c>
      <c r="B94" s="19" t="s">
        <v>347</v>
      </c>
      <c r="C94" s="19" t="s">
        <v>348</v>
      </c>
      <c r="D94" s="20">
        <f t="shared" si="2"/>
        <v>925</v>
      </c>
      <c r="E94" s="22">
        <v>331</v>
      </c>
      <c r="F94" s="22">
        <v>42</v>
      </c>
      <c r="G94" s="22">
        <v>3</v>
      </c>
      <c r="H94" s="22">
        <v>22</v>
      </c>
      <c r="I94" s="22">
        <v>3</v>
      </c>
      <c r="J94" s="22">
        <v>5</v>
      </c>
      <c r="K94" s="22">
        <v>6</v>
      </c>
      <c r="L94" s="22">
        <v>2</v>
      </c>
      <c r="M94" s="22">
        <v>2</v>
      </c>
      <c r="N94" s="22">
        <v>108</v>
      </c>
      <c r="O94" s="22">
        <v>13</v>
      </c>
      <c r="P94" s="22">
        <v>4</v>
      </c>
      <c r="Q94" s="22">
        <v>5</v>
      </c>
      <c r="R94" s="22">
        <v>13</v>
      </c>
      <c r="S94" s="22">
        <v>18</v>
      </c>
      <c r="T94" s="22">
        <v>5</v>
      </c>
      <c r="U94" s="22">
        <v>10</v>
      </c>
      <c r="V94" s="22">
        <v>6</v>
      </c>
      <c r="W94" s="22">
        <v>2</v>
      </c>
      <c r="X94" s="22">
        <v>3</v>
      </c>
      <c r="Y94" s="22">
        <v>23</v>
      </c>
      <c r="Z94" s="22">
        <v>2</v>
      </c>
      <c r="AA94" s="22">
        <v>5</v>
      </c>
      <c r="AB94" s="22">
        <v>2</v>
      </c>
      <c r="AC94" s="22">
        <v>131</v>
      </c>
      <c r="AD94" s="22">
        <v>7</v>
      </c>
      <c r="AE94" s="22">
        <v>10</v>
      </c>
      <c r="AF94" s="22">
        <v>10</v>
      </c>
      <c r="AG94" s="22">
        <v>8</v>
      </c>
      <c r="AH94" s="22">
        <v>4</v>
      </c>
      <c r="AI94" s="21">
        <v>0</v>
      </c>
      <c r="AJ94" s="22">
        <v>10</v>
      </c>
      <c r="AK94" s="22">
        <v>6</v>
      </c>
      <c r="AL94" s="22">
        <v>6</v>
      </c>
      <c r="AM94" s="22">
        <v>7</v>
      </c>
      <c r="AN94" s="22">
        <v>41</v>
      </c>
      <c r="AO94" s="22">
        <v>2</v>
      </c>
      <c r="AP94" s="22">
        <v>6</v>
      </c>
      <c r="AQ94" s="22">
        <v>6</v>
      </c>
      <c r="AR94" s="22">
        <v>7</v>
      </c>
      <c r="AS94" s="22">
        <v>2</v>
      </c>
      <c r="AT94" s="22">
        <v>2</v>
      </c>
      <c r="AU94" s="22">
        <v>10</v>
      </c>
      <c r="AV94" s="22">
        <v>2</v>
      </c>
      <c r="AW94" s="22">
        <v>10</v>
      </c>
      <c r="AX94" s="22">
        <v>3</v>
      </c>
      <c r="AY94" s="67"/>
    </row>
    <row r="95" spans="1:51">
      <c r="A95" s="23" t="s">
        <v>349</v>
      </c>
      <c r="B95" s="19" t="s">
        <v>350</v>
      </c>
      <c r="C95" s="19" t="s">
        <v>351</v>
      </c>
      <c r="D95" s="20">
        <f t="shared" si="2"/>
        <v>3</v>
      </c>
      <c r="E95" s="22">
        <v>3</v>
      </c>
      <c r="F95" s="21">
        <v>0</v>
      </c>
      <c r="G95" s="21">
        <v>0</v>
      </c>
      <c r="H95" s="21">
        <v>0</v>
      </c>
      <c r="I95" s="21">
        <v>0</v>
      </c>
      <c r="J95" s="21">
        <v>0</v>
      </c>
      <c r="K95" s="21">
        <v>0</v>
      </c>
      <c r="L95" s="21">
        <v>0</v>
      </c>
      <c r="M95" s="21">
        <v>0</v>
      </c>
      <c r="N95" s="21">
        <v>0</v>
      </c>
      <c r="O95" s="21">
        <v>0</v>
      </c>
      <c r="P95" s="21">
        <v>0</v>
      </c>
      <c r="Q95" s="21">
        <v>0</v>
      </c>
      <c r="R95" s="21">
        <v>0</v>
      </c>
      <c r="S95" s="21">
        <v>0</v>
      </c>
      <c r="T95" s="21">
        <v>0</v>
      </c>
      <c r="U95" s="21">
        <v>0</v>
      </c>
      <c r="V95" s="21">
        <v>0</v>
      </c>
      <c r="W95" s="21">
        <v>0</v>
      </c>
      <c r="X95" s="21">
        <v>0</v>
      </c>
      <c r="Y95" s="21">
        <v>0</v>
      </c>
      <c r="Z95" s="21">
        <v>0</v>
      </c>
      <c r="AA95" s="21">
        <v>0</v>
      </c>
      <c r="AB95" s="21">
        <v>0</v>
      </c>
      <c r="AC95" s="21">
        <v>0</v>
      </c>
      <c r="AD95" s="21">
        <v>0</v>
      </c>
      <c r="AE95" s="21">
        <v>0</v>
      </c>
      <c r="AF95" s="21">
        <v>0</v>
      </c>
      <c r="AG95" s="21">
        <v>0</v>
      </c>
      <c r="AH95" s="21">
        <v>0</v>
      </c>
      <c r="AI95" s="21">
        <v>0</v>
      </c>
      <c r="AJ95" s="21">
        <v>0</v>
      </c>
      <c r="AK95" s="21">
        <v>0</v>
      </c>
      <c r="AL95" s="21">
        <v>0</v>
      </c>
      <c r="AM95" s="21">
        <v>0</v>
      </c>
      <c r="AN95" s="21">
        <v>0</v>
      </c>
      <c r="AO95" s="21">
        <v>0</v>
      </c>
      <c r="AP95" s="21">
        <v>0</v>
      </c>
      <c r="AQ95" s="21">
        <v>0</v>
      </c>
      <c r="AR95" s="21">
        <v>0</v>
      </c>
      <c r="AS95" s="21">
        <v>0</v>
      </c>
      <c r="AT95" s="21">
        <v>0</v>
      </c>
      <c r="AU95" s="21">
        <v>0</v>
      </c>
      <c r="AV95" s="21">
        <v>0</v>
      </c>
      <c r="AW95" s="21">
        <v>0</v>
      </c>
      <c r="AX95" s="21">
        <v>0</v>
      </c>
      <c r="AY95" s="67"/>
    </row>
    <row r="96" spans="1:51">
      <c r="A96" s="23" t="s">
        <v>352</v>
      </c>
      <c r="B96" s="19" t="s">
        <v>353</v>
      </c>
      <c r="C96" s="19" t="s">
        <v>242</v>
      </c>
      <c r="D96" s="20">
        <f t="shared" si="2"/>
        <v>6</v>
      </c>
      <c r="E96" s="22">
        <v>1</v>
      </c>
      <c r="F96" s="21">
        <v>0</v>
      </c>
      <c r="G96" s="21">
        <v>0</v>
      </c>
      <c r="H96" s="22">
        <v>1</v>
      </c>
      <c r="I96" s="21">
        <v>0</v>
      </c>
      <c r="J96" s="21">
        <v>0</v>
      </c>
      <c r="K96" s="21">
        <v>0</v>
      </c>
      <c r="L96" s="21">
        <v>0</v>
      </c>
      <c r="M96" s="21">
        <v>0</v>
      </c>
      <c r="N96" s="22">
        <v>1</v>
      </c>
      <c r="O96" s="21">
        <v>0</v>
      </c>
      <c r="P96" s="21">
        <v>0</v>
      </c>
      <c r="Q96" s="21">
        <v>0</v>
      </c>
      <c r="R96" s="21">
        <v>0</v>
      </c>
      <c r="S96" s="21">
        <v>0</v>
      </c>
      <c r="T96" s="21">
        <v>0</v>
      </c>
      <c r="U96" s="21">
        <v>0</v>
      </c>
      <c r="V96" s="21">
        <v>0</v>
      </c>
      <c r="W96" s="21">
        <v>0</v>
      </c>
      <c r="X96" s="21">
        <v>0</v>
      </c>
      <c r="Y96" s="22">
        <v>1</v>
      </c>
      <c r="Z96" s="21">
        <v>0</v>
      </c>
      <c r="AA96" s="21">
        <v>0</v>
      </c>
      <c r="AB96" s="21">
        <v>0</v>
      </c>
      <c r="AC96" s="22">
        <v>1</v>
      </c>
      <c r="AD96" s="21">
        <v>0</v>
      </c>
      <c r="AE96" s="21">
        <v>0</v>
      </c>
      <c r="AF96" s="21">
        <v>0</v>
      </c>
      <c r="AG96" s="21">
        <v>0</v>
      </c>
      <c r="AH96" s="21">
        <v>0</v>
      </c>
      <c r="AI96" s="21">
        <v>0</v>
      </c>
      <c r="AJ96" s="21">
        <v>0</v>
      </c>
      <c r="AK96" s="21">
        <v>0</v>
      </c>
      <c r="AL96" s="21">
        <v>0</v>
      </c>
      <c r="AM96" s="21">
        <v>0</v>
      </c>
      <c r="AN96" s="22">
        <v>1</v>
      </c>
      <c r="AO96" s="21">
        <v>0</v>
      </c>
      <c r="AP96" s="21">
        <v>0</v>
      </c>
      <c r="AQ96" s="21">
        <v>0</v>
      </c>
      <c r="AR96" s="21">
        <v>0</v>
      </c>
      <c r="AS96" s="21">
        <v>0</v>
      </c>
      <c r="AT96" s="21">
        <v>0</v>
      </c>
      <c r="AU96" s="21">
        <v>0</v>
      </c>
      <c r="AV96" s="21">
        <v>0</v>
      </c>
      <c r="AW96" s="21">
        <v>0</v>
      </c>
      <c r="AX96" s="21">
        <v>0</v>
      </c>
      <c r="AY96" s="67"/>
    </row>
    <row r="97" spans="1:51">
      <c r="A97" s="23" t="s">
        <v>354</v>
      </c>
      <c r="B97" s="19" t="s">
        <v>355</v>
      </c>
      <c r="C97" s="19" t="s">
        <v>356</v>
      </c>
      <c r="D97" s="20">
        <f t="shared" si="2"/>
        <v>267</v>
      </c>
      <c r="E97" s="22">
        <v>66</v>
      </c>
      <c r="F97" s="22">
        <v>10</v>
      </c>
      <c r="G97" s="21">
        <v>0</v>
      </c>
      <c r="H97" s="22">
        <v>6</v>
      </c>
      <c r="I97" s="21">
        <v>0</v>
      </c>
      <c r="J97" s="21">
        <v>0</v>
      </c>
      <c r="K97" s="21">
        <v>0</v>
      </c>
      <c r="L97" s="21">
        <v>0</v>
      </c>
      <c r="M97" s="21">
        <v>0</v>
      </c>
      <c r="N97" s="22">
        <v>10</v>
      </c>
      <c r="O97" s="21">
        <v>0</v>
      </c>
      <c r="P97" s="21">
        <v>0</v>
      </c>
      <c r="Q97" s="21">
        <v>0</v>
      </c>
      <c r="R97" s="21">
        <v>0</v>
      </c>
      <c r="S97" s="22">
        <v>3</v>
      </c>
      <c r="T97" s="21">
        <v>0</v>
      </c>
      <c r="U97" s="21">
        <v>0</v>
      </c>
      <c r="V97" s="21">
        <v>0</v>
      </c>
      <c r="W97" s="21">
        <v>0</v>
      </c>
      <c r="X97" s="21">
        <v>0</v>
      </c>
      <c r="Y97" s="22">
        <v>125</v>
      </c>
      <c r="Z97" s="21">
        <v>0</v>
      </c>
      <c r="AA97" s="21">
        <v>0</v>
      </c>
      <c r="AB97" s="21">
        <v>0</v>
      </c>
      <c r="AC97" s="22">
        <v>43</v>
      </c>
      <c r="AD97" s="21">
        <v>0</v>
      </c>
      <c r="AE97" s="21">
        <v>0</v>
      </c>
      <c r="AF97" s="21">
        <v>0</v>
      </c>
      <c r="AG97" s="21">
        <v>0</v>
      </c>
      <c r="AH97" s="21">
        <v>0</v>
      </c>
      <c r="AI97" s="21">
        <v>0</v>
      </c>
      <c r="AJ97" s="22">
        <v>3</v>
      </c>
      <c r="AK97" s="21">
        <v>0</v>
      </c>
      <c r="AL97" s="21">
        <v>0</v>
      </c>
      <c r="AM97" s="21">
        <v>0</v>
      </c>
      <c r="AN97" s="22">
        <v>1</v>
      </c>
      <c r="AO97" s="21">
        <v>0</v>
      </c>
      <c r="AP97" s="21">
        <v>0</v>
      </c>
      <c r="AQ97" s="21">
        <v>0</v>
      </c>
      <c r="AR97" s="21">
        <v>0</v>
      </c>
      <c r="AS97" s="21">
        <v>0</v>
      </c>
      <c r="AT97" s="21">
        <v>0</v>
      </c>
      <c r="AU97" s="21">
        <v>0</v>
      </c>
      <c r="AV97" s="21">
        <v>0</v>
      </c>
      <c r="AW97" s="21">
        <v>0</v>
      </c>
      <c r="AX97" s="21">
        <v>0</v>
      </c>
      <c r="AY97" s="67"/>
    </row>
    <row r="98" spans="1:51">
      <c r="A98" s="23" t="s">
        <v>357</v>
      </c>
      <c r="B98" s="19" t="s">
        <v>358</v>
      </c>
      <c r="C98" s="19" t="s">
        <v>359</v>
      </c>
      <c r="D98" s="20">
        <f t="shared" si="2"/>
        <v>1</v>
      </c>
      <c r="E98" s="21">
        <v>0</v>
      </c>
      <c r="F98" s="22">
        <v>1</v>
      </c>
      <c r="G98" s="21">
        <v>0</v>
      </c>
      <c r="H98" s="21">
        <v>0</v>
      </c>
      <c r="I98" s="21">
        <v>0</v>
      </c>
      <c r="J98" s="21">
        <v>0</v>
      </c>
      <c r="K98" s="21">
        <v>0</v>
      </c>
      <c r="L98" s="21">
        <v>0</v>
      </c>
      <c r="M98" s="21">
        <v>0</v>
      </c>
      <c r="N98" s="21">
        <v>0</v>
      </c>
      <c r="O98" s="21">
        <v>0</v>
      </c>
      <c r="P98" s="21">
        <v>0</v>
      </c>
      <c r="Q98" s="21">
        <v>0</v>
      </c>
      <c r="R98" s="21">
        <v>0</v>
      </c>
      <c r="S98" s="21">
        <v>0</v>
      </c>
      <c r="T98" s="21">
        <v>0</v>
      </c>
      <c r="U98" s="21">
        <v>0</v>
      </c>
      <c r="V98" s="21">
        <v>0</v>
      </c>
      <c r="W98" s="21">
        <v>0</v>
      </c>
      <c r="X98" s="21">
        <v>0</v>
      </c>
      <c r="Y98" s="21">
        <v>0</v>
      </c>
      <c r="Z98" s="21">
        <v>0</v>
      </c>
      <c r="AA98" s="21">
        <v>0</v>
      </c>
      <c r="AB98" s="21">
        <v>0</v>
      </c>
      <c r="AC98" s="21">
        <v>0</v>
      </c>
      <c r="AD98" s="21">
        <v>0</v>
      </c>
      <c r="AE98" s="21">
        <v>0</v>
      </c>
      <c r="AF98" s="21">
        <v>0</v>
      </c>
      <c r="AG98" s="21">
        <v>0</v>
      </c>
      <c r="AH98" s="21">
        <v>0</v>
      </c>
      <c r="AI98" s="21">
        <v>0</v>
      </c>
      <c r="AJ98" s="21">
        <v>0</v>
      </c>
      <c r="AK98" s="21">
        <v>0</v>
      </c>
      <c r="AL98" s="21">
        <v>0</v>
      </c>
      <c r="AM98" s="21">
        <v>0</v>
      </c>
      <c r="AN98" s="21">
        <v>0</v>
      </c>
      <c r="AO98" s="21">
        <v>0</v>
      </c>
      <c r="AP98" s="21">
        <v>0</v>
      </c>
      <c r="AQ98" s="21">
        <v>0</v>
      </c>
      <c r="AR98" s="21">
        <v>0</v>
      </c>
      <c r="AS98" s="21">
        <v>0</v>
      </c>
      <c r="AT98" s="21">
        <v>0</v>
      </c>
      <c r="AU98" s="21">
        <v>0</v>
      </c>
      <c r="AV98" s="21">
        <v>0</v>
      </c>
      <c r="AW98" s="21">
        <v>0</v>
      </c>
      <c r="AX98" s="21">
        <v>0</v>
      </c>
      <c r="AY98" s="67"/>
    </row>
    <row r="99" spans="1:51" ht="32.1">
      <c r="A99" s="23" t="s">
        <v>360</v>
      </c>
      <c r="B99" s="19" t="s">
        <v>361</v>
      </c>
      <c r="C99" s="19" t="s">
        <v>362</v>
      </c>
      <c r="D99" s="20">
        <f t="shared" si="2"/>
        <v>0</v>
      </c>
      <c r="E99" s="21">
        <v>0</v>
      </c>
      <c r="F99" s="21">
        <v>0</v>
      </c>
      <c r="G99" s="21">
        <v>0</v>
      </c>
      <c r="H99" s="21">
        <v>0</v>
      </c>
      <c r="I99" s="21">
        <v>0</v>
      </c>
      <c r="J99" s="21">
        <v>0</v>
      </c>
      <c r="K99" s="21">
        <v>0</v>
      </c>
      <c r="L99" s="21">
        <v>0</v>
      </c>
      <c r="M99" s="21">
        <v>0</v>
      </c>
      <c r="N99" s="21">
        <v>0</v>
      </c>
      <c r="O99" s="21">
        <v>0</v>
      </c>
      <c r="P99" s="21">
        <v>0</v>
      </c>
      <c r="Q99" s="21">
        <v>0</v>
      </c>
      <c r="R99" s="21">
        <v>0</v>
      </c>
      <c r="S99" s="21">
        <v>0</v>
      </c>
      <c r="T99" s="21">
        <v>0</v>
      </c>
      <c r="U99" s="21">
        <v>0</v>
      </c>
      <c r="V99" s="21">
        <v>0</v>
      </c>
      <c r="W99" s="21">
        <v>0</v>
      </c>
      <c r="X99" s="21">
        <v>0</v>
      </c>
      <c r="Y99" s="21">
        <v>0</v>
      </c>
      <c r="Z99" s="21">
        <v>0</v>
      </c>
      <c r="AA99" s="21">
        <v>0</v>
      </c>
      <c r="AB99" s="21">
        <v>0</v>
      </c>
      <c r="AC99" s="21">
        <v>0</v>
      </c>
      <c r="AD99" s="21">
        <v>0</v>
      </c>
      <c r="AE99" s="21">
        <v>0</v>
      </c>
      <c r="AF99" s="21">
        <v>0</v>
      </c>
      <c r="AG99" s="21">
        <v>0</v>
      </c>
      <c r="AH99" s="21">
        <v>0</v>
      </c>
      <c r="AI99" s="21">
        <v>0</v>
      </c>
      <c r="AJ99" s="21">
        <v>0</v>
      </c>
      <c r="AK99" s="21">
        <v>0</v>
      </c>
      <c r="AL99" s="21">
        <v>0</v>
      </c>
      <c r="AM99" s="21">
        <v>0</v>
      </c>
      <c r="AN99" s="21">
        <v>0</v>
      </c>
      <c r="AO99" s="21">
        <v>0</v>
      </c>
      <c r="AP99" s="21">
        <v>0</v>
      </c>
      <c r="AQ99" s="21">
        <v>0</v>
      </c>
      <c r="AR99" s="21">
        <v>0</v>
      </c>
      <c r="AS99" s="21">
        <v>0</v>
      </c>
      <c r="AT99" s="21">
        <v>0</v>
      </c>
      <c r="AU99" s="21">
        <v>0</v>
      </c>
      <c r="AV99" s="21">
        <v>0</v>
      </c>
      <c r="AW99" s="21">
        <v>0</v>
      </c>
      <c r="AX99" s="21">
        <v>0</v>
      </c>
      <c r="AY99" s="67"/>
    </row>
    <row r="100" spans="1:51">
      <c r="A100" s="23" t="s">
        <v>363</v>
      </c>
      <c r="B100" s="19" t="s">
        <v>364</v>
      </c>
      <c r="C100" s="19" t="s">
        <v>365</v>
      </c>
      <c r="D100" s="20">
        <f t="shared" si="2"/>
        <v>0</v>
      </c>
      <c r="E100" s="21">
        <v>0</v>
      </c>
      <c r="F100" s="21">
        <v>0</v>
      </c>
      <c r="G100" s="21">
        <v>0</v>
      </c>
      <c r="H100" s="21">
        <v>0</v>
      </c>
      <c r="I100" s="21">
        <v>0</v>
      </c>
      <c r="J100" s="21">
        <v>0</v>
      </c>
      <c r="K100" s="21">
        <v>0</v>
      </c>
      <c r="L100" s="21">
        <v>0</v>
      </c>
      <c r="M100" s="21">
        <v>0</v>
      </c>
      <c r="N100" s="21">
        <v>0</v>
      </c>
      <c r="O100" s="21">
        <v>0</v>
      </c>
      <c r="P100" s="21">
        <v>0</v>
      </c>
      <c r="Q100" s="21">
        <v>0</v>
      </c>
      <c r="R100" s="21">
        <v>0</v>
      </c>
      <c r="S100" s="21">
        <v>0</v>
      </c>
      <c r="T100" s="21">
        <v>0</v>
      </c>
      <c r="U100" s="21">
        <v>0</v>
      </c>
      <c r="V100" s="21">
        <v>0</v>
      </c>
      <c r="W100" s="21">
        <v>0</v>
      </c>
      <c r="X100" s="21">
        <v>0</v>
      </c>
      <c r="Y100" s="21">
        <v>0</v>
      </c>
      <c r="Z100" s="21">
        <v>0</v>
      </c>
      <c r="AA100" s="21">
        <v>0</v>
      </c>
      <c r="AB100" s="21">
        <v>0</v>
      </c>
      <c r="AC100" s="21">
        <v>0</v>
      </c>
      <c r="AD100" s="21">
        <v>0</v>
      </c>
      <c r="AE100" s="21">
        <v>0</v>
      </c>
      <c r="AF100" s="21">
        <v>0</v>
      </c>
      <c r="AG100" s="21">
        <v>0</v>
      </c>
      <c r="AH100" s="21">
        <v>0</v>
      </c>
      <c r="AI100" s="21">
        <v>0</v>
      </c>
      <c r="AJ100" s="21">
        <v>0</v>
      </c>
      <c r="AK100" s="21">
        <v>0</v>
      </c>
      <c r="AL100" s="21">
        <v>0</v>
      </c>
      <c r="AM100" s="21">
        <v>0</v>
      </c>
      <c r="AN100" s="21">
        <v>0</v>
      </c>
      <c r="AO100" s="21">
        <v>0</v>
      </c>
      <c r="AP100" s="21">
        <v>0</v>
      </c>
      <c r="AQ100" s="21">
        <v>0</v>
      </c>
      <c r="AR100" s="21">
        <v>0</v>
      </c>
      <c r="AS100" s="21">
        <v>0</v>
      </c>
      <c r="AT100" s="21">
        <v>0</v>
      </c>
      <c r="AU100" s="21">
        <v>0</v>
      </c>
      <c r="AV100" s="21">
        <v>0</v>
      </c>
      <c r="AW100" s="21">
        <v>0</v>
      </c>
      <c r="AX100" s="21">
        <v>0</v>
      </c>
      <c r="AY100" s="67"/>
    </row>
    <row r="101" spans="1:51">
      <c r="A101" s="23" t="s">
        <v>366</v>
      </c>
      <c r="B101" s="19" t="s">
        <v>367</v>
      </c>
      <c r="C101" s="19" t="s">
        <v>368</v>
      </c>
      <c r="D101" s="20">
        <f t="shared" si="2"/>
        <v>10</v>
      </c>
      <c r="E101" s="22">
        <v>10</v>
      </c>
      <c r="F101" s="21">
        <v>0</v>
      </c>
      <c r="G101" s="21">
        <v>0</v>
      </c>
      <c r="H101" s="21">
        <v>0</v>
      </c>
      <c r="I101" s="21">
        <v>0</v>
      </c>
      <c r="J101" s="21">
        <v>0</v>
      </c>
      <c r="K101" s="21">
        <v>0</v>
      </c>
      <c r="L101" s="21">
        <v>0</v>
      </c>
      <c r="M101" s="21">
        <v>0</v>
      </c>
      <c r="N101" s="21">
        <v>0</v>
      </c>
      <c r="O101" s="21">
        <v>0</v>
      </c>
      <c r="P101" s="21">
        <v>0</v>
      </c>
      <c r="Q101" s="21">
        <v>0</v>
      </c>
      <c r="R101" s="21">
        <v>0</v>
      </c>
      <c r="S101" s="21">
        <v>0</v>
      </c>
      <c r="T101" s="21">
        <v>0</v>
      </c>
      <c r="U101" s="21">
        <v>0</v>
      </c>
      <c r="V101" s="21">
        <v>0</v>
      </c>
      <c r="W101" s="21">
        <v>0</v>
      </c>
      <c r="X101" s="21">
        <v>0</v>
      </c>
      <c r="Y101" s="21">
        <v>0</v>
      </c>
      <c r="Z101" s="21">
        <v>0</v>
      </c>
      <c r="AA101" s="21">
        <v>0</v>
      </c>
      <c r="AB101" s="21">
        <v>0</v>
      </c>
      <c r="AC101" s="21">
        <v>0</v>
      </c>
      <c r="AD101" s="21">
        <v>0</v>
      </c>
      <c r="AE101" s="21">
        <v>0</v>
      </c>
      <c r="AF101" s="21">
        <v>0</v>
      </c>
      <c r="AG101" s="21">
        <v>0</v>
      </c>
      <c r="AH101" s="21">
        <v>0</v>
      </c>
      <c r="AI101" s="21">
        <v>0</v>
      </c>
      <c r="AJ101" s="21">
        <v>0</v>
      </c>
      <c r="AK101" s="21">
        <v>0</v>
      </c>
      <c r="AL101" s="21">
        <v>0</v>
      </c>
      <c r="AM101" s="21">
        <v>0</v>
      </c>
      <c r="AN101" s="21">
        <v>0</v>
      </c>
      <c r="AO101" s="21">
        <v>0</v>
      </c>
      <c r="AP101" s="21">
        <v>0</v>
      </c>
      <c r="AQ101" s="21">
        <v>0</v>
      </c>
      <c r="AR101" s="21">
        <v>0</v>
      </c>
      <c r="AS101" s="21">
        <v>0</v>
      </c>
      <c r="AT101" s="21">
        <v>0</v>
      </c>
      <c r="AU101" s="21">
        <v>0</v>
      </c>
      <c r="AV101" s="21">
        <v>0</v>
      </c>
      <c r="AW101" s="21">
        <v>0</v>
      </c>
      <c r="AX101" s="21">
        <v>0</v>
      </c>
      <c r="AY101" s="68"/>
    </row>
    <row r="102" spans="1:51" ht="32.1">
      <c r="A102" s="23" t="s">
        <v>357</v>
      </c>
      <c r="B102" s="19" t="s">
        <v>369</v>
      </c>
      <c r="C102" s="19" t="s">
        <v>370</v>
      </c>
      <c r="D102" s="20">
        <f t="shared" si="2"/>
        <v>0</v>
      </c>
      <c r="E102" s="21">
        <v>0</v>
      </c>
      <c r="F102" s="21">
        <v>0</v>
      </c>
      <c r="G102" s="21">
        <v>0</v>
      </c>
      <c r="H102" s="21">
        <v>0</v>
      </c>
      <c r="I102" s="21">
        <v>0</v>
      </c>
      <c r="J102" s="21">
        <v>0</v>
      </c>
      <c r="K102" s="21">
        <v>0</v>
      </c>
      <c r="L102" s="21">
        <v>0</v>
      </c>
      <c r="M102" s="21">
        <v>0</v>
      </c>
      <c r="N102" s="21">
        <v>0</v>
      </c>
      <c r="O102" s="21">
        <v>0</v>
      </c>
      <c r="P102" s="21">
        <v>0</v>
      </c>
      <c r="Q102" s="21">
        <v>0</v>
      </c>
      <c r="R102" s="21">
        <v>0</v>
      </c>
      <c r="S102" s="21">
        <v>0</v>
      </c>
      <c r="T102" s="21">
        <v>0</v>
      </c>
      <c r="U102" s="21">
        <v>0</v>
      </c>
      <c r="V102" s="21">
        <v>0</v>
      </c>
      <c r="W102" s="21">
        <v>0</v>
      </c>
      <c r="X102" s="21">
        <v>0</v>
      </c>
      <c r="Y102" s="21">
        <v>0</v>
      </c>
      <c r="Z102" s="21">
        <v>0</v>
      </c>
      <c r="AA102" s="21">
        <v>0</v>
      </c>
      <c r="AB102" s="21">
        <v>0</v>
      </c>
      <c r="AC102" s="21">
        <v>0</v>
      </c>
      <c r="AD102" s="21">
        <v>0</v>
      </c>
      <c r="AE102" s="21">
        <v>0</v>
      </c>
      <c r="AF102" s="21">
        <v>0</v>
      </c>
      <c r="AG102" s="21">
        <v>0</v>
      </c>
      <c r="AH102" s="21">
        <v>0</v>
      </c>
      <c r="AI102" s="21">
        <v>0</v>
      </c>
      <c r="AJ102" s="21">
        <v>0</v>
      </c>
      <c r="AK102" s="21">
        <v>0</v>
      </c>
      <c r="AL102" s="21">
        <v>0</v>
      </c>
      <c r="AM102" s="21">
        <v>0</v>
      </c>
      <c r="AN102" s="21">
        <v>0</v>
      </c>
      <c r="AO102" s="21">
        <v>0</v>
      </c>
      <c r="AP102" s="21">
        <v>0</v>
      </c>
      <c r="AQ102" s="21">
        <v>0</v>
      </c>
      <c r="AR102" s="21">
        <v>0</v>
      </c>
      <c r="AS102" s="21">
        <v>0</v>
      </c>
      <c r="AT102" s="21">
        <v>0</v>
      </c>
      <c r="AU102" s="21">
        <v>0</v>
      </c>
      <c r="AV102" s="21">
        <v>0</v>
      </c>
      <c r="AW102" s="21">
        <v>0</v>
      </c>
      <c r="AX102" s="21">
        <v>0</v>
      </c>
      <c r="AY102" s="67"/>
    </row>
    <row r="103" spans="1:51">
      <c r="A103" s="24" t="s">
        <v>371</v>
      </c>
      <c r="B103" s="25"/>
      <c r="C103" s="25"/>
      <c r="D103" s="16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28"/>
      <c r="AQ103" s="28"/>
      <c r="AR103" s="28"/>
      <c r="AS103" s="28"/>
      <c r="AT103" s="28"/>
      <c r="AU103" s="28"/>
      <c r="AV103" s="28"/>
      <c r="AW103" s="28"/>
      <c r="AX103" s="28"/>
      <c r="AY103" s="67"/>
    </row>
    <row r="104" spans="1:51">
      <c r="A104" s="23" t="s">
        <v>372</v>
      </c>
      <c r="B104" s="19" t="s">
        <v>373</v>
      </c>
      <c r="C104" s="19" t="s">
        <v>374</v>
      </c>
      <c r="D104" s="20">
        <f t="shared" ref="D104:D110" si="3">SUM(E104:AX104)</f>
        <v>12</v>
      </c>
      <c r="E104" s="21">
        <v>0</v>
      </c>
      <c r="F104" s="21">
        <v>0</v>
      </c>
      <c r="G104" s="21">
        <v>0</v>
      </c>
      <c r="H104" s="22">
        <v>1</v>
      </c>
      <c r="I104" s="21">
        <v>0</v>
      </c>
      <c r="J104" s="21">
        <v>0</v>
      </c>
      <c r="K104" s="21">
        <v>0</v>
      </c>
      <c r="L104" s="21">
        <v>0</v>
      </c>
      <c r="M104" s="21">
        <v>0</v>
      </c>
      <c r="N104" s="21">
        <v>0</v>
      </c>
      <c r="O104" s="21">
        <v>0</v>
      </c>
      <c r="P104" s="21">
        <v>0</v>
      </c>
      <c r="Q104" s="21">
        <v>0</v>
      </c>
      <c r="R104" s="22">
        <v>2</v>
      </c>
      <c r="S104" s="21">
        <v>0</v>
      </c>
      <c r="T104" s="21">
        <v>0</v>
      </c>
      <c r="U104" s="21">
        <v>0</v>
      </c>
      <c r="V104" s="21">
        <v>0</v>
      </c>
      <c r="W104" s="21">
        <v>0</v>
      </c>
      <c r="X104" s="21">
        <v>0</v>
      </c>
      <c r="Y104" s="21">
        <v>0</v>
      </c>
      <c r="Z104" s="21">
        <v>0</v>
      </c>
      <c r="AA104" s="22">
        <v>1</v>
      </c>
      <c r="AB104" s="21">
        <v>0</v>
      </c>
      <c r="AC104" s="21">
        <v>0</v>
      </c>
      <c r="AD104" s="22">
        <v>1</v>
      </c>
      <c r="AE104" s="22">
        <v>1</v>
      </c>
      <c r="AF104" s="22">
        <v>1</v>
      </c>
      <c r="AG104" s="22">
        <v>1</v>
      </c>
      <c r="AH104" s="21">
        <v>0</v>
      </c>
      <c r="AI104" s="21">
        <v>0</v>
      </c>
      <c r="AJ104" s="22">
        <v>1</v>
      </c>
      <c r="AK104" s="21">
        <v>0</v>
      </c>
      <c r="AL104" s="21">
        <v>0</v>
      </c>
      <c r="AM104" s="22">
        <v>1</v>
      </c>
      <c r="AN104" s="22">
        <v>1</v>
      </c>
      <c r="AO104" s="21">
        <v>0</v>
      </c>
      <c r="AP104" s="21">
        <v>0</v>
      </c>
      <c r="AQ104" s="21">
        <v>0</v>
      </c>
      <c r="AR104" s="22">
        <v>1</v>
      </c>
      <c r="AS104" s="21">
        <v>0</v>
      </c>
      <c r="AT104" s="21">
        <v>0</v>
      </c>
      <c r="AU104" s="21">
        <v>0</v>
      </c>
      <c r="AV104" s="21">
        <v>0</v>
      </c>
      <c r="AW104" s="21">
        <v>0</v>
      </c>
      <c r="AX104" s="21">
        <v>0</v>
      </c>
      <c r="AY104" s="67"/>
    </row>
    <row r="105" spans="1:51">
      <c r="A105" s="23" t="s">
        <v>372</v>
      </c>
      <c r="B105" s="19" t="s">
        <v>375</v>
      </c>
      <c r="C105" s="19" t="s">
        <v>374</v>
      </c>
      <c r="D105" s="20">
        <f t="shared" si="3"/>
        <v>19</v>
      </c>
      <c r="E105" s="22">
        <v>8</v>
      </c>
      <c r="F105" s="21">
        <v>0</v>
      </c>
      <c r="G105" s="21">
        <v>0</v>
      </c>
      <c r="H105" s="21">
        <v>0</v>
      </c>
      <c r="I105" s="21">
        <v>0</v>
      </c>
      <c r="J105" s="21">
        <v>0</v>
      </c>
      <c r="K105" s="21">
        <v>0</v>
      </c>
      <c r="L105" s="21">
        <v>0</v>
      </c>
      <c r="M105" s="21">
        <v>0</v>
      </c>
      <c r="N105" s="22">
        <v>1</v>
      </c>
      <c r="O105" s="21">
        <v>0</v>
      </c>
      <c r="P105" s="21">
        <v>0</v>
      </c>
      <c r="Q105" s="21">
        <v>0</v>
      </c>
      <c r="R105" s="21">
        <v>0</v>
      </c>
      <c r="S105" s="21">
        <v>0</v>
      </c>
      <c r="T105" s="21">
        <v>0</v>
      </c>
      <c r="U105" s="22">
        <v>1</v>
      </c>
      <c r="V105" s="21">
        <v>0</v>
      </c>
      <c r="W105" s="21">
        <v>0</v>
      </c>
      <c r="X105" s="21">
        <v>0</v>
      </c>
      <c r="Y105" s="21">
        <v>0</v>
      </c>
      <c r="Z105" s="21">
        <v>0</v>
      </c>
      <c r="AA105" s="21">
        <v>0</v>
      </c>
      <c r="AB105" s="21">
        <v>0</v>
      </c>
      <c r="AC105" s="22">
        <v>9</v>
      </c>
      <c r="AD105" s="21">
        <v>0</v>
      </c>
      <c r="AE105" s="21">
        <v>0</v>
      </c>
      <c r="AF105" s="21">
        <v>0</v>
      </c>
      <c r="AG105" s="21">
        <v>0</v>
      </c>
      <c r="AH105" s="21">
        <v>0</v>
      </c>
      <c r="AI105" s="21">
        <v>0</v>
      </c>
      <c r="AJ105" s="21">
        <v>0</v>
      </c>
      <c r="AK105" s="21">
        <v>0</v>
      </c>
      <c r="AL105" s="21">
        <v>0</v>
      </c>
      <c r="AM105" s="21">
        <v>0</v>
      </c>
      <c r="AN105" s="21">
        <v>0</v>
      </c>
      <c r="AO105" s="21">
        <v>0</v>
      </c>
      <c r="AP105" s="21">
        <v>0</v>
      </c>
      <c r="AQ105" s="21">
        <v>0</v>
      </c>
      <c r="AR105" s="21">
        <v>0</v>
      </c>
      <c r="AS105" s="21">
        <v>0</v>
      </c>
      <c r="AT105" s="21">
        <v>0</v>
      </c>
      <c r="AU105" s="21">
        <v>0</v>
      </c>
      <c r="AV105" s="21">
        <v>0</v>
      </c>
      <c r="AW105" s="21">
        <v>0</v>
      </c>
      <c r="AX105" s="21">
        <v>0</v>
      </c>
      <c r="AY105" s="67"/>
    </row>
    <row r="106" spans="1:51">
      <c r="A106" s="23" t="s">
        <v>372</v>
      </c>
      <c r="B106" s="19" t="s">
        <v>376</v>
      </c>
      <c r="C106" s="19" t="s">
        <v>374</v>
      </c>
      <c r="D106" s="20">
        <f t="shared" si="3"/>
        <v>0</v>
      </c>
      <c r="E106" s="21">
        <v>0</v>
      </c>
      <c r="F106" s="21">
        <v>0</v>
      </c>
      <c r="G106" s="21">
        <v>0</v>
      </c>
      <c r="H106" s="21">
        <v>0</v>
      </c>
      <c r="I106" s="21">
        <v>0</v>
      </c>
      <c r="J106" s="21">
        <v>0</v>
      </c>
      <c r="K106" s="21">
        <v>0</v>
      </c>
      <c r="L106" s="21">
        <v>0</v>
      </c>
      <c r="M106" s="21">
        <v>0</v>
      </c>
      <c r="N106" s="21">
        <v>0</v>
      </c>
      <c r="O106" s="21">
        <v>0</v>
      </c>
      <c r="P106" s="21">
        <v>0</v>
      </c>
      <c r="Q106" s="21">
        <v>0</v>
      </c>
      <c r="R106" s="21">
        <v>0</v>
      </c>
      <c r="S106" s="21">
        <v>0</v>
      </c>
      <c r="T106" s="21">
        <v>0</v>
      </c>
      <c r="U106" s="21">
        <v>0</v>
      </c>
      <c r="V106" s="21">
        <v>0</v>
      </c>
      <c r="W106" s="21">
        <v>0</v>
      </c>
      <c r="X106" s="21">
        <v>0</v>
      </c>
      <c r="Y106" s="21">
        <v>0</v>
      </c>
      <c r="Z106" s="21">
        <v>0</v>
      </c>
      <c r="AA106" s="21">
        <v>0</v>
      </c>
      <c r="AB106" s="21">
        <v>0</v>
      </c>
      <c r="AC106" s="21">
        <v>0</v>
      </c>
      <c r="AD106" s="21">
        <v>0</v>
      </c>
      <c r="AE106" s="21">
        <v>0</v>
      </c>
      <c r="AF106" s="21">
        <v>0</v>
      </c>
      <c r="AG106" s="21">
        <v>0</v>
      </c>
      <c r="AH106" s="21">
        <v>0</v>
      </c>
      <c r="AI106" s="21">
        <v>0</v>
      </c>
      <c r="AJ106" s="21">
        <v>0</v>
      </c>
      <c r="AK106" s="21">
        <v>0</v>
      </c>
      <c r="AL106" s="21">
        <v>0</v>
      </c>
      <c r="AM106" s="21">
        <v>0</v>
      </c>
      <c r="AN106" s="21">
        <v>0</v>
      </c>
      <c r="AO106" s="21">
        <v>0</v>
      </c>
      <c r="AP106" s="21">
        <v>0</v>
      </c>
      <c r="AQ106" s="21">
        <v>0</v>
      </c>
      <c r="AR106" s="21">
        <v>0</v>
      </c>
      <c r="AS106" s="21">
        <v>0</v>
      </c>
      <c r="AT106" s="21">
        <v>0</v>
      </c>
      <c r="AU106" s="21">
        <v>0</v>
      </c>
      <c r="AV106" s="21">
        <v>0</v>
      </c>
      <c r="AW106" s="21">
        <v>0</v>
      </c>
      <c r="AX106" s="21">
        <v>0</v>
      </c>
      <c r="AY106" s="67"/>
    </row>
    <row r="107" spans="1:51">
      <c r="A107" s="23" t="s">
        <v>377</v>
      </c>
      <c r="B107" s="19" t="s">
        <v>378</v>
      </c>
      <c r="C107" s="19" t="s">
        <v>379</v>
      </c>
      <c r="D107" s="20">
        <f t="shared" si="3"/>
        <v>7</v>
      </c>
      <c r="E107" s="22">
        <v>1</v>
      </c>
      <c r="F107" s="21">
        <v>0</v>
      </c>
      <c r="G107" s="21">
        <v>0</v>
      </c>
      <c r="H107" s="21">
        <v>0</v>
      </c>
      <c r="I107" s="21">
        <v>0</v>
      </c>
      <c r="J107" s="21">
        <v>0</v>
      </c>
      <c r="K107" s="22">
        <v>2</v>
      </c>
      <c r="L107" s="21">
        <v>0</v>
      </c>
      <c r="M107" s="21">
        <v>0</v>
      </c>
      <c r="N107" s="21">
        <v>0</v>
      </c>
      <c r="O107" s="21">
        <v>0</v>
      </c>
      <c r="P107" s="21">
        <v>0</v>
      </c>
      <c r="Q107" s="21">
        <v>0</v>
      </c>
      <c r="R107" s="21">
        <v>0</v>
      </c>
      <c r="S107" s="21">
        <v>0</v>
      </c>
      <c r="T107" s="21">
        <v>0</v>
      </c>
      <c r="U107" s="21">
        <v>0</v>
      </c>
      <c r="V107" s="21">
        <v>0</v>
      </c>
      <c r="W107" s="21">
        <v>0</v>
      </c>
      <c r="X107" s="21">
        <v>0</v>
      </c>
      <c r="Y107" s="21">
        <v>0</v>
      </c>
      <c r="Z107" s="21">
        <v>0</v>
      </c>
      <c r="AA107" s="21">
        <v>0</v>
      </c>
      <c r="AB107" s="21">
        <v>0</v>
      </c>
      <c r="AC107" s="21">
        <v>0</v>
      </c>
      <c r="AD107" s="21">
        <v>0</v>
      </c>
      <c r="AE107" s="21">
        <v>0</v>
      </c>
      <c r="AF107" s="21">
        <v>0</v>
      </c>
      <c r="AG107" s="21">
        <v>0</v>
      </c>
      <c r="AH107" s="21">
        <v>0</v>
      </c>
      <c r="AI107" s="21">
        <v>0</v>
      </c>
      <c r="AJ107" s="21">
        <v>0</v>
      </c>
      <c r="AK107" s="21">
        <v>0</v>
      </c>
      <c r="AL107" s="22">
        <v>1</v>
      </c>
      <c r="AM107" s="21">
        <v>0</v>
      </c>
      <c r="AN107" s="21">
        <v>0</v>
      </c>
      <c r="AO107" s="22">
        <v>1</v>
      </c>
      <c r="AP107" s="22">
        <v>1</v>
      </c>
      <c r="AQ107" s="21">
        <v>0</v>
      </c>
      <c r="AR107" s="21">
        <v>0</v>
      </c>
      <c r="AS107" s="21">
        <v>0</v>
      </c>
      <c r="AT107" s="21">
        <v>0</v>
      </c>
      <c r="AU107" s="21">
        <v>0</v>
      </c>
      <c r="AV107" s="21">
        <v>0</v>
      </c>
      <c r="AW107" s="21">
        <v>0</v>
      </c>
      <c r="AX107" s="22">
        <v>1</v>
      </c>
      <c r="AY107" s="67"/>
    </row>
    <row r="108" spans="1:51">
      <c r="A108" s="23" t="s">
        <v>380</v>
      </c>
      <c r="B108" s="19" t="s">
        <v>381</v>
      </c>
      <c r="C108" s="19" t="s">
        <v>382</v>
      </c>
      <c r="D108" s="20">
        <f t="shared" si="3"/>
        <v>0</v>
      </c>
      <c r="E108" s="21">
        <v>0</v>
      </c>
      <c r="F108" s="21">
        <v>0</v>
      </c>
      <c r="G108" s="21">
        <v>0</v>
      </c>
      <c r="H108" s="21">
        <v>0</v>
      </c>
      <c r="I108" s="21">
        <v>0</v>
      </c>
      <c r="J108" s="21">
        <v>0</v>
      </c>
      <c r="K108" s="21">
        <v>0</v>
      </c>
      <c r="L108" s="21">
        <v>0</v>
      </c>
      <c r="M108" s="21">
        <v>0</v>
      </c>
      <c r="N108" s="21">
        <v>0</v>
      </c>
      <c r="O108" s="21">
        <v>0</v>
      </c>
      <c r="P108" s="21">
        <v>0</v>
      </c>
      <c r="Q108" s="21">
        <v>0</v>
      </c>
      <c r="R108" s="21">
        <v>0</v>
      </c>
      <c r="S108" s="21">
        <v>0</v>
      </c>
      <c r="T108" s="21">
        <v>0</v>
      </c>
      <c r="U108" s="21">
        <v>0</v>
      </c>
      <c r="V108" s="21">
        <v>0</v>
      </c>
      <c r="W108" s="21">
        <v>0</v>
      </c>
      <c r="X108" s="21">
        <v>0</v>
      </c>
      <c r="Y108" s="21">
        <v>0</v>
      </c>
      <c r="Z108" s="21">
        <v>0</v>
      </c>
      <c r="AA108" s="21">
        <v>0</v>
      </c>
      <c r="AB108" s="21">
        <v>0</v>
      </c>
      <c r="AC108" s="21">
        <v>0</v>
      </c>
      <c r="AD108" s="21">
        <v>0</v>
      </c>
      <c r="AE108" s="21">
        <v>0</v>
      </c>
      <c r="AF108" s="21">
        <v>0</v>
      </c>
      <c r="AG108" s="21">
        <v>0</v>
      </c>
      <c r="AH108" s="21">
        <v>0</v>
      </c>
      <c r="AI108" s="21">
        <v>0</v>
      </c>
      <c r="AJ108" s="21">
        <v>0</v>
      </c>
      <c r="AK108" s="21">
        <v>0</v>
      </c>
      <c r="AL108" s="21">
        <v>0</v>
      </c>
      <c r="AM108" s="21">
        <v>0</v>
      </c>
      <c r="AN108" s="21">
        <v>0</v>
      </c>
      <c r="AO108" s="21">
        <v>0</v>
      </c>
      <c r="AP108" s="21">
        <v>0</v>
      </c>
      <c r="AQ108" s="21">
        <v>0</v>
      </c>
      <c r="AR108" s="21">
        <v>0</v>
      </c>
      <c r="AS108" s="21">
        <v>0</v>
      </c>
      <c r="AT108" s="21">
        <v>0</v>
      </c>
      <c r="AU108" s="21">
        <v>0</v>
      </c>
      <c r="AV108" s="21">
        <v>0</v>
      </c>
      <c r="AW108" s="21">
        <v>0</v>
      </c>
      <c r="AX108" s="21">
        <v>0</v>
      </c>
      <c r="AY108" s="67"/>
    </row>
    <row r="109" spans="1:51">
      <c r="A109" s="23"/>
      <c r="B109" s="19" t="s">
        <v>383</v>
      </c>
      <c r="C109" s="19" t="s">
        <v>384</v>
      </c>
      <c r="D109" s="20">
        <f t="shared" si="3"/>
        <v>0</v>
      </c>
      <c r="E109" s="21">
        <v>0</v>
      </c>
      <c r="F109" s="21">
        <v>0</v>
      </c>
      <c r="G109" s="21">
        <v>0</v>
      </c>
      <c r="H109" s="21">
        <v>0</v>
      </c>
      <c r="I109" s="21">
        <v>0</v>
      </c>
      <c r="J109" s="21">
        <v>0</v>
      </c>
      <c r="K109" s="21">
        <v>0</v>
      </c>
      <c r="L109" s="21">
        <v>0</v>
      </c>
      <c r="M109" s="21">
        <v>0</v>
      </c>
      <c r="N109" s="21">
        <v>0</v>
      </c>
      <c r="O109" s="21">
        <v>0</v>
      </c>
      <c r="P109" s="21">
        <v>0</v>
      </c>
      <c r="Q109" s="21">
        <v>0</v>
      </c>
      <c r="R109" s="21">
        <v>0</v>
      </c>
      <c r="S109" s="21">
        <v>0</v>
      </c>
      <c r="T109" s="21">
        <v>0</v>
      </c>
      <c r="U109" s="21">
        <v>0</v>
      </c>
      <c r="V109" s="21">
        <v>0</v>
      </c>
      <c r="W109" s="21">
        <v>0</v>
      </c>
      <c r="X109" s="21">
        <v>0</v>
      </c>
      <c r="Y109" s="21">
        <v>0</v>
      </c>
      <c r="Z109" s="21">
        <v>0</v>
      </c>
      <c r="AA109" s="21">
        <v>0</v>
      </c>
      <c r="AB109" s="21">
        <v>0</v>
      </c>
      <c r="AC109" s="21">
        <v>0</v>
      </c>
      <c r="AD109" s="21">
        <v>0</v>
      </c>
      <c r="AE109" s="21">
        <v>0</v>
      </c>
      <c r="AF109" s="21">
        <v>0</v>
      </c>
      <c r="AG109" s="21">
        <v>0</v>
      </c>
      <c r="AH109" s="21">
        <v>0</v>
      </c>
      <c r="AI109" s="21">
        <v>0</v>
      </c>
      <c r="AJ109" s="21">
        <v>0</v>
      </c>
      <c r="AK109" s="21">
        <v>0</v>
      </c>
      <c r="AL109" s="21">
        <v>0</v>
      </c>
      <c r="AM109" s="21">
        <v>0</v>
      </c>
      <c r="AN109" s="21">
        <v>0</v>
      </c>
      <c r="AO109" s="21">
        <v>0</v>
      </c>
      <c r="AP109" s="21">
        <v>0</v>
      </c>
      <c r="AQ109" s="21">
        <v>0</v>
      </c>
      <c r="AR109" s="21">
        <v>0</v>
      </c>
      <c r="AS109" s="21">
        <v>0</v>
      </c>
      <c r="AT109" s="21">
        <v>0</v>
      </c>
      <c r="AU109" s="21">
        <v>0</v>
      </c>
      <c r="AV109" s="21">
        <v>0</v>
      </c>
      <c r="AW109" s="21">
        <v>0</v>
      </c>
      <c r="AX109" s="21">
        <v>0</v>
      </c>
      <c r="AY109" s="68"/>
    </row>
    <row r="110" spans="1:51">
      <c r="A110" s="23"/>
      <c r="B110" s="19" t="s">
        <v>385</v>
      </c>
      <c r="C110" s="19" t="s">
        <v>287</v>
      </c>
      <c r="D110" s="20">
        <f t="shared" si="3"/>
        <v>0</v>
      </c>
      <c r="E110" s="21">
        <v>0</v>
      </c>
      <c r="F110" s="21">
        <v>0</v>
      </c>
      <c r="G110" s="21">
        <v>0</v>
      </c>
      <c r="H110" s="21">
        <v>0</v>
      </c>
      <c r="I110" s="21">
        <v>0</v>
      </c>
      <c r="J110" s="21">
        <v>0</v>
      </c>
      <c r="K110" s="21">
        <v>0</v>
      </c>
      <c r="L110" s="21">
        <v>0</v>
      </c>
      <c r="M110" s="21">
        <v>0</v>
      </c>
      <c r="N110" s="21">
        <v>0</v>
      </c>
      <c r="O110" s="21">
        <v>0</v>
      </c>
      <c r="P110" s="21">
        <v>0</v>
      </c>
      <c r="Q110" s="21">
        <v>0</v>
      </c>
      <c r="R110" s="21">
        <v>0</v>
      </c>
      <c r="S110" s="21">
        <v>0</v>
      </c>
      <c r="T110" s="21">
        <v>0</v>
      </c>
      <c r="U110" s="21">
        <v>0</v>
      </c>
      <c r="V110" s="21">
        <v>0</v>
      </c>
      <c r="W110" s="21">
        <v>0</v>
      </c>
      <c r="X110" s="21">
        <v>0</v>
      </c>
      <c r="Y110" s="21">
        <v>0</v>
      </c>
      <c r="Z110" s="21">
        <v>0</v>
      </c>
      <c r="AA110" s="21">
        <v>0</v>
      </c>
      <c r="AB110" s="21">
        <v>0</v>
      </c>
      <c r="AC110" s="21">
        <v>0</v>
      </c>
      <c r="AD110" s="21">
        <v>0</v>
      </c>
      <c r="AE110" s="21">
        <v>0</v>
      </c>
      <c r="AF110" s="21">
        <v>0</v>
      </c>
      <c r="AG110" s="21">
        <v>0</v>
      </c>
      <c r="AH110" s="21">
        <v>0</v>
      </c>
      <c r="AI110" s="21">
        <v>0</v>
      </c>
      <c r="AJ110" s="21">
        <v>0</v>
      </c>
      <c r="AK110" s="21">
        <v>0</v>
      </c>
      <c r="AL110" s="21">
        <v>0</v>
      </c>
      <c r="AM110" s="21">
        <v>0</v>
      </c>
      <c r="AN110" s="21">
        <v>0</v>
      </c>
      <c r="AO110" s="21">
        <v>0</v>
      </c>
      <c r="AP110" s="21">
        <v>0</v>
      </c>
      <c r="AQ110" s="21">
        <v>0</v>
      </c>
      <c r="AR110" s="21">
        <v>0</v>
      </c>
      <c r="AS110" s="21">
        <v>0</v>
      </c>
      <c r="AT110" s="21">
        <v>0</v>
      </c>
      <c r="AU110" s="21">
        <v>0</v>
      </c>
      <c r="AV110" s="21">
        <v>0</v>
      </c>
      <c r="AW110" s="21">
        <v>0</v>
      </c>
      <c r="AX110" s="21">
        <v>0</v>
      </c>
      <c r="AY110" s="68"/>
    </row>
    <row r="111" spans="1:51">
      <c r="A111" s="24" t="s">
        <v>386</v>
      </c>
      <c r="B111" s="25"/>
      <c r="C111" s="25"/>
      <c r="D111" s="16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28"/>
      <c r="AJ111" s="28"/>
      <c r="AK111" s="28"/>
      <c r="AL111" s="28"/>
      <c r="AM111" s="28"/>
      <c r="AN111" s="28"/>
      <c r="AO111" s="28"/>
      <c r="AP111" s="28"/>
      <c r="AQ111" s="28"/>
      <c r="AR111" s="28"/>
      <c r="AS111" s="28"/>
      <c r="AT111" s="28"/>
      <c r="AU111" s="28"/>
      <c r="AV111" s="28"/>
      <c r="AW111" s="28"/>
      <c r="AX111" s="28"/>
      <c r="AY111" s="67"/>
    </row>
    <row r="112" spans="1:51">
      <c r="A112" s="83" t="s">
        <v>387</v>
      </c>
      <c r="B112" s="19" t="s">
        <v>388</v>
      </c>
      <c r="C112" s="19" t="s">
        <v>389</v>
      </c>
      <c r="D112" s="20">
        <f t="shared" ref="D112:D127" si="4">SUM(E112:AX112)</f>
        <v>1</v>
      </c>
      <c r="E112" s="21">
        <v>0</v>
      </c>
      <c r="F112" s="21">
        <v>0</v>
      </c>
      <c r="G112" s="21">
        <v>0</v>
      </c>
      <c r="H112" s="21">
        <v>0</v>
      </c>
      <c r="I112" s="21">
        <v>0</v>
      </c>
      <c r="J112" s="21">
        <v>0</v>
      </c>
      <c r="K112" s="21">
        <v>0</v>
      </c>
      <c r="L112" s="21">
        <v>0</v>
      </c>
      <c r="M112" s="21">
        <v>0</v>
      </c>
      <c r="N112" s="21">
        <v>0</v>
      </c>
      <c r="O112" s="21">
        <v>0</v>
      </c>
      <c r="P112" s="21">
        <v>0</v>
      </c>
      <c r="Q112" s="21">
        <v>0</v>
      </c>
      <c r="R112" s="21">
        <v>1</v>
      </c>
      <c r="S112" s="21">
        <v>0</v>
      </c>
      <c r="T112" s="21">
        <v>0</v>
      </c>
      <c r="U112" s="21">
        <v>0</v>
      </c>
      <c r="V112" s="21">
        <v>0</v>
      </c>
      <c r="W112" s="21">
        <v>0</v>
      </c>
      <c r="X112" s="21">
        <v>0</v>
      </c>
      <c r="Y112" s="21">
        <v>0</v>
      </c>
      <c r="Z112" s="21">
        <v>0</v>
      </c>
      <c r="AA112" s="21">
        <v>0</v>
      </c>
      <c r="AB112" s="21">
        <v>0</v>
      </c>
      <c r="AC112" s="21">
        <v>0</v>
      </c>
      <c r="AD112" s="21">
        <v>0</v>
      </c>
      <c r="AE112" s="21">
        <v>0</v>
      </c>
      <c r="AF112" s="21">
        <v>0</v>
      </c>
      <c r="AG112" s="21">
        <v>0</v>
      </c>
      <c r="AH112" s="21">
        <v>0</v>
      </c>
      <c r="AI112" s="21">
        <v>0</v>
      </c>
      <c r="AJ112" s="21">
        <v>0</v>
      </c>
      <c r="AK112" s="21">
        <v>0</v>
      </c>
      <c r="AL112" s="21">
        <v>0</v>
      </c>
      <c r="AM112" s="21">
        <v>0</v>
      </c>
      <c r="AN112" s="21">
        <v>0</v>
      </c>
      <c r="AO112" s="21">
        <v>0</v>
      </c>
      <c r="AP112" s="21">
        <v>0</v>
      </c>
      <c r="AQ112" s="21">
        <v>0</v>
      </c>
      <c r="AR112" s="21">
        <v>0</v>
      </c>
      <c r="AS112" s="21">
        <v>0</v>
      </c>
      <c r="AT112" s="21">
        <v>0</v>
      </c>
      <c r="AU112" s="21">
        <v>0</v>
      </c>
      <c r="AV112" s="21">
        <v>0</v>
      </c>
      <c r="AW112" s="21">
        <v>0</v>
      </c>
      <c r="AX112" s="21">
        <v>0</v>
      </c>
      <c r="AY112" s="67"/>
    </row>
    <row r="113" spans="1:51">
      <c r="A113" s="84" t="s">
        <v>390</v>
      </c>
      <c r="B113" s="19" t="s">
        <v>391</v>
      </c>
      <c r="C113" s="19" t="s">
        <v>392</v>
      </c>
      <c r="D113" s="20">
        <f>SUM(E113:AX113)</f>
        <v>2</v>
      </c>
      <c r="E113" s="21">
        <v>0</v>
      </c>
      <c r="F113" s="21">
        <v>0</v>
      </c>
      <c r="G113" s="21">
        <v>0</v>
      </c>
      <c r="H113" s="21">
        <v>0</v>
      </c>
      <c r="I113" s="21">
        <v>0</v>
      </c>
      <c r="J113" s="21">
        <v>0</v>
      </c>
      <c r="K113" s="21">
        <v>0</v>
      </c>
      <c r="L113" s="21">
        <v>0</v>
      </c>
      <c r="M113" s="21">
        <v>0</v>
      </c>
      <c r="N113" s="21">
        <v>0</v>
      </c>
      <c r="O113" s="21">
        <v>0</v>
      </c>
      <c r="P113" s="21">
        <v>0</v>
      </c>
      <c r="Q113" s="21">
        <v>0</v>
      </c>
      <c r="R113" s="22">
        <v>1</v>
      </c>
      <c r="S113" s="21">
        <v>0</v>
      </c>
      <c r="T113" s="21">
        <v>0</v>
      </c>
      <c r="U113" s="21">
        <v>0</v>
      </c>
      <c r="V113" s="21">
        <v>0</v>
      </c>
      <c r="W113" s="21">
        <v>0</v>
      </c>
      <c r="X113" s="21">
        <v>0</v>
      </c>
      <c r="Y113" s="21">
        <v>0</v>
      </c>
      <c r="Z113" s="21">
        <v>0</v>
      </c>
      <c r="AA113" s="21">
        <v>0</v>
      </c>
      <c r="AB113" s="21">
        <v>0</v>
      </c>
      <c r="AC113" s="21">
        <v>0</v>
      </c>
      <c r="AD113" s="21">
        <v>0</v>
      </c>
      <c r="AE113" s="21">
        <v>0</v>
      </c>
      <c r="AF113" s="21">
        <v>0</v>
      </c>
      <c r="AG113" s="21">
        <v>0</v>
      </c>
      <c r="AH113" s="21">
        <v>0</v>
      </c>
      <c r="AI113" s="21">
        <v>0</v>
      </c>
      <c r="AJ113" s="21">
        <v>0</v>
      </c>
      <c r="AK113" s="22">
        <v>1</v>
      </c>
      <c r="AL113" s="21">
        <v>0</v>
      </c>
      <c r="AM113" s="21">
        <v>0</v>
      </c>
      <c r="AN113" s="21">
        <v>0</v>
      </c>
      <c r="AO113" s="21">
        <v>0</v>
      </c>
      <c r="AP113" s="21">
        <v>0</v>
      </c>
      <c r="AQ113" s="21">
        <v>0</v>
      </c>
      <c r="AR113" s="21">
        <v>0</v>
      </c>
      <c r="AS113" s="21">
        <v>0</v>
      </c>
      <c r="AT113" s="21">
        <v>0</v>
      </c>
      <c r="AU113" s="21">
        <v>0</v>
      </c>
      <c r="AV113" s="21">
        <v>0</v>
      </c>
      <c r="AW113" s="21">
        <v>0</v>
      </c>
      <c r="AX113" s="21">
        <v>0</v>
      </c>
      <c r="AY113" s="68"/>
    </row>
    <row r="114" spans="1:51">
      <c r="A114" s="23" t="s">
        <v>393</v>
      </c>
      <c r="B114" s="19" t="s">
        <v>394</v>
      </c>
      <c r="C114" s="19" t="s">
        <v>392</v>
      </c>
      <c r="D114" s="20">
        <f t="shared" si="4"/>
        <v>0</v>
      </c>
      <c r="E114" s="21">
        <v>0</v>
      </c>
      <c r="F114" s="21">
        <v>0</v>
      </c>
      <c r="G114" s="21">
        <v>0</v>
      </c>
      <c r="H114" s="21">
        <v>0</v>
      </c>
      <c r="I114" s="21">
        <v>0</v>
      </c>
      <c r="J114" s="21">
        <v>0</v>
      </c>
      <c r="K114" s="21">
        <v>0</v>
      </c>
      <c r="L114" s="21">
        <v>0</v>
      </c>
      <c r="M114" s="21">
        <v>0</v>
      </c>
      <c r="N114" s="21">
        <v>0</v>
      </c>
      <c r="O114" s="21">
        <v>0</v>
      </c>
      <c r="P114" s="21">
        <v>0</v>
      </c>
      <c r="Q114" s="21">
        <v>0</v>
      </c>
      <c r="R114" s="21">
        <v>0</v>
      </c>
      <c r="S114" s="21">
        <v>0</v>
      </c>
      <c r="T114" s="21">
        <v>0</v>
      </c>
      <c r="U114" s="21">
        <v>0</v>
      </c>
      <c r="V114" s="21">
        <v>0</v>
      </c>
      <c r="W114" s="21">
        <v>0</v>
      </c>
      <c r="X114" s="21">
        <v>0</v>
      </c>
      <c r="Y114" s="21">
        <v>0</v>
      </c>
      <c r="Z114" s="21">
        <v>0</v>
      </c>
      <c r="AA114" s="21">
        <v>0</v>
      </c>
      <c r="AB114" s="21">
        <v>0</v>
      </c>
      <c r="AC114" s="21">
        <v>0</v>
      </c>
      <c r="AD114" s="21">
        <v>0</v>
      </c>
      <c r="AE114" s="21">
        <v>0</v>
      </c>
      <c r="AF114" s="21">
        <v>0</v>
      </c>
      <c r="AG114" s="21">
        <v>0</v>
      </c>
      <c r="AH114" s="21">
        <v>0</v>
      </c>
      <c r="AI114" s="21">
        <v>0</v>
      </c>
      <c r="AJ114" s="21">
        <v>0</v>
      </c>
      <c r="AK114" s="21">
        <v>0</v>
      </c>
      <c r="AL114" s="21">
        <v>0</v>
      </c>
      <c r="AM114" s="21">
        <v>0</v>
      </c>
      <c r="AN114" s="21">
        <v>0</v>
      </c>
      <c r="AO114" s="21">
        <v>0</v>
      </c>
      <c r="AP114" s="21">
        <v>0</v>
      </c>
      <c r="AQ114" s="21">
        <v>0</v>
      </c>
      <c r="AR114" s="21">
        <v>0</v>
      </c>
      <c r="AS114" s="21">
        <v>0</v>
      </c>
      <c r="AT114" s="21">
        <v>0</v>
      </c>
      <c r="AU114" s="21">
        <v>0</v>
      </c>
      <c r="AV114" s="21">
        <v>0</v>
      </c>
      <c r="AW114" s="21">
        <v>0</v>
      </c>
      <c r="AX114" s="21">
        <v>0</v>
      </c>
      <c r="AY114" s="68"/>
    </row>
    <row r="115" spans="1:51">
      <c r="A115" s="23" t="s">
        <v>395</v>
      </c>
      <c r="B115" s="19" t="s">
        <v>396</v>
      </c>
      <c r="C115" s="19" t="s">
        <v>392</v>
      </c>
      <c r="D115" s="20">
        <f t="shared" si="4"/>
        <v>0</v>
      </c>
      <c r="E115" s="21">
        <v>0</v>
      </c>
      <c r="F115" s="21">
        <v>0</v>
      </c>
      <c r="G115" s="21">
        <v>0</v>
      </c>
      <c r="H115" s="21">
        <v>0</v>
      </c>
      <c r="I115" s="21">
        <v>0</v>
      </c>
      <c r="J115" s="21">
        <v>0</v>
      </c>
      <c r="K115" s="21">
        <v>0</v>
      </c>
      <c r="L115" s="21">
        <v>0</v>
      </c>
      <c r="M115" s="21">
        <v>0</v>
      </c>
      <c r="N115" s="21">
        <v>0</v>
      </c>
      <c r="O115" s="21">
        <v>0</v>
      </c>
      <c r="P115" s="21">
        <v>0</v>
      </c>
      <c r="Q115" s="21">
        <v>0</v>
      </c>
      <c r="R115" s="21">
        <v>0</v>
      </c>
      <c r="S115" s="21">
        <v>0</v>
      </c>
      <c r="T115" s="21">
        <v>0</v>
      </c>
      <c r="U115" s="21">
        <v>0</v>
      </c>
      <c r="V115" s="21">
        <v>0</v>
      </c>
      <c r="W115" s="21">
        <v>0</v>
      </c>
      <c r="X115" s="21">
        <v>0</v>
      </c>
      <c r="Y115" s="21">
        <v>0</v>
      </c>
      <c r="Z115" s="21">
        <v>0</v>
      </c>
      <c r="AA115" s="21">
        <v>0</v>
      </c>
      <c r="AB115" s="21">
        <v>0</v>
      </c>
      <c r="AC115" s="21">
        <v>0</v>
      </c>
      <c r="AD115" s="21">
        <v>0</v>
      </c>
      <c r="AE115" s="21">
        <v>0</v>
      </c>
      <c r="AF115" s="21">
        <v>0</v>
      </c>
      <c r="AG115" s="21">
        <v>0</v>
      </c>
      <c r="AH115" s="21">
        <v>0</v>
      </c>
      <c r="AI115" s="21">
        <v>0</v>
      </c>
      <c r="AJ115" s="21">
        <v>0</v>
      </c>
      <c r="AK115" s="21">
        <v>0</v>
      </c>
      <c r="AL115" s="21">
        <v>0</v>
      </c>
      <c r="AM115" s="21">
        <v>0</v>
      </c>
      <c r="AN115" s="21">
        <v>0</v>
      </c>
      <c r="AO115" s="21">
        <v>0</v>
      </c>
      <c r="AP115" s="21">
        <v>0</v>
      </c>
      <c r="AQ115" s="21">
        <v>0</v>
      </c>
      <c r="AR115" s="21">
        <v>0</v>
      </c>
      <c r="AS115" s="21">
        <v>0</v>
      </c>
      <c r="AT115" s="21">
        <v>0</v>
      </c>
      <c r="AU115" s="21">
        <v>0</v>
      </c>
      <c r="AV115" s="21">
        <v>0</v>
      </c>
      <c r="AW115" s="21">
        <v>0</v>
      </c>
      <c r="AX115" s="21">
        <v>0</v>
      </c>
      <c r="AY115" s="68"/>
    </row>
    <row r="116" spans="1:51" ht="32.1">
      <c r="A116" s="23" t="s">
        <v>397</v>
      </c>
      <c r="B116" s="19" t="s">
        <v>398</v>
      </c>
      <c r="C116" s="19" t="s">
        <v>399</v>
      </c>
      <c r="D116" s="20">
        <f t="shared" si="4"/>
        <v>2</v>
      </c>
      <c r="E116" s="21">
        <v>2</v>
      </c>
      <c r="F116" s="21">
        <v>0</v>
      </c>
      <c r="G116" s="21">
        <v>0</v>
      </c>
      <c r="H116" s="21">
        <v>0</v>
      </c>
      <c r="I116" s="21">
        <v>0</v>
      </c>
      <c r="J116" s="21">
        <v>0</v>
      </c>
      <c r="K116" s="21">
        <v>0</v>
      </c>
      <c r="L116" s="21">
        <v>0</v>
      </c>
      <c r="M116" s="21">
        <v>0</v>
      </c>
      <c r="N116" s="21">
        <v>0</v>
      </c>
      <c r="O116" s="21">
        <v>0</v>
      </c>
      <c r="P116" s="21">
        <v>0</v>
      </c>
      <c r="Q116" s="21">
        <v>0</v>
      </c>
      <c r="R116" s="21">
        <v>0</v>
      </c>
      <c r="S116" s="21">
        <v>0</v>
      </c>
      <c r="T116" s="21">
        <v>0</v>
      </c>
      <c r="U116" s="21">
        <v>0</v>
      </c>
      <c r="V116" s="21">
        <v>0</v>
      </c>
      <c r="W116" s="21">
        <v>0</v>
      </c>
      <c r="X116" s="21">
        <v>0</v>
      </c>
      <c r="Y116" s="21">
        <v>0</v>
      </c>
      <c r="Z116" s="21">
        <v>0</v>
      </c>
      <c r="AA116" s="21">
        <v>0</v>
      </c>
      <c r="AB116" s="21">
        <v>0</v>
      </c>
      <c r="AC116" s="21">
        <v>0</v>
      </c>
      <c r="AD116" s="21">
        <v>0</v>
      </c>
      <c r="AE116" s="21">
        <v>0</v>
      </c>
      <c r="AF116" s="21">
        <v>0</v>
      </c>
      <c r="AG116" s="21">
        <v>0</v>
      </c>
      <c r="AH116" s="21">
        <v>0</v>
      </c>
      <c r="AI116" s="21">
        <v>0</v>
      </c>
      <c r="AJ116" s="21">
        <v>0</v>
      </c>
      <c r="AK116" s="21">
        <v>0</v>
      </c>
      <c r="AL116" s="21">
        <v>0</v>
      </c>
      <c r="AM116" s="21">
        <v>0</v>
      </c>
      <c r="AN116" s="21">
        <v>0</v>
      </c>
      <c r="AO116" s="21">
        <v>0</v>
      </c>
      <c r="AP116" s="21">
        <v>0</v>
      </c>
      <c r="AQ116" s="21">
        <v>0</v>
      </c>
      <c r="AR116" s="21">
        <v>0</v>
      </c>
      <c r="AS116" s="21">
        <v>0</v>
      </c>
      <c r="AT116" s="21">
        <v>0</v>
      </c>
      <c r="AU116" s="21">
        <v>0</v>
      </c>
      <c r="AV116" s="21">
        <v>0</v>
      </c>
      <c r="AW116" s="21">
        <v>0</v>
      </c>
      <c r="AX116" s="21">
        <v>0</v>
      </c>
      <c r="AY116" s="68"/>
    </row>
    <row r="117" spans="1:51">
      <c r="A117" s="23" t="s">
        <v>400</v>
      </c>
      <c r="B117" s="19" t="s">
        <v>401</v>
      </c>
      <c r="C117" s="19" t="s">
        <v>402</v>
      </c>
      <c r="D117" s="20">
        <f t="shared" si="4"/>
        <v>15</v>
      </c>
      <c r="E117" s="21">
        <v>6</v>
      </c>
      <c r="F117" s="21">
        <v>1</v>
      </c>
      <c r="G117" s="21">
        <v>0</v>
      </c>
      <c r="H117" s="21">
        <v>0</v>
      </c>
      <c r="I117" s="21">
        <v>0</v>
      </c>
      <c r="J117" s="21">
        <v>0</v>
      </c>
      <c r="K117" s="21">
        <v>0</v>
      </c>
      <c r="L117" s="21">
        <v>0</v>
      </c>
      <c r="M117" s="21">
        <v>0</v>
      </c>
      <c r="N117" s="21">
        <v>0</v>
      </c>
      <c r="O117" s="21">
        <v>1</v>
      </c>
      <c r="P117" s="21">
        <v>0</v>
      </c>
      <c r="Q117" s="21">
        <v>0</v>
      </c>
      <c r="R117" s="21">
        <v>0</v>
      </c>
      <c r="S117" s="21">
        <v>0</v>
      </c>
      <c r="T117" s="21">
        <v>0</v>
      </c>
      <c r="U117" s="21">
        <v>0</v>
      </c>
      <c r="V117" s="21">
        <v>0</v>
      </c>
      <c r="W117" s="21">
        <v>0</v>
      </c>
      <c r="X117" s="21">
        <v>0</v>
      </c>
      <c r="Y117" s="21">
        <v>2</v>
      </c>
      <c r="Z117" s="21">
        <v>0</v>
      </c>
      <c r="AA117" s="21">
        <v>0</v>
      </c>
      <c r="AB117" s="21">
        <v>0</v>
      </c>
      <c r="AC117" s="21">
        <v>5</v>
      </c>
      <c r="AD117" s="21">
        <v>0</v>
      </c>
      <c r="AE117" s="21">
        <v>0</v>
      </c>
      <c r="AF117" s="21">
        <v>0</v>
      </c>
      <c r="AG117" s="21">
        <v>0</v>
      </c>
      <c r="AH117" s="21">
        <v>0</v>
      </c>
      <c r="AI117" s="21">
        <v>0</v>
      </c>
      <c r="AJ117" s="21">
        <v>0</v>
      </c>
      <c r="AK117" s="21">
        <v>0</v>
      </c>
      <c r="AL117" s="21">
        <v>0</v>
      </c>
      <c r="AM117" s="21">
        <v>0</v>
      </c>
      <c r="AN117" s="21">
        <v>0</v>
      </c>
      <c r="AO117" s="21">
        <v>0</v>
      </c>
      <c r="AP117" s="21">
        <v>0</v>
      </c>
      <c r="AQ117" s="21">
        <v>0</v>
      </c>
      <c r="AR117" s="21">
        <v>0</v>
      </c>
      <c r="AS117" s="21">
        <v>0</v>
      </c>
      <c r="AT117" s="21">
        <v>0</v>
      </c>
      <c r="AU117" s="21">
        <v>0</v>
      </c>
      <c r="AV117" s="21">
        <v>0</v>
      </c>
      <c r="AW117" s="21">
        <v>0</v>
      </c>
      <c r="AX117" s="21">
        <v>0</v>
      </c>
      <c r="AY117" s="67"/>
    </row>
    <row r="118" spans="1:51">
      <c r="A118" s="23" t="s">
        <v>403</v>
      </c>
      <c r="B118" s="19" t="s">
        <v>404</v>
      </c>
      <c r="C118" s="19" t="s">
        <v>405</v>
      </c>
      <c r="D118" s="20">
        <f t="shared" si="4"/>
        <v>56</v>
      </c>
      <c r="E118" s="21">
        <v>32</v>
      </c>
      <c r="F118" s="21">
        <v>0</v>
      </c>
      <c r="G118" s="21">
        <v>0</v>
      </c>
      <c r="H118" s="21">
        <v>0</v>
      </c>
      <c r="I118" s="21">
        <v>0</v>
      </c>
      <c r="J118" s="21">
        <v>0</v>
      </c>
      <c r="K118" s="21">
        <v>0</v>
      </c>
      <c r="L118" s="21">
        <v>0</v>
      </c>
      <c r="M118" s="21">
        <v>0</v>
      </c>
      <c r="N118" s="21">
        <v>0</v>
      </c>
      <c r="O118" s="21">
        <v>0</v>
      </c>
      <c r="P118" s="21">
        <v>0</v>
      </c>
      <c r="Q118" s="21">
        <v>0</v>
      </c>
      <c r="R118" s="21">
        <v>0</v>
      </c>
      <c r="S118" s="21">
        <v>0</v>
      </c>
      <c r="T118" s="21">
        <v>0</v>
      </c>
      <c r="U118" s="21">
        <v>0</v>
      </c>
      <c r="V118" s="21">
        <v>0</v>
      </c>
      <c r="W118" s="21">
        <v>0</v>
      </c>
      <c r="X118" s="21">
        <v>0</v>
      </c>
      <c r="Y118" s="21">
        <v>0</v>
      </c>
      <c r="Z118" s="21">
        <v>0</v>
      </c>
      <c r="AA118" s="21">
        <v>0</v>
      </c>
      <c r="AB118" s="21">
        <v>0</v>
      </c>
      <c r="AC118" s="21">
        <v>24</v>
      </c>
      <c r="AD118" s="21">
        <v>0</v>
      </c>
      <c r="AE118" s="21">
        <v>0</v>
      </c>
      <c r="AF118" s="21">
        <v>0</v>
      </c>
      <c r="AG118" s="21">
        <v>0</v>
      </c>
      <c r="AH118" s="21">
        <v>0</v>
      </c>
      <c r="AI118" s="21">
        <v>0</v>
      </c>
      <c r="AJ118" s="21">
        <v>0</v>
      </c>
      <c r="AK118" s="21">
        <v>0</v>
      </c>
      <c r="AL118" s="21">
        <v>0</v>
      </c>
      <c r="AM118" s="21">
        <v>0</v>
      </c>
      <c r="AN118" s="21">
        <v>0</v>
      </c>
      <c r="AO118" s="21">
        <v>0</v>
      </c>
      <c r="AP118" s="21">
        <v>0</v>
      </c>
      <c r="AQ118" s="21">
        <v>0</v>
      </c>
      <c r="AR118" s="21">
        <v>0</v>
      </c>
      <c r="AS118" s="21">
        <v>0</v>
      </c>
      <c r="AT118" s="21">
        <v>0</v>
      </c>
      <c r="AU118" s="21">
        <v>0</v>
      </c>
      <c r="AV118" s="21">
        <v>0</v>
      </c>
      <c r="AW118" s="21">
        <v>0</v>
      </c>
      <c r="AX118" s="21">
        <v>0</v>
      </c>
      <c r="AY118" s="67"/>
    </row>
    <row r="119" spans="1:51" ht="32.1">
      <c r="A119" s="23" t="s">
        <v>406</v>
      </c>
      <c r="B119" s="19" t="s">
        <v>407</v>
      </c>
      <c r="C119" s="19" t="s">
        <v>408</v>
      </c>
      <c r="D119" s="20">
        <f t="shared" si="4"/>
        <v>5</v>
      </c>
      <c r="E119" s="21">
        <v>3</v>
      </c>
      <c r="F119" s="21">
        <v>0</v>
      </c>
      <c r="G119" s="21">
        <v>0</v>
      </c>
      <c r="H119" s="21">
        <v>0</v>
      </c>
      <c r="I119" s="21">
        <v>0</v>
      </c>
      <c r="J119" s="21">
        <v>0</v>
      </c>
      <c r="K119" s="21">
        <v>0</v>
      </c>
      <c r="L119" s="21">
        <v>0</v>
      </c>
      <c r="M119" s="21">
        <v>0</v>
      </c>
      <c r="N119" s="21">
        <v>0</v>
      </c>
      <c r="O119" s="21">
        <v>0</v>
      </c>
      <c r="P119" s="21">
        <v>0</v>
      </c>
      <c r="Q119" s="21">
        <v>0</v>
      </c>
      <c r="R119" s="21">
        <v>0</v>
      </c>
      <c r="S119" s="21">
        <v>0</v>
      </c>
      <c r="T119" s="21">
        <v>0</v>
      </c>
      <c r="U119" s="21">
        <v>0</v>
      </c>
      <c r="V119" s="21">
        <v>0</v>
      </c>
      <c r="W119" s="21">
        <v>0</v>
      </c>
      <c r="X119" s="21">
        <v>0</v>
      </c>
      <c r="Y119" s="21">
        <v>0</v>
      </c>
      <c r="Z119" s="21">
        <v>0</v>
      </c>
      <c r="AA119" s="21">
        <v>0</v>
      </c>
      <c r="AB119" s="21">
        <v>0</v>
      </c>
      <c r="AC119" s="21">
        <v>2</v>
      </c>
      <c r="AD119" s="21">
        <v>0</v>
      </c>
      <c r="AE119" s="21">
        <v>0</v>
      </c>
      <c r="AF119" s="21">
        <v>0</v>
      </c>
      <c r="AG119" s="21">
        <v>0</v>
      </c>
      <c r="AH119" s="21">
        <v>0</v>
      </c>
      <c r="AI119" s="21">
        <v>0</v>
      </c>
      <c r="AJ119" s="21">
        <v>0</v>
      </c>
      <c r="AK119" s="21">
        <v>0</v>
      </c>
      <c r="AL119" s="21">
        <v>0</v>
      </c>
      <c r="AM119" s="21">
        <v>0</v>
      </c>
      <c r="AN119" s="21">
        <v>0</v>
      </c>
      <c r="AO119" s="21">
        <v>0</v>
      </c>
      <c r="AP119" s="21">
        <v>0</v>
      </c>
      <c r="AQ119" s="21">
        <v>0</v>
      </c>
      <c r="AR119" s="21">
        <v>0</v>
      </c>
      <c r="AS119" s="21">
        <v>0</v>
      </c>
      <c r="AT119" s="21">
        <v>0</v>
      </c>
      <c r="AU119" s="21">
        <v>0</v>
      </c>
      <c r="AV119" s="21">
        <v>0</v>
      </c>
      <c r="AW119" s="21">
        <v>0</v>
      </c>
      <c r="AX119" s="21">
        <v>0</v>
      </c>
      <c r="AY119" s="68"/>
    </row>
    <row r="120" spans="1:51">
      <c r="A120" s="23" t="s">
        <v>409</v>
      </c>
      <c r="B120" s="19" t="s">
        <v>410</v>
      </c>
      <c r="C120" s="19" t="s">
        <v>411</v>
      </c>
      <c r="D120" s="20">
        <f t="shared" si="4"/>
        <v>0</v>
      </c>
      <c r="E120" s="21">
        <v>0</v>
      </c>
      <c r="F120" s="21">
        <v>0</v>
      </c>
      <c r="G120" s="21">
        <v>0</v>
      </c>
      <c r="H120" s="21">
        <v>0</v>
      </c>
      <c r="I120" s="21">
        <v>0</v>
      </c>
      <c r="J120" s="21">
        <v>0</v>
      </c>
      <c r="K120" s="21">
        <v>0</v>
      </c>
      <c r="L120" s="21">
        <v>0</v>
      </c>
      <c r="M120" s="21">
        <v>0</v>
      </c>
      <c r="N120" s="21">
        <v>0</v>
      </c>
      <c r="O120" s="21">
        <v>0</v>
      </c>
      <c r="P120" s="21">
        <v>0</v>
      </c>
      <c r="Q120" s="21">
        <v>0</v>
      </c>
      <c r="R120" s="21">
        <v>0</v>
      </c>
      <c r="S120" s="21">
        <v>0</v>
      </c>
      <c r="T120" s="21">
        <v>0</v>
      </c>
      <c r="U120" s="21">
        <v>0</v>
      </c>
      <c r="V120" s="21">
        <v>0</v>
      </c>
      <c r="W120" s="21">
        <v>0</v>
      </c>
      <c r="X120" s="21">
        <v>0</v>
      </c>
      <c r="Y120" s="21">
        <v>0</v>
      </c>
      <c r="Z120" s="21">
        <v>0</v>
      </c>
      <c r="AA120" s="21">
        <v>0</v>
      </c>
      <c r="AB120" s="21">
        <v>0</v>
      </c>
      <c r="AC120" s="21">
        <v>0</v>
      </c>
      <c r="AD120" s="21">
        <v>0</v>
      </c>
      <c r="AE120" s="21">
        <v>0</v>
      </c>
      <c r="AF120" s="21">
        <v>0</v>
      </c>
      <c r="AG120" s="21">
        <v>0</v>
      </c>
      <c r="AH120" s="21">
        <v>0</v>
      </c>
      <c r="AI120" s="21">
        <v>0</v>
      </c>
      <c r="AJ120" s="21">
        <v>0</v>
      </c>
      <c r="AK120" s="21">
        <v>0</v>
      </c>
      <c r="AL120" s="21">
        <v>0</v>
      </c>
      <c r="AM120" s="21">
        <v>0</v>
      </c>
      <c r="AN120" s="21">
        <v>0</v>
      </c>
      <c r="AO120" s="21">
        <v>0</v>
      </c>
      <c r="AP120" s="21">
        <v>0</v>
      </c>
      <c r="AQ120" s="21">
        <v>0</v>
      </c>
      <c r="AR120" s="21">
        <v>0</v>
      </c>
      <c r="AS120" s="21">
        <v>0</v>
      </c>
      <c r="AT120" s="21">
        <v>0</v>
      </c>
      <c r="AU120" s="21">
        <v>0</v>
      </c>
      <c r="AV120" s="21">
        <v>0</v>
      </c>
      <c r="AW120" s="21">
        <v>0</v>
      </c>
      <c r="AX120" s="21">
        <v>0</v>
      </c>
      <c r="AY120" s="68"/>
    </row>
    <row r="121" spans="1:51">
      <c r="A121" s="23" t="s">
        <v>412</v>
      </c>
      <c r="B121" s="19" t="s">
        <v>413</v>
      </c>
      <c r="C121" s="19" t="s">
        <v>392</v>
      </c>
      <c r="D121" s="20">
        <f t="shared" si="4"/>
        <v>0</v>
      </c>
      <c r="E121" s="21">
        <v>0</v>
      </c>
      <c r="F121" s="21">
        <v>0</v>
      </c>
      <c r="G121" s="21">
        <v>0</v>
      </c>
      <c r="H121" s="21">
        <v>0</v>
      </c>
      <c r="I121" s="21">
        <v>0</v>
      </c>
      <c r="J121" s="21">
        <v>0</v>
      </c>
      <c r="K121" s="21">
        <v>0</v>
      </c>
      <c r="L121" s="21">
        <v>0</v>
      </c>
      <c r="M121" s="21">
        <v>0</v>
      </c>
      <c r="N121" s="21">
        <v>0</v>
      </c>
      <c r="O121" s="21">
        <v>0</v>
      </c>
      <c r="P121" s="21">
        <v>0</v>
      </c>
      <c r="Q121" s="21">
        <v>0</v>
      </c>
      <c r="R121" s="21">
        <v>0</v>
      </c>
      <c r="S121" s="21">
        <v>0</v>
      </c>
      <c r="T121" s="21">
        <v>0</v>
      </c>
      <c r="U121" s="21">
        <v>0</v>
      </c>
      <c r="V121" s="21">
        <v>0</v>
      </c>
      <c r="W121" s="21">
        <v>0</v>
      </c>
      <c r="X121" s="21">
        <v>0</v>
      </c>
      <c r="Y121" s="21">
        <v>0</v>
      </c>
      <c r="Z121" s="21">
        <v>0</v>
      </c>
      <c r="AA121" s="21">
        <v>0</v>
      </c>
      <c r="AB121" s="21">
        <v>0</v>
      </c>
      <c r="AC121" s="21">
        <v>0</v>
      </c>
      <c r="AD121" s="21">
        <v>0</v>
      </c>
      <c r="AE121" s="21">
        <v>0</v>
      </c>
      <c r="AF121" s="21">
        <v>0</v>
      </c>
      <c r="AG121" s="21">
        <v>0</v>
      </c>
      <c r="AH121" s="21">
        <v>0</v>
      </c>
      <c r="AI121" s="21">
        <v>0</v>
      </c>
      <c r="AJ121" s="21">
        <v>0</v>
      </c>
      <c r="AK121" s="21">
        <v>0</v>
      </c>
      <c r="AL121" s="21">
        <v>0</v>
      </c>
      <c r="AM121" s="21">
        <v>0</v>
      </c>
      <c r="AN121" s="21">
        <v>0</v>
      </c>
      <c r="AO121" s="21">
        <v>0</v>
      </c>
      <c r="AP121" s="21">
        <v>0</v>
      </c>
      <c r="AQ121" s="21">
        <v>0</v>
      </c>
      <c r="AR121" s="21">
        <v>0</v>
      </c>
      <c r="AS121" s="21">
        <v>0</v>
      </c>
      <c r="AT121" s="21">
        <v>0</v>
      </c>
      <c r="AU121" s="21">
        <v>0</v>
      </c>
      <c r="AV121" s="21">
        <v>0</v>
      </c>
      <c r="AW121" s="21">
        <v>0</v>
      </c>
      <c r="AX121" s="21">
        <v>0</v>
      </c>
      <c r="AY121" s="68"/>
    </row>
    <row r="122" spans="1:51">
      <c r="A122" s="23" t="s">
        <v>414</v>
      </c>
      <c r="B122" s="19" t="s">
        <v>415</v>
      </c>
      <c r="C122" s="19" t="s">
        <v>392</v>
      </c>
      <c r="D122" s="20">
        <f t="shared" si="4"/>
        <v>2</v>
      </c>
      <c r="E122" s="22">
        <v>1</v>
      </c>
      <c r="F122" s="21">
        <v>0</v>
      </c>
      <c r="G122" s="21">
        <v>0</v>
      </c>
      <c r="H122" s="21">
        <v>0</v>
      </c>
      <c r="I122" s="21">
        <v>0</v>
      </c>
      <c r="J122" s="21">
        <v>0</v>
      </c>
      <c r="K122" s="21">
        <v>0</v>
      </c>
      <c r="L122" s="21">
        <v>0</v>
      </c>
      <c r="M122" s="21">
        <v>0</v>
      </c>
      <c r="N122" s="21">
        <v>0</v>
      </c>
      <c r="O122" s="21">
        <v>0</v>
      </c>
      <c r="P122" s="21">
        <v>0</v>
      </c>
      <c r="Q122" s="21">
        <v>0</v>
      </c>
      <c r="R122" s="21">
        <v>0</v>
      </c>
      <c r="S122" s="21">
        <v>0</v>
      </c>
      <c r="T122" s="21">
        <v>0</v>
      </c>
      <c r="U122" s="21">
        <v>0</v>
      </c>
      <c r="V122" s="21">
        <v>0</v>
      </c>
      <c r="W122" s="21">
        <v>0</v>
      </c>
      <c r="X122" s="21">
        <v>0</v>
      </c>
      <c r="Y122" s="21">
        <v>0</v>
      </c>
      <c r="Z122" s="21">
        <v>0</v>
      </c>
      <c r="AA122" s="21">
        <v>0</v>
      </c>
      <c r="AB122" s="21">
        <v>0</v>
      </c>
      <c r="AC122" s="22">
        <v>1</v>
      </c>
      <c r="AD122" s="21">
        <v>0</v>
      </c>
      <c r="AE122" s="21">
        <v>0</v>
      </c>
      <c r="AF122" s="21">
        <v>0</v>
      </c>
      <c r="AG122" s="21">
        <v>0</v>
      </c>
      <c r="AH122" s="21">
        <v>0</v>
      </c>
      <c r="AI122" s="21">
        <v>0</v>
      </c>
      <c r="AJ122" s="21">
        <v>0</v>
      </c>
      <c r="AK122" s="21">
        <v>0</v>
      </c>
      <c r="AL122" s="21">
        <v>0</v>
      </c>
      <c r="AM122" s="21">
        <v>0</v>
      </c>
      <c r="AN122" s="21">
        <v>0</v>
      </c>
      <c r="AO122" s="21">
        <v>0</v>
      </c>
      <c r="AP122" s="21">
        <v>0</v>
      </c>
      <c r="AQ122" s="21">
        <v>0</v>
      </c>
      <c r="AR122" s="21">
        <v>0</v>
      </c>
      <c r="AS122" s="21">
        <v>0</v>
      </c>
      <c r="AT122" s="21">
        <v>0</v>
      </c>
      <c r="AU122" s="21">
        <v>0</v>
      </c>
      <c r="AV122" s="21">
        <v>0</v>
      </c>
      <c r="AW122" s="21">
        <v>0</v>
      </c>
      <c r="AX122" s="21">
        <v>0</v>
      </c>
      <c r="AY122" s="68"/>
    </row>
    <row r="123" spans="1:51">
      <c r="A123" s="23" t="s">
        <v>416</v>
      </c>
      <c r="B123" s="19" t="s">
        <v>417</v>
      </c>
      <c r="C123" s="19" t="s">
        <v>392</v>
      </c>
      <c r="D123" s="20">
        <f t="shared" si="4"/>
        <v>0</v>
      </c>
      <c r="E123" s="21">
        <v>0</v>
      </c>
      <c r="F123" s="21">
        <v>0</v>
      </c>
      <c r="G123" s="21">
        <v>0</v>
      </c>
      <c r="H123" s="21">
        <v>0</v>
      </c>
      <c r="I123" s="21">
        <v>0</v>
      </c>
      <c r="J123" s="21">
        <v>0</v>
      </c>
      <c r="K123" s="21">
        <v>0</v>
      </c>
      <c r="L123" s="21">
        <v>0</v>
      </c>
      <c r="M123" s="21">
        <v>0</v>
      </c>
      <c r="N123" s="21">
        <v>0</v>
      </c>
      <c r="O123" s="21">
        <v>0</v>
      </c>
      <c r="P123" s="21">
        <v>0</v>
      </c>
      <c r="Q123" s="21">
        <v>0</v>
      </c>
      <c r="R123" s="21">
        <v>0</v>
      </c>
      <c r="S123" s="21">
        <v>0</v>
      </c>
      <c r="T123" s="21">
        <v>0</v>
      </c>
      <c r="U123" s="21">
        <v>0</v>
      </c>
      <c r="V123" s="21">
        <v>0</v>
      </c>
      <c r="W123" s="21">
        <v>0</v>
      </c>
      <c r="X123" s="21">
        <v>0</v>
      </c>
      <c r="Y123" s="21">
        <v>0</v>
      </c>
      <c r="Z123" s="21">
        <v>0</v>
      </c>
      <c r="AA123" s="21">
        <v>0</v>
      </c>
      <c r="AB123" s="21">
        <v>0</v>
      </c>
      <c r="AC123" s="21">
        <v>0</v>
      </c>
      <c r="AD123" s="21">
        <v>0</v>
      </c>
      <c r="AE123" s="21">
        <v>0</v>
      </c>
      <c r="AF123" s="21">
        <v>0</v>
      </c>
      <c r="AG123" s="21">
        <v>0</v>
      </c>
      <c r="AH123" s="21">
        <v>0</v>
      </c>
      <c r="AI123" s="21">
        <v>0</v>
      </c>
      <c r="AJ123" s="21">
        <v>0</v>
      </c>
      <c r="AK123" s="21">
        <v>0</v>
      </c>
      <c r="AL123" s="21">
        <v>0</v>
      </c>
      <c r="AM123" s="21">
        <v>0</v>
      </c>
      <c r="AN123" s="21">
        <v>0</v>
      </c>
      <c r="AO123" s="21">
        <v>0</v>
      </c>
      <c r="AP123" s="21">
        <v>0</v>
      </c>
      <c r="AQ123" s="21">
        <v>0</v>
      </c>
      <c r="AR123" s="21">
        <v>0</v>
      </c>
      <c r="AS123" s="21">
        <v>0</v>
      </c>
      <c r="AT123" s="21">
        <v>0</v>
      </c>
      <c r="AU123" s="21">
        <v>0</v>
      </c>
      <c r="AV123" s="21">
        <v>0</v>
      </c>
      <c r="AW123" s="21">
        <v>0</v>
      </c>
      <c r="AX123" s="21">
        <v>0</v>
      </c>
      <c r="AY123" s="68"/>
    </row>
    <row r="124" spans="1:51">
      <c r="A124" s="23" t="s">
        <v>418</v>
      </c>
      <c r="B124" s="19" t="s">
        <v>419</v>
      </c>
      <c r="C124" s="19" t="s">
        <v>392</v>
      </c>
      <c r="D124" s="20">
        <f t="shared" si="4"/>
        <v>0</v>
      </c>
      <c r="E124" s="21">
        <v>0</v>
      </c>
      <c r="F124" s="21">
        <v>0</v>
      </c>
      <c r="G124" s="21">
        <v>0</v>
      </c>
      <c r="H124" s="21">
        <v>0</v>
      </c>
      <c r="I124" s="21">
        <v>0</v>
      </c>
      <c r="J124" s="21">
        <v>0</v>
      </c>
      <c r="K124" s="21">
        <v>0</v>
      </c>
      <c r="L124" s="21">
        <v>0</v>
      </c>
      <c r="M124" s="21">
        <v>0</v>
      </c>
      <c r="N124" s="21">
        <v>0</v>
      </c>
      <c r="O124" s="21">
        <v>0</v>
      </c>
      <c r="P124" s="21">
        <v>0</v>
      </c>
      <c r="Q124" s="21">
        <v>0</v>
      </c>
      <c r="R124" s="21">
        <v>0</v>
      </c>
      <c r="S124" s="21">
        <v>0</v>
      </c>
      <c r="T124" s="21">
        <v>0</v>
      </c>
      <c r="U124" s="21">
        <v>0</v>
      </c>
      <c r="V124" s="21">
        <v>0</v>
      </c>
      <c r="W124" s="21">
        <v>0</v>
      </c>
      <c r="X124" s="21">
        <v>0</v>
      </c>
      <c r="Y124" s="21">
        <v>0</v>
      </c>
      <c r="Z124" s="21">
        <v>0</v>
      </c>
      <c r="AA124" s="21">
        <v>0</v>
      </c>
      <c r="AB124" s="21">
        <v>0</v>
      </c>
      <c r="AC124" s="21">
        <v>0</v>
      </c>
      <c r="AD124" s="21">
        <v>0</v>
      </c>
      <c r="AE124" s="21">
        <v>0</v>
      </c>
      <c r="AF124" s="21">
        <v>0</v>
      </c>
      <c r="AG124" s="21">
        <v>0</v>
      </c>
      <c r="AH124" s="21">
        <v>0</v>
      </c>
      <c r="AI124" s="21">
        <v>0</v>
      </c>
      <c r="AJ124" s="21">
        <v>0</v>
      </c>
      <c r="AK124" s="21">
        <v>0</v>
      </c>
      <c r="AL124" s="21">
        <v>0</v>
      </c>
      <c r="AM124" s="21">
        <v>0</v>
      </c>
      <c r="AN124" s="21">
        <v>0</v>
      </c>
      <c r="AO124" s="21">
        <v>0</v>
      </c>
      <c r="AP124" s="21">
        <v>0</v>
      </c>
      <c r="AQ124" s="21">
        <v>0</v>
      </c>
      <c r="AR124" s="21">
        <v>0</v>
      </c>
      <c r="AS124" s="21">
        <v>0</v>
      </c>
      <c r="AT124" s="21">
        <v>0</v>
      </c>
      <c r="AU124" s="21">
        <v>0</v>
      </c>
      <c r="AV124" s="21">
        <v>0</v>
      </c>
      <c r="AW124" s="21">
        <v>0</v>
      </c>
      <c r="AX124" s="21">
        <v>0</v>
      </c>
      <c r="AY124" s="68"/>
    </row>
    <row r="125" spans="1:51">
      <c r="A125" s="23" t="s">
        <v>420</v>
      </c>
      <c r="B125" s="19" t="s">
        <v>421</v>
      </c>
      <c r="C125" s="19" t="s">
        <v>392</v>
      </c>
      <c r="D125" s="20">
        <f t="shared" si="4"/>
        <v>3</v>
      </c>
      <c r="E125" s="22">
        <v>1</v>
      </c>
      <c r="F125" s="21">
        <v>0</v>
      </c>
      <c r="G125" s="21">
        <v>0</v>
      </c>
      <c r="H125" s="21">
        <v>0</v>
      </c>
      <c r="I125" s="21">
        <v>0</v>
      </c>
      <c r="J125" s="21">
        <v>0</v>
      </c>
      <c r="K125" s="21">
        <v>0</v>
      </c>
      <c r="L125" s="21">
        <v>0</v>
      </c>
      <c r="M125" s="21">
        <v>0</v>
      </c>
      <c r="N125" s="21">
        <v>0</v>
      </c>
      <c r="O125" s="21">
        <v>0</v>
      </c>
      <c r="P125" s="21">
        <v>0</v>
      </c>
      <c r="Q125" s="21">
        <v>0</v>
      </c>
      <c r="R125" s="21">
        <v>0</v>
      </c>
      <c r="S125" s="21">
        <v>0</v>
      </c>
      <c r="T125" s="21">
        <v>0</v>
      </c>
      <c r="U125" s="21">
        <v>0</v>
      </c>
      <c r="V125" s="21">
        <v>0</v>
      </c>
      <c r="W125" s="21">
        <v>0</v>
      </c>
      <c r="X125" s="21">
        <v>0</v>
      </c>
      <c r="Y125" s="21">
        <v>0</v>
      </c>
      <c r="Z125" s="21">
        <v>0</v>
      </c>
      <c r="AA125" s="21">
        <v>0</v>
      </c>
      <c r="AB125" s="21">
        <v>0</v>
      </c>
      <c r="AC125" s="22">
        <v>1</v>
      </c>
      <c r="AD125" s="21">
        <v>0</v>
      </c>
      <c r="AE125" s="21">
        <v>0</v>
      </c>
      <c r="AF125" s="21">
        <v>0</v>
      </c>
      <c r="AG125" s="21">
        <v>0</v>
      </c>
      <c r="AH125" s="21">
        <v>0</v>
      </c>
      <c r="AI125" s="21">
        <v>0</v>
      </c>
      <c r="AJ125" s="21">
        <v>0</v>
      </c>
      <c r="AK125" s="21">
        <v>0</v>
      </c>
      <c r="AL125" s="21">
        <v>0</v>
      </c>
      <c r="AM125" s="21">
        <v>0</v>
      </c>
      <c r="AN125" s="22">
        <v>1</v>
      </c>
      <c r="AO125" s="21">
        <v>0</v>
      </c>
      <c r="AP125" s="21">
        <v>0</v>
      </c>
      <c r="AQ125" s="21">
        <v>0</v>
      </c>
      <c r="AR125" s="21">
        <v>0</v>
      </c>
      <c r="AS125" s="21">
        <v>0</v>
      </c>
      <c r="AT125" s="21">
        <v>0</v>
      </c>
      <c r="AU125" s="21">
        <v>0</v>
      </c>
      <c r="AV125" s="21">
        <v>0</v>
      </c>
      <c r="AW125" s="21">
        <v>0</v>
      </c>
      <c r="AX125" s="21">
        <v>0</v>
      </c>
      <c r="AY125" s="68"/>
    </row>
    <row r="126" spans="1:51">
      <c r="A126" s="23" t="s">
        <v>422</v>
      </c>
      <c r="B126" s="19" t="s">
        <v>423</v>
      </c>
      <c r="C126" s="19" t="s">
        <v>392</v>
      </c>
      <c r="D126" s="20">
        <f t="shared" si="4"/>
        <v>0</v>
      </c>
      <c r="E126" s="21">
        <v>0</v>
      </c>
      <c r="F126" s="21">
        <v>0</v>
      </c>
      <c r="G126" s="21">
        <v>0</v>
      </c>
      <c r="H126" s="21">
        <v>0</v>
      </c>
      <c r="I126" s="21">
        <v>0</v>
      </c>
      <c r="J126" s="21">
        <v>0</v>
      </c>
      <c r="K126" s="21">
        <v>0</v>
      </c>
      <c r="L126" s="21">
        <v>0</v>
      </c>
      <c r="M126" s="21">
        <v>0</v>
      </c>
      <c r="N126" s="21">
        <v>0</v>
      </c>
      <c r="O126" s="21">
        <v>0</v>
      </c>
      <c r="P126" s="21">
        <v>0</v>
      </c>
      <c r="Q126" s="21">
        <v>0</v>
      </c>
      <c r="R126" s="21">
        <v>0</v>
      </c>
      <c r="S126" s="21">
        <v>0</v>
      </c>
      <c r="T126" s="21">
        <v>0</v>
      </c>
      <c r="U126" s="21">
        <v>0</v>
      </c>
      <c r="V126" s="21">
        <v>0</v>
      </c>
      <c r="W126" s="21">
        <v>0</v>
      </c>
      <c r="X126" s="21">
        <v>0</v>
      </c>
      <c r="Y126" s="21">
        <v>0</v>
      </c>
      <c r="Z126" s="21">
        <v>0</v>
      </c>
      <c r="AA126" s="21">
        <v>0</v>
      </c>
      <c r="AB126" s="21">
        <v>0</v>
      </c>
      <c r="AC126" s="21">
        <v>0</v>
      </c>
      <c r="AD126" s="21">
        <v>0</v>
      </c>
      <c r="AE126" s="21">
        <v>0</v>
      </c>
      <c r="AF126" s="21">
        <v>0</v>
      </c>
      <c r="AG126" s="21">
        <v>0</v>
      </c>
      <c r="AH126" s="21">
        <v>0</v>
      </c>
      <c r="AI126" s="21">
        <v>0</v>
      </c>
      <c r="AJ126" s="21">
        <v>0</v>
      </c>
      <c r="AK126" s="21">
        <v>0</v>
      </c>
      <c r="AL126" s="21">
        <v>0</v>
      </c>
      <c r="AM126" s="21">
        <v>0</v>
      </c>
      <c r="AN126" s="21">
        <v>0</v>
      </c>
      <c r="AO126" s="21">
        <v>0</v>
      </c>
      <c r="AP126" s="21">
        <v>0</v>
      </c>
      <c r="AQ126" s="21">
        <v>0</v>
      </c>
      <c r="AR126" s="21">
        <v>0</v>
      </c>
      <c r="AS126" s="21">
        <v>0</v>
      </c>
      <c r="AT126" s="21">
        <v>0</v>
      </c>
      <c r="AU126" s="21">
        <v>0</v>
      </c>
      <c r="AV126" s="21">
        <v>0</v>
      </c>
      <c r="AW126" s="21">
        <v>0</v>
      </c>
      <c r="AX126" s="21">
        <v>0</v>
      </c>
      <c r="AY126" s="68"/>
    </row>
    <row r="127" spans="1:51">
      <c r="A127" s="23" t="s">
        <v>424</v>
      </c>
      <c r="B127" s="19" t="s">
        <v>425</v>
      </c>
      <c r="C127" s="19" t="s">
        <v>285</v>
      </c>
      <c r="D127" s="20">
        <f t="shared" si="4"/>
        <v>0</v>
      </c>
      <c r="E127" s="21">
        <v>0</v>
      </c>
      <c r="F127" s="21">
        <v>0</v>
      </c>
      <c r="G127" s="21">
        <v>0</v>
      </c>
      <c r="H127" s="21">
        <v>0</v>
      </c>
      <c r="I127" s="21">
        <v>0</v>
      </c>
      <c r="J127" s="21">
        <v>0</v>
      </c>
      <c r="K127" s="21">
        <v>0</v>
      </c>
      <c r="L127" s="21">
        <v>0</v>
      </c>
      <c r="M127" s="21">
        <v>0</v>
      </c>
      <c r="N127" s="21">
        <v>0</v>
      </c>
      <c r="O127" s="21">
        <v>0</v>
      </c>
      <c r="P127" s="21">
        <v>0</v>
      </c>
      <c r="Q127" s="21">
        <v>0</v>
      </c>
      <c r="R127" s="21">
        <v>0</v>
      </c>
      <c r="S127" s="21">
        <v>0</v>
      </c>
      <c r="T127" s="21">
        <v>0</v>
      </c>
      <c r="U127" s="21">
        <v>0</v>
      </c>
      <c r="V127" s="21">
        <v>0</v>
      </c>
      <c r="W127" s="21">
        <v>0</v>
      </c>
      <c r="X127" s="21">
        <v>0</v>
      </c>
      <c r="Y127" s="21">
        <v>0</v>
      </c>
      <c r="Z127" s="21">
        <v>0</v>
      </c>
      <c r="AA127" s="21">
        <v>0</v>
      </c>
      <c r="AB127" s="21">
        <v>0</v>
      </c>
      <c r="AC127" s="21">
        <v>0</v>
      </c>
      <c r="AD127" s="21">
        <v>0</v>
      </c>
      <c r="AE127" s="21">
        <v>0</v>
      </c>
      <c r="AF127" s="21">
        <v>0</v>
      </c>
      <c r="AG127" s="21">
        <v>0</v>
      </c>
      <c r="AH127" s="21">
        <v>0</v>
      </c>
      <c r="AI127" s="21">
        <v>0</v>
      </c>
      <c r="AJ127" s="21">
        <v>0</v>
      </c>
      <c r="AK127" s="21">
        <v>0</v>
      </c>
      <c r="AL127" s="21">
        <v>0</v>
      </c>
      <c r="AM127" s="21">
        <v>0</v>
      </c>
      <c r="AN127" s="21">
        <v>0</v>
      </c>
      <c r="AO127" s="21">
        <v>0</v>
      </c>
      <c r="AP127" s="21">
        <v>0</v>
      </c>
      <c r="AQ127" s="21">
        <v>0</v>
      </c>
      <c r="AR127" s="21">
        <v>0</v>
      </c>
      <c r="AS127" s="21">
        <v>0</v>
      </c>
      <c r="AT127" s="21">
        <v>0</v>
      </c>
      <c r="AU127" s="21">
        <v>0</v>
      </c>
      <c r="AV127" s="21">
        <v>0</v>
      </c>
      <c r="AW127" s="21">
        <v>0</v>
      </c>
      <c r="AX127" s="21">
        <v>0</v>
      </c>
      <c r="AY127" s="68"/>
    </row>
    <row r="128" spans="1:51">
      <c r="A128" s="24" t="s">
        <v>426</v>
      </c>
      <c r="B128" s="25"/>
      <c r="C128" s="25"/>
      <c r="D128" s="16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28"/>
      <c r="AI128" s="28"/>
      <c r="AJ128" s="28"/>
      <c r="AK128" s="28"/>
      <c r="AL128" s="28"/>
      <c r="AM128" s="28"/>
      <c r="AN128" s="28"/>
      <c r="AO128" s="28"/>
      <c r="AP128" s="28"/>
      <c r="AQ128" s="28"/>
      <c r="AR128" s="28"/>
      <c r="AS128" s="28"/>
      <c r="AT128" s="28"/>
      <c r="AU128" s="28"/>
      <c r="AV128" s="28"/>
      <c r="AW128" s="28"/>
      <c r="AX128" s="28"/>
      <c r="AY128" s="67"/>
    </row>
    <row r="129" spans="1:52">
      <c r="A129" s="23"/>
      <c r="B129" s="19" t="s">
        <v>427</v>
      </c>
      <c r="C129" s="19" t="s">
        <v>428</v>
      </c>
      <c r="D129" s="20">
        <f t="shared" ref="D129:D132" si="5">SUM(E129:AX129)</f>
        <v>61673.08</v>
      </c>
      <c r="E129" s="22">
        <v>22198</v>
      </c>
      <c r="F129" s="22">
        <v>5239</v>
      </c>
      <c r="G129" s="22">
        <v>228.97999999999996</v>
      </c>
      <c r="H129" s="22">
        <v>1240.8399999999999</v>
      </c>
      <c r="I129" s="22">
        <v>126.16</v>
      </c>
      <c r="J129" s="22">
        <v>192.72</v>
      </c>
      <c r="K129" s="22">
        <v>539.45000000000005</v>
      </c>
      <c r="L129" s="22">
        <v>127.83000000000001</v>
      </c>
      <c r="M129" s="22">
        <v>98.39</v>
      </c>
      <c r="N129" s="22">
        <v>1476.76</v>
      </c>
      <c r="O129" s="22">
        <v>724.56</v>
      </c>
      <c r="P129" s="22">
        <v>500.26</v>
      </c>
      <c r="Q129" s="22">
        <v>316.51</v>
      </c>
      <c r="R129" s="22">
        <v>1669.98</v>
      </c>
      <c r="S129" s="22">
        <v>732</v>
      </c>
      <c r="T129" s="22">
        <v>169.21</v>
      </c>
      <c r="U129" s="22">
        <v>1001.9100000000001</v>
      </c>
      <c r="V129" s="22">
        <v>203.95</v>
      </c>
      <c r="W129" s="22">
        <v>102.61999999999998</v>
      </c>
      <c r="X129" s="22">
        <v>147.22</v>
      </c>
      <c r="Y129" s="22">
        <v>1855.74</v>
      </c>
      <c r="Z129" s="22">
        <v>139.78</v>
      </c>
      <c r="AA129" s="22">
        <v>451.3</v>
      </c>
      <c r="AB129" s="22">
        <v>73.39</v>
      </c>
      <c r="AC129" s="22">
        <v>11759.28</v>
      </c>
      <c r="AD129" s="22">
        <v>488</v>
      </c>
      <c r="AE129" s="22">
        <v>665.91</v>
      </c>
      <c r="AF129" s="22">
        <v>415.27000000000004</v>
      </c>
      <c r="AG129" s="22">
        <v>795.22</v>
      </c>
      <c r="AH129" s="22">
        <v>166.35</v>
      </c>
      <c r="AI129" s="22">
        <v>577.35</v>
      </c>
      <c r="AJ129" s="22">
        <v>1313.98</v>
      </c>
      <c r="AK129" s="22">
        <v>540.88</v>
      </c>
      <c r="AL129" s="22">
        <v>494.65</v>
      </c>
      <c r="AM129" s="22">
        <v>590.23</v>
      </c>
      <c r="AN129" s="22">
        <v>961.7199999999998</v>
      </c>
      <c r="AO129" s="22">
        <v>104.45</v>
      </c>
      <c r="AP129" s="22">
        <v>469.35</v>
      </c>
      <c r="AQ129" s="22">
        <v>537.53</v>
      </c>
      <c r="AR129" s="22">
        <v>828.27</v>
      </c>
      <c r="AS129" s="22">
        <v>93.27</v>
      </c>
      <c r="AT129" s="22">
        <v>173.97</v>
      </c>
      <c r="AU129" s="22">
        <v>780.5</v>
      </c>
      <c r="AV129" s="22">
        <v>80.489999999999995</v>
      </c>
      <c r="AW129" s="22">
        <v>126.16</v>
      </c>
      <c r="AX129" s="22">
        <v>153.69</v>
      </c>
      <c r="AY129" s="67"/>
    </row>
    <row r="130" spans="1:52">
      <c r="A130" s="23"/>
      <c r="B130" s="19" t="s">
        <v>429</v>
      </c>
      <c r="C130" s="19" t="s">
        <v>428</v>
      </c>
      <c r="D130" s="20">
        <f t="shared" si="5"/>
        <v>61673.08</v>
      </c>
      <c r="E130" s="22">
        <v>22198</v>
      </c>
      <c r="F130" s="22">
        <v>5239</v>
      </c>
      <c r="G130" s="22">
        <v>228.97999999999996</v>
      </c>
      <c r="H130" s="22">
        <v>1240.8399999999999</v>
      </c>
      <c r="I130" s="22">
        <v>126.16</v>
      </c>
      <c r="J130" s="22">
        <v>192.72</v>
      </c>
      <c r="K130" s="22">
        <v>539.45000000000005</v>
      </c>
      <c r="L130" s="22">
        <v>127.83000000000001</v>
      </c>
      <c r="M130" s="22">
        <v>98.39</v>
      </c>
      <c r="N130" s="22">
        <v>1476.76</v>
      </c>
      <c r="O130" s="22">
        <v>724.56</v>
      </c>
      <c r="P130" s="22">
        <v>500.26</v>
      </c>
      <c r="Q130" s="22">
        <v>316.51</v>
      </c>
      <c r="R130" s="22">
        <v>1669.98</v>
      </c>
      <c r="S130" s="22">
        <v>732</v>
      </c>
      <c r="T130" s="22">
        <v>169.21</v>
      </c>
      <c r="U130" s="22">
        <v>1001.9100000000001</v>
      </c>
      <c r="V130" s="22">
        <v>203.95</v>
      </c>
      <c r="W130" s="22">
        <v>102.61999999999998</v>
      </c>
      <c r="X130" s="22">
        <v>147.22</v>
      </c>
      <c r="Y130" s="22">
        <v>1855.74</v>
      </c>
      <c r="Z130" s="22">
        <v>139.78</v>
      </c>
      <c r="AA130" s="22">
        <v>451.3</v>
      </c>
      <c r="AB130" s="22">
        <v>73.39</v>
      </c>
      <c r="AC130" s="22">
        <v>11759.28</v>
      </c>
      <c r="AD130" s="22">
        <v>488</v>
      </c>
      <c r="AE130" s="22">
        <v>665.91</v>
      </c>
      <c r="AF130" s="22">
        <v>415.27000000000004</v>
      </c>
      <c r="AG130" s="22">
        <v>795.22</v>
      </c>
      <c r="AH130" s="22">
        <v>166.35</v>
      </c>
      <c r="AI130" s="22">
        <v>577.35</v>
      </c>
      <c r="AJ130" s="22">
        <v>1313.98</v>
      </c>
      <c r="AK130" s="22">
        <v>540.88</v>
      </c>
      <c r="AL130" s="22">
        <v>494.65</v>
      </c>
      <c r="AM130" s="22">
        <v>590.23</v>
      </c>
      <c r="AN130" s="22">
        <v>961.7199999999998</v>
      </c>
      <c r="AO130" s="22">
        <v>104.45</v>
      </c>
      <c r="AP130" s="22">
        <v>469.35</v>
      </c>
      <c r="AQ130" s="22">
        <v>537.53</v>
      </c>
      <c r="AR130" s="22">
        <v>828.27</v>
      </c>
      <c r="AS130" s="22">
        <v>93.27</v>
      </c>
      <c r="AT130" s="22">
        <v>173.97</v>
      </c>
      <c r="AU130" s="22">
        <v>780.5</v>
      </c>
      <c r="AV130" s="22">
        <v>80.489999999999995</v>
      </c>
      <c r="AW130" s="22">
        <v>126.16</v>
      </c>
      <c r="AX130" s="22">
        <v>153.69</v>
      </c>
      <c r="AY130" s="67"/>
    </row>
    <row r="131" spans="1:52">
      <c r="A131" s="23"/>
      <c r="B131" s="19" t="s">
        <v>430</v>
      </c>
      <c r="C131" s="19" t="s">
        <v>428</v>
      </c>
      <c r="D131" s="20">
        <f t="shared" si="5"/>
        <v>61673.08</v>
      </c>
      <c r="E131" s="22">
        <v>22198</v>
      </c>
      <c r="F131" s="22">
        <v>5239</v>
      </c>
      <c r="G131" s="22">
        <v>228.97999999999996</v>
      </c>
      <c r="H131" s="22">
        <v>1240.8399999999999</v>
      </c>
      <c r="I131" s="22">
        <v>126.16</v>
      </c>
      <c r="J131" s="22">
        <v>192.72</v>
      </c>
      <c r="K131" s="22">
        <v>539.45000000000005</v>
      </c>
      <c r="L131" s="22">
        <v>127.83000000000001</v>
      </c>
      <c r="M131" s="22">
        <v>98.39</v>
      </c>
      <c r="N131" s="22">
        <v>1476.76</v>
      </c>
      <c r="O131" s="22">
        <v>724.56</v>
      </c>
      <c r="P131" s="22">
        <v>500.26</v>
      </c>
      <c r="Q131" s="22">
        <v>316.51</v>
      </c>
      <c r="R131" s="22">
        <v>1669.98</v>
      </c>
      <c r="S131" s="22">
        <v>732</v>
      </c>
      <c r="T131" s="22">
        <v>169.21</v>
      </c>
      <c r="U131" s="22">
        <v>1001.9100000000001</v>
      </c>
      <c r="V131" s="22">
        <v>203.95</v>
      </c>
      <c r="W131" s="22">
        <v>102.61999999999998</v>
      </c>
      <c r="X131" s="22">
        <v>147.22</v>
      </c>
      <c r="Y131" s="22">
        <v>1855.74</v>
      </c>
      <c r="Z131" s="22">
        <v>139.78</v>
      </c>
      <c r="AA131" s="22">
        <v>451.3</v>
      </c>
      <c r="AB131" s="22">
        <v>73.39</v>
      </c>
      <c r="AC131" s="22">
        <v>11759.28</v>
      </c>
      <c r="AD131" s="22">
        <v>488</v>
      </c>
      <c r="AE131" s="22">
        <v>665.91</v>
      </c>
      <c r="AF131" s="22">
        <v>415.27000000000004</v>
      </c>
      <c r="AG131" s="22">
        <v>795.22</v>
      </c>
      <c r="AH131" s="22">
        <v>166.35</v>
      </c>
      <c r="AI131" s="22">
        <v>577.35</v>
      </c>
      <c r="AJ131" s="22">
        <v>1313.98</v>
      </c>
      <c r="AK131" s="22">
        <v>540.88</v>
      </c>
      <c r="AL131" s="22">
        <v>494.65</v>
      </c>
      <c r="AM131" s="22">
        <v>590.23</v>
      </c>
      <c r="AN131" s="22">
        <v>961.7199999999998</v>
      </c>
      <c r="AO131" s="22">
        <v>104.45</v>
      </c>
      <c r="AP131" s="22">
        <v>469.35</v>
      </c>
      <c r="AQ131" s="22">
        <v>537.53</v>
      </c>
      <c r="AR131" s="22">
        <v>828.27</v>
      </c>
      <c r="AS131" s="22">
        <v>93.27</v>
      </c>
      <c r="AT131" s="22">
        <v>173.97</v>
      </c>
      <c r="AU131" s="22">
        <v>780.5</v>
      </c>
      <c r="AV131" s="22">
        <v>80.489999999999995</v>
      </c>
      <c r="AW131" s="22">
        <v>126.16</v>
      </c>
      <c r="AX131" s="22">
        <v>153.69</v>
      </c>
      <c r="AY131" s="67"/>
    </row>
    <row r="132" spans="1:52">
      <c r="A132" s="23"/>
      <c r="B132" s="19" t="s">
        <v>431</v>
      </c>
      <c r="C132" s="19" t="s">
        <v>428</v>
      </c>
      <c r="D132" s="20">
        <f t="shared" si="5"/>
        <v>61673.08</v>
      </c>
      <c r="E132" s="22">
        <v>22198</v>
      </c>
      <c r="F132" s="22">
        <v>5239</v>
      </c>
      <c r="G132" s="22">
        <v>228.97999999999996</v>
      </c>
      <c r="H132" s="22">
        <v>1240.8399999999999</v>
      </c>
      <c r="I132" s="22">
        <v>126.16</v>
      </c>
      <c r="J132" s="22">
        <v>192.72</v>
      </c>
      <c r="K132" s="22">
        <v>539.45000000000005</v>
      </c>
      <c r="L132" s="22">
        <v>127.83000000000001</v>
      </c>
      <c r="M132" s="22">
        <v>98.39</v>
      </c>
      <c r="N132" s="22">
        <v>1476.76</v>
      </c>
      <c r="O132" s="22">
        <v>724.56</v>
      </c>
      <c r="P132" s="22">
        <v>500.26</v>
      </c>
      <c r="Q132" s="22">
        <v>316.51</v>
      </c>
      <c r="R132" s="22">
        <v>1669.98</v>
      </c>
      <c r="S132" s="22">
        <v>732</v>
      </c>
      <c r="T132" s="22">
        <v>169.21</v>
      </c>
      <c r="U132" s="22">
        <v>1001.9100000000001</v>
      </c>
      <c r="V132" s="22">
        <v>203.95</v>
      </c>
      <c r="W132" s="22">
        <v>102.61999999999998</v>
      </c>
      <c r="X132" s="22">
        <v>147.22</v>
      </c>
      <c r="Y132" s="22">
        <v>1855.74</v>
      </c>
      <c r="Z132" s="22">
        <v>139.78</v>
      </c>
      <c r="AA132" s="22">
        <v>451.3</v>
      </c>
      <c r="AB132" s="22">
        <v>73.39</v>
      </c>
      <c r="AC132" s="22">
        <v>11759.28</v>
      </c>
      <c r="AD132" s="22">
        <v>488</v>
      </c>
      <c r="AE132" s="22">
        <v>665.91</v>
      </c>
      <c r="AF132" s="22">
        <v>415.27000000000004</v>
      </c>
      <c r="AG132" s="22">
        <v>795.22</v>
      </c>
      <c r="AH132" s="22">
        <v>166.35</v>
      </c>
      <c r="AI132" s="22">
        <v>577.35</v>
      </c>
      <c r="AJ132" s="22">
        <v>1313.98</v>
      </c>
      <c r="AK132" s="22">
        <v>540.88</v>
      </c>
      <c r="AL132" s="22">
        <v>494.65</v>
      </c>
      <c r="AM132" s="22">
        <v>590.23</v>
      </c>
      <c r="AN132" s="22">
        <v>961.7199999999998</v>
      </c>
      <c r="AO132" s="22">
        <v>104.45</v>
      </c>
      <c r="AP132" s="22">
        <v>469.35</v>
      </c>
      <c r="AQ132" s="22">
        <v>537.53</v>
      </c>
      <c r="AR132" s="22">
        <v>828.27</v>
      </c>
      <c r="AS132" s="22">
        <v>93.27</v>
      </c>
      <c r="AT132" s="22">
        <v>173.97</v>
      </c>
      <c r="AU132" s="22">
        <v>780.5</v>
      </c>
      <c r="AV132" s="22">
        <v>80.489999999999995</v>
      </c>
      <c r="AW132" s="22">
        <v>126.16</v>
      </c>
      <c r="AX132" s="22">
        <v>153.69</v>
      </c>
      <c r="AY132" s="67"/>
    </row>
    <row r="133" spans="1:52">
      <c r="A133" s="24" t="s">
        <v>432</v>
      </c>
      <c r="B133" s="25"/>
      <c r="C133" s="25"/>
      <c r="D133" s="16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  <c r="AG133" s="28"/>
      <c r="AH133" s="28"/>
      <c r="AI133" s="28"/>
      <c r="AJ133" s="28"/>
      <c r="AK133" s="28"/>
      <c r="AL133" s="28"/>
      <c r="AM133" s="28"/>
      <c r="AN133" s="28"/>
      <c r="AO133" s="28"/>
      <c r="AP133" s="28"/>
      <c r="AQ133" s="28"/>
      <c r="AR133" s="28"/>
      <c r="AS133" s="28"/>
      <c r="AT133" s="28"/>
      <c r="AU133" s="28"/>
      <c r="AV133" s="28"/>
      <c r="AW133" s="28"/>
      <c r="AX133" s="28"/>
    </row>
    <row r="134" spans="1:52">
      <c r="A134" s="23"/>
      <c r="B134" s="19" t="s">
        <v>433</v>
      </c>
      <c r="C134" s="19" t="s">
        <v>434</v>
      </c>
      <c r="D134" s="20">
        <f t="shared" ref="D134:D136" si="6">SUM(E134:AX134)</f>
        <v>63652.44</v>
      </c>
      <c r="E134" s="22">
        <v>31587</v>
      </c>
      <c r="F134" s="22" t="s">
        <v>683</v>
      </c>
      <c r="G134" s="22">
        <v>78</v>
      </c>
      <c r="H134" s="22">
        <v>2536</v>
      </c>
      <c r="I134" s="22">
        <v>26.439999999999998</v>
      </c>
      <c r="J134" s="22" t="s">
        <v>683</v>
      </c>
      <c r="K134" s="22">
        <v>314</v>
      </c>
      <c r="L134" s="22" t="s">
        <v>683</v>
      </c>
      <c r="M134" s="22" t="s">
        <v>683</v>
      </c>
      <c r="N134" s="22">
        <v>951</v>
      </c>
      <c r="O134" s="22" t="s">
        <v>683</v>
      </c>
      <c r="P134" s="22">
        <v>171</v>
      </c>
      <c r="Q134" s="22">
        <v>247</v>
      </c>
      <c r="R134" s="22" t="s">
        <v>683</v>
      </c>
      <c r="S134" s="22">
        <v>1260</v>
      </c>
      <c r="T134" s="22" t="s">
        <v>683</v>
      </c>
      <c r="U134" s="22">
        <v>610</v>
      </c>
      <c r="V134" s="22">
        <v>67</v>
      </c>
      <c r="W134" s="22">
        <v>178</v>
      </c>
      <c r="X134" s="22">
        <v>61</v>
      </c>
      <c r="Y134" s="22">
        <v>1564</v>
      </c>
      <c r="Z134" s="22">
        <v>75</v>
      </c>
      <c r="AA134" s="22">
        <v>172</v>
      </c>
      <c r="AB134" s="22" t="s">
        <v>683</v>
      </c>
      <c r="AC134" s="22">
        <v>16722</v>
      </c>
      <c r="AD134" s="22">
        <v>78</v>
      </c>
      <c r="AE134" s="22">
        <v>437</v>
      </c>
      <c r="AF134" s="22">
        <v>428</v>
      </c>
      <c r="AG134" s="22">
        <v>236</v>
      </c>
      <c r="AH134" s="22">
        <v>30</v>
      </c>
      <c r="AI134" s="22">
        <v>206</v>
      </c>
      <c r="AJ134" s="22">
        <v>608</v>
      </c>
      <c r="AK134" s="22">
        <v>1261</v>
      </c>
      <c r="AL134" s="22" t="s">
        <v>683</v>
      </c>
      <c r="AM134" s="22">
        <v>264</v>
      </c>
      <c r="AN134" s="22">
        <v>2534</v>
      </c>
      <c r="AO134" s="22" t="s">
        <v>683</v>
      </c>
      <c r="AP134" s="22">
        <v>203</v>
      </c>
      <c r="AQ134" s="22">
        <v>445</v>
      </c>
      <c r="AR134" s="22">
        <v>222</v>
      </c>
      <c r="AS134" s="22" t="s">
        <v>683</v>
      </c>
      <c r="AT134" s="22" t="s">
        <v>683</v>
      </c>
      <c r="AU134" s="22">
        <v>81</v>
      </c>
      <c r="AV134" s="22" t="s">
        <v>683</v>
      </c>
      <c r="AW134" s="22" t="s">
        <v>683</v>
      </c>
      <c r="AX134" s="22" t="s">
        <v>683</v>
      </c>
    </row>
    <row r="135" spans="1:52">
      <c r="A135" s="23"/>
      <c r="B135" s="19" t="s">
        <v>435</v>
      </c>
      <c r="C135" s="19" t="s">
        <v>434</v>
      </c>
      <c r="D135" s="20">
        <f t="shared" si="6"/>
        <v>100890.56</v>
      </c>
      <c r="E135" s="22">
        <v>21460</v>
      </c>
      <c r="F135" s="22" t="s">
        <v>683</v>
      </c>
      <c r="G135" s="22">
        <v>79</v>
      </c>
      <c r="H135" s="22">
        <v>1547</v>
      </c>
      <c r="I135" s="22">
        <v>33.56</v>
      </c>
      <c r="J135" s="22" t="s">
        <v>683</v>
      </c>
      <c r="K135" s="22">
        <v>292</v>
      </c>
      <c r="L135" s="22" t="s">
        <v>683</v>
      </c>
      <c r="M135" s="22" t="s">
        <v>683</v>
      </c>
      <c r="N135" s="22">
        <v>941</v>
      </c>
      <c r="O135" s="22" t="s">
        <v>683</v>
      </c>
      <c r="P135" s="22">
        <v>169</v>
      </c>
      <c r="Q135" s="22">
        <v>344</v>
      </c>
      <c r="R135" s="22" t="s">
        <v>683</v>
      </c>
      <c r="S135" s="22">
        <v>49556</v>
      </c>
      <c r="T135" s="22" t="s">
        <v>683</v>
      </c>
      <c r="U135" s="22">
        <v>366</v>
      </c>
      <c r="V135" s="22">
        <v>79</v>
      </c>
      <c r="W135" s="22">
        <v>77</v>
      </c>
      <c r="X135" s="22">
        <v>69</v>
      </c>
      <c r="Y135" s="22">
        <v>1490</v>
      </c>
      <c r="Z135" s="22">
        <v>77</v>
      </c>
      <c r="AA135" s="22">
        <v>154</v>
      </c>
      <c r="AB135" s="22" t="s">
        <v>683</v>
      </c>
      <c r="AC135" s="22">
        <v>15779</v>
      </c>
      <c r="AD135" s="22">
        <v>57</v>
      </c>
      <c r="AE135" s="22">
        <v>846</v>
      </c>
      <c r="AF135" s="22">
        <v>1201</v>
      </c>
      <c r="AG135" s="22">
        <v>274</v>
      </c>
      <c r="AH135" s="22">
        <v>57</v>
      </c>
      <c r="AI135" s="22">
        <v>293</v>
      </c>
      <c r="AJ135" s="22">
        <v>471</v>
      </c>
      <c r="AK135" s="22">
        <v>717</v>
      </c>
      <c r="AL135" s="22" t="s">
        <v>683</v>
      </c>
      <c r="AM135" s="22">
        <v>166</v>
      </c>
      <c r="AN135" s="22">
        <v>3086</v>
      </c>
      <c r="AO135" s="22" t="s">
        <v>683</v>
      </c>
      <c r="AP135" s="22">
        <v>295</v>
      </c>
      <c r="AQ135" s="22">
        <v>354</v>
      </c>
      <c r="AR135" s="22">
        <v>245</v>
      </c>
      <c r="AS135" s="22" t="s">
        <v>683</v>
      </c>
      <c r="AT135" s="22" t="s">
        <v>683</v>
      </c>
      <c r="AU135" s="22">
        <v>316</v>
      </c>
      <c r="AV135" s="22" t="s">
        <v>683</v>
      </c>
      <c r="AW135" s="22" t="s">
        <v>683</v>
      </c>
      <c r="AX135" s="22" t="s">
        <v>683</v>
      </c>
    </row>
    <row r="136" spans="1:52">
      <c r="A136" s="23"/>
      <c r="B136" s="19" t="s">
        <v>436</v>
      </c>
      <c r="C136" s="19" t="s">
        <v>434</v>
      </c>
      <c r="D136" s="20">
        <f t="shared" si="6"/>
        <v>50952.22</v>
      </c>
      <c r="E136" s="22">
        <v>16514</v>
      </c>
      <c r="F136" s="22" t="s">
        <v>683</v>
      </c>
      <c r="G136" s="22">
        <v>91</v>
      </c>
      <c r="H136" s="22">
        <v>2035</v>
      </c>
      <c r="I136" s="22">
        <v>32</v>
      </c>
      <c r="J136" s="22" t="s">
        <v>683</v>
      </c>
      <c r="K136" s="22">
        <v>518</v>
      </c>
      <c r="L136" s="22" t="s">
        <v>683</v>
      </c>
      <c r="M136" s="22" t="s">
        <v>683</v>
      </c>
      <c r="N136" s="22">
        <v>1588</v>
      </c>
      <c r="O136" s="22" t="s">
        <v>683</v>
      </c>
      <c r="P136" s="22">
        <v>229</v>
      </c>
      <c r="Q136" s="22">
        <v>286</v>
      </c>
      <c r="R136" s="22" t="s">
        <v>683</v>
      </c>
      <c r="S136" s="22">
        <v>1630</v>
      </c>
      <c r="T136" s="22" t="s">
        <v>683</v>
      </c>
      <c r="U136" s="22">
        <v>668</v>
      </c>
      <c r="V136" s="22">
        <v>75</v>
      </c>
      <c r="W136" s="22">
        <v>171</v>
      </c>
      <c r="X136" s="22">
        <v>71</v>
      </c>
      <c r="Y136" s="22">
        <v>2005</v>
      </c>
      <c r="Z136" s="22">
        <v>97</v>
      </c>
      <c r="AA136" s="22">
        <v>168</v>
      </c>
      <c r="AB136" s="22" t="s">
        <v>683</v>
      </c>
      <c r="AC136" s="22">
        <v>16945</v>
      </c>
      <c r="AD136" s="22">
        <v>53</v>
      </c>
      <c r="AE136" s="22">
        <v>856</v>
      </c>
      <c r="AF136" s="22">
        <v>339</v>
      </c>
      <c r="AG136" s="22">
        <v>266</v>
      </c>
      <c r="AH136" s="22">
        <v>137.22</v>
      </c>
      <c r="AI136" s="22">
        <v>290</v>
      </c>
      <c r="AJ136" s="22">
        <v>808</v>
      </c>
      <c r="AK136" s="22">
        <v>871</v>
      </c>
      <c r="AL136" s="22" t="s">
        <v>683</v>
      </c>
      <c r="AM136" s="22">
        <v>134</v>
      </c>
      <c r="AN136" s="22">
        <v>2896</v>
      </c>
      <c r="AO136" s="22" t="s">
        <v>683</v>
      </c>
      <c r="AP136" s="22">
        <v>264</v>
      </c>
      <c r="AQ136" s="22">
        <v>318</v>
      </c>
      <c r="AR136" s="22">
        <v>271</v>
      </c>
      <c r="AS136" s="22" t="s">
        <v>683</v>
      </c>
      <c r="AT136" s="22" t="s">
        <v>683</v>
      </c>
      <c r="AU136" s="22">
        <v>326</v>
      </c>
      <c r="AV136" s="22" t="s">
        <v>683</v>
      </c>
      <c r="AW136" s="22" t="s">
        <v>683</v>
      </c>
      <c r="AX136" s="22" t="s">
        <v>683</v>
      </c>
    </row>
    <row r="137" spans="1:52">
      <c r="A137"/>
      <c r="B137"/>
      <c r="C137"/>
      <c r="D137" s="39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1"/>
      <c r="AX137" s="31"/>
      <c r="AZ137" s="70"/>
    </row>
    <row r="138" spans="1:52">
      <c r="A138"/>
      <c r="B138"/>
      <c r="D138" s="39"/>
    </row>
  </sheetData>
  <mergeCells count="3">
    <mergeCell ref="A1:C7"/>
    <mergeCell ref="E71:AX71"/>
    <mergeCell ref="E72:AX72"/>
  </mergeCells>
  <pageMargins left="0.70866141732283472" right="0.70866141732283472" top="0.74803149606299213" bottom="0.74803149606299213" header="0.31496062992125984" footer="0.31496062992125984"/>
  <pageSetup paperSize="8" scale="19" fitToHeight="5" orientation="landscape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A0F49-F2E0-4AD1-8675-A5913277989E}">
  <sheetPr>
    <pageSetUpPr fitToPage="1"/>
  </sheetPr>
  <dimension ref="A1:AY217"/>
  <sheetViews>
    <sheetView showGridLines="0" topLeftCell="A108" zoomScale="80" zoomScaleNormal="80" workbookViewId="0">
      <selection activeCell="B43" sqref="B43"/>
    </sheetView>
  </sheetViews>
  <sheetFormatPr defaultColWidth="9.28515625" defaultRowHeight="12.95"/>
  <cols>
    <col min="1" max="1" width="20.140625" style="33" customWidth="1"/>
    <col min="2" max="2" width="58.42578125" style="35" customWidth="1"/>
    <col min="3" max="3" width="30.5703125" style="35" customWidth="1"/>
    <col min="4" max="4" width="26.42578125" style="45" customWidth="1"/>
    <col min="5" max="5" width="26.140625" style="44" bestFit="1" customWidth="1"/>
    <col min="6" max="6" width="24.42578125" style="44" bestFit="1" customWidth="1"/>
    <col min="7" max="7" width="28.85546875" style="44" bestFit="1" customWidth="1"/>
    <col min="8" max="8" width="27.5703125" style="44" bestFit="1" customWidth="1"/>
    <col min="9" max="9" width="21.140625" style="44" bestFit="1" customWidth="1"/>
    <col min="10" max="10" width="33.5703125" style="44" bestFit="1" customWidth="1"/>
    <col min="11" max="11" width="25.5703125" style="44" bestFit="1" customWidth="1"/>
    <col min="12" max="12" width="31.28515625" style="44" bestFit="1" customWidth="1"/>
    <col min="13" max="13" width="23.7109375" style="44" bestFit="1" customWidth="1"/>
    <col min="14" max="14" width="22.7109375" style="44" bestFit="1" customWidth="1"/>
    <col min="15" max="15" width="26.85546875" style="44" bestFit="1" customWidth="1"/>
    <col min="16" max="16" width="29.7109375" style="44" bestFit="1" customWidth="1"/>
    <col min="17" max="17" width="26.85546875" style="44" bestFit="1" customWidth="1"/>
    <col min="18" max="18" width="30" style="44" bestFit="1" customWidth="1"/>
    <col min="19" max="19" width="26.85546875" style="44" bestFit="1" customWidth="1"/>
    <col min="20" max="20" width="29.28515625" style="44" bestFit="1" customWidth="1"/>
    <col min="21" max="22" width="26.85546875" style="44" bestFit="1" customWidth="1"/>
    <col min="23" max="23" width="24.42578125" style="44" bestFit="1" customWidth="1"/>
    <col min="24" max="24" width="24.5703125" style="44" bestFit="1" customWidth="1"/>
    <col min="25" max="25" width="23.42578125" style="44" bestFit="1" customWidth="1"/>
    <col min="26" max="26" width="23.140625" style="44" customWidth="1"/>
    <col min="27" max="27" width="26.85546875" style="44" bestFit="1" customWidth="1"/>
    <col min="28" max="28" width="30.42578125" style="44" customWidth="1"/>
    <col min="29" max="29" width="25.5703125" style="44" bestFit="1" customWidth="1"/>
    <col min="30" max="30" width="26.42578125" style="44" bestFit="1" customWidth="1"/>
    <col min="31" max="31" width="28.5703125" style="44" bestFit="1" customWidth="1"/>
    <col min="32" max="32" width="25.42578125" style="44" bestFit="1" customWidth="1"/>
    <col min="33" max="34" width="34.5703125" style="44" bestFit="1" customWidth="1"/>
    <col min="35" max="35" width="26.85546875" style="44" bestFit="1" customWidth="1"/>
    <col min="36" max="36" width="27.140625" style="44" bestFit="1" customWidth="1"/>
    <col min="37" max="37" width="26.85546875" style="44" bestFit="1" customWidth="1"/>
    <col min="38" max="38" width="24.42578125" style="44" bestFit="1" customWidth="1"/>
    <col min="39" max="39" width="25.140625" style="44" bestFit="1" customWidth="1"/>
    <col min="40" max="41" width="20.42578125" style="44" bestFit="1" customWidth="1"/>
    <col min="42" max="42" width="23.42578125" style="44" bestFit="1" customWidth="1"/>
    <col min="43" max="43" width="26.7109375" style="44" bestFit="1" customWidth="1"/>
    <col min="44" max="44" width="23.42578125" style="44" bestFit="1" customWidth="1"/>
    <col min="45" max="49" width="26.85546875" style="44" bestFit="1" customWidth="1"/>
    <col min="50" max="50" width="27.5703125" style="44" customWidth="1"/>
    <col min="51" max="51" width="26.85546875" style="44" bestFit="1" customWidth="1"/>
    <col min="52" max="142" width="25.7109375" style="33" customWidth="1"/>
    <col min="143" max="173" width="9.28515625" style="33"/>
    <col min="174" max="174" width="24.5703125" style="33" customWidth="1"/>
    <col min="175" max="175" width="59.5703125" style="33" customWidth="1"/>
    <col min="176" max="176" width="23.28515625" style="33" customWidth="1"/>
    <col min="177" max="177" width="14.7109375" style="33" bestFit="1" customWidth="1"/>
    <col min="178" max="179" width="20.42578125" style="33" customWidth="1"/>
    <col min="180" max="180" width="17.42578125" style="33" customWidth="1"/>
    <col min="181" max="181" width="11.5703125" style="33" bestFit="1" customWidth="1"/>
    <col min="182" max="182" width="16.28515625" style="33" customWidth="1"/>
    <col min="183" max="183" width="9.28515625" style="33"/>
    <col min="184" max="184" width="14.28515625" style="33" bestFit="1" customWidth="1"/>
    <col min="185" max="429" width="9.28515625" style="33"/>
    <col min="430" max="430" width="24.5703125" style="33" customWidth="1"/>
    <col min="431" max="431" width="59.5703125" style="33" customWidth="1"/>
    <col min="432" max="432" width="23.28515625" style="33" customWidth="1"/>
    <col min="433" max="433" width="14.7109375" style="33" bestFit="1" customWidth="1"/>
    <col min="434" max="435" width="20.42578125" style="33" customWidth="1"/>
    <col min="436" max="436" width="17.42578125" style="33" customWidth="1"/>
    <col min="437" max="437" width="11.5703125" style="33" bestFit="1" customWidth="1"/>
    <col min="438" max="438" width="16.28515625" style="33" customWidth="1"/>
    <col min="439" max="439" width="9.28515625" style="33"/>
    <col min="440" max="440" width="14.28515625" style="33" bestFit="1" customWidth="1"/>
    <col min="441" max="685" width="9.28515625" style="33"/>
    <col min="686" max="686" width="24.5703125" style="33" customWidth="1"/>
    <col min="687" max="687" width="59.5703125" style="33" customWidth="1"/>
    <col min="688" max="688" width="23.28515625" style="33" customWidth="1"/>
    <col min="689" max="689" width="14.7109375" style="33" bestFit="1" customWidth="1"/>
    <col min="690" max="691" width="20.42578125" style="33" customWidth="1"/>
    <col min="692" max="692" width="17.42578125" style="33" customWidth="1"/>
    <col min="693" max="693" width="11.5703125" style="33" bestFit="1" customWidth="1"/>
    <col min="694" max="694" width="16.28515625" style="33" customWidth="1"/>
    <col min="695" max="695" width="9.28515625" style="33"/>
    <col min="696" max="696" width="14.28515625" style="33" bestFit="1" customWidth="1"/>
    <col min="697" max="941" width="9.28515625" style="33"/>
    <col min="942" max="942" width="24.5703125" style="33" customWidth="1"/>
    <col min="943" max="943" width="59.5703125" style="33" customWidth="1"/>
    <col min="944" max="944" width="23.28515625" style="33" customWidth="1"/>
    <col min="945" max="945" width="14.7109375" style="33" bestFit="1" customWidth="1"/>
    <col min="946" max="947" width="20.42578125" style="33" customWidth="1"/>
    <col min="948" max="948" width="17.42578125" style="33" customWidth="1"/>
    <col min="949" max="949" width="11.5703125" style="33" bestFit="1" customWidth="1"/>
    <col min="950" max="950" width="16.28515625" style="33" customWidth="1"/>
    <col min="951" max="951" width="9.28515625" style="33"/>
    <col min="952" max="952" width="14.28515625" style="33" bestFit="1" customWidth="1"/>
    <col min="953" max="1197" width="9.28515625" style="33"/>
    <col min="1198" max="1198" width="24.5703125" style="33" customWidth="1"/>
    <col min="1199" max="1199" width="59.5703125" style="33" customWidth="1"/>
    <col min="1200" max="1200" width="23.28515625" style="33" customWidth="1"/>
    <col min="1201" max="1201" width="14.7109375" style="33" bestFit="1" customWidth="1"/>
    <col min="1202" max="1203" width="20.42578125" style="33" customWidth="1"/>
    <col min="1204" max="1204" width="17.42578125" style="33" customWidth="1"/>
    <col min="1205" max="1205" width="11.5703125" style="33" bestFit="1" customWidth="1"/>
    <col min="1206" max="1206" width="16.28515625" style="33" customWidth="1"/>
    <col min="1207" max="1207" width="9.28515625" style="33"/>
    <col min="1208" max="1208" width="14.28515625" style="33" bestFit="1" customWidth="1"/>
    <col min="1209" max="1453" width="9.28515625" style="33"/>
    <col min="1454" max="1454" width="24.5703125" style="33" customWidth="1"/>
    <col min="1455" max="1455" width="59.5703125" style="33" customWidth="1"/>
    <col min="1456" max="1456" width="23.28515625" style="33" customWidth="1"/>
    <col min="1457" max="1457" width="14.7109375" style="33" bestFit="1" customWidth="1"/>
    <col min="1458" max="1459" width="20.42578125" style="33" customWidth="1"/>
    <col min="1460" max="1460" width="17.42578125" style="33" customWidth="1"/>
    <col min="1461" max="1461" width="11.5703125" style="33" bestFit="1" customWidth="1"/>
    <col min="1462" max="1462" width="16.28515625" style="33" customWidth="1"/>
    <col min="1463" max="1463" width="9.28515625" style="33"/>
    <col min="1464" max="1464" width="14.28515625" style="33" bestFit="1" customWidth="1"/>
    <col min="1465" max="1709" width="9.28515625" style="33"/>
    <col min="1710" max="1710" width="24.5703125" style="33" customWidth="1"/>
    <col min="1711" max="1711" width="59.5703125" style="33" customWidth="1"/>
    <col min="1712" max="1712" width="23.28515625" style="33" customWidth="1"/>
    <col min="1713" max="1713" width="14.7109375" style="33" bestFit="1" customWidth="1"/>
    <col min="1714" max="1715" width="20.42578125" style="33" customWidth="1"/>
    <col min="1716" max="1716" width="17.42578125" style="33" customWidth="1"/>
    <col min="1717" max="1717" width="11.5703125" style="33" bestFit="1" customWidth="1"/>
    <col min="1718" max="1718" width="16.28515625" style="33" customWidth="1"/>
    <col min="1719" max="1719" width="9.28515625" style="33"/>
    <col min="1720" max="1720" width="14.28515625" style="33" bestFit="1" customWidth="1"/>
    <col min="1721" max="1965" width="9.28515625" style="33"/>
    <col min="1966" max="1966" width="24.5703125" style="33" customWidth="1"/>
    <col min="1967" max="1967" width="59.5703125" style="33" customWidth="1"/>
    <col min="1968" max="1968" width="23.28515625" style="33" customWidth="1"/>
    <col min="1969" max="1969" width="14.7109375" style="33" bestFit="1" customWidth="1"/>
    <col min="1970" max="1971" width="20.42578125" style="33" customWidth="1"/>
    <col min="1972" max="1972" width="17.42578125" style="33" customWidth="1"/>
    <col min="1973" max="1973" width="11.5703125" style="33" bestFit="1" customWidth="1"/>
    <col min="1974" max="1974" width="16.28515625" style="33" customWidth="1"/>
    <col min="1975" max="1975" width="9.28515625" style="33"/>
    <col min="1976" max="1976" width="14.28515625" style="33" bestFit="1" customWidth="1"/>
    <col min="1977" max="2221" width="9.28515625" style="33"/>
    <col min="2222" max="2222" width="24.5703125" style="33" customWidth="1"/>
    <col min="2223" max="2223" width="59.5703125" style="33" customWidth="1"/>
    <col min="2224" max="2224" width="23.28515625" style="33" customWidth="1"/>
    <col min="2225" max="2225" width="14.7109375" style="33" bestFit="1" customWidth="1"/>
    <col min="2226" max="2227" width="20.42578125" style="33" customWidth="1"/>
    <col min="2228" max="2228" width="17.42578125" style="33" customWidth="1"/>
    <col min="2229" max="2229" width="11.5703125" style="33" bestFit="1" customWidth="1"/>
    <col min="2230" max="2230" width="16.28515625" style="33" customWidth="1"/>
    <col min="2231" max="2231" width="9.28515625" style="33"/>
    <col min="2232" max="2232" width="14.28515625" style="33" bestFit="1" customWidth="1"/>
    <col min="2233" max="2477" width="9.28515625" style="33"/>
    <col min="2478" max="2478" width="24.5703125" style="33" customWidth="1"/>
    <col min="2479" max="2479" width="59.5703125" style="33" customWidth="1"/>
    <col min="2480" max="2480" width="23.28515625" style="33" customWidth="1"/>
    <col min="2481" max="2481" width="14.7109375" style="33" bestFit="1" customWidth="1"/>
    <col min="2482" max="2483" width="20.42578125" style="33" customWidth="1"/>
    <col min="2484" max="2484" width="17.42578125" style="33" customWidth="1"/>
    <col min="2485" max="2485" width="11.5703125" style="33" bestFit="1" customWidth="1"/>
    <col min="2486" max="2486" width="16.28515625" style="33" customWidth="1"/>
    <col min="2487" max="2487" width="9.28515625" style="33"/>
    <col min="2488" max="2488" width="14.28515625" style="33" bestFit="1" customWidth="1"/>
    <col min="2489" max="2733" width="9.28515625" style="33"/>
    <col min="2734" max="2734" width="24.5703125" style="33" customWidth="1"/>
    <col min="2735" max="2735" width="59.5703125" style="33" customWidth="1"/>
    <col min="2736" max="2736" width="23.28515625" style="33" customWidth="1"/>
    <col min="2737" max="2737" width="14.7109375" style="33" bestFit="1" customWidth="1"/>
    <col min="2738" max="2739" width="20.42578125" style="33" customWidth="1"/>
    <col min="2740" max="2740" width="17.42578125" style="33" customWidth="1"/>
    <col min="2741" max="2741" width="11.5703125" style="33" bestFit="1" customWidth="1"/>
    <col min="2742" max="2742" width="16.28515625" style="33" customWidth="1"/>
    <col min="2743" max="2743" width="9.28515625" style="33"/>
    <col min="2744" max="2744" width="14.28515625" style="33" bestFit="1" customWidth="1"/>
    <col min="2745" max="2989" width="9.28515625" style="33"/>
    <col min="2990" max="2990" width="24.5703125" style="33" customWidth="1"/>
    <col min="2991" max="2991" width="59.5703125" style="33" customWidth="1"/>
    <col min="2992" max="2992" width="23.28515625" style="33" customWidth="1"/>
    <col min="2993" max="2993" width="14.7109375" style="33" bestFit="1" customWidth="1"/>
    <col min="2994" max="2995" width="20.42578125" style="33" customWidth="1"/>
    <col min="2996" max="2996" width="17.42578125" style="33" customWidth="1"/>
    <col min="2997" max="2997" width="11.5703125" style="33" bestFit="1" customWidth="1"/>
    <col min="2998" max="2998" width="16.28515625" style="33" customWidth="1"/>
    <col min="2999" max="2999" width="9.28515625" style="33"/>
    <col min="3000" max="3000" width="14.28515625" style="33" bestFit="1" customWidth="1"/>
    <col min="3001" max="3245" width="9.28515625" style="33"/>
    <col min="3246" max="3246" width="24.5703125" style="33" customWidth="1"/>
    <col min="3247" max="3247" width="59.5703125" style="33" customWidth="1"/>
    <col min="3248" max="3248" width="23.28515625" style="33" customWidth="1"/>
    <col min="3249" max="3249" width="14.7109375" style="33" bestFit="1" customWidth="1"/>
    <col min="3250" max="3251" width="20.42578125" style="33" customWidth="1"/>
    <col min="3252" max="3252" width="17.42578125" style="33" customWidth="1"/>
    <col min="3253" max="3253" width="11.5703125" style="33" bestFit="1" customWidth="1"/>
    <col min="3254" max="3254" width="16.28515625" style="33" customWidth="1"/>
    <col min="3255" max="3255" width="9.28515625" style="33"/>
    <col min="3256" max="3256" width="14.28515625" style="33" bestFit="1" customWidth="1"/>
    <col min="3257" max="3501" width="9.28515625" style="33"/>
    <col min="3502" max="3502" width="24.5703125" style="33" customWidth="1"/>
    <col min="3503" max="3503" width="59.5703125" style="33" customWidth="1"/>
    <col min="3504" max="3504" width="23.28515625" style="33" customWidth="1"/>
    <col min="3505" max="3505" width="14.7109375" style="33" bestFit="1" customWidth="1"/>
    <col min="3506" max="3507" width="20.42578125" style="33" customWidth="1"/>
    <col min="3508" max="3508" width="17.42578125" style="33" customWidth="1"/>
    <col min="3509" max="3509" width="11.5703125" style="33" bestFit="1" customWidth="1"/>
    <col min="3510" max="3510" width="16.28515625" style="33" customWidth="1"/>
    <col min="3511" max="3511" width="9.28515625" style="33"/>
    <col min="3512" max="3512" width="14.28515625" style="33" bestFit="1" customWidth="1"/>
    <col min="3513" max="3757" width="9.28515625" style="33"/>
    <col min="3758" max="3758" width="24.5703125" style="33" customWidth="1"/>
    <col min="3759" max="3759" width="59.5703125" style="33" customWidth="1"/>
    <col min="3760" max="3760" width="23.28515625" style="33" customWidth="1"/>
    <col min="3761" max="3761" width="14.7109375" style="33" bestFit="1" customWidth="1"/>
    <col min="3762" max="3763" width="20.42578125" style="33" customWidth="1"/>
    <col min="3764" max="3764" width="17.42578125" style="33" customWidth="1"/>
    <col min="3765" max="3765" width="11.5703125" style="33" bestFit="1" customWidth="1"/>
    <col min="3766" max="3766" width="16.28515625" style="33" customWidth="1"/>
    <col min="3767" max="3767" width="9.28515625" style="33"/>
    <col min="3768" max="3768" width="14.28515625" style="33" bestFit="1" customWidth="1"/>
    <col min="3769" max="4013" width="9.28515625" style="33"/>
    <col min="4014" max="4014" width="24.5703125" style="33" customWidth="1"/>
    <col min="4015" max="4015" width="59.5703125" style="33" customWidth="1"/>
    <col min="4016" max="4016" width="23.28515625" style="33" customWidth="1"/>
    <col min="4017" max="4017" width="14.7109375" style="33" bestFit="1" customWidth="1"/>
    <col min="4018" max="4019" width="20.42578125" style="33" customWidth="1"/>
    <col min="4020" max="4020" width="17.42578125" style="33" customWidth="1"/>
    <col min="4021" max="4021" width="11.5703125" style="33" bestFit="1" customWidth="1"/>
    <col min="4022" max="4022" width="16.28515625" style="33" customWidth="1"/>
    <col min="4023" max="4023" width="9.28515625" style="33"/>
    <col min="4024" max="4024" width="14.28515625" style="33" bestFit="1" customWidth="1"/>
    <col min="4025" max="4269" width="9.28515625" style="33"/>
    <col min="4270" max="4270" width="24.5703125" style="33" customWidth="1"/>
    <col min="4271" max="4271" width="59.5703125" style="33" customWidth="1"/>
    <col min="4272" max="4272" width="23.28515625" style="33" customWidth="1"/>
    <col min="4273" max="4273" width="14.7109375" style="33" bestFit="1" customWidth="1"/>
    <col min="4274" max="4275" width="20.42578125" style="33" customWidth="1"/>
    <col min="4276" max="4276" width="17.42578125" style="33" customWidth="1"/>
    <col min="4277" max="4277" width="11.5703125" style="33" bestFit="1" customWidth="1"/>
    <col min="4278" max="4278" width="16.28515625" style="33" customWidth="1"/>
    <col min="4279" max="4279" width="9.28515625" style="33"/>
    <col min="4280" max="4280" width="14.28515625" style="33" bestFit="1" customWidth="1"/>
    <col min="4281" max="4525" width="9.28515625" style="33"/>
    <col min="4526" max="4526" width="24.5703125" style="33" customWidth="1"/>
    <col min="4527" max="4527" width="59.5703125" style="33" customWidth="1"/>
    <col min="4528" max="4528" width="23.28515625" style="33" customWidth="1"/>
    <col min="4529" max="4529" width="14.7109375" style="33" bestFit="1" customWidth="1"/>
    <col min="4530" max="4531" width="20.42578125" style="33" customWidth="1"/>
    <col min="4532" max="4532" width="17.42578125" style="33" customWidth="1"/>
    <col min="4533" max="4533" width="11.5703125" style="33" bestFit="1" customWidth="1"/>
    <col min="4534" max="4534" width="16.28515625" style="33" customWidth="1"/>
    <col min="4535" max="4535" width="9.28515625" style="33"/>
    <col min="4536" max="4536" width="14.28515625" style="33" bestFit="1" customWidth="1"/>
    <col min="4537" max="4781" width="9.28515625" style="33"/>
    <col min="4782" max="4782" width="24.5703125" style="33" customWidth="1"/>
    <col min="4783" max="4783" width="59.5703125" style="33" customWidth="1"/>
    <col min="4784" max="4784" width="23.28515625" style="33" customWidth="1"/>
    <col min="4785" max="4785" width="14.7109375" style="33" bestFit="1" customWidth="1"/>
    <col min="4786" max="4787" width="20.42578125" style="33" customWidth="1"/>
    <col min="4788" max="4788" width="17.42578125" style="33" customWidth="1"/>
    <col min="4789" max="4789" width="11.5703125" style="33" bestFit="1" customWidth="1"/>
    <col min="4790" max="4790" width="16.28515625" style="33" customWidth="1"/>
    <col min="4791" max="4791" width="9.28515625" style="33"/>
    <col min="4792" max="4792" width="14.28515625" style="33" bestFit="1" customWidth="1"/>
    <col min="4793" max="5037" width="9.28515625" style="33"/>
    <col min="5038" max="5038" width="24.5703125" style="33" customWidth="1"/>
    <col min="5039" max="5039" width="59.5703125" style="33" customWidth="1"/>
    <col min="5040" max="5040" width="23.28515625" style="33" customWidth="1"/>
    <col min="5041" max="5041" width="14.7109375" style="33" bestFit="1" customWidth="1"/>
    <col min="5042" max="5043" width="20.42578125" style="33" customWidth="1"/>
    <col min="5044" max="5044" width="17.42578125" style="33" customWidth="1"/>
    <col min="5045" max="5045" width="11.5703125" style="33" bestFit="1" customWidth="1"/>
    <col min="5046" max="5046" width="16.28515625" style="33" customWidth="1"/>
    <col min="5047" max="5047" width="9.28515625" style="33"/>
    <col min="5048" max="5048" width="14.28515625" style="33" bestFit="1" customWidth="1"/>
    <col min="5049" max="5293" width="9.28515625" style="33"/>
    <col min="5294" max="5294" width="24.5703125" style="33" customWidth="1"/>
    <col min="5295" max="5295" width="59.5703125" style="33" customWidth="1"/>
    <col min="5296" max="5296" width="23.28515625" style="33" customWidth="1"/>
    <col min="5297" max="5297" width="14.7109375" style="33" bestFit="1" customWidth="1"/>
    <col min="5298" max="5299" width="20.42578125" style="33" customWidth="1"/>
    <col min="5300" max="5300" width="17.42578125" style="33" customWidth="1"/>
    <col min="5301" max="5301" width="11.5703125" style="33" bestFit="1" customWidth="1"/>
    <col min="5302" max="5302" width="16.28515625" style="33" customWidth="1"/>
    <col min="5303" max="5303" width="9.28515625" style="33"/>
    <col min="5304" max="5304" width="14.28515625" style="33" bestFit="1" customWidth="1"/>
    <col min="5305" max="5549" width="9.28515625" style="33"/>
    <col min="5550" max="5550" width="24.5703125" style="33" customWidth="1"/>
    <col min="5551" max="5551" width="59.5703125" style="33" customWidth="1"/>
    <col min="5552" max="5552" width="23.28515625" style="33" customWidth="1"/>
    <col min="5553" max="5553" width="14.7109375" style="33" bestFit="1" customWidth="1"/>
    <col min="5554" max="5555" width="20.42578125" style="33" customWidth="1"/>
    <col min="5556" max="5556" width="17.42578125" style="33" customWidth="1"/>
    <col min="5557" max="5557" width="11.5703125" style="33" bestFit="1" customWidth="1"/>
    <col min="5558" max="5558" width="16.28515625" style="33" customWidth="1"/>
    <col min="5559" max="5559" width="9.28515625" style="33"/>
    <col min="5560" max="5560" width="14.28515625" style="33" bestFit="1" customWidth="1"/>
    <col min="5561" max="5805" width="9.28515625" style="33"/>
    <col min="5806" max="5806" width="24.5703125" style="33" customWidth="1"/>
    <col min="5807" max="5807" width="59.5703125" style="33" customWidth="1"/>
    <col min="5808" max="5808" width="23.28515625" style="33" customWidth="1"/>
    <col min="5809" max="5809" width="14.7109375" style="33" bestFit="1" customWidth="1"/>
    <col min="5810" max="5811" width="20.42578125" style="33" customWidth="1"/>
    <col min="5812" max="5812" width="17.42578125" style="33" customWidth="1"/>
    <col min="5813" max="5813" width="11.5703125" style="33" bestFit="1" customWidth="1"/>
    <col min="5814" max="5814" width="16.28515625" style="33" customWidth="1"/>
    <col min="5815" max="5815" width="9.28515625" style="33"/>
    <col min="5816" max="5816" width="14.28515625" style="33" bestFit="1" customWidth="1"/>
    <col min="5817" max="6061" width="9.28515625" style="33"/>
    <col min="6062" max="6062" width="24.5703125" style="33" customWidth="1"/>
    <col min="6063" max="6063" width="59.5703125" style="33" customWidth="1"/>
    <col min="6064" max="6064" width="23.28515625" style="33" customWidth="1"/>
    <col min="6065" max="6065" width="14.7109375" style="33" bestFit="1" customWidth="1"/>
    <col min="6066" max="6067" width="20.42578125" style="33" customWidth="1"/>
    <col min="6068" max="6068" width="17.42578125" style="33" customWidth="1"/>
    <col min="6069" max="6069" width="11.5703125" style="33" bestFit="1" customWidth="1"/>
    <col min="6070" max="6070" width="16.28515625" style="33" customWidth="1"/>
    <col min="6071" max="6071" width="9.28515625" style="33"/>
    <col min="6072" max="6072" width="14.28515625" style="33" bestFit="1" customWidth="1"/>
    <col min="6073" max="6317" width="9.28515625" style="33"/>
    <col min="6318" max="6318" width="24.5703125" style="33" customWidth="1"/>
    <col min="6319" max="6319" width="59.5703125" style="33" customWidth="1"/>
    <col min="6320" max="6320" width="23.28515625" style="33" customWidth="1"/>
    <col min="6321" max="6321" width="14.7109375" style="33" bestFit="1" customWidth="1"/>
    <col min="6322" max="6323" width="20.42578125" style="33" customWidth="1"/>
    <col min="6324" max="6324" width="17.42578125" style="33" customWidth="1"/>
    <col min="6325" max="6325" width="11.5703125" style="33" bestFit="1" customWidth="1"/>
    <col min="6326" max="6326" width="16.28515625" style="33" customWidth="1"/>
    <col min="6327" max="6327" width="9.28515625" style="33"/>
    <col min="6328" max="6328" width="14.28515625" style="33" bestFit="1" customWidth="1"/>
    <col min="6329" max="6573" width="9.28515625" style="33"/>
    <col min="6574" max="6574" width="24.5703125" style="33" customWidth="1"/>
    <col min="6575" max="6575" width="59.5703125" style="33" customWidth="1"/>
    <col min="6576" max="6576" width="23.28515625" style="33" customWidth="1"/>
    <col min="6577" max="6577" width="14.7109375" style="33" bestFit="1" customWidth="1"/>
    <col min="6578" max="6579" width="20.42578125" style="33" customWidth="1"/>
    <col min="6580" max="6580" width="17.42578125" style="33" customWidth="1"/>
    <col min="6581" max="6581" width="11.5703125" style="33" bestFit="1" customWidth="1"/>
    <col min="6582" max="6582" width="16.28515625" style="33" customWidth="1"/>
    <col min="6583" max="6583" width="9.28515625" style="33"/>
    <col min="6584" max="6584" width="14.28515625" style="33" bestFit="1" customWidth="1"/>
    <col min="6585" max="6829" width="9.28515625" style="33"/>
    <col min="6830" max="6830" width="24.5703125" style="33" customWidth="1"/>
    <col min="6831" max="6831" width="59.5703125" style="33" customWidth="1"/>
    <col min="6832" max="6832" width="23.28515625" style="33" customWidth="1"/>
    <col min="6833" max="6833" width="14.7109375" style="33" bestFit="1" customWidth="1"/>
    <col min="6834" max="6835" width="20.42578125" style="33" customWidth="1"/>
    <col min="6836" max="6836" width="17.42578125" style="33" customWidth="1"/>
    <col min="6837" max="6837" width="11.5703125" style="33" bestFit="1" customWidth="1"/>
    <col min="6838" max="6838" width="16.28515625" style="33" customWidth="1"/>
    <col min="6839" max="6839" width="9.28515625" style="33"/>
    <col min="6840" max="6840" width="14.28515625" style="33" bestFit="1" customWidth="1"/>
    <col min="6841" max="7085" width="9.28515625" style="33"/>
    <col min="7086" max="7086" width="24.5703125" style="33" customWidth="1"/>
    <col min="7087" max="7087" width="59.5703125" style="33" customWidth="1"/>
    <col min="7088" max="7088" width="23.28515625" style="33" customWidth="1"/>
    <col min="7089" max="7089" width="14.7109375" style="33" bestFit="1" customWidth="1"/>
    <col min="7090" max="7091" width="20.42578125" style="33" customWidth="1"/>
    <col min="7092" max="7092" width="17.42578125" style="33" customWidth="1"/>
    <col min="7093" max="7093" width="11.5703125" style="33" bestFit="1" customWidth="1"/>
    <col min="7094" max="7094" width="16.28515625" style="33" customWidth="1"/>
    <col min="7095" max="7095" width="9.28515625" style="33"/>
    <col min="7096" max="7096" width="14.28515625" style="33" bestFit="1" customWidth="1"/>
    <col min="7097" max="7341" width="9.28515625" style="33"/>
    <col min="7342" max="7342" width="24.5703125" style="33" customWidth="1"/>
    <col min="7343" max="7343" width="59.5703125" style="33" customWidth="1"/>
    <col min="7344" max="7344" width="23.28515625" style="33" customWidth="1"/>
    <col min="7345" max="7345" width="14.7109375" style="33" bestFit="1" customWidth="1"/>
    <col min="7346" max="7347" width="20.42578125" style="33" customWidth="1"/>
    <col min="7348" max="7348" width="17.42578125" style="33" customWidth="1"/>
    <col min="7349" max="7349" width="11.5703125" style="33" bestFit="1" customWidth="1"/>
    <col min="7350" max="7350" width="16.28515625" style="33" customWidth="1"/>
    <col min="7351" max="7351" width="9.28515625" style="33"/>
    <col min="7352" max="7352" width="14.28515625" style="33" bestFit="1" customWidth="1"/>
    <col min="7353" max="7597" width="9.28515625" style="33"/>
    <col min="7598" max="7598" width="24.5703125" style="33" customWidth="1"/>
    <col min="7599" max="7599" width="59.5703125" style="33" customWidth="1"/>
    <col min="7600" max="7600" width="23.28515625" style="33" customWidth="1"/>
    <col min="7601" max="7601" width="14.7109375" style="33" bestFit="1" customWidth="1"/>
    <col min="7602" max="7603" width="20.42578125" style="33" customWidth="1"/>
    <col min="7604" max="7604" width="17.42578125" style="33" customWidth="1"/>
    <col min="7605" max="7605" width="11.5703125" style="33" bestFit="1" customWidth="1"/>
    <col min="7606" max="7606" width="16.28515625" style="33" customWidth="1"/>
    <col min="7607" max="7607" width="9.28515625" style="33"/>
    <col min="7608" max="7608" width="14.28515625" style="33" bestFit="1" customWidth="1"/>
    <col min="7609" max="7853" width="9.28515625" style="33"/>
    <col min="7854" max="7854" width="24.5703125" style="33" customWidth="1"/>
    <col min="7855" max="7855" width="59.5703125" style="33" customWidth="1"/>
    <col min="7856" max="7856" width="23.28515625" style="33" customWidth="1"/>
    <col min="7857" max="7857" width="14.7109375" style="33" bestFit="1" customWidth="1"/>
    <col min="7858" max="7859" width="20.42578125" style="33" customWidth="1"/>
    <col min="7860" max="7860" width="17.42578125" style="33" customWidth="1"/>
    <col min="7861" max="7861" width="11.5703125" style="33" bestFit="1" customWidth="1"/>
    <col min="7862" max="7862" width="16.28515625" style="33" customWidth="1"/>
    <col min="7863" max="7863" width="9.28515625" style="33"/>
    <col min="7864" max="7864" width="14.28515625" style="33" bestFit="1" customWidth="1"/>
    <col min="7865" max="8109" width="9.28515625" style="33"/>
    <col min="8110" max="8110" width="24.5703125" style="33" customWidth="1"/>
    <col min="8111" max="8111" width="59.5703125" style="33" customWidth="1"/>
    <col min="8112" max="8112" width="23.28515625" style="33" customWidth="1"/>
    <col min="8113" max="8113" width="14.7109375" style="33" bestFit="1" customWidth="1"/>
    <col min="8114" max="8115" width="20.42578125" style="33" customWidth="1"/>
    <col min="8116" max="8116" width="17.42578125" style="33" customWidth="1"/>
    <col min="8117" max="8117" width="11.5703125" style="33" bestFit="1" customWidth="1"/>
    <col min="8118" max="8118" width="16.28515625" style="33" customWidth="1"/>
    <col min="8119" max="8119" width="9.28515625" style="33"/>
    <col min="8120" max="8120" width="14.28515625" style="33" bestFit="1" customWidth="1"/>
    <col min="8121" max="8365" width="9.28515625" style="33"/>
    <col min="8366" max="8366" width="24.5703125" style="33" customWidth="1"/>
    <col min="8367" max="8367" width="59.5703125" style="33" customWidth="1"/>
    <col min="8368" max="8368" width="23.28515625" style="33" customWidth="1"/>
    <col min="8369" max="8369" width="14.7109375" style="33" bestFit="1" customWidth="1"/>
    <col min="8370" max="8371" width="20.42578125" style="33" customWidth="1"/>
    <col min="8372" max="8372" width="17.42578125" style="33" customWidth="1"/>
    <col min="8373" max="8373" width="11.5703125" style="33" bestFit="1" customWidth="1"/>
    <col min="8374" max="8374" width="16.28515625" style="33" customWidth="1"/>
    <col min="8375" max="8375" width="9.28515625" style="33"/>
    <col min="8376" max="8376" width="14.28515625" style="33" bestFit="1" customWidth="1"/>
    <col min="8377" max="8621" width="9.28515625" style="33"/>
    <col min="8622" max="8622" width="24.5703125" style="33" customWidth="1"/>
    <col min="8623" max="8623" width="59.5703125" style="33" customWidth="1"/>
    <col min="8624" max="8624" width="23.28515625" style="33" customWidth="1"/>
    <col min="8625" max="8625" width="14.7109375" style="33" bestFit="1" customWidth="1"/>
    <col min="8626" max="8627" width="20.42578125" style="33" customWidth="1"/>
    <col min="8628" max="8628" width="17.42578125" style="33" customWidth="1"/>
    <col min="8629" max="8629" width="11.5703125" style="33" bestFit="1" customWidth="1"/>
    <col min="8630" max="8630" width="16.28515625" style="33" customWidth="1"/>
    <col min="8631" max="8631" width="9.28515625" style="33"/>
    <col min="8632" max="8632" width="14.28515625" style="33" bestFit="1" customWidth="1"/>
    <col min="8633" max="8877" width="9.28515625" style="33"/>
    <col min="8878" max="8878" width="24.5703125" style="33" customWidth="1"/>
    <col min="8879" max="8879" width="59.5703125" style="33" customWidth="1"/>
    <col min="8880" max="8880" width="23.28515625" style="33" customWidth="1"/>
    <col min="8881" max="8881" width="14.7109375" style="33" bestFit="1" customWidth="1"/>
    <col min="8882" max="8883" width="20.42578125" style="33" customWidth="1"/>
    <col min="8884" max="8884" width="17.42578125" style="33" customWidth="1"/>
    <col min="8885" max="8885" width="11.5703125" style="33" bestFit="1" customWidth="1"/>
    <col min="8886" max="8886" width="16.28515625" style="33" customWidth="1"/>
    <col min="8887" max="8887" width="9.28515625" style="33"/>
    <col min="8888" max="8888" width="14.28515625" style="33" bestFit="1" customWidth="1"/>
    <col min="8889" max="9133" width="9.28515625" style="33"/>
    <col min="9134" max="9134" width="24.5703125" style="33" customWidth="1"/>
    <col min="9135" max="9135" width="59.5703125" style="33" customWidth="1"/>
    <col min="9136" max="9136" width="23.28515625" style="33" customWidth="1"/>
    <col min="9137" max="9137" width="14.7109375" style="33" bestFit="1" customWidth="1"/>
    <col min="9138" max="9139" width="20.42578125" style="33" customWidth="1"/>
    <col min="9140" max="9140" width="17.42578125" style="33" customWidth="1"/>
    <col min="9141" max="9141" width="11.5703125" style="33" bestFit="1" customWidth="1"/>
    <col min="9142" max="9142" width="16.28515625" style="33" customWidth="1"/>
    <col min="9143" max="9143" width="9.28515625" style="33"/>
    <col min="9144" max="9144" width="14.28515625" style="33" bestFit="1" customWidth="1"/>
    <col min="9145" max="9389" width="9.28515625" style="33"/>
    <col min="9390" max="9390" width="24.5703125" style="33" customWidth="1"/>
    <col min="9391" max="9391" width="59.5703125" style="33" customWidth="1"/>
    <col min="9392" max="9392" width="23.28515625" style="33" customWidth="1"/>
    <col min="9393" max="9393" width="14.7109375" style="33" bestFit="1" customWidth="1"/>
    <col min="9394" max="9395" width="20.42578125" style="33" customWidth="1"/>
    <col min="9396" max="9396" width="17.42578125" style="33" customWidth="1"/>
    <col min="9397" max="9397" width="11.5703125" style="33" bestFit="1" customWidth="1"/>
    <col min="9398" max="9398" width="16.28515625" style="33" customWidth="1"/>
    <col min="9399" max="9399" width="9.28515625" style="33"/>
    <col min="9400" max="9400" width="14.28515625" style="33" bestFit="1" customWidth="1"/>
    <col min="9401" max="9645" width="9.28515625" style="33"/>
    <col min="9646" max="9646" width="24.5703125" style="33" customWidth="1"/>
    <col min="9647" max="9647" width="59.5703125" style="33" customWidth="1"/>
    <col min="9648" max="9648" width="23.28515625" style="33" customWidth="1"/>
    <col min="9649" max="9649" width="14.7109375" style="33" bestFit="1" customWidth="1"/>
    <col min="9650" max="9651" width="20.42578125" style="33" customWidth="1"/>
    <col min="9652" max="9652" width="17.42578125" style="33" customWidth="1"/>
    <col min="9653" max="9653" width="11.5703125" style="33" bestFit="1" customWidth="1"/>
    <col min="9654" max="9654" width="16.28515625" style="33" customWidth="1"/>
    <col min="9655" max="9655" width="9.28515625" style="33"/>
    <col min="9656" max="9656" width="14.28515625" style="33" bestFit="1" customWidth="1"/>
    <col min="9657" max="9901" width="9.28515625" style="33"/>
    <col min="9902" max="9902" width="24.5703125" style="33" customWidth="1"/>
    <col min="9903" max="9903" width="59.5703125" style="33" customWidth="1"/>
    <col min="9904" max="9904" width="23.28515625" style="33" customWidth="1"/>
    <col min="9905" max="9905" width="14.7109375" style="33" bestFit="1" customWidth="1"/>
    <col min="9906" max="9907" width="20.42578125" style="33" customWidth="1"/>
    <col min="9908" max="9908" width="17.42578125" style="33" customWidth="1"/>
    <col min="9909" max="9909" width="11.5703125" style="33" bestFit="1" customWidth="1"/>
    <col min="9910" max="9910" width="16.28515625" style="33" customWidth="1"/>
    <col min="9911" max="9911" width="9.28515625" style="33"/>
    <col min="9912" max="9912" width="14.28515625" style="33" bestFit="1" customWidth="1"/>
    <col min="9913" max="10157" width="9.28515625" style="33"/>
    <col min="10158" max="10158" width="24.5703125" style="33" customWidth="1"/>
    <col min="10159" max="10159" width="59.5703125" style="33" customWidth="1"/>
    <col min="10160" max="10160" width="23.28515625" style="33" customWidth="1"/>
    <col min="10161" max="10161" width="14.7109375" style="33" bestFit="1" customWidth="1"/>
    <col min="10162" max="10163" width="20.42578125" style="33" customWidth="1"/>
    <col min="10164" max="10164" width="17.42578125" style="33" customWidth="1"/>
    <col min="10165" max="10165" width="11.5703125" style="33" bestFit="1" customWidth="1"/>
    <col min="10166" max="10166" width="16.28515625" style="33" customWidth="1"/>
    <col min="10167" max="10167" width="9.28515625" style="33"/>
    <col min="10168" max="10168" width="14.28515625" style="33" bestFit="1" customWidth="1"/>
    <col min="10169" max="10413" width="9.28515625" style="33"/>
    <col min="10414" max="10414" width="24.5703125" style="33" customWidth="1"/>
    <col min="10415" max="10415" width="59.5703125" style="33" customWidth="1"/>
    <col min="10416" max="10416" width="23.28515625" style="33" customWidth="1"/>
    <col min="10417" max="10417" width="14.7109375" style="33" bestFit="1" customWidth="1"/>
    <col min="10418" max="10419" width="20.42578125" style="33" customWidth="1"/>
    <col min="10420" max="10420" width="17.42578125" style="33" customWidth="1"/>
    <col min="10421" max="10421" width="11.5703125" style="33" bestFit="1" customWidth="1"/>
    <col min="10422" max="10422" width="16.28515625" style="33" customWidth="1"/>
    <col min="10423" max="10423" width="9.28515625" style="33"/>
    <col min="10424" max="10424" width="14.28515625" style="33" bestFit="1" customWidth="1"/>
    <col min="10425" max="10669" width="9.28515625" style="33"/>
    <col min="10670" max="10670" width="24.5703125" style="33" customWidth="1"/>
    <col min="10671" max="10671" width="59.5703125" style="33" customWidth="1"/>
    <col min="10672" max="10672" width="23.28515625" style="33" customWidth="1"/>
    <col min="10673" max="10673" width="14.7109375" style="33" bestFit="1" customWidth="1"/>
    <col min="10674" max="10675" width="20.42578125" style="33" customWidth="1"/>
    <col min="10676" max="10676" width="17.42578125" style="33" customWidth="1"/>
    <col min="10677" max="10677" width="11.5703125" style="33" bestFit="1" customWidth="1"/>
    <col min="10678" max="10678" width="16.28515625" style="33" customWidth="1"/>
    <col min="10679" max="10679" width="9.28515625" style="33"/>
    <col min="10680" max="10680" width="14.28515625" style="33" bestFit="1" customWidth="1"/>
    <col min="10681" max="10925" width="9.28515625" style="33"/>
    <col min="10926" max="10926" width="24.5703125" style="33" customWidth="1"/>
    <col min="10927" max="10927" width="59.5703125" style="33" customWidth="1"/>
    <col min="10928" max="10928" width="23.28515625" style="33" customWidth="1"/>
    <col min="10929" max="10929" width="14.7109375" style="33" bestFit="1" customWidth="1"/>
    <col min="10930" max="10931" width="20.42578125" style="33" customWidth="1"/>
    <col min="10932" max="10932" width="17.42578125" style="33" customWidth="1"/>
    <col min="10933" max="10933" width="11.5703125" style="33" bestFit="1" customWidth="1"/>
    <col min="10934" max="10934" width="16.28515625" style="33" customWidth="1"/>
    <col min="10935" max="10935" width="9.28515625" style="33"/>
    <col min="10936" max="10936" width="14.28515625" style="33" bestFit="1" customWidth="1"/>
    <col min="10937" max="11181" width="9.28515625" style="33"/>
    <col min="11182" max="11182" width="24.5703125" style="33" customWidth="1"/>
    <col min="11183" max="11183" width="59.5703125" style="33" customWidth="1"/>
    <col min="11184" max="11184" width="23.28515625" style="33" customWidth="1"/>
    <col min="11185" max="11185" width="14.7109375" style="33" bestFit="1" customWidth="1"/>
    <col min="11186" max="11187" width="20.42578125" style="33" customWidth="1"/>
    <col min="11188" max="11188" width="17.42578125" style="33" customWidth="1"/>
    <col min="11189" max="11189" width="11.5703125" style="33" bestFit="1" customWidth="1"/>
    <col min="11190" max="11190" width="16.28515625" style="33" customWidth="1"/>
    <col min="11191" max="11191" width="9.28515625" style="33"/>
    <col min="11192" max="11192" width="14.28515625" style="33" bestFit="1" customWidth="1"/>
    <col min="11193" max="11437" width="9.28515625" style="33"/>
    <col min="11438" max="11438" width="24.5703125" style="33" customWidth="1"/>
    <col min="11439" max="11439" width="59.5703125" style="33" customWidth="1"/>
    <col min="11440" max="11440" width="23.28515625" style="33" customWidth="1"/>
    <col min="11441" max="11441" width="14.7109375" style="33" bestFit="1" customWidth="1"/>
    <col min="11442" max="11443" width="20.42578125" style="33" customWidth="1"/>
    <col min="11444" max="11444" width="17.42578125" style="33" customWidth="1"/>
    <col min="11445" max="11445" width="11.5703125" style="33" bestFit="1" customWidth="1"/>
    <col min="11446" max="11446" width="16.28515625" style="33" customWidth="1"/>
    <col min="11447" max="11447" width="9.28515625" style="33"/>
    <col min="11448" max="11448" width="14.28515625" style="33" bestFit="1" customWidth="1"/>
    <col min="11449" max="11693" width="9.28515625" style="33"/>
    <col min="11694" max="11694" width="24.5703125" style="33" customWidth="1"/>
    <col min="11695" max="11695" width="59.5703125" style="33" customWidth="1"/>
    <col min="11696" max="11696" width="23.28515625" style="33" customWidth="1"/>
    <col min="11697" max="11697" width="14.7109375" style="33" bestFit="1" customWidth="1"/>
    <col min="11698" max="11699" width="20.42578125" style="33" customWidth="1"/>
    <col min="11700" max="11700" width="17.42578125" style="33" customWidth="1"/>
    <col min="11701" max="11701" width="11.5703125" style="33" bestFit="1" customWidth="1"/>
    <col min="11702" max="11702" width="16.28515625" style="33" customWidth="1"/>
    <col min="11703" max="11703" width="9.28515625" style="33"/>
    <col min="11704" max="11704" width="14.28515625" style="33" bestFit="1" customWidth="1"/>
    <col min="11705" max="11949" width="9.28515625" style="33"/>
    <col min="11950" max="11950" width="24.5703125" style="33" customWidth="1"/>
    <col min="11951" max="11951" width="59.5703125" style="33" customWidth="1"/>
    <col min="11952" max="11952" width="23.28515625" style="33" customWidth="1"/>
    <col min="11953" max="11953" width="14.7109375" style="33" bestFit="1" customWidth="1"/>
    <col min="11954" max="11955" width="20.42578125" style="33" customWidth="1"/>
    <col min="11956" max="11956" width="17.42578125" style="33" customWidth="1"/>
    <col min="11957" max="11957" width="11.5703125" style="33" bestFit="1" customWidth="1"/>
    <col min="11958" max="11958" width="16.28515625" style="33" customWidth="1"/>
    <col min="11959" max="11959" width="9.28515625" style="33"/>
    <col min="11960" max="11960" width="14.28515625" style="33" bestFit="1" customWidth="1"/>
    <col min="11961" max="12205" width="9.28515625" style="33"/>
    <col min="12206" max="12206" width="24.5703125" style="33" customWidth="1"/>
    <col min="12207" max="12207" width="59.5703125" style="33" customWidth="1"/>
    <col min="12208" max="12208" width="23.28515625" style="33" customWidth="1"/>
    <col min="12209" max="12209" width="14.7109375" style="33" bestFit="1" customWidth="1"/>
    <col min="12210" max="12211" width="20.42578125" style="33" customWidth="1"/>
    <col min="12212" max="12212" width="17.42578125" style="33" customWidth="1"/>
    <col min="12213" max="12213" width="11.5703125" style="33" bestFit="1" customWidth="1"/>
    <col min="12214" max="12214" width="16.28515625" style="33" customWidth="1"/>
    <col min="12215" max="12215" width="9.28515625" style="33"/>
    <col min="12216" max="12216" width="14.28515625" style="33" bestFit="1" customWidth="1"/>
    <col min="12217" max="12461" width="9.28515625" style="33"/>
    <col min="12462" max="12462" width="24.5703125" style="33" customWidth="1"/>
    <col min="12463" max="12463" width="59.5703125" style="33" customWidth="1"/>
    <col min="12464" max="12464" width="23.28515625" style="33" customWidth="1"/>
    <col min="12465" max="12465" width="14.7109375" style="33" bestFit="1" customWidth="1"/>
    <col min="12466" max="12467" width="20.42578125" style="33" customWidth="1"/>
    <col min="12468" max="12468" width="17.42578125" style="33" customWidth="1"/>
    <col min="12469" max="12469" width="11.5703125" style="33" bestFit="1" customWidth="1"/>
    <col min="12470" max="12470" width="16.28515625" style="33" customWidth="1"/>
    <col min="12471" max="12471" width="9.28515625" style="33"/>
    <col min="12472" max="12472" width="14.28515625" style="33" bestFit="1" customWidth="1"/>
    <col min="12473" max="12717" width="9.28515625" style="33"/>
    <col min="12718" max="12718" width="24.5703125" style="33" customWidth="1"/>
    <col min="12719" max="12719" width="59.5703125" style="33" customWidth="1"/>
    <col min="12720" max="12720" width="23.28515625" style="33" customWidth="1"/>
    <col min="12721" max="12721" width="14.7109375" style="33" bestFit="1" customWidth="1"/>
    <col min="12722" max="12723" width="20.42578125" style="33" customWidth="1"/>
    <col min="12724" max="12724" width="17.42578125" style="33" customWidth="1"/>
    <col min="12725" max="12725" width="11.5703125" style="33" bestFit="1" customWidth="1"/>
    <col min="12726" max="12726" width="16.28515625" style="33" customWidth="1"/>
    <col min="12727" max="12727" width="9.28515625" style="33"/>
    <col min="12728" max="12728" width="14.28515625" style="33" bestFit="1" customWidth="1"/>
    <col min="12729" max="12973" width="9.28515625" style="33"/>
    <col min="12974" max="12974" width="24.5703125" style="33" customWidth="1"/>
    <col min="12975" max="12975" width="59.5703125" style="33" customWidth="1"/>
    <col min="12976" max="12976" width="23.28515625" style="33" customWidth="1"/>
    <col min="12977" max="12977" width="14.7109375" style="33" bestFit="1" customWidth="1"/>
    <col min="12978" max="12979" width="20.42578125" style="33" customWidth="1"/>
    <col min="12980" max="12980" width="17.42578125" style="33" customWidth="1"/>
    <col min="12981" max="12981" width="11.5703125" style="33" bestFit="1" customWidth="1"/>
    <col min="12982" max="12982" width="16.28515625" style="33" customWidth="1"/>
    <col min="12983" max="12983" width="9.28515625" style="33"/>
    <col min="12984" max="12984" width="14.28515625" style="33" bestFit="1" customWidth="1"/>
    <col min="12985" max="13229" width="9.28515625" style="33"/>
    <col min="13230" max="13230" width="24.5703125" style="33" customWidth="1"/>
    <col min="13231" max="13231" width="59.5703125" style="33" customWidth="1"/>
    <col min="13232" max="13232" width="23.28515625" style="33" customWidth="1"/>
    <col min="13233" max="13233" width="14.7109375" style="33" bestFit="1" customWidth="1"/>
    <col min="13234" max="13235" width="20.42578125" style="33" customWidth="1"/>
    <col min="13236" max="13236" width="17.42578125" style="33" customWidth="1"/>
    <col min="13237" max="13237" width="11.5703125" style="33" bestFit="1" customWidth="1"/>
    <col min="13238" max="13238" width="16.28515625" style="33" customWidth="1"/>
    <col min="13239" max="13239" width="9.28515625" style="33"/>
    <col min="13240" max="13240" width="14.28515625" style="33" bestFit="1" customWidth="1"/>
    <col min="13241" max="13485" width="9.28515625" style="33"/>
    <col min="13486" max="13486" width="24.5703125" style="33" customWidth="1"/>
    <col min="13487" max="13487" width="59.5703125" style="33" customWidth="1"/>
    <col min="13488" max="13488" width="23.28515625" style="33" customWidth="1"/>
    <col min="13489" max="13489" width="14.7109375" style="33" bestFit="1" customWidth="1"/>
    <col min="13490" max="13491" width="20.42578125" style="33" customWidth="1"/>
    <col min="13492" max="13492" width="17.42578125" style="33" customWidth="1"/>
    <col min="13493" max="13493" width="11.5703125" style="33" bestFit="1" customWidth="1"/>
    <col min="13494" max="13494" width="16.28515625" style="33" customWidth="1"/>
    <col min="13495" max="13495" width="9.28515625" style="33"/>
    <col min="13496" max="13496" width="14.28515625" style="33" bestFit="1" customWidth="1"/>
    <col min="13497" max="13741" width="9.28515625" style="33"/>
    <col min="13742" max="13742" width="24.5703125" style="33" customWidth="1"/>
    <col min="13743" max="13743" width="59.5703125" style="33" customWidth="1"/>
    <col min="13744" max="13744" width="23.28515625" style="33" customWidth="1"/>
    <col min="13745" max="13745" width="14.7109375" style="33" bestFit="1" customWidth="1"/>
    <col min="13746" max="13747" width="20.42578125" style="33" customWidth="1"/>
    <col min="13748" max="13748" width="17.42578125" style="33" customWidth="1"/>
    <col min="13749" max="13749" width="11.5703125" style="33" bestFit="1" customWidth="1"/>
    <col min="13750" max="13750" width="16.28515625" style="33" customWidth="1"/>
    <col min="13751" max="13751" width="9.28515625" style="33"/>
    <col min="13752" max="13752" width="14.28515625" style="33" bestFit="1" customWidth="1"/>
    <col min="13753" max="13997" width="9.28515625" style="33"/>
    <col min="13998" max="13998" width="24.5703125" style="33" customWidth="1"/>
    <col min="13999" max="13999" width="59.5703125" style="33" customWidth="1"/>
    <col min="14000" max="14000" width="23.28515625" style="33" customWidth="1"/>
    <col min="14001" max="14001" width="14.7109375" style="33" bestFit="1" customWidth="1"/>
    <col min="14002" max="14003" width="20.42578125" style="33" customWidth="1"/>
    <col min="14004" max="14004" width="17.42578125" style="33" customWidth="1"/>
    <col min="14005" max="14005" width="11.5703125" style="33" bestFit="1" customWidth="1"/>
    <col min="14006" max="14006" width="16.28515625" style="33" customWidth="1"/>
    <col min="14007" max="14007" width="9.28515625" style="33"/>
    <col min="14008" max="14008" width="14.28515625" style="33" bestFit="1" customWidth="1"/>
    <col min="14009" max="14253" width="9.28515625" style="33"/>
    <col min="14254" max="14254" width="24.5703125" style="33" customWidth="1"/>
    <col min="14255" max="14255" width="59.5703125" style="33" customWidth="1"/>
    <col min="14256" max="14256" width="23.28515625" style="33" customWidth="1"/>
    <col min="14257" max="14257" width="14.7109375" style="33" bestFit="1" customWidth="1"/>
    <col min="14258" max="14259" width="20.42578125" style="33" customWidth="1"/>
    <col min="14260" max="14260" width="17.42578125" style="33" customWidth="1"/>
    <col min="14261" max="14261" width="11.5703125" style="33" bestFit="1" customWidth="1"/>
    <col min="14262" max="14262" width="16.28515625" style="33" customWidth="1"/>
    <col min="14263" max="14263" width="9.28515625" style="33"/>
    <col min="14264" max="14264" width="14.28515625" style="33" bestFit="1" customWidth="1"/>
    <col min="14265" max="14509" width="9.28515625" style="33"/>
    <col min="14510" max="14510" width="24.5703125" style="33" customWidth="1"/>
    <col min="14511" max="14511" width="59.5703125" style="33" customWidth="1"/>
    <col min="14512" max="14512" width="23.28515625" style="33" customWidth="1"/>
    <col min="14513" max="14513" width="14.7109375" style="33" bestFit="1" customWidth="1"/>
    <col min="14514" max="14515" width="20.42578125" style="33" customWidth="1"/>
    <col min="14516" max="14516" width="17.42578125" style="33" customWidth="1"/>
    <col min="14517" max="14517" width="11.5703125" style="33" bestFit="1" customWidth="1"/>
    <col min="14518" max="14518" width="16.28515625" style="33" customWidth="1"/>
    <col min="14519" max="14519" width="9.28515625" style="33"/>
    <col min="14520" max="14520" width="14.28515625" style="33" bestFit="1" customWidth="1"/>
    <col min="14521" max="14765" width="9.28515625" style="33"/>
    <col min="14766" max="14766" width="24.5703125" style="33" customWidth="1"/>
    <col min="14767" max="14767" width="59.5703125" style="33" customWidth="1"/>
    <col min="14768" max="14768" width="23.28515625" style="33" customWidth="1"/>
    <col min="14769" max="14769" width="14.7109375" style="33" bestFit="1" customWidth="1"/>
    <col min="14770" max="14771" width="20.42578125" style="33" customWidth="1"/>
    <col min="14772" max="14772" width="17.42578125" style="33" customWidth="1"/>
    <col min="14773" max="14773" width="11.5703125" style="33" bestFit="1" customWidth="1"/>
    <col min="14774" max="14774" width="16.28515625" style="33" customWidth="1"/>
    <col min="14775" max="14775" width="9.28515625" style="33"/>
    <col min="14776" max="14776" width="14.28515625" style="33" bestFit="1" customWidth="1"/>
    <col min="14777" max="15021" width="9.28515625" style="33"/>
    <col min="15022" max="15022" width="24.5703125" style="33" customWidth="1"/>
    <col min="15023" max="15023" width="59.5703125" style="33" customWidth="1"/>
    <col min="15024" max="15024" width="23.28515625" style="33" customWidth="1"/>
    <col min="15025" max="15025" width="14.7109375" style="33" bestFit="1" customWidth="1"/>
    <col min="15026" max="15027" width="20.42578125" style="33" customWidth="1"/>
    <col min="15028" max="15028" width="17.42578125" style="33" customWidth="1"/>
    <col min="15029" max="15029" width="11.5703125" style="33" bestFit="1" customWidth="1"/>
    <col min="15030" max="15030" width="16.28515625" style="33" customWidth="1"/>
    <col min="15031" max="15031" width="9.28515625" style="33"/>
    <col min="15032" max="15032" width="14.28515625" style="33" bestFit="1" customWidth="1"/>
    <col min="15033" max="15277" width="9.28515625" style="33"/>
    <col min="15278" max="15278" width="24.5703125" style="33" customWidth="1"/>
    <col min="15279" max="15279" width="59.5703125" style="33" customWidth="1"/>
    <col min="15280" max="15280" width="23.28515625" style="33" customWidth="1"/>
    <col min="15281" max="15281" width="14.7109375" style="33" bestFit="1" customWidth="1"/>
    <col min="15282" max="15283" width="20.42578125" style="33" customWidth="1"/>
    <col min="15284" max="15284" width="17.42578125" style="33" customWidth="1"/>
    <col min="15285" max="15285" width="11.5703125" style="33" bestFit="1" customWidth="1"/>
    <col min="15286" max="15286" width="16.28515625" style="33" customWidth="1"/>
    <col min="15287" max="15287" width="9.28515625" style="33"/>
    <col min="15288" max="15288" width="14.28515625" style="33" bestFit="1" customWidth="1"/>
    <col min="15289" max="15533" width="9.28515625" style="33"/>
    <col min="15534" max="15534" width="24.5703125" style="33" customWidth="1"/>
    <col min="15535" max="15535" width="59.5703125" style="33" customWidth="1"/>
    <col min="15536" max="15536" width="23.28515625" style="33" customWidth="1"/>
    <col min="15537" max="15537" width="14.7109375" style="33" bestFit="1" customWidth="1"/>
    <col min="15538" max="15539" width="20.42578125" style="33" customWidth="1"/>
    <col min="15540" max="15540" width="17.42578125" style="33" customWidth="1"/>
    <col min="15541" max="15541" width="11.5703125" style="33" bestFit="1" customWidth="1"/>
    <col min="15542" max="15542" width="16.28515625" style="33" customWidth="1"/>
    <col min="15543" max="15543" width="9.28515625" style="33"/>
    <col min="15544" max="15544" width="14.28515625" style="33" bestFit="1" customWidth="1"/>
    <col min="15545" max="15789" width="9.28515625" style="33"/>
    <col min="15790" max="15790" width="24.5703125" style="33" customWidth="1"/>
    <col min="15791" max="15791" width="59.5703125" style="33" customWidth="1"/>
    <col min="15792" max="15792" width="23.28515625" style="33" customWidth="1"/>
    <col min="15793" max="15793" width="14.7109375" style="33" bestFit="1" customWidth="1"/>
    <col min="15794" max="15795" width="20.42578125" style="33" customWidth="1"/>
    <col min="15796" max="15796" width="17.42578125" style="33" customWidth="1"/>
    <col min="15797" max="15797" width="11.5703125" style="33" bestFit="1" customWidth="1"/>
    <col min="15798" max="15798" width="16.28515625" style="33" customWidth="1"/>
    <col min="15799" max="15799" width="9.28515625" style="33"/>
    <col min="15800" max="15800" width="14.28515625" style="33" bestFit="1" customWidth="1"/>
    <col min="15801" max="16045" width="9.28515625" style="33"/>
    <col min="16046" max="16046" width="24.5703125" style="33" customWidth="1"/>
    <col min="16047" max="16047" width="59.5703125" style="33" customWidth="1"/>
    <col min="16048" max="16048" width="23.28515625" style="33" customWidth="1"/>
    <col min="16049" max="16049" width="14.7109375" style="33" bestFit="1" customWidth="1"/>
    <col min="16050" max="16051" width="20.42578125" style="33" customWidth="1"/>
    <col min="16052" max="16052" width="17.42578125" style="33" customWidth="1"/>
    <col min="16053" max="16053" width="11.5703125" style="33" bestFit="1" customWidth="1"/>
    <col min="16054" max="16054" width="16.28515625" style="33" customWidth="1"/>
    <col min="16055" max="16055" width="9.28515625" style="33"/>
    <col min="16056" max="16056" width="14.28515625" style="33" bestFit="1" customWidth="1"/>
    <col min="16057" max="16384" width="9.28515625" style="33"/>
  </cols>
  <sheetData>
    <row r="1" spans="1:51" ht="12.95" customHeight="1">
      <c r="A1" s="85" t="s">
        <v>950</v>
      </c>
      <c r="B1" s="86"/>
      <c r="C1" s="87"/>
      <c r="D1" s="40" t="s">
        <v>1</v>
      </c>
      <c r="E1" s="2">
        <v>1</v>
      </c>
      <c r="F1" s="2">
        <v>2</v>
      </c>
      <c r="G1" s="2">
        <v>3</v>
      </c>
      <c r="H1" s="2">
        <v>4</v>
      </c>
      <c r="I1" s="2">
        <v>5</v>
      </c>
      <c r="J1" s="2">
        <v>6</v>
      </c>
      <c r="K1" s="2">
        <v>7</v>
      </c>
      <c r="L1" s="2">
        <v>8</v>
      </c>
      <c r="M1" s="2">
        <v>9</v>
      </c>
      <c r="N1" s="2">
        <v>10</v>
      </c>
      <c r="O1" s="2">
        <v>11</v>
      </c>
      <c r="P1" s="2">
        <v>12</v>
      </c>
      <c r="Q1" s="2">
        <v>13</v>
      </c>
      <c r="R1" s="2">
        <v>14</v>
      </c>
      <c r="S1" s="2">
        <v>15</v>
      </c>
      <c r="T1" s="2">
        <v>16</v>
      </c>
      <c r="U1" s="2">
        <v>17</v>
      </c>
      <c r="V1" s="2">
        <v>18</v>
      </c>
      <c r="W1" s="2">
        <v>19</v>
      </c>
      <c r="X1" s="2">
        <v>20</v>
      </c>
      <c r="Y1" s="2">
        <v>21</v>
      </c>
      <c r="Z1" s="2">
        <v>22</v>
      </c>
      <c r="AA1" s="2">
        <v>23</v>
      </c>
      <c r="AB1" s="2" t="s">
        <v>951</v>
      </c>
      <c r="AC1" s="2">
        <v>25</v>
      </c>
      <c r="AD1" s="2">
        <v>26</v>
      </c>
      <c r="AE1" s="2">
        <v>27</v>
      </c>
      <c r="AF1" s="2">
        <v>28</v>
      </c>
      <c r="AG1" s="2">
        <v>29</v>
      </c>
      <c r="AH1" s="2">
        <v>30</v>
      </c>
      <c r="AI1" s="2">
        <v>31</v>
      </c>
      <c r="AJ1" s="2">
        <v>32</v>
      </c>
      <c r="AK1" s="2">
        <v>33</v>
      </c>
      <c r="AL1" s="2">
        <v>34</v>
      </c>
      <c r="AM1" s="2">
        <v>35</v>
      </c>
      <c r="AN1" s="2">
        <v>36</v>
      </c>
      <c r="AO1" s="2">
        <v>37</v>
      </c>
      <c r="AP1" s="2">
        <v>38</v>
      </c>
      <c r="AQ1" s="2">
        <v>39</v>
      </c>
      <c r="AR1" s="2">
        <v>40</v>
      </c>
      <c r="AS1" s="2">
        <v>41</v>
      </c>
      <c r="AT1" s="2">
        <v>42</v>
      </c>
      <c r="AU1" s="2">
        <v>43</v>
      </c>
      <c r="AV1" s="2">
        <v>44</v>
      </c>
      <c r="AW1" s="2">
        <v>45</v>
      </c>
      <c r="AX1" s="2">
        <v>46</v>
      </c>
      <c r="AY1" s="2">
        <v>47</v>
      </c>
    </row>
    <row r="2" spans="1:51" s="35" customFormat="1" ht="48">
      <c r="A2" s="88"/>
      <c r="B2" s="89"/>
      <c r="C2" s="90"/>
      <c r="D2" s="40" t="s">
        <v>2</v>
      </c>
      <c r="E2" s="54" t="s">
        <v>952</v>
      </c>
      <c r="F2" s="54" t="s">
        <v>953</v>
      </c>
      <c r="G2" s="54" t="s">
        <v>954</v>
      </c>
      <c r="H2" s="54" t="s">
        <v>955</v>
      </c>
      <c r="I2" s="54" t="s">
        <v>956</v>
      </c>
      <c r="J2" s="54" t="s">
        <v>957</v>
      </c>
      <c r="K2" s="54" t="s">
        <v>958</v>
      </c>
      <c r="L2" s="54" t="s">
        <v>959</v>
      </c>
      <c r="M2" s="54" t="s">
        <v>960</v>
      </c>
      <c r="N2" s="54" t="s">
        <v>961</v>
      </c>
      <c r="O2" s="54" t="s">
        <v>962</v>
      </c>
      <c r="P2" s="54" t="s">
        <v>963</v>
      </c>
      <c r="Q2" s="54" t="s">
        <v>962</v>
      </c>
      <c r="R2" s="54" t="s">
        <v>964</v>
      </c>
      <c r="S2" s="54" t="s">
        <v>965</v>
      </c>
      <c r="T2" s="54" t="s">
        <v>966</v>
      </c>
      <c r="U2" s="54" t="s">
        <v>962</v>
      </c>
      <c r="V2" s="54" t="s">
        <v>962</v>
      </c>
      <c r="W2" s="54" t="s">
        <v>967</v>
      </c>
      <c r="X2" s="54" t="s">
        <v>968</v>
      </c>
      <c r="Y2" s="54" t="s">
        <v>969</v>
      </c>
      <c r="Z2" s="54" t="s">
        <v>970</v>
      </c>
      <c r="AA2" s="54" t="s">
        <v>962</v>
      </c>
      <c r="AB2" s="60" t="s">
        <v>971</v>
      </c>
      <c r="AC2" s="54" t="s">
        <v>972</v>
      </c>
      <c r="AD2" s="54" t="s">
        <v>973</v>
      </c>
      <c r="AE2" s="54" t="s">
        <v>974</v>
      </c>
      <c r="AF2" s="54" t="s">
        <v>975</v>
      </c>
      <c r="AG2" s="54" t="s">
        <v>975</v>
      </c>
      <c r="AH2" s="54" t="s">
        <v>975</v>
      </c>
      <c r="AI2" s="54" t="s">
        <v>962</v>
      </c>
      <c r="AJ2" s="54" t="s">
        <v>976</v>
      </c>
      <c r="AK2" s="54" t="s">
        <v>962</v>
      </c>
      <c r="AL2" s="54" t="s">
        <v>876</v>
      </c>
      <c r="AM2" s="54" t="s">
        <v>977</v>
      </c>
      <c r="AN2" s="54" t="s">
        <v>876</v>
      </c>
      <c r="AO2" s="54" t="s">
        <v>876</v>
      </c>
      <c r="AP2" s="54" t="s">
        <v>876</v>
      </c>
      <c r="AQ2" s="54" t="s">
        <v>978</v>
      </c>
      <c r="AR2" s="54" t="s">
        <v>969</v>
      </c>
      <c r="AS2" s="54" t="s">
        <v>962</v>
      </c>
      <c r="AT2" s="54" t="s">
        <v>979</v>
      </c>
      <c r="AU2" s="54" t="s">
        <v>979</v>
      </c>
      <c r="AV2" s="54" t="s">
        <v>979</v>
      </c>
      <c r="AW2" s="54" t="s">
        <v>980</v>
      </c>
      <c r="AX2" s="54" t="s">
        <v>981</v>
      </c>
      <c r="AY2" s="54" t="s">
        <v>982</v>
      </c>
    </row>
    <row r="3" spans="1:51" ht="12.95" customHeight="1">
      <c r="A3" s="88"/>
      <c r="B3" s="89"/>
      <c r="C3" s="90"/>
      <c r="D3" s="40" t="s">
        <v>11</v>
      </c>
      <c r="E3" s="6" t="s">
        <v>983</v>
      </c>
      <c r="F3" s="6" t="s">
        <v>984</v>
      </c>
      <c r="G3" s="6" t="s">
        <v>985</v>
      </c>
      <c r="H3" s="6" t="s">
        <v>986</v>
      </c>
      <c r="I3" s="6" t="s">
        <v>987</v>
      </c>
      <c r="J3" s="6" t="s">
        <v>988</v>
      </c>
      <c r="K3" s="6" t="s">
        <v>989</v>
      </c>
      <c r="L3" s="6" t="s">
        <v>990</v>
      </c>
      <c r="M3" s="6" t="s">
        <v>990</v>
      </c>
      <c r="N3" s="6" t="s">
        <v>990</v>
      </c>
      <c r="O3" s="6" t="s">
        <v>990</v>
      </c>
      <c r="P3" s="6" t="s">
        <v>990</v>
      </c>
      <c r="Q3" s="6" t="s">
        <v>990</v>
      </c>
      <c r="R3" s="6" t="s">
        <v>991</v>
      </c>
      <c r="S3" s="6" t="s">
        <v>991</v>
      </c>
      <c r="T3" s="6" t="s">
        <v>991</v>
      </c>
      <c r="U3" s="6" t="s">
        <v>991</v>
      </c>
      <c r="V3" s="6" t="s">
        <v>991</v>
      </c>
      <c r="W3" s="6" t="s">
        <v>992</v>
      </c>
      <c r="X3" s="6" t="s">
        <v>992</v>
      </c>
      <c r="Y3" s="6" t="s">
        <v>992</v>
      </c>
      <c r="Z3" s="6" t="s">
        <v>992</v>
      </c>
      <c r="AA3" s="6" t="s">
        <v>992</v>
      </c>
      <c r="AB3" s="8" t="s">
        <v>993</v>
      </c>
      <c r="AC3" s="6" t="s">
        <v>993</v>
      </c>
      <c r="AD3" s="6" t="s">
        <v>993</v>
      </c>
      <c r="AE3" s="6" t="s">
        <v>993</v>
      </c>
      <c r="AF3" s="6" t="s">
        <v>993</v>
      </c>
      <c r="AG3" s="6" t="s">
        <v>993</v>
      </c>
      <c r="AH3" s="6" t="s">
        <v>993</v>
      </c>
      <c r="AI3" s="6" t="s">
        <v>994</v>
      </c>
      <c r="AJ3" s="6" t="s">
        <v>994</v>
      </c>
      <c r="AK3" s="6" t="s">
        <v>994</v>
      </c>
      <c r="AL3" s="6" t="s">
        <v>995</v>
      </c>
      <c r="AM3" s="6" t="s">
        <v>995</v>
      </c>
      <c r="AN3" s="6" t="s">
        <v>995</v>
      </c>
      <c r="AO3" s="6" t="s">
        <v>995</v>
      </c>
      <c r="AP3" s="6" t="s">
        <v>992</v>
      </c>
      <c r="AQ3" s="6" t="s">
        <v>992</v>
      </c>
      <c r="AR3" s="6" t="s">
        <v>992</v>
      </c>
      <c r="AS3" s="6" t="s">
        <v>992</v>
      </c>
      <c r="AT3" s="6" t="s">
        <v>979</v>
      </c>
      <c r="AU3" s="6" t="s">
        <v>979</v>
      </c>
      <c r="AV3" s="6" t="s">
        <v>979</v>
      </c>
      <c r="AW3" s="6" t="s">
        <v>980</v>
      </c>
      <c r="AX3" s="6" t="s">
        <v>981</v>
      </c>
      <c r="AY3" s="6" t="s">
        <v>982</v>
      </c>
    </row>
    <row r="4" spans="1:51" ht="12.95" customHeight="1">
      <c r="A4" s="88"/>
      <c r="B4" s="89"/>
      <c r="C4" s="90"/>
      <c r="D4" s="40" t="s">
        <v>996</v>
      </c>
      <c r="E4" s="6" t="s">
        <v>997</v>
      </c>
      <c r="F4" s="6" t="s">
        <v>998</v>
      </c>
      <c r="G4" s="6" t="s">
        <v>999</v>
      </c>
      <c r="H4" s="6" t="s">
        <v>1000</v>
      </c>
      <c r="I4" s="6" t="s">
        <v>1001</v>
      </c>
      <c r="J4" s="6" t="s">
        <v>1002</v>
      </c>
      <c r="K4" s="6" t="s">
        <v>1003</v>
      </c>
      <c r="L4" s="6" t="s">
        <v>997</v>
      </c>
      <c r="M4" s="6" t="s">
        <v>997</v>
      </c>
      <c r="N4" s="6" t="s">
        <v>997</v>
      </c>
      <c r="O4" s="6" t="s">
        <v>1004</v>
      </c>
      <c r="P4" s="6" t="s">
        <v>997</v>
      </c>
      <c r="Q4" s="6" t="s">
        <v>1005</v>
      </c>
      <c r="R4" s="6" t="s">
        <v>1006</v>
      </c>
      <c r="S4" s="6" t="s">
        <v>1007</v>
      </c>
      <c r="T4" s="6" t="s">
        <v>998</v>
      </c>
      <c r="U4" s="6" t="s">
        <v>998</v>
      </c>
      <c r="V4" s="6" t="s">
        <v>1008</v>
      </c>
      <c r="W4" s="6" t="s">
        <v>999</v>
      </c>
      <c r="X4" s="6" t="s">
        <v>999</v>
      </c>
      <c r="Y4" s="6" t="s">
        <v>999</v>
      </c>
      <c r="Z4" s="6" t="s">
        <v>999</v>
      </c>
      <c r="AA4" s="6" t="s">
        <v>1009</v>
      </c>
      <c r="AB4" s="8" t="s">
        <v>1000</v>
      </c>
      <c r="AC4" s="6" t="s">
        <v>1000</v>
      </c>
      <c r="AD4" s="6" t="s">
        <v>1010</v>
      </c>
      <c r="AE4" s="6" t="s">
        <v>1003</v>
      </c>
      <c r="AF4" s="6" t="s">
        <v>1011</v>
      </c>
      <c r="AG4" s="6" t="s">
        <v>1012</v>
      </c>
      <c r="AH4" s="6" t="s">
        <v>1013</v>
      </c>
      <c r="AI4" s="6" t="s">
        <v>1014</v>
      </c>
      <c r="AJ4" s="6" t="s">
        <v>1014</v>
      </c>
      <c r="AK4" s="6" t="s">
        <v>1015</v>
      </c>
      <c r="AL4" s="6" t="s">
        <v>1016</v>
      </c>
      <c r="AM4" s="6" t="s">
        <v>1001</v>
      </c>
      <c r="AN4" s="6" t="s">
        <v>1001</v>
      </c>
      <c r="AO4" s="6" t="s">
        <v>1017</v>
      </c>
      <c r="AP4" s="6" t="s">
        <v>1018</v>
      </c>
      <c r="AQ4" s="6" t="s">
        <v>999</v>
      </c>
      <c r="AR4" s="6" t="s">
        <v>999</v>
      </c>
      <c r="AS4" s="6" t="s">
        <v>999</v>
      </c>
      <c r="AT4" s="6" t="s">
        <v>1019</v>
      </c>
      <c r="AU4" s="6" t="s">
        <v>1020</v>
      </c>
      <c r="AV4" s="6" t="s">
        <v>1021</v>
      </c>
      <c r="AW4" s="6" t="s">
        <v>1014</v>
      </c>
      <c r="AX4" s="6" t="s">
        <v>1014</v>
      </c>
      <c r="AY4" s="6" t="s">
        <v>999</v>
      </c>
    </row>
    <row r="5" spans="1:51" ht="32.1">
      <c r="A5" s="88"/>
      <c r="B5" s="89"/>
      <c r="C5" s="90"/>
      <c r="D5" s="40" t="s">
        <v>14</v>
      </c>
      <c r="E5" s="7" t="s">
        <v>1022</v>
      </c>
      <c r="F5" s="7" t="s">
        <v>1023</v>
      </c>
      <c r="G5" s="7" t="s">
        <v>1024</v>
      </c>
      <c r="H5" s="7" t="s">
        <v>1025</v>
      </c>
      <c r="I5" s="7" t="s">
        <v>1026</v>
      </c>
      <c r="J5" s="7" t="s">
        <v>1027</v>
      </c>
      <c r="K5" s="7" t="s">
        <v>1028</v>
      </c>
      <c r="L5" s="7" t="s">
        <v>1029</v>
      </c>
      <c r="M5" s="7" t="s">
        <v>1030</v>
      </c>
      <c r="N5" s="7" t="s">
        <v>1031</v>
      </c>
      <c r="O5" s="7" t="s">
        <v>1032</v>
      </c>
      <c r="P5" s="7" t="s">
        <v>1033</v>
      </c>
      <c r="Q5" s="7" t="s">
        <v>1034</v>
      </c>
      <c r="R5" s="7" t="s">
        <v>1035</v>
      </c>
      <c r="S5" s="7" t="s">
        <v>1036</v>
      </c>
      <c r="T5" s="7" t="s">
        <v>1037</v>
      </c>
      <c r="U5" s="7" t="s">
        <v>1038</v>
      </c>
      <c r="V5" s="7" t="s">
        <v>1032</v>
      </c>
      <c r="W5" s="7" t="s">
        <v>1039</v>
      </c>
      <c r="X5" s="7" t="s">
        <v>1040</v>
      </c>
      <c r="Y5" s="7" t="s">
        <v>1041</v>
      </c>
      <c r="Z5" s="7" t="s">
        <v>1042</v>
      </c>
      <c r="AA5" s="7" t="s">
        <v>1043</v>
      </c>
      <c r="AB5" s="7" t="s">
        <v>1044</v>
      </c>
      <c r="AC5" s="7" t="s">
        <v>1045</v>
      </c>
      <c r="AD5" s="7" t="s">
        <v>1046</v>
      </c>
      <c r="AE5" s="7" t="s">
        <v>1047</v>
      </c>
      <c r="AF5" s="7" t="s">
        <v>1048</v>
      </c>
      <c r="AG5" s="7" t="s">
        <v>1049</v>
      </c>
      <c r="AH5" s="7" t="s">
        <v>1050</v>
      </c>
      <c r="AI5" s="7" t="s">
        <v>1051</v>
      </c>
      <c r="AJ5" s="7" t="s">
        <v>1052</v>
      </c>
      <c r="AK5" s="7" t="s">
        <v>1053</v>
      </c>
      <c r="AL5" s="7" t="s">
        <v>1054</v>
      </c>
      <c r="AM5" s="7" t="s">
        <v>1055</v>
      </c>
      <c r="AN5" s="7" t="s">
        <v>1056</v>
      </c>
      <c r="AO5" s="7" t="s">
        <v>1057</v>
      </c>
      <c r="AP5" s="7" t="s">
        <v>1058</v>
      </c>
      <c r="AQ5" s="7" t="s">
        <v>1059</v>
      </c>
      <c r="AR5" s="7" t="s">
        <v>1041</v>
      </c>
      <c r="AS5" s="7" t="s">
        <v>1060</v>
      </c>
      <c r="AT5" s="7" t="s">
        <v>1061</v>
      </c>
      <c r="AU5" s="7" t="s">
        <v>1062</v>
      </c>
      <c r="AV5" s="7" t="s">
        <v>1063</v>
      </c>
      <c r="AW5" s="7" t="s">
        <v>1064</v>
      </c>
      <c r="AX5" s="7" t="s">
        <v>1065</v>
      </c>
      <c r="AY5" s="7" t="s">
        <v>1066</v>
      </c>
    </row>
    <row r="6" spans="1:51" ht="15.95">
      <c r="A6" s="88"/>
      <c r="B6" s="89"/>
      <c r="C6" s="90"/>
      <c r="D6" s="40" t="s">
        <v>122</v>
      </c>
      <c r="E6" s="9" t="s">
        <v>128</v>
      </c>
      <c r="F6" s="9" t="s">
        <v>128</v>
      </c>
      <c r="G6" s="9" t="s">
        <v>128</v>
      </c>
      <c r="H6" s="9" t="s">
        <v>128</v>
      </c>
      <c r="I6" s="9" t="s">
        <v>128</v>
      </c>
      <c r="J6" s="9" t="s">
        <v>128</v>
      </c>
      <c r="K6" s="9" t="s">
        <v>128</v>
      </c>
      <c r="L6" s="9" t="s">
        <v>1067</v>
      </c>
      <c r="M6" s="9" t="s">
        <v>1067</v>
      </c>
      <c r="N6" s="9" t="s">
        <v>1067</v>
      </c>
      <c r="O6" s="9" t="s">
        <v>1067</v>
      </c>
      <c r="P6" s="9" t="s">
        <v>1067</v>
      </c>
      <c r="Q6" s="9" t="s">
        <v>1067</v>
      </c>
      <c r="R6" s="9" t="s">
        <v>1067</v>
      </c>
      <c r="S6" s="9" t="s">
        <v>1067</v>
      </c>
      <c r="T6" s="9" t="s">
        <v>128</v>
      </c>
      <c r="U6" s="9" t="s">
        <v>1067</v>
      </c>
      <c r="V6" s="9" t="s">
        <v>1067</v>
      </c>
      <c r="W6" s="9" t="s">
        <v>1067</v>
      </c>
      <c r="X6" s="9" t="s">
        <v>1067</v>
      </c>
      <c r="Y6" s="9" t="s">
        <v>1067</v>
      </c>
      <c r="Z6" s="9" t="s">
        <v>1067</v>
      </c>
      <c r="AA6" s="9" t="s">
        <v>1067</v>
      </c>
      <c r="AB6" s="9" t="s">
        <v>1067</v>
      </c>
      <c r="AC6" s="9" t="s">
        <v>1067</v>
      </c>
      <c r="AD6" s="9" t="s">
        <v>1067</v>
      </c>
      <c r="AE6" s="9" t="s">
        <v>128</v>
      </c>
      <c r="AF6" s="9" t="s">
        <v>1067</v>
      </c>
      <c r="AG6" s="9" t="s">
        <v>1067</v>
      </c>
      <c r="AH6" s="9" t="s">
        <v>1067</v>
      </c>
      <c r="AI6" s="9" t="s">
        <v>1067</v>
      </c>
      <c r="AJ6" s="9" t="s">
        <v>1067</v>
      </c>
      <c r="AK6" s="9" t="s">
        <v>1067</v>
      </c>
      <c r="AL6" s="9" t="s">
        <v>1067</v>
      </c>
      <c r="AM6" s="9" t="s">
        <v>128</v>
      </c>
      <c r="AN6" s="9" t="s">
        <v>128</v>
      </c>
      <c r="AO6" s="9" t="s">
        <v>1067</v>
      </c>
      <c r="AP6" s="9" t="s">
        <v>1067</v>
      </c>
      <c r="AQ6" s="9" t="s">
        <v>1067</v>
      </c>
      <c r="AR6" s="9" t="s">
        <v>1067</v>
      </c>
      <c r="AS6" s="9" t="s">
        <v>1067</v>
      </c>
      <c r="AT6" s="9" t="s">
        <v>131</v>
      </c>
      <c r="AU6" s="9" t="s">
        <v>131</v>
      </c>
      <c r="AV6" s="9" t="s">
        <v>131</v>
      </c>
      <c r="AW6" s="9" t="s">
        <v>131</v>
      </c>
      <c r="AX6" s="9" t="s">
        <v>131</v>
      </c>
      <c r="AY6" s="9" t="s">
        <v>131</v>
      </c>
    </row>
    <row r="7" spans="1:51" ht="30" customHeight="1">
      <c r="A7" s="88"/>
      <c r="B7" s="89"/>
      <c r="C7" s="90"/>
      <c r="D7" s="40" t="s">
        <v>134</v>
      </c>
      <c r="E7" s="9" t="s">
        <v>1068</v>
      </c>
      <c r="F7" s="9" t="s">
        <v>1068</v>
      </c>
      <c r="G7" s="9" t="s">
        <v>1068</v>
      </c>
      <c r="H7" s="9" t="s">
        <v>135</v>
      </c>
      <c r="I7" s="9" t="s">
        <v>135</v>
      </c>
      <c r="J7" s="9" t="s">
        <v>1068</v>
      </c>
      <c r="K7" s="9" t="s">
        <v>135</v>
      </c>
      <c r="L7" s="9" t="s">
        <v>668</v>
      </c>
      <c r="M7" s="9" t="s">
        <v>135</v>
      </c>
      <c r="N7" s="9" t="s">
        <v>1068</v>
      </c>
      <c r="O7" s="9" t="s">
        <v>668</v>
      </c>
      <c r="P7" s="9" t="s">
        <v>668</v>
      </c>
      <c r="Q7" s="9" t="s">
        <v>676</v>
      </c>
      <c r="R7" s="9" t="s">
        <v>676</v>
      </c>
      <c r="S7" s="9" t="s">
        <v>135</v>
      </c>
      <c r="T7" s="9" t="s">
        <v>668</v>
      </c>
      <c r="U7" s="9" t="s">
        <v>135</v>
      </c>
      <c r="V7" s="9" t="s">
        <v>1069</v>
      </c>
      <c r="W7" s="9" t="s">
        <v>676</v>
      </c>
      <c r="X7" s="9" t="s">
        <v>676</v>
      </c>
      <c r="Y7" s="9" t="s">
        <v>1070</v>
      </c>
      <c r="Z7" s="9" t="s">
        <v>668</v>
      </c>
      <c r="AA7" s="9" t="s">
        <v>676</v>
      </c>
      <c r="AB7" s="9" t="s">
        <v>135</v>
      </c>
      <c r="AC7" s="9" t="s">
        <v>135</v>
      </c>
      <c r="AD7" s="9" t="s">
        <v>668</v>
      </c>
      <c r="AE7" s="9" t="s">
        <v>135</v>
      </c>
      <c r="AF7" s="9" t="s">
        <v>676</v>
      </c>
      <c r="AG7" s="9" t="s">
        <v>676</v>
      </c>
      <c r="AH7" s="9" t="s">
        <v>676</v>
      </c>
      <c r="AI7" s="9" t="s">
        <v>668</v>
      </c>
      <c r="AJ7" s="9" t="s">
        <v>668</v>
      </c>
      <c r="AK7" s="9" t="s">
        <v>668</v>
      </c>
      <c r="AL7" s="9" t="s">
        <v>135</v>
      </c>
      <c r="AM7" s="9" t="s">
        <v>135</v>
      </c>
      <c r="AN7" s="9" t="s">
        <v>135</v>
      </c>
      <c r="AO7" s="9" t="s">
        <v>135</v>
      </c>
      <c r="AP7" s="9" t="s">
        <v>676</v>
      </c>
      <c r="AQ7" s="9" t="s">
        <v>1071</v>
      </c>
      <c r="AR7" s="9" t="s">
        <v>1072</v>
      </c>
      <c r="AS7" s="9" t="s">
        <v>1071</v>
      </c>
      <c r="AT7" s="9" t="s">
        <v>1073</v>
      </c>
      <c r="AU7" s="9" t="s">
        <v>1073</v>
      </c>
      <c r="AV7" s="9" t="s">
        <v>1073</v>
      </c>
      <c r="AW7" s="9" t="s">
        <v>1073</v>
      </c>
      <c r="AX7" s="9" t="s">
        <v>1073</v>
      </c>
      <c r="AY7" s="9" t="s">
        <v>1073</v>
      </c>
    </row>
    <row r="8" spans="1:51" ht="32.1">
      <c r="A8" s="91"/>
      <c r="B8" s="92"/>
      <c r="C8" s="93"/>
      <c r="D8" s="40" t="s">
        <v>147</v>
      </c>
      <c r="E8" s="9" t="s">
        <v>1074</v>
      </c>
      <c r="F8" s="9" t="s">
        <v>1074</v>
      </c>
      <c r="G8" s="9" t="s">
        <v>1074</v>
      </c>
      <c r="H8" s="9" t="s">
        <v>1074</v>
      </c>
      <c r="I8" s="9" t="s">
        <v>1074</v>
      </c>
      <c r="J8" s="9" t="s">
        <v>1074</v>
      </c>
      <c r="K8" s="9" t="s">
        <v>1074</v>
      </c>
      <c r="L8" s="9" t="s">
        <v>1067</v>
      </c>
      <c r="M8" s="9" t="s">
        <v>1067</v>
      </c>
      <c r="N8" s="9" t="s">
        <v>1067</v>
      </c>
      <c r="O8" s="9" t="s">
        <v>1067</v>
      </c>
      <c r="P8" s="9" t="s">
        <v>1067</v>
      </c>
      <c r="Q8" s="9" t="s">
        <v>1067</v>
      </c>
      <c r="R8" s="9" t="s">
        <v>1067</v>
      </c>
      <c r="S8" s="9" t="s">
        <v>1067</v>
      </c>
      <c r="T8" s="9" t="s">
        <v>1074</v>
      </c>
      <c r="U8" s="9" t="s">
        <v>1067</v>
      </c>
      <c r="V8" s="9" t="s">
        <v>1067</v>
      </c>
      <c r="W8" s="9" t="s">
        <v>1067</v>
      </c>
      <c r="X8" s="9" t="s">
        <v>1067</v>
      </c>
      <c r="Y8" s="9" t="s">
        <v>1067</v>
      </c>
      <c r="Z8" s="9" t="s">
        <v>1067</v>
      </c>
      <c r="AA8" s="9" t="s">
        <v>1067</v>
      </c>
      <c r="AB8" s="9" t="s">
        <v>1067</v>
      </c>
      <c r="AC8" s="9" t="s">
        <v>1067</v>
      </c>
      <c r="AD8" s="9" t="s">
        <v>1067</v>
      </c>
      <c r="AE8" s="9" t="s">
        <v>1074</v>
      </c>
      <c r="AF8" s="9" t="s">
        <v>1067</v>
      </c>
      <c r="AG8" s="9" t="s">
        <v>1067</v>
      </c>
      <c r="AH8" s="9" t="s">
        <v>1067</v>
      </c>
      <c r="AI8" s="9" t="s">
        <v>1067</v>
      </c>
      <c r="AJ8" s="9" t="s">
        <v>1067</v>
      </c>
      <c r="AK8" s="9" t="s">
        <v>1067</v>
      </c>
      <c r="AL8" s="9" t="s">
        <v>1067</v>
      </c>
      <c r="AM8" s="9" t="s">
        <v>1074</v>
      </c>
      <c r="AN8" s="9" t="s">
        <v>1074</v>
      </c>
      <c r="AO8" s="9" t="s">
        <v>1067</v>
      </c>
      <c r="AP8" s="9" t="s">
        <v>1067</v>
      </c>
      <c r="AQ8" s="9" t="s">
        <v>1067</v>
      </c>
      <c r="AR8" s="9" t="s">
        <v>1067</v>
      </c>
      <c r="AS8" s="9" t="s">
        <v>1067</v>
      </c>
      <c r="AT8" s="9" t="s">
        <v>1067</v>
      </c>
      <c r="AU8" s="9" t="s">
        <v>1067</v>
      </c>
      <c r="AV8" s="9" t="s">
        <v>1067</v>
      </c>
      <c r="AW8" s="9" t="s">
        <v>1067</v>
      </c>
      <c r="AX8" s="9" t="s">
        <v>1067</v>
      </c>
      <c r="AY8" s="9" t="s">
        <v>1067</v>
      </c>
    </row>
    <row r="9" spans="1:51" ht="15.95">
      <c r="A9" s="10" t="s">
        <v>151</v>
      </c>
      <c r="B9" s="11" t="s">
        <v>152</v>
      </c>
      <c r="C9" s="11" t="s">
        <v>153</v>
      </c>
      <c r="D9" s="12" t="s">
        <v>154</v>
      </c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</row>
    <row r="10" spans="1:51" s="34" customFormat="1" ht="15.95">
      <c r="A10" s="14" t="s">
        <v>155</v>
      </c>
      <c r="B10" s="15"/>
      <c r="C10" s="15"/>
      <c r="D10" s="16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</row>
    <row r="11" spans="1:51" ht="15.95">
      <c r="A11" s="19" t="s">
        <v>156</v>
      </c>
      <c r="B11" s="19" t="s">
        <v>157</v>
      </c>
      <c r="C11" s="19" t="s">
        <v>158</v>
      </c>
      <c r="D11" s="20">
        <f>SUM(E11:AY11)</f>
        <v>14</v>
      </c>
      <c r="E11" s="21">
        <v>0</v>
      </c>
      <c r="F11" s="21">
        <v>0</v>
      </c>
      <c r="G11" s="21">
        <v>0</v>
      </c>
      <c r="H11" s="21">
        <v>0</v>
      </c>
      <c r="I11" s="21">
        <v>0</v>
      </c>
      <c r="J11" s="21">
        <v>0</v>
      </c>
      <c r="K11" s="21">
        <v>1</v>
      </c>
      <c r="L11" s="21">
        <v>0</v>
      </c>
      <c r="M11" s="21">
        <v>2</v>
      </c>
      <c r="N11" s="21">
        <v>1</v>
      </c>
      <c r="O11" s="21">
        <v>0</v>
      </c>
      <c r="P11" s="21">
        <v>0</v>
      </c>
      <c r="Q11" s="21">
        <v>0</v>
      </c>
      <c r="R11" s="21">
        <v>1</v>
      </c>
      <c r="S11" s="21">
        <v>3</v>
      </c>
      <c r="T11" s="21">
        <v>1</v>
      </c>
      <c r="U11" s="21">
        <v>0</v>
      </c>
      <c r="V11" s="21">
        <v>0</v>
      </c>
      <c r="W11" s="21">
        <v>0</v>
      </c>
      <c r="X11" s="21">
        <v>1</v>
      </c>
      <c r="Y11" s="21">
        <v>1</v>
      </c>
      <c r="Z11" s="21">
        <v>1</v>
      </c>
      <c r="AA11" s="21">
        <v>1</v>
      </c>
      <c r="AB11" s="21">
        <v>0</v>
      </c>
      <c r="AC11" s="21">
        <v>0</v>
      </c>
      <c r="AD11" s="21">
        <v>0</v>
      </c>
      <c r="AE11" s="21">
        <v>1</v>
      </c>
      <c r="AF11" s="21">
        <v>0</v>
      </c>
      <c r="AG11" s="21">
        <v>0</v>
      </c>
      <c r="AH11" s="21">
        <v>0</v>
      </c>
      <c r="AI11" s="21">
        <v>0</v>
      </c>
      <c r="AJ11" s="21">
        <v>0</v>
      </c>
      <c r="AK11" s="21">
        <v>0</v>
      </c>
      <c r="AL11" s="21">
        <v>0</v>
      </c>
      <c r="AM11" s="21">
        <v>0</v>
      </c>
      <c r="AN11" s="21">
        <v>0</v>
      </c>
      <c r="AO11" s="21">
        <v>0</v>
      </c>
      <c r="AP11" s="21">
        <v>0</v>
      </c>
      <c r="AQ11" s="21">
        <v>0</v>
      </c>
      <c r="AR11" s="21">
        <v>0</v>
      </c>
      <c r="AS11" s="21">
        <v>0</v>
      </c>
      <c r="AT11" s="21">
        <v>0</v>
      </c>
      <c r="AU11" s="21">
        <v>0</v>
      </c>
      <c r="AV11" s="21">
        <v>0</v>
      </c>
      <c r="AW11" s="21">
        <v>0</v>
      </c>
      <c r="AX11" s="21">
        <v>0</v>
      </c>
      <c r="AY11" s="21">
        <v>0</v>
      </c>
    </row>
    <row r="12" spans="1:51" ht="15.95">
      <c r="A12" s="19" t="s">
        <v>156</v>
      </c>
      <c r="B12" s="19" t="s">
        <v>159</v>
      </c>
      <c r="C12" s="19" t="s">
        <v>158</v>
      </c>
      <c r="D12" s="20">
        <f t="shared" ref="D12:D75" si="0">SUM(E12:AY12)</f>
        <v>5</v>
      </c>
      <c r="E12" s="21">
        <v>0</v>
      </c>
      <c r="F12" s="21">
        <v>0</v>
      </c>
      <c r="G12" s="21">
        <v>3</v>
      </c>
      <c r="H12" s="21">
        <v>0</v>
      </c>
      <c r="I12" s="21">
        <v>0</v>
      </c>
      <c r="J12" s="21">
        <v>0</v>
      </c>
      <c r="K12" s="21">
        <v>0</v>
      </c>
      <c r="L12" s="21">
        <v>0</v>
      </c>
      <c r="M12" s="21">
        <v>0</v>
      </c>
      <c r="N12" s="21">
        <v>0</v>
      </c>
      <c r="O12" s="21">
        <v>0</v>
      </c>
      <c r="P12" s="21">
        <v>0</v>
      </c>
      <c r="Q12" s="21">
        <v>0</v>
      </c>
      <c r="R12" s="21">
        <v>0</v>
      </c>
      <c r="S12" s="21">
        <v>0</v>
      </c>
      <c r="T12" s="21">
        <v>0</v>
      </c>
      <c r="U12" s="21">
        <v>0</v>
      </c>
      <c r="V12" s="21">
        <v>0</v>
      </c>
      <c r="W12" s="21">
        <v>0</v>
      </c>
      <c r="X12" s="21">
        <v>0</v>
      </c>
      <c r="Y12" s="21">
        <v>0</v>
      </c>
      <c r="Z12" s="21">
        <v>0</v>
      </c>
      <c r="AA12" s="21">
        <v>0</v>
      </c>
      <c r="AB12" s="21">
        <v>0</v>
      </c>
      <c r="AC12" s="21">
        <v>0</v>
      </c>
      <c r="AD12" s="21">
        <v>0</v>
      </c>
      <c r="AE12" s="21">
        <v>0</v>
      </c>
      <c r="AF12" s="21">
        <v>0</v>
      </c>
      <c r="AG12" s="21">
        <v>0</v>
      </c>
      <c r="AH12" s="21">
        <v>0</v>
      </c>
      <c r="AI12" s="21">
        <v>0</v>
      </c>
      <c r="AJ12" s="21">
        <v>0</v>
      </c>
      <c r="AK12" s="21">
        <v>0</v>
      </c>
      <c r="AL12" s="21">
        <v>0</v>
      </c>
      <c r="AM12" s="21">
        <v>1</v>
      </c>
      <c r="AN12" s="21">
        <v>1</v>
      </c>
      <c r="AO12" s="21">
        <v>0</v>
      </c>
      <c r="AP12" s="21">
        <v>0</v>
      </c>
      <c r="AQ12" s="21">
        <v>0</v>
      </c>
      <c r="AR12" s="21">
        <v>0</v>
      </c>
      <c r="AS12" s="21">
        <v>0</v>
      </c>
      <c r="AT12" s="21">
        <v>0</v>
      </c>
      <c r="AU12" s="21">
        <v>0</v>
      </c>
      <c r="AV12" s="21">
        <v>0</v>
      </c>
      <c r="AW12" s="21">
        <v>0</v>
      </c>
      <c r="AX12" s="21">
        <v>0</v>
      </c>
      <c r="AY12" s="21">
        <v>0</v>
      </c>
    </row>
    <row r="13" spans="1:51" ht="15.95">
      <c r="A13" s="19" t="s">
        <v>156</v>
      </c>
      <c r="B13" s="19" t="s">
        <v>160</v>
      </c>
      <c r="C13" s="19" t="s">
        <v>158</v>
      </c>
      <c r="D13" s="20">
        <f t="shared" si="0"/>
        <v>5</v>
      </c>
      <c r="E13" s="21">
        <v>0</v>
      </c>
      <c r="F13" s="21">
        <v>0</v>
      </c>
      <c r="G13" s="21">
        <v>0</v>
      </c>
      <c r="H13" s="21">
        <v>3</v>
      </c>
      <c r="I13" s="21">
        <v>2</v>
      </c>
      <c r="J13" s="21">
        <v>0</v>
      </c>
      <c r="K13" s="21">
        <v>0</v>
      </c>
      <c r="L13" s="21">
        <v>0</v>
      </c>
      <c r="M13" s="21">
        <v>0</v>
      </c>
      <c r="N13" s="21">
        <v>0</v>
      </c>
      <c r="O13" s="21">
        <v>0</v>
      </c>
      <c r="P13" s="21">
        <v>0</v>
      </c>
      <c r="Q13" s="21">
        <v>0</v>
      </c>
      <c r="R13" s="21">
        <v>0</v>
      </c>
      <c r="S13" s="21">
        <v>0</v>
      </c>
      <c r="T13" s="21">
        <v>0</v>
      </c>
      <c r="U13" s="21">
        <v>0</v>
      </c>
      <c r="V13" s="21">
        <v>0</v>
      </c>
      <c r="W13" s="21">
        <v>0</v>
      </c>
      <c r="X13" s="21">
        <v>0</v>
      </c>
      <c r="Y13" s="21">
        <v>0</v>
      </c>
      <c r="Z13" s="21">
        <v>0</v>
      </c>
      <c r="AA13" s="21">
        <v>0</v>
      </c>
      <c r="AB13" s="21">
        <v>0</v>
      </c>
      <c r="AC13" s="21">
        <v>0</v>
      </c>
      <c r="AD13" s="21">
        <v>0</v>
      </c>
      <c r="AE13" s="21">
        <v>0</v>
      </c>
      <c r="AF13" s="21">
        <v>0</v>
      </c>
      <c r="AG13" s="21">
        <v>0</v>
      </c>
      <c r="AH13" s="21">
        <v>0</v>
      </c>
      <c r="AI13" s="21">
        <v>0</v>
      </c>
      <c r="AJ13" s="21">
        <v>0</v>
      </c>
      <c r="AK13" s="21">
        <v>0</v>
      </c>
      <c r="AL13" s="21">
        <v>0</v>
      </c>
      <c r="AM13" s="21">
        <v>0</v>
      </c>
      <c r="AN13" s="21">
        <v>0</v>
      </c>
      <c r="AO13" s="21">
        <v>0</v>
      </c>
      <c r="AP13" s="21">
        <v>0</v>
      </c>
      <c r="AQ13" s="21">
        <v>0</v>
      </c>
      <c r="AR13" s="21">
        <v>0</v>
      </c>
      <c r="AS13" s="21">
        <v>0</v>
      </c>
      <c r="AT13" s="21">
        <v>0</v>
      </c>
      <c r="AU13" s="21">
        <v>0</v>
      </c>
      <c r="AV13" s="21">
        <v>0</v>
      </c>
      <c r="AW13" s="21">
        <v>0</v>
      </c>
      <c r="AX13" s="21">
        <v>0</v>
      </c>
      <c r="AY13" s="21">
        <v>0</v>
      </c>
    </row>
    <row r="14" spans="1:51" ht="15.95">
      <c r="A14" s="19" t="s">
        <v>156</v>
      </c>
      <c r="B14" s="19" t="s">
        <v>161</v>
      </c>
      <c r="C14" s="19" t="s">
        <v>158</v>
      </c>
      <c r="D14" s="20">
        <f t="shared" si="0"/>
        <v>2</v>
      </c>
      <c r="E14" s="21">
        <v>2</v>
      </c>
      <c r="F14" s="21">
        <v>0</v>
      </c>
      <c r="G14" s="21">
        <v>0</v>
      </c>
      <c r="H14" s="21">
        <v>0</v>
      </c>
      <c r="I14" s="21">
        <v>0</v>
      </c>
      <c r="J14" s="21">
        <v>0</v>
      </c>
      <c r="K14" s="21">
        <v>0</v>
      </c>
      <c r="L14" s="21">
        <v>0</v>
      </c>
      <c r="M14" s="21">
        <v>0</v>
      </c>
      <c r="N14" s="21">
        <v>0</v>
      </c>
      <c r="O14" s="21">
        <v>0</v>
      </c>
      <c r="P14" s="21">
        <v>0</v>
      </c>
      <c r="Q14" s="21">
        <v>0</v>
      </c>
      <c r="R14" s="21">
        <v>0</v>
      </c>
      <c r="S14" s="21">
        <v>0</v>
      </c>
      <c r="T14" s="21">
        <v>0</v>
      </c>
      <c r="U14" s="21">
        <v>0</v>
      </c>
      <c r="V14" s="21">
        <v>0</v>
      </c>
      <c r="W14" s="21">
        <v>0</v>
      </c>
      <c r="X14" s="21">
        <v>0</v>
      </c>
      <c r="Y14" s="21">
        <v>0</v>
      </c>
      <c r="Z14" s="21">
        <v>0</v>
      </c>
      <c r="AA14" s="21">
        <v>0</v>
      </c>
      <c r="AB14" s="21">
        <v>0</v>
      </c>
      <c r="AC14" s="21">
        <v>0</v>
      </c>
      <c r="AD14" s="21">
        <v>0</v>
      </c>
      <c r="AE14" s="21">
        <v>0</v>
      </c>
      <c r="AF14" s="21">
        <v>0</v>
      </c>
      <c r="AG14" s="21">
        <v>0</v>
      </c>
      <c r="AH14" s="21">
        <v>0</v>
      </c>
      <c r="AI14" s="21">
        <v>0</v>
      </c>
      <c r="AJ14" s="21">
        <v>0</v>
      </c>
      <c r="AK14" s="21">
        <v>0</v>
      </c>
      <c r="AL14" s="21">
        <v>0</v>
      </c>
      <c r="AM14" s="21">
        <v>0</v>
      </c>
      <c r="AN14" s="21">
        <v>0</v>
      </c>
      <c r="AO14" s="21">
        <v>0</v>
      </c>
      <c r="AP14" s="21">
        <v>0</v>
      </c>
      <c r="AQ14" s="21">
        <v>0</v>
      </c>
      <c r="AR14" s="21">
        <v>0</v>
      </c>
      <c r="AS14" s="21">
        <v>0</v>
      </c>
      <c r="AT14" s="21">
        <v>0</v>
      </c>
      <c r="AU14" s="21">
        <v>0</v>
      </c>
      <c r="AV14" s="21">
        <v>0</v>
      </c>
      <c r="AW14" s="21">
        <v>0</v>
      </c>
      <c r="AX14" s="21">
        <v>0</v>
      </c>
      <c r="AY14" s="21">
        <v>0</v>
      </c>
    </row>
    <row r="15" spans="1:51" ht="15.95">
      <c r="A15" s="19" t="s">
        <v>162</v>
      </c>
      <c r="B15" s="19" t="s">
        <v>163</v>
      </c>
      <c r="C15" s="19" t="s">
        <v>164</v>
      </c>
      <c r="D15" s="20">
        <f t="shared" si="0"/>
        <v>0</v>
      </c>
      <c r="E15" s="22">
        <v>0</v>
      </c>
      <c r="F15" s="22">
        <v>0</v>
      </c>
      <c r="G15" s="22">
        <v>0</v>
      </c>
      <c r="H15" s="22">
        <v>0</v>
      </c>
      <c r="I15" s="22">
        <v>0</v>
      </c>
      <c r="J15" s="22">
        <v>0</v>
      </c>
      <c r="K15" s="22">
        <v>0</v>
      </c>
      <c r="L15" s="22">
        <v>0</v>
      </c>
      <c r="M15" s="22">
        <v>0</v>
      </c>
      <c r="N15" s="22">
        <v>0</v>
      </c>
      <c r="O15" s="22">
        <v>0</v>
      </c>
      <c r="P15" s="22">
        <v>0</v>
      </c>
      <c r="Q15" s="22">
        <v>0</v>
      </c>
      <c r="R15" s="22">
        <v>0</v>
      </c>
      <c r="S15" s="22">
        <v>0</v>
      </c>
      <c r="T15" s="22">
        <v>0</v>
      </c>
      <c r="U15" s="22">
        <v>0</v>
      </c>
      <c r="V15" s="22">
        <v>0</v>
      </c>
      <c r="W15" s="22">
        <v>0</v>
      </c>
      <c r="X15" s="22">
        <v>0</v>
      </c>
      <c r="Y15" s="22">
        <v>0</v>
      </c>
      <c r="Z15" s="22">
        <v>0</v>
      </c>
      <c r="AA15" s="22">
        <v>0</v>
      </c>
      <c r="AB15" s="22">
        <v>0</v>
      </c>
      <c r="AC15" s="22">
        <v>0</v>
      </c>
      <c r="AD15" s="22">
        <v>0</v>
      </c>
      <c r="AE15" s="22">
        <v>0</v>
      </c>
      <c r="AF15" s="22">
        <v>0</v>
      </c>
      <c r="AG15" s="22">
        <v>0</v>
      </c>
      <c r="AH15" s="22">
        <v>0</v>
      </c>
      <c r="AI15" s="22">
        <v>0</v>
      </c>
      <c r="AJ15" s="22">
        <v>0</v>
      </c>
      <c r="AK15" s="22">
        <v>0</v>
      </c>
      <c r="AL15" s="22">
        <v>0</v>
      </c>
      <c r="AM15" s="22">
        <v>0</v>
      </c>
      <c r="AN15" s="22">
        <v>0</v>
      </c>
      <c r="AO15" s="22">
        <v>0</v>
      </c>
      <c r="AP15" s="22">
        <v>0</v>
      </c>
      <c r="AQ15" s="22">
        <v>0</v>
      </c>
      <c r="AR15" s="22">
        <v>0</v>
      </c>
      <c r="AS15" s="22">
        <v>0</v>
      </c>
      <c r="AT15" s="21">
        <v>0</v>
      </c>
      <c r="AU15" s="21">
        <v>0</v>
      </c>
      <c r="AV15" s="21">
        <v>0</v>
      </c>
      <c r="AW15" s="21">
        <v>0</v>
      </c>
      <c r="AX15" s="21">
        <v>0</v>
      </c>
      <c r="AY15" s="21">
        <v>0</v>
      </c>
    </row>
    <row r="16" spans="1:51" ht="15.95">
      <c r="A16" s="19" t="s">
        <v>165</v>
      </c>
      <c r="B16" s="19" t="s">
        <v>166</v>
      </c>
      <c r="C16" s="19" t="s">
        <v>167</v>
      </c>
      <c r="D16" s="20">
        <f t="shared" si="0"/>
        <v>2</v>
      </c>
      <c r="E16" s="21">
        <v>1</v>
      </c>
      <c r="F16" s="21">
        <v>0</v>
      </c>
      <c r="G16" s="21">
        <v>0</v>
      </c>
      <c r="H16" s="21">
        <v>0</v>
      </c>
      <c r="I16" s="21">
        <v>0</v>
      </c>
      <c r="J16" s="21">
        <v>0</v>
      </c>
      <c r="K16" s="21">
        <v>0</v>
      </c>
      <c r="L16" s="21">
        <v>0</v>
      </c>
      <c r="M16" s="21">
        <v>0</v>
      </c>
      <c r="N16" s="21">
        <v>0</v>
      </c>
      <c r="O16" s="21">
        <v>0</v>
      </c>
      <c r="P16" s="21">
        <v>0</v>
      </c>
      <c r="Q16" s="21">
        <v>0</v>
      </c>
      <c r="R16" s="21">
        <v>0</v>
      </c>
      <c r="S16" s="21">
        <v>0</v>
      </c>
      <c r="T16" s="21">
        <v>0</v>
      </c>
      <c r="U16" s="21">
        <v>0</v>
      </c>
      <c r="V16" s="21">
        <v>0</v>
      </c>
      <c r="W16" s="21">
        <v>0</v>
      </c>
      <c r="X16" s="21">
        <v>0</v>
      </c>
      <c r="Y16" s="21">
        <v>0</v>
      </c>
      <c r="Z16" s="21">
        <v>0</v>
      </c>
      <c r="AA16" s="21">
        <v>0</v>
      </c>
      <c r="AB16" s="21">
        <v>0</v>
      </c>
      <c r="AC16" s="21">
        <v>1</v>
      </c>
      <c r="AD16" s="21">
        <v>0</v>
      </c>
      <c r="AE16" s="21">
        <v>0</v>
      </c>
      <c r="AF16" s="21">
        <v>0</v>
      </c>
      <c r="AG16" s="21">
        <v>0</v>
      </c>
      <c r="AH16" s="21">
        <v>0</v>
      </c>
      <c r="AI16" s="21">
        <v>0</v>
      </c>
      <c r="AJ16" s="21">
        <v>0</v>
      </c>
      <c r="AK16" s="21">
        <v>0</v>
      </c>
      <c r="AL16" s="21">
        <v>0</v>
      </c>
      <c r="AM16" s="21">
        <v>0</v>
      </c>
      <c r="AN16" s="21">
        <v>0</v>
      </c>
      <c r="AO16" s="21">
        <v>0</v>
      </c>
      <c r="AP16" s="21">
        <v>0</v>
      </c>
      <c r="AQ16" s="21">
        <v>0</v>
      </c>
      <c r="AR16" s="21">
        <v>0</v>
      </c>
      <c r="AS16" s="21">
        <v>0</v>
      </c>
      <c r="AT16" s="21">
        <v>0</v>
      </c>
      <c r="AU16" s="21">
        <v>0</v>
      </c>
      <c r="AV16" s="21">
        <v>0</v>
      </c>
      <c r="AW16" s="21">
        <v>0</v>
      </c>
      <c r="AX16" s="21">
        <v>0</v>
      </c>
      <c r="AY16" s="21">
        <v>0</v>
      </c>
    </row>
    <row r="17" spans="1:51" ht="15.95">
      <c r="A17" s="19" t="s">
        <v>168</v>
      </c>
      <c r="B17" s="19" t="s">
        <v>169</v>
      </c>
      <c r="C17" s="19" t="s">
        <v>170</v>
      </c>
      <c r="D17" s="20">
        <f t="shared" si="0"/>
        <v>15</v>
      </c>
      <c r="E17" s="21">
        <v>4</v>
      </c>
      <c r="F17" s="21">
        <v>3</v>
      </c>
      <c r="G17" s="21">
        <v>0</v>
      </c>
      <c r="H17" s="21">
        <v>0</v>
      </c>
      <c r="I17" s="21">
        <v>5</v>
      </c>
      <c r="J17" s="21">
        <v>3</v>
      </c>
      <c r="K17" s="21">
        <v>0</v>
      </c>
      <c r="L17" s="21">
        <v>0</v>
      </c>
      <c r="M17" s="21">
        <v>0</v>
      </c>
      <c r="N17" s="21">
        <v>0</v>
      </c>
      <c r="O17" s="21">
        <v>0</v>
      </c>
      <c r="P17" s="21">
        <v>0</v>
      </c>
      <c r="Q17" s="21">
        <v>0</v>
      </c>
      <c r="R17" s="21">
        <v>0</v>
      </c>
      <c r="S17" s="21">
        <v>0</v>
      </c>
      <c r="T17" s="21">
        <v>0</v>
      </c>
      <c r="U17" s="21">
        <v>0</v>
      </c>
      <c r="V17" s="21">
        <v>0</v>
      </c>
      <c r="W17" s="21">
        <v>0</v>
      </c>
      <c r="X17" s="21">
        <v>0</v>
      </c>
      <c r="Y17" s="21">
        <v>0</v>
      </c>
      <c r="Z17" s="21">
        <v>0</v>
      </c>
      <c r="AA17" s="21">
        <v>0</v>
      </c>
      <c r="AB17" s="21">
        <v>0</v>
      </c>
      <c r="AC17" s="21">
        <v>0</v>
      </c>
      <c r="AD17" s="21">
        <v>0</v>
      </c>
      <c r="AE17" s="21">
        <v>0</v>
      </c>
      <c r="AF17" s="21">
        <v>0</v>
      </c>
      <c r="AG17" s="21">
        <v>0</v>
      </c>
      <c r="AH17" s="21">
        <v>0</v>
      </c>
      <c r="AI17" s="21">
        <v>0</v>
      </c>
      <c r="AJ17" s="21">
        <v>0</v>
      </c>
      <c r="AK17" s="21">
        <v>0</v>
      </c>
      <c r="AL17" s="21">
        <v>0</v>
      </c>
      <c r="AM17" s="21">
        <v>0</v>
      </c>
      <c r="AN17" s="21">
        <v>0</v>
      </c>
      <c r="AO17" s="21">
        <v>0</v>
      </c>
      <c r="AP17" s="21">
        <v>0</v>
      </c>
      <c r="AQ17" s="21">
        <v>0</v>
      </c>
      <c r="AR17" s="21">
        <v>0</v>
      </c>
      <c r="AS17" s="21">
        <v>0</v>
      </c>
      <c r="AT17" s="21">
        <v>0</v>
      </c>
      <c r="AU17" s="21">
        <v>0</v>
      </c>
      <c r="AV17" s="21">
        <v>0</v>
      </c>
      <c r="AW17" s="21">
        <v>0</v>
      </c>
      <c r="AX17" s="21">
        <v>0</v>
      </c>
      <c r="AY17" s="21">
        <v>0</v>
      </c>
    </row>
    <row r="18" spans="1:51" ht="15.95">
      <c r="A18" s="19" t="s">
        <v>168</v>
      </c>
      <c r="B18" s="19" t="s">
        <v>171</v>
      </c>
      <c r="C18" s="19" t="s">
        <v>170</v>
      </c>
      <c r="D18" s="20">
        <f t="shared" si="0"/>
        <v>0</v>
      </c>
      <c r="E18" s="21">
        <v>0</v>
      </c>
      <c r="F18" s="21">
        <v>0</v>
      </c>
      <c r="G18" s="21">
        <v>0</v>
      </c>
      <c r="H18" s="21">
        <v>0</v>
      </c>
      <c r="I18" s="21">
        <v>0</v>
      </c>
      <c r="J18" s="21">
        <v>0</v>
      </c>
      <c r="K18" s="21">
        <v>0</v>
      </c>
      <c r="L18" s="21">
        <v>0</v>
      </c>
      <c r="M18" s="21">
        <v>0</v>
      </c>
      <c r="N18" s="21">
        <v>0</v>
      </c>
      <c r="O18" s="21">
        <v>0</v>
      </c>
      <c r="P18" s="21">
        <v>0</v>
      </c>
      <c r="Q18" s="21">
        <v>0</v>
      </c>
      <c r="R18" s="21">
        <v>0</v>
      </c>
      <c r="S18" s="21">
        <v>0</v>
      </c>
      <c r="T18" s="21">
        <v>0</v>
      </c>
      <c r="U18" s="21">
        <v>0</v>
      </c>
      <c r="V18" s="21">
        <v>0</v>
      </c>
      <c r="W18" s="21">
        <v>0</v>
      </c>
      <c r="X18" s="21">
        <v>0</v>
      </c>
      <c r="Y18" s="21">
        <v>0</v>
      </c>
      <c r="Z18" s="21">
        <v>0</v>
      </c>
      <c r="AA18" s="21">
        <v>0</v>
      </c>
      <c r="AB18" s="21">
        <v>0</v>
      </c>
      <c r="AC18" s="21">
        <v>0</v>
      </c>
      <c r="AD18" s="21">
        <v>0</v>
      </c>
      <c r="AE18" s="21">
        <v>0</v>
      </c>
      <c r="AF18" s="21">
        <v>0</v>
      </c>
      <c r="AG18" s="21">
        <v>0</v>
      </c>
      <c r="AH18" s="21">
        <v>0</v>
      </c>
      <c r="AI18" s="21">
        <v>0</v>
      </c>
      <c r="AJ18" s="21">
        <v>0</v>
      </c>
      <c r="AK18" s="21">
        <v>0</v>
      </c>
      <c r="AL18" s="21">
        <v>0</v>
      </c>
      <c r="AM18" s="21">
        <v>0</v>
      </c>
      <c r="AN18" s="21">
        <v>0</v>
      </c>
      <c r="AO18" s="21">
        <v>0</v>
      </c>
      <c r="AP18" s="21">
        <v>0</v>
      </c>
      <c r="AQ18" s="21">
        <v>0</v>
      </c>
      <c r="AR18" s="21">
        <v>0</v>
      </c>
      <c r="AS18" s="21">
        <v>0</v>
      </c>
      <c r="AT18" s="21">
        <v>0</v>
      </c>
      <c r="AU18" s="21">
        <v>0</v>
      </c>
      <c r="AV18" s="21">
        <v>0</v>
      </c>
      <c r="AW18" s="21">
        <v>0</v>
      </c>
      <c r="AX18" s="21">
        <v>0</v>
      </c>
      <c r="AY18" s="21">
        <v>0</v>
      </c>
    </row>
    <row r="19" spans="1:51" ht="15.95">
      <c r="A19" s="19" t="s">
        <v>168</v>
      </c>
      <c r="B19" s="19" t="s">
        <v>172</v>
      </c>
      <c r="C19" s="19" t="s">
        <v>170</v>
      </c>
      <c r="D19" s="20">
        <f t="shared" si="0"/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</row>
    <row r="20" spans="1:51" ht="15.95">
      <c r="A20" s="19" t="s">
        <v>173</v>
      </c>
      <c r="B20" s="19" t="s">
        <v>174</v>
      </c>
      <c r="C20" s="19" t="s">
        <v>175</v>
      </c>
      <c r="D20" s="20">
        <f t="shared" si="0"/>
        <v>0</v>
      </c>
      <c r="E20" s="21">
        <v>0</v>
      </c>
      <c r="F20" s="21">
        <v>0</v>
      </c>
      <c r="G20" s="21">
        <v>0</v>
      </c>
      <c r="H20" s="21">
        <v>0</v>
      </c>
      <c r="I20" s="21">
        <v>0</v>
      </c>
      <c r="J20" s="21">
        <v>0</v>
      </c>
      <c r="K20" s="21">
        <v>0</v>
      </c>
      <c r="L20" s="21">
        <v>0</v>
      </c>
      <c r="M20" s="21">
        <v>0</v>
      </c>
      <c r="N20" s="21">
        <v>0</v>
      </c>
      <c r="O20" s="21">
        <v>0</v>
      </c>
      <c r="P20" s="21">
        <v>0</v>
      </c>
      <c r="Q20" s="21">
        <v>0</v>
      </c>
      <c r="R20" s="21">
        <v>0</v>
      </c>
      <c r="S20" s="21">
        <v>0</v>
      </c>
      <c r="T20" s="21">
        <v>0</v>
      </c>
      <c r="U20" s="21">
        <v>0</v>
      </c>
      <c r="V20" s="21">
        <v>0</v>
      </c>
      <c r="W20" s="21">
        <v>0</v>
      </c>
      <c r="X20" s="21">
        <v>0</v>
      </c>
      <c r="Y20" s="21">
        <v>0</v>
      </c>
      <c r="Z20" s="21">
        <v>0</v>
      </c>
      <c r="AA20" s="21">
        <v>0</v>
      </c>
      <c r="AB20" s="21">
        <v>0</v>
      </c>
      <c r="AC20" s="21">
        <v>0</v>
      </c>
      <c r="AD20" s="21">
        <v>0</v>
      </c>
      <c r="AE20" s="21">
        <v>0</v>
      </c>
      <c r="AF20" s="21">
        <v>0</v>
      </c>
      <c r="AG20" s="21">
        <v>0</v>
      </c>
      <c r="AH20" s="21">
        <v>0</v>
      </c>
      <c r="AI20" s="21">
        <v>0</v>
      </c>
      <c r="AJ20" s="21">
        <v>0</v>
      </c>
      <c r="AK20" s="21">
        <v>0</v>
      </c>
      <c r="AL20" s="21">
        <v>0</v>
      </c>
      <c r="AM20" s="21">
        <v>0</v>
      </c>
      <c r="AN20" s="21">
        <v>0</v>
      </c>
      <c r="AO20" s="21">
        <v>0</v>
      </c>
      <c r="AP20" s="21">
        <v>0</v>
      </c>
      <c r="AQ20" s="21">
        <v>0</v>
      </c>
      <c r="AR20" s="21">
        <v>0</v>
      </c>
      <c r="AS20" s="21">
        <v>0</v>
      </c>
      <c r="AT20" s="21">
        <v>0</v>
      </c>
      <c r="AU20" s="21">
        <v>0</v>
      </c>
      <c r="AV20" s="21">
        <v>0</v>
      </c>
      <c r="AW20" s="21">
        <v>0</v>
      </c>
      <c r="AX20" s="21">
        <v>0</v>
      </c>
      <c r="AY20" s="21">
        <v>0</v>
      </c>
    </row>
    <row r="21" spans="1:51" ht="15.95">
      <c r="A21" s="19" t="s">
        <v>176</v>
      </c>
      <c r="B21" s="19" t="s">
        <v>177</v>
      </c>
      <c r="C21" s="19" t="s">
        <v>178</v>
      </c>
      <c r="D21" s="20">
        <f t="shared" si="0"/>
        <v>0</v>
      </c>
      <c r="E21" s="22">
        <v>0</v>
      </c>
      <c r="F21" s="22">
        <v>0</v>
      </c>
      <c r="G21" s="22">
        <v>0</v>
      </c>
      <c r="H21" s="22">
        <v>0</v>
      </c>
      <c r="I21" s="22">
        <v>0</v>
      </c>
      <c r="J21" s="22">
        <v>0</v>
      </c>
      <c r="K21" s="22">
        <v>0</v>
      </c>
      <c r="L21" s="22">
        <v>0</v>
      </c>
      <c r="M21" s="22">
        <v>0</v>
      </c>
      <c r="N21" s="22">
        <v>0</v>
      </c>
      <c r="O21" s="22">
        <v>0</v>
      </c>
      <c r="P21" s="22">
        <v>0</v>
      </c>
      <c r="Q21" s="22">
        <v>0</v>
      </c>
      <c r="R21" s="22">
        <v>0</v>
      </c>
      <c r="S21" s="22">
        <v>0</v>
      </c>
      <c r="T21" s="22">
        <v>0</v>
      </c>
      <c r="U21" s="22">
        <v>0</v>
      </c>
      <c r="V21" s="22">
        <v>0</v>
      </c>
      <c r="W21" s="22">
        <v>0</v>
      </c>
      <c r="X21" s="22">
        <v>0</v>
      </c>
      <c r="Y21" s="22">
        <v>0</v>
      </c>
      <c r="Z21" s="22">
        <v>0</v>
      </c>
      <c r="AA21" s="22">
        <v>0</v>
      </c>
      <c r="AB21" s="22">
        <v>0</v>
      </c>
      <c r="AC21" s="22">
        <v>0</v>
      </c>
      <c r="AD21" s="22">
        <v>0</v>
      </c>
      <c r="AE21" s="22">
        <v>0</v>
      </c>
      <c r="AF21" s="22">
        <v>0</v>
      </c>
      <c r="AG21" s="22">
        <v>0</v>
      </c>
      <c r="AH21" s="22">
        <v>0</v>
      </c>
      <c r="AI21" s="22">
        <v>0</v>
      </c>
      <c r="AJ21" s="22">
        <v>0</v>
      </c>
      <c r="AK21" s="22">
        <v>0</v>
      </c>
      <c r="AL21" s="22">
        <v>0</v>
      </c>
      <c r="AM21" s="22">
        <v>0</v>
      </c>
      <c r="AN21" s="22">
        <v>0</v>
      </c>
      <c r="AO21" s="22">
        <v>0</v>
      </c>
      <c r="AP21" s="22">
        <v>0</v>
      </c>
      <c r="AQ21" s="22">
        <v>0</v>
      </c>
      <c r="AR21" s="22">
        <v>0</v>
      </c>
      <c r="AS21" s="22">
        <v>0</v>
      </c>
      <c r="AT21" s="21">
        <v>0</v>
      </c>
      <c r="AU21" s="21">
        <v>0</v>
      </c>
      <c r="AV21" s="21">
        <v>0</v>
      </c>
      <c r="AW21" s="21">
        <v>0</v>
      </c>
      <c r="AX21" s="21">
        <v>0</v>
      </c>
      <c r="AY21" s="21">
        <v>0</v>
      </c>
    </row>
    <row r="22" spans="1:51" ht="15.95">
      <c r="A22" s="19" t="s">
        <v>179</v>
      </c>
      <c r="B22" s="19" t="s">
        <v>180</v>
      </c>
      <c r="C22" s="19" t="s">
        <v>181</v>
      </c>
      <c r="D22" s="20">
        <f t="shared" si="0"/>
        <v>0</v>
      </c>
      <c r="E22" s="22">
        <v>0</v>
      </c>
      <c r="F22" s="22">
        <v>0</v>
      </c>
      <c r="G22" s="22">
        <v>0</v>
      </c>
      <c r="H22" s="22">
        <v>0</v>
      </c>
      <c r="I22" s="22">
        <v>0</v>
      </c>
      <c r="J22" s="22">
        <v>0</v>
      </c>
      <c r="K22" s="22">
        <v>0</v>
      </c>
      <c r="L22" s="22">
        <v>0</v>
      </c>
      <c r="M22" s="22">
        <v>0</v>
      </c>
      <c r="N22" s="22">
        <v>0</v>
      </c>
      <c r="O22" s="22">
        <v>0</v>
      </c>
      <c r="P22" s="22">
        <v>0</v>
      </c>
      <c r="Q22" s="22">
        <v>0</v>
      </c>
      <c r="R22" s="22">
        <v>0</v>
      </c>
      <c r="S22" s="22">
        <v>0</v>
      </c>
      <c r="T22" s="22">
        <v>0</v>
      </c>
      <c r="U22" s="22">
        <v>0</v>
      </c>
      <c r="V22" s="22">
        <v>0</v>
      </c>
      <c r="W22" s="22">
        <v>0</v>
      </c>
      <c r="X22" s="22">
        <v>0</v>
      </c>
      <c r="Y22" s="22">
        <v>0</v>
      </c>
      <c r="Z22" s="22">
        <v>0</v>
      </c>
      <c r="AA22" s="22">
        <v>0</v>
      </c>
      <c r="AB22" s="22">
        <v>0</v>
      </c>
      <c r="AC22" s="22">
        <v>0</v>
      </c>
      <c r="AD22" s="22">
        <v>0</v>
      </c>
      <c r="AE22" s="22">
        <v>0</v>
      </c>
      <c r="AF22" s="22">
        <v>0</v>
      </c>
      <c r="AG22" s="22">
        <v>0</v>
      </c>
      <c r="AH22" s="22">
        <v>0</v>
      </c>
      <c r="AI22" s="22">
        <v>0</v>
      </c>
      <c r="AJ22" s="22">
        <v>0</v>
      </c>
      <c r="AK22" s="22">
        <v>0</v>
      </c>
      <c r="AL22" s="22">
        <v>0</v>
      </c>
      <c r="AM22" s="22">
        <v>0</v>
      </c>
      <c r="AN22" s="22">
        <v>0</v>
      </c>
      <c r="AO22" s="22">
        <v>0</v>
      </c>
      <c r="AP22" s="22">
        <v>0</v>
      </c>
      <c r="AQ22" s="22">
        <v>0</v>
      </c>
      <c r="AR22" s="22">
        <v>0</v>
      </c>
      <c r="AS22" s="22">
        <v>0</v>
      </c>
      <c r="AT22" s="21">
        <v>0</v>
      </c>
      <c r="AU22" s="21">
        <v>0</v>
      </c>
      <c r="AV22" s="21">
        <v>0</v>
      </c>
      <c r="AW22" s="21">
        <v>0</v>
      </c>
      <c r="AX22" s="21">
        <v>0</v>
      </c>
      <c r="AY22" s="21">
        <v>0</v>
      </c>
    </row>
    <row r="23" spans="1:51" ht="15.95">
      <c r="A23" s="19" t="s">
        <v>182</v>
      </c>
      <c r="B23" s="19" t="s">
        <v>183</v>
      </c>
      <c r="C23" s="19" t="s">
        <v>181</v>
      </c>
      <c r="D23" s="20">
        <f t="shared" si="0"/>
        <v>0</v>
      </c>
      <c r="E23" s="21">
        <v>0</v>
      </c>
      <c r="F23" s="21">
        <v>0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  <c r="M23" s="21">
        <v>0</v>
      </c>
      <c r="N23" s="21">
        <v>0</v>
      </c>
      <c r="O23" s="21">
        <v>0</v>
      </c>
      <c r="P23" s="21">
        <v>0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21">
        <v>0</v>
      </c>
      <c r="Y23" s="21">
        <v>0</v>
      </c>
      <c r="Z23" s="21">
        <v>0</v>
      </c>
      <c r="AA23" s="21">
        <v>0</v>
      </c>
      <c r="AB23" s="21">
        <v>0</v>
      </c>
      <c r="AC23" s="21">
        <v>0</v>
      </c>
      <c r="AD23" s="21">
        <v>0</v>
      </c>
      <c r="AE23" s="21">
        <v>0</v>
      </c>
      <c r="AF23" s="21">
        <v>0</v>
      </c>
      <c r="AG23" s="21">
        <v>0</v>
      </c>
      <c r="AH23" s="21">
        <v>0</v>
      </c>
      <c r="AI23" s="21">
        <v>0</v>
      </c>
      <c r="AJ23" s="21">
        <v>0</v>
      </c>
      <c r="AK23" s="21">
        <v>0</v>
      </c>
      <c r="AL23" s="21">
        <v>0</v>
      </c>
      <c r="AM23" s="21">
        <v>0</v>
      </c>
      <c r="AN23" s="21">
        <v>0</v>
      </c>
      <c r="AO23" s="21">
        <v>0</v>
      </c>
      <c r="AP23" s="21">
        <v>0</v>
      </c>
      <c r="AQ23" s="21">
        <v>0</v>
      </c>
      <c r="AR23" s="21">
        <v>0</v>
      </c>
      <c r="AS23" s="21">
        <v>0</v>
      </c>
      <c r="AT23" s="21">
        <v>0</v>
      </c>
      <c r="AU23" s="21">
        <v>0</v>
      </c>
      <c r="AV23" s="21">
        <v>0</v>
      </c>
      <c r="AW23" s="21">
        <v>0</v>
      </c>
      <c r="AX23" s="21">
        <v>0</v>
      </c>
      <c r="AY23" s="21">
        <v>0</v>
      </c>
    </row>
    <row r="24" spans="1:51" ht="15.95">
      <c r="A24" s="19" t="s">
        <v>182</v>
      </c>
      <c r="B24" s="19" t="s">
        <v>184</v>
      </c>
      <c r="C24" s="19" t="s">
        <v>181</v>
      </c>
      <c r="D24" s="20">
        <f t="shared" si="0"/>
        <v>0</v>
      </c>
      <c r="E24" s="22">
        <v>0</v>
      </c>
      <c r="F24" s="22">
        <v>0</v>
      </c>
      <c r="G24" s="22">
        <v>0</v>
      </c>
      <c r="H24" s="22">
        <v>0</v>
      </c>
      <c r="I24" s="22">
        <v>0</v>
      </c>
      <c r="J24" s="22">
        <v>0</v>
      </c>
      <c r="K24" s="22">
        <v>0</v>
      </c>
      <c r="L24" s="22">
        <v>0</v>
      </c>
      <c r="M24" s="22">
        <v>0</v>
      </c>
      <c r="N24" s="22">
        <v>0</v>
      </c>
      <c r="O24" s="22">
        <v>0</v>
      </c>
      <c r="P24" s="22">
        <v>0</v>
      </c>
      <c r="Q24" s="22">
        <v>0</v>
      </c>
      <c r="R24" s="22">
        <v>0</v>
      </c>
      <c r="S24" s="22">
        <v>0</v>
      </c>
      <c r="T24" s="22">
        <v>0</v>
      </c>
      <c r="U24" s="22">
        <v>0</v>
      </c>
      <c r="V24" s="22">
        <v>0</v>
      </c>
      <c r="W24" s="22">
        <v>0</v>
      </c>
      <c r="X24" s="22">
        <v>0</v>
      </c>
      <c r="Y24" s="22">
        <v>0</v>
      </c>
      <c r="Z24" s="22">
        <v>0</v>
      </c>
      <c r="AA24" s="22">
        <v>0</v>
      </c>
      <c r="AB24" s="22">
        <v>0</v>
      </c>
      <c r="AC24" s="22">
        <v>0</v>
      </c>
      <c r="AD24" s="22">
        <v>0</v>
      </c>
      <c r="AE24" s="22">
        <v>0</v>
      </c>
      <c r="AF24" s="22">
        <v>0</v>
      </c>
      <c r="AG24" s="22">
        <v>0</v>
      </c>
      <c r="AH24" s="22">
        <v>0</v>
      </c>
      <c r="AI24" s="22">
        <v>0</v>
      </c>
      <c r="AJ24" s="22">
        <v>0</v>
      </c>
      <c r="AK24" s="22">
        <v>0</v>
      </c>
      <c r="AL24" s="22">
        <v>0</v>
      </c>
      <c r="AM24" s="22">
        <v>0</v>
      </c>
      <c r="AN24" s="22">
        <v>0</v>
      </c>
      <c r="AO24" s="22">
        <v>0</v>
      </c>
      <c r="AP24" s="22">
        <v>0</v>
      </c>
      <c r="AQ24" s="22">
        <v>0</v>
      </c>
      <c r="AR24" s="22">
        <v>0</v>
      </c>
      <c r="AS24" s="22">
        <v>0</v>
      </c>
      <c r="AT24" s="21">
        <v>0</v>
      </c>
      <c r="AU24" s="21">
        <v>0</v>
      </c>
      <c r="AV24" s="21">
        <v>0</v>
      </c>
      <c r="AW24" s="21">
        <v>0</v>
      </c>
      <c r="AX24" s="21">
        <v>0</v>
      </c>
      <c r="AY24" s="21">
        <v>0</v>
      </c>
    </row>
    <row r="25" spans="1:51" ht="15.95">
      <c r="A25" s="19" t="s">
        <v>185</v>
      </c>
      <c r="B25" s="19" t="s">
        <v>186</v>
      </c>
      <c r="C25" s="19" t="s">
        <v>187</v>
      </c>
      <c r="D25" s="20">
        <f t="shared" si="0"/>
        <v>4</v>
      </c>
      <c r="E25" s="21">
        <v>4</v>
      </c>
      <c r="F25" s="21">
        <v>0</v>
      </c>
      <c r="G25" s="21">
        <v>0</v>
      </c>
      <c r="H25" s="21">
        <v>0</v>
      </c>
      <c r="I25" s="21">
        <v>0</v>
      </c>
      <c r="J25" s="21">
        <v>0</v>
      </c>
      <c r="K25" s="21">
        <v>0</v>
      </c>
      <c r="L25" s="21">
        <v>0</v>
      </c>
      <c r="M25" s="21">
        <v>0</v>
      </c>
      <c r="N25" s="21">
        <v>0</v>
      </c>
      <c r="O25" s="21">
        <v>0</v>
      </c>
      <c r="P25" s="21">
        <v>0</v>
      </c>
      <c r="Q25" s="21">
        <v>0</v>
      </c>
      <c r="R25" s="21">
        <v>0</v>
      </c>
      <c r="S25" s="21">
        <v>0</v>
      </c>
      <c r="T25" s="21">
        <v>0</v>
      </c>
      <c r="U25" s="21">
        <v>0</v>
      </c>
      <c r="V25" s="21">
        <v>0</v>
      </c>
      <c r="W25" s="21">
        <v>0</v>
      </c>
      <c r="X25" s="21">
        <v>0</v>
      </c>
      <c r="Y25" s="21">
        <v>0</v>
      </c>
      <c r="Z25" s="21">
        <v>0</v>
      </c>
      <c r="AA25" s="21">
        <v>0</v>
      </c>
      <c r="AB25" s="21">
        <v>0</v>
      </c>
      <c r="AC25" s="21">
        <v>0</v>
      </c>
      <c r="AD25" s="21">
        <v>0</v>
      </c>
      <c r="AE25" s="21">
        <v>0</v>
      </c>
      <c r="AF25" s="21">
        <v>0</v>
      </c>
      <c r="AG25" s="21">
        <v>0</v>
      </c>
      <c r="AH25" s="21">
        <v>0</v>
      </c>
      <c r="AI25" s="21">
        <v>0</v>
      </c>
      <c r="AJ25" s="21">
        <v>0</v>
      </c>
      <c r="AK25" s="21">
        <v>0</v>
      </c>
      <c r="AL25" s="21">
        <v>0</v>
      </c>
      <c r="AM25" s="21">
        <v>0</v>
      </c>
      <c r="AN25" s="21">
        <v>0</v>
      </c>
      <c r="AO25" s="21">
        <v>0</v>
      </c>
      <c r="AP25" s="21">
        <v>0</v>
      </c>
      <c r="AQ25" s="21">
        <v>0</v>
      </c>
      <c r="AR25" s="21">
        <v>0</v>
      </c>
      <c r="AS25" s="21">
        <v>0</v>
      </c>
      <c r="AT25" s="21">
        <v>0</v>
      </c>
      <c r="AU25" s="21">
        <v>0</v>
      </c>
      <c r="AV25" s="21">
        <v>0</v>
      </c>
      <c r="AW25" s="21">
        <v>0</v>
      </c>
      <c r="AX25" s="21">
        <v>0</v>
      </c>
      <c r="AY25" s="21">
        <v>0</v>
      </c>
    </row>
    <row r="26" spans="1:51" ht="15.95">
      <c r="A26" s="19" t="s">
        <v>185</v>
      </c>
      <c r="B26" s="19" t="s">
        <v>188</v>
      </c>
      <c r="C26" s="19" t="s">
        <v>187</v>
      </c>
      <c r="D26" s="20">
        <f t="shared" si="0"/>
        <v>99</v>
      </c>
      <c r="E26" s="21">
        <v>20</v>
      </c>
      <c r="F26" s="21">
        <v>8</v>
      </c>
      <c r="G26" s="21">
        <v>5</v>
      </c>
      <c r="H26" s="21">
        <v>7</v>
      </c>
      <c r="I26" s="21">
        <v>3</v>
      </c>
      <c r="J26" s="21">
        <v>2</v>
      </c>
      <c r="K26" s="21">
        <v>0</v>
      </c>
      <c r="L26" s="21">
        <v>5</v>
      </c>
      <c r="M26" s="21">
        <v>9</v>
      </c>
      <c r="N26" s="21">
        <v>2</v>
      </c>
      <c r="O26" s="21">
        <v>0</v>
      </c>
      <c r="P26" s="21">
        <v>1</v>
      </c>
      <c r="Q26" s="21">
        <v>0</v>
      </c>
      <c r="R26" s="21">
        <v>0</v>
      </c>
      <c r="S26" s="21">
        <v>4</v>
      </c>
      <c r="T26" s="21">
        <v>5</v>
      </c>
      <c r="U26" s="21">
        <v>0</v>
      </c>
      <c r="V26" s="21">
        <v>0</v>
      </c>
      <c r="W26" s="21">
        <v>0</v>
      </c>
      <c r="X26" s="21">
        <v>0</v>
      </c>
      <c r="Y26" s="21">
        <v>0</v>
      </c>
      <c r="Z26" s="21">
        <v>5</v>
      </c>
      <c r="AA26" s="21">
        <v>1</v>
      </c>
      <c r="AB26" s="21">
        <v>0</v>
      </c>
      <c r="AC26" s="21">
        <v>0</v>
      </c>
      <c r="AD26" s="21">
        <v>0</v>
      </c>
      <c r="AE26" s="21">
        <v>18</v>
      </c>
      <c r="AF26" s="21">
        <v>0</v>
      </c>
      <c r="AG26" s="21">
        <v>0</v>
      </c>
      <c r="AH26" s="21">
        <v>0</v>
      </c>
      <c r="AI26" s="21">
        <v>0</v>
      </c>
      <c r="AJ26" s="21">
        <v>1</v>
      </c>
      <c r="AK26" s="21">
        <v>0</v>
      </c>
      <c r="AL26" s="21">
        <v>0</v>
      </c>
      <c r="AM26" s="21">
        <v>1</v>
      </c>
      <c r="AN26" s="21">
        <v>0</v>
      </c>
      <c r="AO26" s="21">
        <v>0</v>
      </c>
      <c r="AP26" s="21">
        <v>2</v>
      </c>
      <c r="AQ26" s="21">
        <v>0</v>
      </c>
      <c r="AR26" s="21">
        <v>0</v>
      </c>
      <c r="AS26" s="21">
        <v>0</v>
      </c>
      <c r="AT26" s="21">
        <v>0</v>
      </c>
      <c r="AU26" s="21">
        <v>0</v>
      </c>
      <c r="AV26" s="21">
        <v>0</v>
      </c>
      <c r="AW26" s="21">
        <v>0</v>
      </c>
      <c r="AX26" s="21">
        <v>0</v>
      </c>
      <c r="AY26" s="21">
        <v>0</v>
      </c>
    </row>
    <row r="27" spans="1:51" ht="15.95">
      <c r="A27" s="19" t="s">
        <v>185</v>
      </c>
      <c r="B27" s="19" t="s">
        <v>189</v>
      </c>
      <c r="C27" s="19" t="s">
        <v>187</v>
      </c>
      <c r="D27" s="20">
        <f t="shared" si="0"/>
        <v>0</v>
      </c>
      <c r="E27" s="21">
        <v>0</v>
      </c>
      <c r="F27" s="21">
        <v>0</v>
      </c>
      <c r="G27" s="21">
        <v>0</v>
      </c>
      <c r="H27" s="21">
        <v>0</v>
      </c>
      <c r="I27" s="21">
        <v>0</v>
      </c>
      <c r="J27" s="21">
        <v>0</v>
      </c>
      <c r="K27" s="21">
        <v>0</v>
      </c>
      <c r="L27" s="21">
        <v>0</v>
      </c>
      <c r="M27" s="21">
        <v>0</v>
      </c>
      <c r="N27" s="21">
        <v>0</v>
      </c>
      <c r="O27" s="21">
        <v>0</v>
      </c>
      <c r="P27" s="21">
        <v>0</v>
      </c>
      <c r="Q27" s="21">
        <v>0</v>
      </c>
      <c r="R27" s="21">
        <v>0</v>
      </c>
      <c r="S27" s="21">
        <v>0</v>
      </c>
      <c r="T27" s="21">
        <v>0</v>
      </c>
      <c r="U27" s="21">
        <v>0</v>
      </c>
      <c r="V27" s="21">
        <v>0</v>
      </c>
      <c r="W27" s="21">
        <v>0</v>
      </c>
      <c r="X27" s="21">
        <v>0</v>
      </c>
      <c r="Y27" s="21">
        <v>0</v>
      </c>
      <c r="Z27" s="21">
        <v>0</v>
      </c>
      <c r="AA27" s="21">
        <v>0</v>
      </c>
      <c r="AB27" s="21">
        <v>0</v>
      </c>
      <c r="AC27" s="21">
        <v>0</v>
      </c>
      <c r="AD27" s="21">
        <v>0</v>
      </c>
      <c r="AE27" s="21">
        <v>0</v>
      </c>
      <c r="AF27" s="21">
        <v>0</v>
      </c>
      <c r="AG27" s="21">
        <v>0</v>
      </c>
      <c r="AH27" s="21">
        <v>0</v>
      </c>
      <c r="AI27" s="21">
        <v>0</v>
      </c>
      <c r="AJ27" s="21">
        <v>0</v>
      </c>
      <c r="AK27" s="21">
        <v>0</v>
      </c>
      <c r="AL27" s="21">
        <v>0</v>
      </c>
      <c r="AM27" s="21">
        <v>0</v>
      </c>
      <c r="AN27" s="21">
        <v>0</v>
      </c>
      <c r="AO27" s="21">
        <v>0</v>
      </c>
      <c r="AP27" s="21">
        <v>0</v>
      </c>
      <c r="AQ27" s="21">
        <v>0</v>
      </c>
      <c r="AR27" s="21">
        <v>0</v>
      </c>
      <c r="AS27" s="21">
        <v>0</v>
      </c>
      <c r="AT27" s="21">
        <v>0</v>
      </c>
      <c r="AU27" s="21">
        <v>0</v>
      </c>
      <c r="AV27" s="21">
        <v>0</v>
      </c>
      <c r="AW27" s="21">
        <v>0</v>
      </c>
      <c r="AX27" s="21">
        <v>0</v>
      </c>
      <c r="AY27" s="21">
        <v>0</v>
      </c>
    </row>
    <row r="28" spans="1:51" ht="15.95">
      <c r="A28" s="19" t="s">
        <v>185</v>
      </c>
      <c r="B28" s="19" t="s">
        <v>190</v>
      </c>
      <c r="C28" s="19" t="s">
        <v>187</v>
      </c>
      <c r="D28" s="20">
        <f t="shared" si="0"/>
        <v>0</v>
      </c>
      <c r="E28" s="21">
        <v>0</v>
      </c>
      <c r="F28" s="21">
        <v>0</v>
      </c>
      <c r="G28" s="21">
        <v>0</v>
      </c>
      <c r="H28" s="21">
        <v>0</v>
      </c>
      <c r="I28" s="21">
        <v>0</v>
      </c>
      <c r="J28" s="21">
        <v>0</v>
      </c>
      <c r="K28" s="21">
        <v>0</v>
      </c>
      <c r="L28" s="21">
        <v>0</v>
      </c>
      <c r="M28" s="21">
        <v>0</v>
      </c>
      <c r="N28" s="21">
        <v>0</v>
      </c>
      <c r="O28" s="21">
        <v>0</v>
      </c>
      <c r="P28" s="21">
        <v>0</v>
      </c>
      <c r="Q28" s="21">
        <v>0</v>
      </c>
      <c r="R28" s="21">
        <v>0</v>
      </c>
      <c r="S28" s="21">
        <v>0</v>
      </c>
      <c r="T28" s="21">
        <v>0</v>
      </c>
      <c r="U28" s="21">
        <v>0</v>
      </c>
      <c r="V28" s="21">
        <v>0</v>
      </c>
      <c r="W28" s="21">
        <v>0</v>
      </c>
      <c r="X28" s="21">
        <v>0</v>
      </c>
      <c r="Y28" s="21">
        <v>0</v>
      </c>
      <c r="Z28" s="21">
        <v>0</v>
      </c>
      <c r="AA28" s="21">
        <v>0</v>
      </c>
      <c r="AB28" s="21">
        <v>0</v>
      </c>
      <c r="AC28" s="21">
        <v>0</v>
      </c>
      <c r="AD28" s="21">
        <v>0</v>
      </c>
      <c r="AE28" s="21">
        <v>0</v>
      </c>
      <c r="AF28" s="21">
        <v>0</v>
      </c>
      <c r="AG28" s="21">
        <v>0</v>
      </c>
      <c r="AH28" s="21">
        <v>0</v>
      </c>
      <c r="AI28" s="21">
        <v>0</v>
      </c>
      <c r="AJ28" s="21">
        <v>0</v>
      </c>
      <c r="AK28" s="21">
        <v>0</v>
      </c>
      <c r="AL28" s="21">
        <v>0</v>
      </c>
      <c r="AM28" s="21">
        <v>0</v>
      </c>
      <c r="AN28" s="21">
        <v>0</v>
      </c>
      <c r="AO28" s="21">
        <v>0</v>
      </c>
      <c r="AP28" s="21">
        <v>0</v>
      </c>
      <c r="AQ28" s="21">
        <v>0</v>
      </c>
      <c r="AR28" s="21">
        <v>0</v>
      </c>
      <c r="AS28" s="21">
        <v>0</v>
      </c>
      <c r="AT28" s="21">
        <v>0</v>
      </c>
      <c r="AU28" s="21">
        <v>0</v>
      </c>
      <c r="AV28" s="21">
        <v>0</v>
      </c>
      <c r="AW28" s="21">
        <v>0</v>
      </c>
      <c r="AX28" s="21">
        <v>0</v>
      </c>
      <c r="AY28" s="21">
        <v>0</v>
      </c>
    </row>
    <row r="29" spans="1:51" ht="15.95">
      <c r="A29" s="19" t="s">
        <v>191</v>
      </c>
      <c r="B29" s="19" t="s">
        <v>192</v>
      </c>
      <c r="C29" s="19" t="s">
        <v>193</v>
      </c>
      <c r="D29" s="20">
        <f t="shared" si="0"/>
        <v>0</v>
      </c>
      <c r="E29" s="21">
        <v>0</v>
      </c>
      <c r="F29" s="21">
        <v>0</v>
      </c>
      <c r="G29" s="21">
        <v>0</v>
      </c>
      <c r="H29" s="21">
        <v>0</v>
      </c>
      <c r="I29" s="21">
        <v>0</v>
      </c>
      <c r="J29" s="21">
        <v>0</v>
      </c>
      <c r="K29" s="21">
        <v>0</v>
      </c>
      <c r="L29" s="21">
        <v>0</v>
      </c>
      <c r="M29" s="21">
        <v>0</v>
      </c>
      <c r="N29" s="21">
        <v>0</v>
      </c>
      <c r="O29" s="21">
        <v>0</v>
      </c>
      <c r="P29" s="21">
        <v>0</v>
      </c>
      <c r="Q29" s="21">
        <v>0</v>
      </c>
      <c r="R29" s="21">
        <v>0</v>
      </c>
      <c r="S29" s="21">
        <v>0</v>
      </c>
      <c r="T29" s="21">
        <v>0</v>
      </c>
      <c r="U29" s="21">
        <v>0</v>
      </c>
      <c r="V29" s="21">
        <v>0</v>
      </c>
      <c r="W29" s="21">
        <v>0</v>
      </c>
      <c r="X29" s="21">
        <v>0</v>
      </c>
      <c r="Y29" s="21">
        <v>0</v>
      </c>
      <c r="Z29" s="21">
        <v>0</v>
      </c>
      <c r="AA29" s="21">
        <v>0</v>
      </c>
      <c r="AB29" s="21">
        <v>0</v>
      </c>
      <c r="AC29" s="21">
        <v>0</v>
      </c>
      <c r="AD29" s="21">
        <v>0</v>
      </c>
      <c r="AE29" s="21">
        <v>0</v>
      </c>
      <c r="AF29" s="21">
        <v>0</v>
      </c>
      <c r="AG29" s="21">
        <v>0</v>
      </c>
      <c r="AH29" s="21">
        <v>0</v>
      </c>
      <c r="AI29" s="21">
        <v>0</v>
      </c>
      <c r="AJ29" s="21">
        <v>0</v>
      </c>
      <c r="AK29" s="21">
        <v>0</v>
      </c>
      <c r="AL29" s="21">
        <v>0</v>
      </c>
      <c r="AM29" s="21">
        <v>0</v>
      </c>
      <c r="AN29" s="21">
        <v>0</v>
      </c>
      <c r="AO29" s="21">
        <v>0</v>
      </c>
      <c r="AP29" s="21">
        <v>0</v>
      </c>
      <c r="AQ29" s="21">
        <v>0</v>
      </c>
      <c r="AR29" s="21">
        <v>0</v>
      </c>
      <c r="AS29" s="21">
        <v>0</v>
      </c>
      <c r="AT29" s="21">
        <v>0</v>
      </c>
      <c r="AU29" s="21">
        <v>0</v>
      </c>
      <c r="AV29" s="21">
        <v>0</v>
      </c>
      <c r="AW29" s="21">
        <v>0</v>
      </c>
      <c r="AX29" s="21">
        <v>0</v>
      </c>
      <c r="AY29" s="21">
        <v>0</v>
      </c>
    </row>
    <row r="30" spans="1:51" ht="48">
      <c r="A30" s="19" t="s">
        <v>194</v>
      </c>
      <c r="B30" s="19" t="s">
        <v>195</v>
      </c>
      <c r="C30" s="19" t="s">
        <v>196</v>
      </c>
      <c r="D30" s="20">
        <f t="shared" si="0"/>
        <v>123674.55000000003</v>
      </c>
      <c r="E30" s="21">
        <v>26925.25</v>
      </c>
      <c r="F30" s="21">
        <v>14672.17</v>
      </c>
      <c r="G30" s="21">
        <v>5224.8</v>
      </c>
      <c r="H30" s="21">
        <v>9539.4</v>
      </c>
      <c r="I30" s="21">
        <v>12857.42</v>
      </c>
      <c r="J30" s="21">
        <v>14704.33</v>
      </c>
      <c r="K30" s="21">
        <v>1345.3000000000002</v>
      </c>
      <c r="L30" s="21">
        <v>3983.19</v>
      </c>
      <c r="M30" s="21">
        <v>2337.1399999999994</v>
      </c>
      <c r="N30" s="21">
        <v>255.9</v>
      </c>
      <c r="O30" s="21">
        <v>104.04</v>
      </c>
      <c r="P30" s="21">
        <v>127.51</v>
      </c>
      <c r="Q30" s="21">
        <v>205.60000000000002</v>
      </c>
      <c r="R30" s="21">
        <v>140.47999999999999</v>
      </c>
      <c r="S30" s="21">
        <v>1354.48</v>
      </c>
      <c r="T30" s="21">
        <v>7727.8</v>
      </c>
      <c r="U30" s="21">
        <v>358.44</v>
      </c>
      <c r="V30" s="21">
        <v>188.63</v>
      </c>
      <c r="W30" s="21">
        <v>108.3</v>
      </c>
      <c r="X30" s="21">
        <v>43.41</v>
      </c>
      <c r="Y30" s="21">
        <v>214.95999999999998</v>
      </c>
      <c r="Z30" s="21">
        <v>2051.21</v>
      </c>
      <c r="AA30" s="21">
        <v>251.13</v>
      </c>
      <c r="AB30" s="21">
        <v>2490.6800000000003</v>
      </c>
      <c r="AC30" s="21">
        <v>0</v>
      </c>
      <c r="AD30" s="21">
        <v>406.58</v>
      </c>
      <c r="AE30" s="21">
        <v>2253.1099999999997</v>
      </c>
      <c r="AF30" s="21">
        <v>109.57</v>
      </c>
      <c r="AG30" s="21">
        <v>165.79000000000002</v>
      </c>
      <c r="AH30" s="21">
        <v>431.26</v>
      </c>
      <c r="AI30" s="21">
        <v>484.58000000000004</v>
      </c>
      <c r="AJ30" s="21">
        <v>2643.31</v>
      </c>
      <c r="AK30" s="21">
        <v>229.77</v>
      </c>
      <c r="AL30" s="21">
        <v>1239.26</v>
      </c>
      <c r="AM30" s="21">
        <v>343.02</v>
      </c>
      <c r="AN30" s="21">
        <v>711.27</v>
      </c>
      <c r="AO30" s="21">
        <v>553.51</v>
      </c>
      <c r="AP30" s="21">
        <v>615.22</v>
      </c>
      <c r="AQ30" s="21">
        <v>196.76</v>
      </c>
      <c r="AR30" s="21">
        <v>0</v>
      </c>
      <c r="AS30" s="21">
        <v>115.97</v>
      </c>
      <c r="AT30" s="21">
        <v>170</v>
      </c>
      <c r="AU30" s="21">
        <v>280</v>
      </c>
      <c r="AV30" s="21">
        <v>200</v>
      </c>
      <c r="AW30" s="21">
        <v>2214</v>
      </c>
      <c r="AX30" s="21">
        <v>1890</v>
      </c>
      <c r="AY30" s="21">
        <v>1210</v>
      </c>
    </row>
    <row r="31" spans="1:51" ht="15.95">
      <c r="A31" s="19" t="s">
        <v>197</v>
      </c>
      <c r="B31" s="19" t="s">
        <v>198</v>
      </c>
      <c r="C31" s="19" t="s">
        <v>199</v>
      </c>
      <c r="D31" s="20">
        <f t="shared" si="0"/>
        <v>1324</v>
      </c>
      <c r="E31" s="21">
        <v>590</v>
      </c>
      <c r="F31" s="21">
        <v>217</v>
      </c>
      <c r="G31" s="21">
        <v>190</v>
      </c>
      <c r="H31" s="21">
        <v>150</v>
      </c>
      <c r="I31" s="21">
        <v>132</v>
      </c>
      <c r="J31" s="21">
        <v>45</v>
      </c>
      <c r="K31" s="21">
        <v>0</v>
      </c>
      <c r="L31" s="21">
        <v>0</v>
      </c>
      <c r="M31" s="21">
        <v>0</v>
      </c>
      <c r="N31" s="21">
        <v>0</v>
      </c>
      <c r="O31" s="21">
        <v>0</v>
      </c>
      <c r="P31" s="21">
        <v>0</v>
      </c>
      <c r="Q31" s="21">
        <v>0</v>
      </c>
      <c r="R31" s="21">
        <v>0</v>
      </c>
      <c r="S31" s="21">
        <v>0</v>
      </c>
      <c r="T31" s="21">
        <v>0</v>
      </c>
      <c r="U31" s="21">
        <v>0</v>
      </c>
      <c r="V31" s="21">
        <v>0</v>
      </c>
      <c r="W31" s="21">
        <v>0</v>
      </c>
      <c r="X31" s="21">
        <v>0</v>
      </c>
      <c r="Y31" s="21">
        <v>0</v>
      </c>
      <c r="Z31" s="21">
        <v>0</v>
      </c>
      <c r="AA31" s="21">
        <v>0</v>
      </c>
      <c r="AB31" s="21">
        <v>0</v>
      </c>
      <c r="AC31" s="21">
        <v>0</v>
      </c>
      <c r="AD31" s="21">
        <v>0</v>
      </c>
      <c r="AE31" s="21">
        <v>0</v>
      </c>
      <c r="AF31" s="21">
        <v>0</v>
      </c>
      <c r="AG31" s="21">
        <v>0</v>
      </c>
      <c r="AH31" s="21">
        <v>0</v>
      </c>
      <c r="AI31" s="21">
        <v>0</v>
      </c>
      <c r="AJ31" s="21">
        <v>0</v>
      </c>
      <c r="AK31" s="21">
        <v>0</v>
      </c>
      <c r="AL31" s="21">
        <v>0</v>
      </c>
      <c r="AM31" s="21">
        <v>0</v>
      </c>
      <c r="AN31" s="21">
        <v>0</v>
      </c>
      <c r="AO31" s="21">
        <v>0</v>
      </c>
      <c r="AP31" s="21">
        <v>0</v>
      </c>
      <c r="AQ31" s="21">
        <v>0</v>
      </c>
      <c r="AR31" s="21">
        <v>0</v>
      </c>
      <c r="AS31" s="21">
        <v>0</v>
      </c>
      <c r="AT31" s="21">
        <v>0</v>
      </c>
      <c r="AU31" s="21">
        <v>0</v>
      </c>
      <c r="AV31" s="21">
        <v>0</v>
      </c>
      <c r="AW31" s="21">
        <v>0</v>
      </c>
      <c r="AX31" s="21">
        <v>0</v>
      </c>
      <c r="AY31" s="21">
        <v>0</v>
      </c>
    </row>
    <row r="32" spans="1:51" ht="15.95">
      <c r="A32" s="19" t="s">
        <v>200</v>
      </c>
      <c r="B32" s="19" t="s">
        <v>201</v>
      </c>
      <c r="C32" s="19" t="s">
        <v>202</v>
      </c>
      <c r="D32" s="20">
        <f t="shared" si="0"/>
        <v>22</v>
      </c>
      <c r="E32" s="21">
        <v>12</v>
      </c>
      <c r="F32" s="21">
        <v>3</v>
      </c>
      <c r="G32" s="21">
        <v>2</v>
      </c>
      <c r="H32" s="21">
        <v>5</v>
      </c>
      <c r="I32" s="21">
        <v>0</v>
      </c>
      <c r="J32" s="21">
        <v>0</v>
      </c>
      <c r="K32" s="21">
        <v>0</v>
      </c>
      <c r="L32" s="21">
        <v>0</v>
      </c>
      <c r="M32" s="21">
        <v>0</v>
      </c>
      <c r="N32" s="21">
        <v>0</v>
      </c>
      <c r="O32" s="21">
        <v>0</v>
      </c>
      <c r="P32" s="21">
        <v>0</v>
      </c>
      <c r="Q32" s="21">
        <v>0</v>
      </c>
      <c r="R32" s="21">
        <v>0</v>
      </c>
      <c r="S32" s="21">
        <v>0</v>
      </c>
      <c r="T32" s="21">
        <v>0</v>
      </c>
      <c r="U32" s="21">
        <v>0</v>
      </c>
      <c r="V32" s="21">
        <v>0</v>
      </c>
      <c r="W32" s="21">
        <v>0</v>
      </c>
      <c r="X32" s="21">
        <v>0</v>
      </c>
      <c r="Y32" s="21">
        <v>0</v>
      </c>
      <c r="Z32" s="21">
        <v>0</v>
      </c>
      <c r="AA32" s="21">
        <v>0</v>
      </c>
      <c r="AB32" s="21">
        <v>0</v>
      </c>
      <c r="AC32" s="21">
        <v>0</v>
      </c>
      <c r="AD32" s="21">
        <v>0</v>
      </c>
      <c r="AE32" s="21">
        <v>0</v>
      </c>
      <c r="AF32" s="21">
        <v>0</v>
      </c>
      <c r="AG32" s="21">
        <v>0</v>
      </c>
      <c r="AH32" s="21">
        <v>0</v>
      </c>
      <c r="AI32" s="21">
        <v>0</v>
      </c>
      <c r="AJ32" s="21">
        <v>0</v>
      </c>
      <c r="AK32" s="21">
        <v>0</v>
      </c>
      <c r="AL32" s="21">
        <v>0</v>
      </c>
      <c r="AM32" s="21">
        <v>0</v>
      </c>
      <c r="AN32" s="21">
        <v>0</v>
      </c>
      <c r="AO32" s="21">
        <v>0</v>
      </c>
      <c r="AP32" s="21">
        <v>0</v>
      </c>
      <c r="AQ32" s="21">
        <v>0</v>
      </c>
      <c r="AR32" s="21">
        <v>0</v>
      </c>
      <c r="AS32" s="21">
        <v>0</v>
      </c>
      <c r="AT32" s="21">
        <v>0</v>
      </c>
      <c r="AU32" s="21">
        <v>0</v>
      </c>
      <c r="AV32" s="21">
        <v>0</v>
      </c>
      <c r="AW32" s="21">
        <v>0</v>
      </c>
      <c r="AX32" s="21">
        <v>0</v>
      </c>
      <c r="AY32" s="21">
        <v>0</v>
      </c>
    </row>
    <row r="33" spans="1:51" ht="15.95">
      <c r="A33" s="19" t="s">
        <v>203</v>
      </c>
      <c r="B33" s="19" t="s">
        <v>204</v>
      </c>
      <c r="C33" s="19" t="s">
        <v>205</v>
      </c>
      <c r="D33" s="20">
        <f t="shared" si="0"/>
        <v>473</v>
      </c>
      <c r="E33" s="21">
        <v>56</v>
      </c>
      <c r="F33" s="21">
        <v>77</v>
      </c>
      <c r="G33" s="21">
        <v>51</v>
      </c>
      <c r="H33" s="21">
        <v>35</v>
      </c>
      <c r="I33" s="21">
        <v>52</v>
      </c>
      <c r="J33" s="21">
        <v>61</v>
      </c>
      <c r="K33" s="21">
        <v>32</v>
      </c>
      <c r="L33" s="21">
        <v>23</v>
      </c>
      <c r="M33" s="21">
        <v>0</v>
      </c>
      <c r="N33" s="21">
        <v>0</v>
      </c>
      <c r="O33" s="21">
        <v>1</v>
      </c>
      <c r="P33" s="21">
        <v>2</v>
      </c>
      <c r="Q33" s="21">
        <v>0</v>
      </c>
      <c r="R33" s="21">
        <v>0</v>
      </c>
      <c r="S33" s="21">
        <v>0</v>
      </c>
      <c r="T33" s="21">
        <v>0</v>
      </c>
      <c r="U33" s="21">
        <v>0</v>
      </c>
      <c r="V33" s="21">
        <v>2</v>
      </c>
      <c r="W33" s="21">
        <v>1</v>
      </c>
      <c r="X33" s="21">
        <v>0</v>
      </c>
      <c r="Y33" s="21">
        <v>0</v>
      </c>
      <c r="Z33" s="21">
        <v>7</v>
      </c>
      <c r="AA33" s="21">
        <v>2</v>
      </c>
      <c r="AB33" s="21">
        <v>0</v>
      </c>
      <c r="AC33" s="21">
        <v>0</v>
      </c>
      <c r="AD33" s="21">
        <v>14</v>
      </c>
      <c r="AE33" s="21">
        <v>2</v>
      </c>
      <c r="AF33" s="21">
        <v>5</v>
      </c>
      <c r="AG33" s="21">
        <v>20</v>
      </c>
      <c r="AH33" s="21">
        <v>0</v>
      </c>
      <c r="AI33" s="21">
        <v>0</v>
      </c>
      <c r="AJ33" s="21">
        <v>11</v>
      </c>
      <c r="AK33" s="21">
        <v>0</v>
      </c>
      <c r="AL33" s="21">
        <v>6</v>
      </c>
      <c r="AM33" s="21">
        <v>3</v>
      </c>
      <c r="AN33" s="21">
        <v>0</v>
      </c>
      <c r="AO33" s="21">
        <v>0</v>
      </c>
      <c r="AP33" s="21">
        <v>2</v>
      </c>
      <c r="AQ33" s="21">
        <v>1</v>
      </c>
      <c r="AR33" s="21">
        <v>7</v>
      </c>
      <c r="AS33" s="21">
        <v>0</v>
      </c>
      <c r="AT33" s="21">
        <v>0</v>
      </c>
      <c r="AU33" s="21">
        <v>0</v>
      </c>
      <c r="AV33" s="21">
        <v>0</v>
      </c>
      <c r="AW33" s="21">
        <v>0</v>
      </c>
      <c r="AX33" s="21">
        <v>0</v>
      </c>
      <c r="AY33" s="21">
        <v>0</v>
      </c>
    </row>
    <row r="34" spans="1:51" ht="15.95">
      <c r="A34" s="19" t="s">
        <v>206</v>
      </c>
      <c r="B34" s="19" t="s">
        <v>207</v>
      </c>
      <c r="C34" s="19" t="s">
        <v>208</v>
      </c>
      <c r="D34" s="20">
        <f t="shared" si="0"/>
        <v>85</v>
      </c>
      <c r="E34" s="21">
        <v>38</v>
      </c>
      <c r="F34" s="21">
        <v>10</v>
      </c>
      <c r="G34" s="21">
        <v>5</v>
      </c>
      <c r="H34" s="21">
        <v>13</v>
      </c>
      <c r="I34" s="21">
        <v>7</v>
      </c>
      <c r="J34" s="21">
        <v>4</v>
      </c>
      <c r="K34" s="21">
        <v>0</v>
      </c>
      <c r="L34" s="21">
        <v>1</v>
      </c>
      <c r="M34" s="21">
        <v>1</v>
      </c>
      <c r="N34" s="21">
        <v>0</v>
      </c>
      <c r="O34" s="21">
        <v>0</v>
      </c>
      <c r="P34" s="21">
        <v>0</v>
      </c>
      <c r="Q34" s="21">
        <v>0</v>
      </c>
      <c r="R34" s="21">
        <v>0</v>
      </c>
      <c r="S34" s="21">
        <v>0</v>
      </c>
      <c r="T34" s="21">
        <v>0</v>
      </c>
      <c r="U34" s="21">
        <v>0</v>
      </c>
      <c r="V34" s="21">
        <v>0</v>
      </c>
      <c r="W34" s="21">
        <v>0</v>
      </c>
      <c r="X34" s="21">
        <v>0</v>
      </c>
      <c r="Y34" s="21" t="s">
        <v>1075</v>
      </c>
      <c r="Z34" s="21">
        <v>5</v>
      </c>
      <c r="AA34" s="21">
        <v>1</v>
      </c>
      <c r="AB34" s="21">
        <v>0</v>
      </c>
      <c r="AC34" s="21">
        <v>0</v>
      </c>
      <c r="AD34" s="21">
        <v>0</v>
      </c>
      <c r="AE34" s="21">
        <v>0</v>
      </c>
      <c r="AF34" s="21">
        <v>0</v>
      </c>
      <c r="AG34" s="21">
        <v>0</v>
      </c>
      <c r="AH34" s="21">
        <v>0</v>
      </c>
      <c r="AI34" s="21">
        <v>0</v>
      </c>
      <c r="AJ34" s="21">
        <v>0</v>
      </c>
      <c r="AK34" s="21">
        <v>0</v>
      </c>
      <c r="AL34" s="21">
        <v>0</v>
      </c>
      <c r="AM34" s="21">
        <v>0</v>
      </c>
      <c r="AN34" s="21">
        <v>0</v>
      </c>
      <c r="AO34" s="21">
        <v>0</v>
      </c>
      <c r="AP34" s="21">
        <v>0</v>
      </c>
      <c r="AQ34" s="21">
        <v>0</v>
      </c>
      <c r="AR34" s="21">
        <v>0</v>
      </c>
      <c r="AS34" s="21">
        <v>0</v>
      </c>
      <c r="AT34" s="21">
        <v>0</v>
      </c>
      <c r="AU34" s="21">
        <v>0</v>
      </c>
      <c r="AV34" s="21">
        <v>0</v>
      </c>
      <c r="AW34" s="21">
        <v>0</v>
      </c>
      <c r="AX34" s="21">
        <v>0</v>
      </c>
      <c r="AY34" s="21">
        <v>0</v>
      </c>
    </row>
    <row r="35" spans="1:51" ht="15.95">
      <c r="A35" s="19" t="s">
        <v>206</v>
      </c>
      <c r="B35" s="19" t="s">
        <v>209</v>
      </c>
      <c r="C35" s="19" t="s">
        <v>208</v>
      </c>
      <c r="D35" s="20">
        <f t="shared" si="0"/>
        <v>18</v>
      </c>
      <c r="E35" s="21">
        <v>5</v>
      </c>
      <c r="F35" s="21">
        <v>3</v>
      </c>
      <c r="G35" s="21">
        <v>3</v>
      </c>
      <c r="H35" s="21">
        <v>2</v>
      </c>
      <c r="I35" s="21">
        <v>4</v>
      </c>
      <c r="J35" s="21">
        <v>1</v>
      </c>
      <c r="K35" s="21">
        <v>0</v>
      </c>
      <c r="L35" s="21">
        <v>0</v>
      </c>
      <c r="M35" s="21">
        <v>0</v>
      </c>
      <c r="N35" s="21">
        <v>0</v>
      </c>
      <c r="O35" s="21">
        <v>0</v>
      </c>
      <c r="P35" s="21">
        <v>0</v>
      </c>
      <c r="Q35" s="21">
        <v>0</v>
      </c>
      <c r="R35" s="21">
        <v>0</v>
      </c>
      <c r="S35" s="21">
        <v>0</v>
      </c>
      <c r="T35" s="21">
        <v>0</v>
      </c>
      <c r="U35" s="21">
        <v>0</v>
      </c>
      <c r="V35" s="21">
        <v>0</v>
      </c>
      <c r="W35" s="21">
        <v>0</v>
      </c>
      <c r="X35" s="21">
        <v>0</v>
      </c>
      <c r="Y35" s="21">
        <v>0</v>
      </c>
      <c r="Z35" s="21">
        <v>0</v>
      </c>
      <c r="AA35" s="21">
        <v>0</v>
      </c>
      <c r="AB35" s="21">
        <v>0</v>
      </c>
      <c r="AC35" s="21">
        <v>0</v>
      </c>
      <c r="AD35" s="21">
        <v>0</v>
      </c>
      <c r="AE35" s="21">
        <v>0</v>
      </c>
      <c r="AF35" s="21">
        <v>0</v>
      </c>
      <c r="AG35" s="21">
        <v>0</v>
      </c>
      <c r="AH35" s="21">
        <v>0</v>
      </c>
      <c r="AI35" s="21">
        <v>0</v>
      </c>
      <c r="AJ35" s="21">
        <v>0</v>
      </c>
      <c r="AK35" s="21">
        <v>0</v>
      </c>
      <c r="AL35" s="21">
        <v>0</v>
      </c>
      <c r="AM35" s="21">
        <v>0</v>
      </c>
      <c r="AN35" s="21">
        <v>0</v>
      </c>
      <c r="AO35" s="21">
        <v>0</v>
      </c>
      <c r="AP35" s="21">
        <v>0</v>
      </c>
      <c r="AQ35" s="21">
        <v>0</v>
      </c>
      <c r="AR35" s="21">
        <v>0</v>
      </c>
      <c r="AS35" s="21">
        <v>0</v>
      </c>
      <c r="AT35" s="21">
        <v>0</v>
      </c>
      <c r="AU35" s="21">
        <v>0</v>
      </c>
      <c r="AV35" s="21">
        <v>0</v>
      </c>
      <c r="AW35" s="21">
        <v>0</v>
      </c>
      <c r="AX35" s="21">
        <v>0</v>
      </c>
      <c r="AY35" s="21">
        <v>0</v>
      </c>
    </row>
    <row r="36" spans="1:51" ht="15.95">
      <c r="A36" s="19" t="s">
        <v>210</v>
      </c>
      <c r="B36" s="19" t="s">
        <v>211</v>
      </c>
      <c r="C36" s="19" t="s">
        <v>212</v>
      </c>
      <c r="D36" s="20">
        <f t="shared" si="0"/>
        <v>0</v>
      </c>
      <c r="E36" s="21">
        <v>0</v>
      </c>
      <c r="F36" s="21">
        <v>0</v>
      </c>
      <c r="G36" s="21">
        <v>0</v>
      </c>
      <c r="H36" s="21">
        <v>0</v>
      </c>
      <c r="I36" s="21">
        <v>0</v>
      </c>
      <c r="J36" s="21">
        <v>0</v>
      </c>
      <c r="K36" s="21">
        <v>0</v>
      </c>
      <c r="L36" s="21">
        <v>0</v>
      </c>
      <c r="M36" s="21">
        <v>0</v>
      </c>
      <c r="N36" s="21">
        <v>0</v>
      </c>
      <c r="O36" s="21">
        <v>0</v>
      </c>
      <c r="P36" s="21">
        <v>0</v>
      </c>
      <c r="Q36" s="21">
        <v>0</v>
      </c>
      <c r="R36" s="21">
        <v>0</v>
      </c>
      <c r="S36" s="21">
        <v>0</v>
      </c>
      <c r="T36" s="21">
        <v>0</v>
      </c>
      <c r="U36" s="21">
        <v>0</v>
      </c>
      <c r="V36" s="21">
        <v>0</v>
      </c>
      <c r="W36" s="21">
        <v>0</v>
      </c>
      <c r="X36" s="21">
        <v>0</v>
      </c>
      <c r="Y36" s="21">
        <v>0</v>
      </c>
      <c r="Z36" s="21">
        <v>0</v>
      </c>
      <c r="AA36" s="21">
        <v>0</v>
      </c>
      <c r="AB36" s="21">
        <v>0</v>
      </c>
      <c r="AC36" s="21">
        <v>0</v>
      </c>
      <c r="AD36" s="21">
        <v>0</v>
      </c>
      <c r="AE36" s="21">
        <v>0</v>
      </c>
      <c r="AF36" s="21">
        <v>0</v>
      </c>
      <c r="AG36" s="21">
        <v>0</v>
      </c>
      <c r="AH36" s="21">
        <v>0</v>
      </c>
      <c r="AI36" s="21">
        <v>0</v>
      </c>
      <c r="AJ36" s="21">
        <v>0</v>
      </c>
      <c r="AK36" s="21">
        <v>0</v>
      </c>
      <c r="AL36" s="21">
        <v>0</v>
      </c>
      <c r="AM36" s="21">
        <v>0</v>
      </c>
      <c r="AN36" s="21">
        <v>0</v>
      </c>
      <c r="AO36" s="21">
        <v>0</v>
      </c>
      <c r="AP36" s="21">
        <v>0</v>
      </c>
      <c r="AQ36" s="21">
        <v>0</v>
      </c>
      <c r="AR36" s="21">
        <v>0</v>
      </c>
      <c r="AS36" s="21">
        <v>0</v>
      </c>
      <c r="AT36" s="21">
        <v>0</v>
      </c>
      <c r="AU36" s="21">
        <v>0</v>
      </c>
      <c r="AV36" s="21">
        <v>0</v>
      </c>
      <c r="AW36" s="21">
        <v>0</v>
      </c>
      <c r="AX36" s="21">
        <v>0</v>
      </c>
      <c r="AY36" s="21">
        <v>0</v>
      </c>
    </row>
    <row r="37" spans="1:51" ht="32.1">
      <c r="A37" s="19" t="s">
        <v>213</v>
      </c>
      <c r="B37" s="19" t="s">
        <v>214</v>
      </c>
      <c r="C37" s="19" t="s">
        <v>215</v>
      </c>
      <c r="D37" s="20">
        <f t="shared" si="0"/>
        <v>123674.55000000003</v>
      </c>
      <c r="E37" s="22">
        <v>26925.25</v>
      </c>
      <c r="F37" s="22">
        <v>14672.17</v>
      </c>
      <c r="G37" s="22">
        <v>5224.8</v>
      </c>
      <c r="H37" s="22">
        <v>9539.4</v>
      </c>
      <c r="I37" s="22">
        <v>12857.42</v>
      </c>
      <c r="J37" s="22">
        <v>14704.33</v>
      </c>
      <c r="K37" s="22">
        <v>1345.3000000000002</v>
      </c>
      <c r="L37" s="22">
        <v>3983.19</v>
      </c>
      <c r="M37" s="22">
        <v>2337.1399999999994</v>
      </c>
      <c r="N37" s="22">
        <v>255.9</v>
      </c>
      <c r="O37" s="22">
        <v>104.04</v>
      </c>
      <c r="P37" s="22">
        <v>127.51</v>
      </c>
      <c r="Q37" s="22">
        <v>205.60000000000002</v>
      </c>
      <c r="R37" s="22">
        <v>140.47999999999999</v>
      </c>
      <c r="S37" s="22">
        <v>1354.48</v>
      </c>
      <c r="T37" s="22">
        <v>7727.8</v>
      </c>
      <c r="U37" s="22">
        <v>358.44</v>
      </c>
      <c r="V37" s="22">
        <v>188.63</v>
      </c>
      <c r="W37" s="22">
        <v>108.3</v>
      </c>
      <c r="X37" s="22">
        <v>43.41</v>
      </c>
      <c r="Y37" s="22">
        <v>214.95999999999998</v>
      </c>
      <c r="Z37" s="22">
        <v>2051.21</v>
      </c>
      <c r="AA37" s="22">
        <v>251.13</v>
      </c>
      <c r="AB37" s="22">
        <v>2490.6800000000003</v>
      </c>
      <c r="AC37" s="22"/>
      <c r="AD37" s="22">
        <v>406.58</v>
      </c>
      <c r="AE37" s="22">
        <v>2253.1099999999997</v>
      </c>
      <c r="AF37" s="22">
        <v>109.57</v>
      </c>
      <c r="AG37" s="22">
        <v>165.79000000000002</v>
      </c>
      <c r="AH37" s="22">
        <v>431.26</v>
      </c>
      <c r="AI37" s="22">
        <v>484.58000000000004</v>
      </c>
      <c r="AJ37" s="22">
        <v>2643.31</v>
      </c>
      <c r="AK37" s="22">
        <v>229.77</v>
      </c>
      <c r="AL37" s="22">
        <v>1239.26</v>
      </c>
      <c r="AM37" s="22">
        <v>343.02</v>
      </c>
      <c r="AN37" s="22">
        <v>711.27</v>
      </c>
      <c r="AO37" s="22">
        <v>553.51</v>
      </c>
      <c r="AP37" s="22">
        <v>615.22</v>
      </c>
      <c r="AQ37" s="22">
        <v>196.76</v>
      </c>
      <c r="AR37" s="21"/>
      <c r="AS37" s="22">
        <v>115.97</v>
      </c>
      <c r="AT37" s="21">
        <v>170</v>
      </c>
      <c r="AU37" s="21">
        <v>280</v>
      </c>
      <c r="AV37" s="21">
        <v>200</v>
      </c>
      <c r="AW37" s="21">
        <v>2214</v>
      </c>
      <c r="AX37" s="21">
        <v>1890</v>
      </c>
      <c r="AY37" s="21">
        <v>1210</v>
      </c>
    </row>
    <row r="38" spans="1:51" ht="32.1">
      <c r="A38" s="19" t="s">
        <v>216</v>
      </c>
      <c r="B38" s="19" t="s">
        <v>217</v>
      </c>
      <c r="C38" s="19" t="s">
        <v>218</v>
      </c>
      <c r="D38" s="20">
        <f t="shared" si="0"/>
        <v>0</v>
      </c>
      <c r="E38" s="22">
        <v>0</v>
      </c>
      <c r="F38" s="22">
        <v>0</v>
      </c>
      <c r="G38" s="22">
        <v>0</v>
      </c>
      <c r="H38" s="22">
        <v>0</v>
      </c>
      <c r="I38" s="22">
        <v>0</v>
      </c>
      <c r="J38" s="22">
        <v>0</v>
      </c>
      <c r="K38" s="22">
        <v>0</v>
      </c>
      <c r="L38" s="22">
        <v>0</v>
      </c>
      <c r="M38" s="22">
        <v>0</v>
      </c>
      <c r="N38" s="22">
        <v>0</v>
      </c>
      <c r="O38" s="22">
        <v>0</v>
      </c>
      <c r="P38" s="22">
        <v>0</v>
      </c>
      <c r="Q38" s="22">
        <v>0</v>
      </c>
      <c r="R38" s="22">
        <v>0</v>
      </c>
      <c r="S38" s="22">
        <v>0</v>
      </c>
      <c r="T38" s="22">
        <v>0</v>
      </c>
      <c r="U38" s="22">
        <v>0</v>
      </c>
      <c r="V38" s="22">
        <v>0</v>
      </c>
      <c r="W38" s="22">
        <v>0</v>
      </c>
      <c r="X38" s="22">
        <v>0</v>
      </c>
      <c r="Y38" s="22">
        <v>0</v>
      </c>
      <c r="Z38" s="22">
        <v>0</v>
      </c>
      <c r="AA38" s="22">
        <v>0</v>
      </c>
      <c r="AB38" s="22">
        <v>0</v>
      </c>
      <c r="AC38" s="22">
        <v>0</v>
      </c>
      <c r="AD38" s="22">
        <v>0</v>
      </c>
      <c r="AE38" s="22">
        <v>0</v>
      </c>
      <c r="AF38" s="22">
        <v>0</v>
      </c>
      <c r="AG38" s="22">
        <v>0</v>
      </c>
      <c r="AH38" s="22">
        <v>0</v>
      </c>
      <c r="AI38" s="22">
        <v>0</v>
      </c>
      <c r="AJ38" s="22">
        <v>0</v>
      </c>
      <c r="AK38" s="22">
        <v>0</v>
      </c>
      <c r="AL38" s="22">
        <v>0</v>
      </c>
      <c r="AM38" s="22">
        <v>0</v>
      </c>
      <c r="AN38" s="22">
        <v>0</v>
      </c>
      <c r="AO38" s="22">
        <v>0</v>
      </c>
      <c r="AP38" s="22">
        <v>0</v>
      </c>
      <c r="AQ38" s="22">
        <v>0</v>
      </c>
      <c r="AR38" s="22">
        <v>0</v>
      </c>
      <c r="AS38" s="22">
        <v>0</v>
      </c>
      <c r="AT38" s="21">
        <v>0</v>
      </c>
      <c r="AU38" s="21">
        <v>0</v>
      </c>
      <c r="AV38" s="21">
        <v>0</v>
      </c>
      <c r="AW38" s="21">
        <v>0</v>
      </c>
      <c r="AX38" s="21">
        <v>0</v>
      </c>
      <c r="AY38" s="21">
        <v>0</v>
      </c>
    </row>
    <row r="39" spans="1:51" ht="48">
      <c r="A39" s="23" t="s">
        <v>216</v>
      </c>
      <c r="B39" s="19" t="s">
        <v>219</v>
      </c>
      <c r="C39" s="19" t="s">
        <v>218</v>
      </c>
      <c r="D39" s="20">
        <f t="shared" si="0"/>
        <v>0</v>
      </c>
      <c r="E39" s="22">
        <v>0</v>
      </c>
      <c r="F39" s="22">
        <v>0</v>
      </c>
      <c r="G39" s="22">
        <v>0</v>
      </c>
      <c r="H39" s="22">
        <v>0</v>
      </c>
      <c r="I39" s="22">
        <v>0</v>
      </c>
      <c r="J39" s="22">
        <v>0</v>
      </c>
      <c r="K39" s="22">
        <v>0</v>
      </c>
      <c r="L39" s="22">
        <v>0</v>
      </c>
      <c r="M39" s="22">
        <v>0</v>
      </c>
      <c r="N39" s="22">
        <v>0</v>
      </c>
      <c r="O39" s="22">
        <v>0</v>
      </c>
      <c r="P39" s="22">
        <v>0</v>
      </c>
      <c r="Q39" s="22">
        <v>0</v>
      </c>
      <c r="R39" s="22">
        <v>0</v>
      </c>
      <c r="S39" s="22">
        <v>0</v>
      </c>
      <c r="T39" s="22">
        <v>0</v>
      </c>
      <c r="U39" s="22">
        <v>0</v>
      </c>
      <c r="V39" s="22">
        <v>0</v>
      </c>
      <c r="W39" s="22">
        <v>0</v>
      </c>
      <c r="X39" s="22">
        <v>0</v>
      </c>
      <c r="Y39" s="22">
        <v>0</v>
      </c>
      <c r="Z39" s="22">
        <v>0</v>
      </c>
      <c r="AA39" s="22">
        <v>0</v>
      </c>
      <c r="AB39" s="22">
        <v>0</v>
      </c>
      <c r="AC39" s="22">
        <v>0</v>
      </c>
      <c r="AD39" s="22">
        <v>0</v>
      </c>
      <c r="AE39" s="22">
        <v>0</v>
      </c>
      <c r="AF39" s="22">
        <v>0</v>
      </c>
      <c r="AG39" s="22">
        <v>0</v>
      </c>
      <c r="AH39" s="22">
        <v>0</v>
      </c>
      <c r="AI39" s="22">
        <v>0</v>
      </c>
      <c r="AJ39" s="22">
        <v>0</v>
      </c>
      <c r="AK39" s="22">
        <v>0</v>
      </c>
      <c r="AL39" s="22">
        <v>0</v>
      </c>
      <c r="AM39" s="22">
        <v>0</v>
      </c>
      <c r="AN39" s="22">
        <v>0</v>
      </c>
      <c r="AO39" s="22">
        <v>0</v>
      </c>
      <c r="AP39" s="22">
        <v>0</v>
      </c>
      <c r="AQ39" s="22">
        <v>0</v>
      </c>
      <c r="AR39" s="22">
        <v>0</v>
      </c>
      <c r="AS39" s="22">
        <v>0</v>
      </c>
      <c r="AT39" s="21">
        <v>0</v>
      </c>
      <c r="AU39" s="21">
        <v>0</v>
      </c>
      <c r="AV39" s="21">
        <v>0</v>
      </c>
      <c r="AW39" s="21">
        <v>0</v>
      </c>
      <c r="AX39" s="21">
        <v>0</v>
      </c>
      <c r="AY39" s="21">
        <v>0</v>
      </c>
    </row>
    <row r="40" spans="1:51" ht="48">
      <c r="A40" s="23" t="s">
        <v>216</v>
      </c>
      <c r="B40" s="19" t="s">
        <v>220</v>
      </c>
      <c r="C40" s="19" t="s">
        <v>218</v>
      </c>
      <c r="D40" s="20">
        <f t="shared" si="0"/>
        <v>0</v>
      </c>
      <c r="E40" s="22">
        <v>0</v>
      </c>
      <c r="F40" s="22">
        <v>0</v>
      </c>
      <c r="G40" s="22">
        <v>0</v>
      </c>
      <c r="H40" s="22">
        <v>0</v>
      </c>
      <c r="I40" s="22">
        <v>0</v>
      </c>
      <c r="J40" s="22">
        <v>0</v>
      </c>
      <c r="K40" s="22">
        <v>0</v>
      </c>
      <c r="L40" s="22">
        <v>0</v>
      </c>
      <c r="M40" s="22">
        <v>0</v>
      </c>
      <c r="N40" s="22">
        <v>0</v>
      </c>
      <c r="O40" s="22">
        <v>0</v>
      </c>
      <c r="P40" s="22">
        <v>0</v>
      </c>
      <c r="Q40" s="22">
        <v>0</v>
      </c>
      <c r="R40" s="22">
        <v>0</v>
      </c>
      <c r="S40" s="22">
        <v>0</v>
      </c>
      <c r="T40" s="22">
        <v>0</v>
      </c>
      <c r="U40" s="22">
        <v>0</v>
      </c>
      <c r="V40" s="22">
        <v>0</v>
      </c>
      <c r="W40" s="22">
        <v>0</v>
      </c>
      <c r="X40" s="22">
        <v>0</v>
      </c>
      <c r="Y40" s="22">
        <v>0</v>
      </c>
      <c r="Z40" s="22">
        <v>0</v>
      </c>
      <c r="AA40" s="22">
        <v>0</v>
      </c>
      <c r="AB40" s="22">
        <v>0</v>
      </c>
      <c r="AC40" s="22">
        <v>0</v>
      </c>
      <c r="AD40" s="22">
        <v>0</v>
      </c>
      <c r="AE40" s="22">
        <v>0</v>
      </c>
      <c r="AF40" s="22">
        <v>0</v>
      </c>
      <c r="AG40" s="22">
        <v>0</v>
      </c>
      <c r="AH40" s="22">
        <v>0</v>
      </c>
      <c r="AI40" s="22">
        <v>0</v>
      </c>
      <c r="AJ40" s="22">
        <v>0</v>
      </c>
      <c r="AK40" s="22">
        <v>0</v>
      </c>
      <c r="AL40" s="22">
        <v>0</v>
      </c>
      <c r="AM40" s="22">
        <v>0</v>
      </c>
      <c r="AN40" s="22">
        <v>0</v>
      </c>
      <c r="AO40" s="22">
        <v>0</v>
      </c>
      <c r="AP40" s="22">
        <v>0</v>
      </c>
      <c r="AQ40" s="22">
        <v>0</v>
      </c>
      <c r="AR40" s="22">
        <v>0</v>
      </c>
      <c r="AS40" s="22">
        <v>0</v>
      </c>
      <c r="AT40" s="21">
        <v>0</v>
      </c>
      <c r="AU40" s="21">
        <v>0</v>
      </c>
      <c r="AV40" s="21">
        <v>0</v>
      </c>
      <c r="AW40" s="21">
        <v>0</v>
      </c>
      <c r="AX40" s="21">
        <v>0</v>
      </c>
      <c r="AY40" s="21">
        <v>0</v>
      </c>
    </row>
    <row r="41" spans="1:51" ht="32.1">
      <c r="A41" s="23"/>
      <c r="B41" s="19" t="s">
        <v>221</v>
      </c>
      <c r="C41" s="19" t="s">
        <v>222</v>
      </c>
      <c r="D41" s="20">
        <f t="shared" si="0"/>
        <v>1</v>
      </c>
      <c r="E41" s="22">
        <v>0</v>
      </c>
      <c r="F41" s="22">
        <v>1</v>
      </c>
      <c r="G41" s="22">
        <v>0</v>
      </c>
      <c r="H41" s="22">
        <v>0</v>
      </c>
      <c r="I41" s="22">
        <v>0</v>
      </c>
      <c r="J41" s="22">
        <v>0</v>
      </c>
      <c r="K41" s="22">
        <v>0</v>
      </c>
      <c r="L41" s="22">
        <v>0</v>
      </c>
      <c r="M41" s="22">
        <v>0</v>
      </c>
      <c r="N41" s="22">
        <v>0</v>
      </c>
      <c r="O41" s="22">
        <v>0</v>
      </c>
      <c r="P41" s="22">
        <v>0</v>
      </c>
      <c r="Q41" s="22">
        <v>0</v>
      </c>
      <c r="R41" s="22">
        <v>0</v>
      </c>
      <c r="S41" s="22">
        <v>0</v>
      </c>
      <c r="T41" s="22">
        <v>0</v>
      </c>
      <c r="U41" s="22">
        <v>0</v>
      </c>
      <c r="V41" s="22">
        <v>0</v>
      </c>
      <c r="W41" s="22">
        <v>0</v>
      </c>
      <c r="X41" s="22">
        <v>0</v>
      </c>
      <c r="Y41" s="22">
        <v>0</v>
      </c>
      <c r="Z41" s="22">
        <v>0</v>
      </c>
      <c r="AA41" s="22">
        <v>0</v>
      </c>
      <c r="AB41" s="22">
        <v>0</v>
      </c>
      <c r="AC41" s="22">
        <v>0</v>
      </c>
      <c r="AD41" s="22">
        <v>0</v>
      </c>
      <c r="AE41" s="22">
        <v>0</v>
      </c>
      <c r="AF41" s="22">
        <v>0</v>
      </c>
      <c r="AG41" s="22">
        <v>0</v>
      </c>
      <c r="AH41" s="22">
        <v>0</v>
      </c>
      <c r="AI41" s="22">
        <v>0</v>
      </c>
      <c r="AJ41" s="22">
        <v>0</v>
      </c>
      <c r="AK41" s="22">
        <v>0</v>
      </c>
      <c r="AL41" s="22">
        <v>0</v>
      </c>
      <c r="AM41" s="22">
        <v>0</v>
      </c>
      <c r="AN41" s="22">
        <v>0</v>
      </c>
      <c r="AO41" s="22">
        <v>0</v>
      </c>
      <c r="AP41" s="22">
        <v>0</v>
      </c>
      <c r="AQ41" s="22">
        <v>0</v>
      </c>
      <c r="AR41" s="22">
        <v>0</v>
      </c>
      <c r="AS41" s="22">
        <v>0</v>
      </c>
      <c r="AT41" s="21">
        <v>0</v>
      </c>
      <c r="AU41" s="21">
        <v>0</v>
      </c>
      <c r="AV41" s="21">
        <v>0</v>
      </c>
      <c r="AW41" s="21">
        <v>0</v>
      </c>
      <c r="AX41" s="21">
        <v>0</v>
      </c>
      <c r="AY41" s="21">
        <v>0</v>
      </c>
    </row>
    <row r="42" spans="1:51" ht="15.95">
      <c r="A42" s="23" t="s">
        <v>223</v>
      </c>
      <c r="B42" s="19" t="s">
        <v>224</v>
      </c>
      <c r="C42" s="19" t="s">
        <v>225</v>
      </c>
      <c r="D42" s="20">
        <f t="shared" si="0"/>
        <v>4</v>
      </c>
      <c r="E42" s="22">
        <v>0</v>
      </c>
      <c r="F42" s="22">
        <v>1</v>
      </c>
      <c r="G42" s="22">
        <v>1</v>
      </c>
      <c r="H42" s="22">
        <v>1</v>
      </c>
      <c r="I42" s="22">
        <v>1</v>
      </c>
      <c r="J42" s="22">
        <v>0</v>
      </c>
      <c r="K42" s="22">
        <v>0</v>
      </c>
      <c r="L42" s="22">
        <v>0</v>
      </c>
      <c r="M42" s="22">
        <v>0</v>
      </c>
      <c r="N42" s="22">
        <v>0</v>
      </c>
      <c r="O42" s="22">
        <v>0</v>
      </c>
      <c r="P42" s="22">
        <v>0</v>
      </c>
      <c r="Q42" s="22">
        <v>0</v>
      </c>
      <c r="R42" s="22">
        <v>0</v>
      </c>
      <c r="S42" s="22">
        <v>0</v>
      </c>
      <c r="T42" s="22">
        <v>0</v>
      </c>
      <c r="U42" s="22">
        <v>0</v>
      </c>
      <c r="V42" s="22">
        <v>0</v>
      </c>
      <c r="W42" s="22">
        <v>0</v>
      </c>
      <c r="X42" s="22">
        <v>0</v>
      </c>
      <c r="Y42" s="22">
        <v>0</v>
      </c>
      <c r="Z42" s="22">
        <v>0</v>
      </c>
      <c r="AA42" s="22">
        <v>0</v>
      </c>
      <c r="AB42" s="22">
        <v>0</v>
      </c>
      <c r="AC42" s="22">
        <v>0</v>
      </c>
      <c r="AD42" s="22">
        <v>0</v>
      </c>
      <c r="AE42" s="22">
        <v>0</v>
      </c>
      <c r="AF42" s="22">
        <v>0</v>
      </c>
      <c r="AG42" s="22">
        <v>0</v>
      </c>
      <c r="AH42" s="22">
        <v>0</v>
      </c>
      <c r="AI42" s="22">
        <v>0</v>
      </c>
      <c r="AJ42" s="22">
        <v>0</v>
      </c>
      <c r="AK42" s="22">
        <v>0</v>
      </c>
      <c r="AL42" s="22">
        <v>0</v>
      </c>
      <c r="AM42" s="22">
        <v>0</v>
      </c>
      <c r="AN42" s="22">
        <v>0</v>
      </c>
      <c r="AO42" s="22">
        <v>0</v>
      </c>
      <c r="AP42" s="22">
        <v>0</v>
      </c>
      <c r="AQ42" s="22">
        <v>0</v>
      </c>
      <c r="AR42" s="22">
        <v>0</v>
      </c>
      <c r="AS42" s="22">
        <v>0</v>
      </c>
      <c r="AT42" s="21">
        <v>0</v>
      </c>
      <c r="AU42" s="21">
        <v>0</v>
      </c>
      <c r="AV42" s="21">
        <v>0</v>
      </c>
      <c r="AW42" s="21">
        <v>0</v>
      </c>
      <c r="AX42" s="21">
        <v>0</v>
      </c>
      <c r="AY42" s="21">
        <v>0</v>
      </c>
    </row>
    <row r="43" spans="1:51" ht="32.1">
      <c r="A43" s="23"/>
      <c r="B43" s="19" t="s">
        <v>226</v>
      </c>
      <c r="C43" s="27" t="s">
        <v>227</v>
      </c>
      <c r="D43" s="20">
        <f t="shared" si="0"/>
        <v>0</v>
      </c>
      <c r="E43" s="22">
        <v>0</v>
      </c>
      <c r="F43" s="22">
        <v>0</v>
      </c>
      <c r="G43" s="22">
        <v>0</v>
      </c>
      <c r="H43" s="22">
        <v>0</v>
      </c>
      <c r="I43" s="22">
        <v>0</v>
      </c>
      <c r="J43" s="22">
        <v>0</v>
      </c>
      <c r="K43" s="22">
        <v>0</v>
      </c>
      <c r="L43" s="22">
        <v>0</v>
      </c>
      <c r="M43" s="22">
        <v>0</v>
      </c>
      <c r="N43" s="22">
        <v>0</v>
      </c>
      <c r="O43" s="22">
        <v>0</v>
      </c>
      <c r="P43" s="22">
        <v>0</v>
      </c>
      <c r="Q43" s="22">
        <v>0</v>
      </c>
      <c r="R43" s="22">
        <v>0</v>
      </c>
      <c r="S43" s="22">
        <v>0</v>
      </c>
      <c r="T43" s="22">
        <v>0</v>
      </c>
      <c r="U43" s="22">
        <v>0</v>
      </c>
      <c r="V43" s="22">
        <v>0</v>
      </c>
      <c r="W43" s="22">
        <v>0</v>
      </c>
      <c r="X43" s="22">
        <v>0</v>
      </c>
      <c r="Y43" s="22">
        <v>0</v>
      </c>
      <c r="Z43" s="22">
        <v>0</v>
      </c>
      <c r="AA43" s="22">
        <v>0</v>
      </c>
      <c r="AB43" s="22">
        <v>0</v>
      </c>
      <c r="AC43" s="22">
        <v>0</v>
      </c>
      <c r="AD43" s="22">
        <v>0</v>
      </c>
      <c r="AE43" s="22">
        <v>0</v>
      </c>
      <c r="AF43" s="22">
        <v>0</v>
      </c>
      <c r="AG43" s="22">
        <v>0</v>
      </c>
      <c r="AH43" s="22">
        <v>0</v>
      </c>
      <c r="AI43" s="22">
        <v>0</v>
      </c>
      <c r="AJ43" s="22">
        <v>0</v>
      </c>
      <c r="AK43" s="22">
        <v>0</v>
      </c>
      <c r="AL43" s="22">
        <v>0</v>
      </c>
      <c r="AM43" s="22">
        <v>0</v>
      </c>
      <c r="AN43" s="22">
        <v>0</v>
      </c>
      <c r="AO43" s="22">
        <v>0</v>
      </c>
      <c r="AP43" s="22">
        <v>0</v>
      </c>
      <c r="AQ43" s="22">
        <v>0</v>
      </c>
      <c r="AR43" s="22">
        <v>0</v>
      </c>
      <c r="AS43" s="22">
        <v>0</v>
      </c>
      <c r="AT43" s="21">
        <v>0</v>
      </c>
      <c r="AU43" s="21">
        <v>0</v>
      </c>
      <c r="AV43" s="21">
        <v>0</v>
      </c>
      <c r="AW43" s="21">
        <v>0</v>
      </c>
      <c r="AX43" s="21">
        <v>0</v>
      </c>
      <c r="AY43" s="21">
        <v>0</v>
      </c>
    </row>
    <row r="44" spans="1:51" ht="15.95">
      <c r="A44" s="23" t="s">
        <v>228</v>
      </c>
      <c r="B44" s="19" t="s">
        <v>229</v>
      </c>
      <c r="C44" s="19" t="s">
        <v>230</v>
      </c>
      <c r="D44" s="20">
        <f t="shared" si="0"/>
        <v>0</v>
      </c>
      <c r="E44" s="22">
        <v>0</v>
      </c>
      <c r="F44" s="22">
        <v>0</v>
      </c>
      <c r="G44" s="22">
        <v>0</v>
      </c>
      <c r="H44" s="22">
        <v>0</v>
      </c>
      <c r="I44" s="22">
        <v>0</v>
      </c>
      <c r="J44" s="22">
        <v>0</v>
      </c>
      <c r="K44" s="22">
        <v>0</v>
      </c>
      <c r="L44" s="22">
        <v>0</v>
      </c>
      <c r="M44" s="22">
        <v>0</v>
      </c>
      <c r="N44" s="22">
        <v>0</v>
      </c>
      <c r="O44" s="22">
        <v>0</v>
      </c>
      <c r="P44" s="22">
        <v>0</v>
      </c>
      <c r="Q44" s="22">
        <v>0</v>
      </c>
      <c r="R44" s="22">
        <v>0</v>
      </c>
      <c r="S44" s="22">
        <v>0</v>
      </c>
      <c r="T44" s="22">
        <v>0</v>
      </c>
      <c r="U44" s="22">
        <v>0</v>
      </c>
      <c r="V44" s="22">
        <v>0</v>
      </c>
      <c r="W44" s="22">
        <v>0</v>
      </c>
      <c r="X44" s="22">
        <v>0</v>
      </c>
      <c r="Y44" s="22">
        <v>0</v>
      </c>
      <c r="Z44" s="22">
        <v>0</v>
      </c>
      <c r="AA44" s="22">
        <v>0</v>
      </c>
      <c r="AB44" s="22">
        <v>0</v>
      </c>
      <c r="AC44" s="22">
        <v>0</v>
      </c>
      <c r="AD44" s="22">
        <v>0</v>
      </c>
      <c r="AE44" s="22">
        <v>0</v>
      </c>
      <c r="AF44" s="22">
        <v>0</v>
      </c>
      <c r="AG44" s="22">
        <v>0</v>
      </c>
      <c r="AH44" s="22">
        <v>0</v>
      </c>
      <c r="AI44" s="22">
        <v>0</v>
      </c>
      <c r="AJ44" s="22">
        <v>0</v>
      </c>
      <c r="AK44" s="22">
        <v>0</v>
      </c>
      <c r="AL44" s="22">
        <v>0</v>
      </c>
      <c r="AM44" s="22">
        <v>0</v>
      </c>
      <c r="AN44" s="22">
        <v>0</v>
      </c>
      <c r="AO44" s="22">
        <v>0</v>
      </c>
      <c r="AP44" s="22">
        <v>0</v>
      </c>
      <c r="AQ44" s="22">
        <v>0</v>
      </c>
      <c r="AR44" s="22">
        <v>0</v>
      </c>
      <c r="AS44" s="22">
        <v>0</v>
      </c>
      <c r="AT44" s="21">
        <v>0</v>
      </c>
      <c r="AU44" s="21">
        <v>0</v>
      </c>
      <c r="AV44" s="21">
        <v>0</v>
      </c>
      <c r="AW44" s="21">
        <v>0</v>
      </c>
      <c r="AX44" s="21">
        <v>0</v>
      </c>
      <c r="AY44" s="21">
        <v>0</v>
      </c>
    </row>
    <row r="45" spans="1:51" ht="15.95">
      <c r="A45" s="24" t="s">
        <v>231</v>
      </c>
      <c r="B45" s="25"/>
      <c r="C45" s="25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</row>
    <row r="46" spans="1:51" ht="15.95">
      <c r="A46" s="23" t="s">
        <v>232</v>
      </c>
      <c r="B46" s="19" t="s">
        <v>233</v>
      </c>
      <c r="C46" s="19" t="s">
        <v>196</v>
      </c>
      <c r="D46" s="20">
        <f t="shared" si="0"/>
        <v>123717.55000000003</v>
      </c>
      <c r="E46" s="21">
        <v>26925.25</v>
      </c>
      <c r="F46" s="21">
        <v>14672.17</v>
      </c>
      <c r="G46" s="21">
        <v>5224.8</v>
      </c>
      <c r="H46" s="21">
        <v>9539.4</v>
      </c>
      <c r="I46" s="21">
        <v>12857.42</v>
      </c>
      <c r="J46" s="21">
        <v>14704.33</v>
      </c>
      <c r="K46" s="21">
        <v>1345.3000000000002</v>
      </c>
      <c r="L46" s="21">
        <v>3983.19</v>
      </c>
      <c r="M46" s="21">
        <v>2337.1399999999994</v>
      </c>
      <c r="N46" s="21">
        <v>255.9</v>
      </c>
      <c r="O46" s="21">
        <v>104.04</v>
      </c>
      <c r="P46" s="21">
        <v>127.51</v>
      </c>
      <c r="Q46" s="21">
        <v>205.60000000000002</v>
      </c>
      <c r="R46" s="21">
        <v>140.47999999999999</v>
      </c>
      <c r="S46" s="21">
        <v>1354.48</v>
      </c>
      <c r="T46" s="21">
        <v>7727.8</v>
      </c>
      <c r="U46" s="21">
        <v>358.44</v>
      </c>
      <c r="V46" s="21">
        <v>188.63</v>
      </c>
      <c r="W46" s="21">
        <v>108.3</v>
      </c>
      <c r="X46" s="21">
        <v>43.41</v>
      </c>
      <c r="Y46" s="21">
        <v>214.95999999999998</v>
      </c>
      <c r="Z46" s="21">
        <v>2051.21</v>
      </c>
      <c r="AA46" s="21">
        <v>251.13</v>
      </c>
      <c r="AB46" s="21">
        <v>2490.6800000000003</v>
      </c>
      <c r="AC46" s="21"/>
      <c r="AD46" s="21">
        <v>406.58</v>
      </c>
      <c r="AE46" s="21">
        <v>2253.1099999999997</v>
      </c>
      <c r="AF46" s="21">
        <v>109.57</v>
      </c>
      <c r="AG46" s="21">
        <v>165.79000000000002</v>
      </c>
      <c r="AH46" s="21">
        <v>431.26</v>
      </c>
      <c r="AI46" s="21">
        <v>484.58000000000004</v>
      </c>
      <c r="AJ46" s="21">
        <v>2643.31</v>
      </c>
      <c r="AK46" s="21">
        <v>229.77</v>
      </c>
      <c r="AL46" s="21">
        <v>1239.26</v>
      </c>
      <c r="AM46" s="21">
        <v>343.02</v>
      </c>
      <c r="AN46" s="21">
        <v>711.27</v>
      </c>
      <c r="AO46" s="21">
        <v>553.51</v>
      </c>
      <c r="AP46" s="21">
        <v>615.22</v>
      </c>
      <c r="AQ46" s="21">
        <v>196.76</v>
      </c>
      <c r="AR46" s="21">
        <v>43</v>
      </c>
      <c r="AS46" s="21">
        <v>115.97</v>
      </c>
      <c r="AT46" s="21">
        <v>170</v>
      </c>
      <c r="AU46" s="21">
        <v>280</v>
      </c>
      <c r="AV46" s="21">
        <v>200</v>
      </c>
      <c r="AW46" s="21">
        <v>2214</v>
      </c>
      <c r="AX46" s="21">
        <v>1890</v>
      </c>
      <c r="AY46" s="21">
        <v>1210</v>
      </c>
    </row>
    <row r="47" spans="1:51" ht="15.95">
      <c r="A47" s="23" t="s">
        <v>234</v>
      </c>
      <c r="B47" s="19" t="s">
        <v>235</v>
      </c>
      <c r="C47" s="19" t="s">
        <v>236</v>
      </c>
      <c r="D47" s="20">
        <f t="shared" si="0"/>
        <v>168</v>
      </c>
      <c r="E47" s="21">
        <v>53</v>
      </c>
      <c r="F47" s="21">
        <v>23</v>
      </c>
      <c r="G47" s="21">
        <v>20</v>
      </c>
      <c r="H47" s="21">
        <v>20</v>
      </c>
      <c r="I47" s="21">
        <v>20</v>
      </c>
      <c r="J47" s="21">
        <v>20</v>
      </c>
      <c r="K47" s="21">
        <v>0</v>
      </c>
      <c r="L47" s="21">
        <v>12</v>
      </c>
      <c r="M47" s="21">
        <v>0</v>
      </c>
      <c r="N47" s="21">
        <v>0</v>
      </c>
      <c r="O47" s="21">
        <v>0</v>
      </c>
      <c r="P47" s="21">
        <v>0</v>
      </c>
      <c r="Q47" s="21">
        <v>0</v>
      </c>
      <c r="R47" s="21">
        <v>0</v>
      </c>
      <c r="S47" s="21">
        <v>0</v>
      </c>
      <c r="T47" s="21">
        <v>0</v>
      </c>
      <c r="U47" s="21">
        <v>0</v>
      </c>
      <c r="V47" s="21">
        <v>0</v>
      </c>
      <c r="W47" s="21">
        <v>0</v>
      </c>
      <c r="X47" s="21">
        <v>0</v>
      </c>
      <c r="Y47" s="21">
        <v>0</v>
      </c>
      <c r="Z47" s="21">
        <v>0</v>
      </c>
      <c r="AA47" s="21">
        <v>0</v>
      </c>
      <c r="AB47" s="21">
        <v>0</v>
      </c>
      <c r="AC47" s="21">
        <v>0</v>
      </c>
      <c r="AD47" s="21">
        <v>0</v>
      </c>
      <c r="AE47" s="21">
        <v>0</v>
      </c>
      <c r="AF47" s="21">
        <v>0</v>
      </c>
      <c r="AG47" s="21">
        <v>0</v>
      </c>
      <c r="AH47" s="21">
        <v>0</v>
      </c>
      <c r="AI47" s="21">
        <v>0</v>
      </c>
      <c r="AJ47" s="21">
        <v>0</v>
      </c>
      <c r="AK47" s="21">
        <v>0</v>
      </c>
      <c r="AL47" s="21">
        <v>0</v>
      </c>
      <c r="AM47" s="21">
        <v>0</v>
      </c>
      <c r="AN47" s="21">
        <v>0</v>
      </c>
      <c r="AO47" s="21">
        <v>0</v>
      </c>
      <c r="AP47" s="21">
        <v>0</v>
      </c>
      <c r="AQ47" s="21">
        <v>0</v>
      </c>
      <c r="AR47" s="21">
        <v>0</v>
      </c>
      <c r="AS47" s="21">
        <v>0</v>
      </c>
      <c r="AT47" s="21">
        <v>0</v>
      </c>
      <c r="AU47" s="21">
        <v>0</v>
      </c>
      <c r="AV47" s="21">
        <v>0</v>
      </c>
      <c r="AW47" s="21">
        <v>0</v>
      </c>
      <c r="AX47" s="21">
        <v>0</v>
      </c>
      <c r="AY47" s="21">
        <v>0</v>
      </c>
    </row>
    <row r="48" spans="1:51" ht="15.95">
      <c r="A48" s="23" t="s">
        <v>237</v>
      </c>
      <c r="B48" s="19" t="s">
        <v>238</v>
      </c>
      <c r="C48" s="19" t="s">
        <v>239</v>
      </c>
      <c r="D48" s="20">
        <f t="shared" si="0"/>
        <v>550</v>
      </c>
      <c r="E48" s="22">
        <v>219</v>
      </c>
      <c r="F48" s="22">
        <v>128</v>
      </c>
      <c r="G48" s="22">
        <v>36</v>
      </c>
      <c r="H48" s="22">
        <v>105</v>
      </c>
      <c r="I48" s="22">
        <v>62</v>
      </c>
      <c r="J48" s="22">
        <v>0</v>
      </c>
      <c r="K48" s="22">
        <v>0</v>
      </c>
      <c r="L48" s="22">
        <v>0</v>
      </c>
      <c r="M48" s="22">
        <v>0</v>
      </c>
      <c r="N48" s="22">
        <v>0</v>
      </c>
      <c r="O48" s="22">
        <v>0</v>
      </c>
      <c r="P48" s="22">
        <v>0</v>
      </c>
      <c r="Q48" s="22">
        <v>0</v>
      </c>
      <c r="R48" s="22">
        <v>0</v>
      </c>
      <c r="S48" s="22">
        <v>0</v>
      </c>
      <c r="T48" s="22">
        <v>0</v>
      </c>
      <c r="U48" s="22">
        <v>0</v>
      </c>
      <c r="V48" s="22">
        <v>0</v>
      </c>
      <c r="W48" s="22">
        <v>0</v>
      </c>
      <c r="X48" s="22">
        <v>0</v>
      </c>
      <c r="Y48" s="22">
        <v>0</v>
      </c>
      <c r="Z48" s="22">
        <v>0</v>
      </c>
      <c r="AA48" s="22">
        <v>0</v>
      </c>
      <c r="AB48" s="22">
        <v>0</v>
      </c>
      <c r="AC48" s="22">
        <v>0</v>
      </c>
      <c r="AD48" s="22">
        <v>0</v>
      </c>
      <c r="AE48" s="22">
        <v>0</v>
      </c>
      <c r="AF48" s="22">
        <v>0</v>
      </c>
      <c r="AG48" s="22">
        <v>0</v>
      </c>
      <c r="AH48" s="22">
        <v>0</v>
      </c>
      <c r="AI48" s="22">
        <v>0</v>
      </c>
      <c r="AJ48" s="22">
        <v>0</v>
      </c>
      <c r="AK48" s="22">
        <v>0</v>
      </c>
      <c r="AL48" s="22">
        <v>0</v>
      </c>
      <c r="AM48" s="22">
        <v>0</v>
      </c>
      <c r="AN48" s="22">
        <v>0</v>
      </c>
      <c r="AO48" s="22">
        <v>0</v>
      </c>
      <c r="AP48" s="22">
        <v>0</v>
      </c>
      <c r="AQ48" s="22">
        <v>0</v>
      </c>
      <c r="AR48" s="22">
        <v>0</v>
      </c>
      <c r="AS48" s="22">
        <v>0</v>
      </c>
      <c r="AT48" s="21">
        <v>0</v>
      </c>
      <c r="AU48" s="21">
        <v>0</v>
      </c>
      <c r="AV48" s="21">
        <v>0</v>
      </c>
      <c r="AW48" s="21">
        <v>0</v>
      </c>
      <c r="AX48" s="21">
        <v>0</v>
      </c>
      <c r="AY48" s="21">
        <v>0</v>
      </c>
    </row>
    <row r="49" spans="1:51" ht="15.95">
      <c r="A49" s="23" t="s">
        <v>240</v>
      </c>
      <c r="B49" s="19" t="s">
        <v>241</v>
      </c>
      <c r="C49" s="19" t="s">
        <v>242</v>
      </c>
      <c r="D49" s="20">
        <f t="shared" si="0"/>
        <v>3</v>
      </c>
      <c r="E49" s="22">
        <v>1</v>
      </c>
      <c r="F49" s="22">
        <v>1</v>
      </c>
      <c r="G49" s="22">
        <v>0</v>
      </c>
      <c r="H49" s="22">
        <v>1</v>
      </c>
      <c r="I49" s="22">
        <v>0</v>
      </c>
      <c r="J49" s="22">
        <v>0</v>
      </c>
      <c r="K49" s="22">
        <v>0</v>
      </c>
      <c r="L49" s="22">
        <v>0</v>
      </c>
      <c r="M49" s="22">
        <v>0</v>
      </c>
      <c r="N49" s="22">
        <v>0</v>
      </c>
      <c r="O49" s="22">
        <v>0</v>
      </c>
      <c r="P49" s="22">
        <v>0</v>
      </c>
      <c r="Q49" s="22">
        <v>0</v>
      </c>
      <c r="R49" s="22">
        <v>0</v>
      </c>
      <c r="S49" s="22">
        <v>0</v>
      </c>
      <c r="T49" s="22">
        <v>0</v>
      </c>
      <c r="U49" s="22">
        <v>0</v>
      </c>
      <c r="V49" s="22">
        <v>0</v>
      </c>
      <c r="W49" s="22">
        <v>0</v>
      </c>
      <c r="X49" s="22">
        <v>0</v>
      </c>
      <c r="Y49" s="22">
        <v>0</v>
      </c>
      <c r="Z49" s="22">
        <v>0</v>
      </c>
      <c r="AA49" s="22">
        <v>0</v>
      </c>
      <c r="AB49" s="22">
        <v>0</v>
      </c>
      <c r="AC49" s="22">
        <v>0</v>
      </c>
      <c r="AD49" s="22">
        <v>0</v>
      </c>
      <c r="AE49" s="22">
        <v>0</v>
      </c>
      <c r="AF49" s="22">
        <v>0</v>
      </c>
      <c r="AG49" s="22">
        <v>0</v>
      </c>
      <c r="AH49" s="22">
        <v>0</v>
      </c>
      <c r="AI49" s="22">
        <v>0</v>
      </c>
      <c r="AJ49" s="22">
        <v>0</v>
      </c>
      <c r="AK49" s="22">
        <v>0</v>
      </c>
      <c r="AL49" s="22">
        <v>0</v>
      </c>
      <c r="AM49" s="22">
        <v>0</v>
      </c>
      <c r="AN49" s="22">
        <v>0</v>
      </c>
      <c r="AO49" s="22">
        <v>0</v>
      </c>
      <c r="AP49" s="22">
        <v>0</v>
      </c>
      <c r="AQ49" s="22">
        <v>0</v>
      </c>
      <c r="AR49" s="22">
        <v>0</v>
      </c>
      <c r="AS49" s="22">
        <v>0</v>
      </c>
      <c r="AT49" s="21">
        <v>0</v>
      </c>
      <c r="AU49" s="21">
        <v>0</v>
      </c>
      <c r="AV49" s="21">
        <v>0</v>
      </c>
      <c r="AW49" s="21">
        <v>0</v>
      </c>
      <c r="AX49" s="21">
        <v>0</v>
      </c>
      <c r="AY49" s="21">
        <v>0</v>
      </c>
    </row>
    <row r="50" spans="1:51" ht="13.5" customHeight="1">
      <c r="A50" s="23" t="s">
        <v>243</v>
      </c>
      <c r="B50" s="19" t="s">
        <v>244</v>
      </c>
      <c r="C50" s="19" t="s">
        <v>245</v>
      </c>
      <c r="D50" s="20">
        <f t="shared" si="0"/>
        <v>4227.71</v>
      </c>
      <c r="E50" s="21">
        <v>0</v>
      </c>
      <c r="F50" s="21">
        <v>0</v>
      </c>
      <c r="G50" s="21">
        <v>0</v>
      </c>
      <c r="H50" s="21">
        <v>0</v>
      </c>
      <c r="I50" s="21">
        <v>0</v>
      </c>
      <c r="J50" s="21">
        <v>0</v>
      </c>
      <c r="K50" s="21">
        <v>0</v>
      </c>
      <c r="L50" s="21">
        <v>3983.19</v>
      </c>
      <c r="M50" s="21">
        <v>0</v>
      </c>
      <c r="N50" s="21">
        <v>0</v>
      </c>
      <c r="O50" s="21">
        <v>104.04</v>
      </c>
      <c r="P50" s="21">
        <v>0</v>
      </c>
      <c r="Q50" s="21">
        <v>0</v>
      </c>
      <c r="R50" s="21">
        <v>140.47999999999999</v>
      </c>
      <c r="S50" s="21">
        <v>0</v>
      </c>
      <c r="T50" s="21">
        <v>0</v>
      </c>
      <c r="U50" s="21">
        <v>0</v>
      </c>
      <c r="V50" s="21">
        <v>0</v>
      </c>
      <c r="W50" s="21">
        <v>0</v>
      </c>
      <c r="X50" s="21">
        <v>0</v>
      </c>
      <c r="Y50" s="21">
        <v>0</v>
      </c>
      <c r="Z50" s="21">
        <v>0</v>
      </c>
      <c r="AA50" s="21">
        <v>0</v>
      </c>
      <c r="AB50" s="21">
        <v>0</v>
      </c>
      <c r="AC50" s="21">
        <v>0</v>
      </c>
      <c r="AD50" s="21">
        <v>0</v>
      </c>
      <c r="AE50" s="21">
        <v>0</v>
      </c>
      <c r="AF50" s="21">
        <v>0</v>
      </c>
      <c r="AG50" s="21">
        <v>0</v>
      </c>
      <c r="AH50" s="21">
        <v>0</v>
      </c>
      <c r="AI50" s="21">
        <v>0</v>
      </c>
      <c r="AJ50" s="21">
        <v>0</v>
      </c>
      <c r="AK50" s="21">
        <v>0</v>
      </c>
      <c r="AL50" s="21">
        <v>0</v>
      </c>
      <c r="AM50" s="21">
        <v>0</v>
      </c>
      <c r="AN50" s="21">
        <v>0</v>
      </c>
      <c r="AO50" s="21">
        <v>0</v>
      </c>
      <c r="AP50" s="21">
        <v>0</v>
      </c>
      <c r="AQ50" s="21">
        <v>0</v>
      </c>
      <c r="AR50" s="21">
        <v>0</v>
      </c>
      <c r="AS50" s="21">
        <v>0</v>
      </c>
      <c r="AT50" s="21">
        <v>0</v>
      </c>
      <c r="AU50" s="21">
        <v>0</v>
      </c>
      <c r="AV50" s="21">
        <v>0</v>
      </c>
      <c r="AW50" s="21">
        <v>0</v>
      </c>
      <c r="AX50" s="21">
        <v>0</v>
      </c>
      <c r="AY50" s="21">
        <v>0</v>
      </c>
    </row>
    <row r="51" spans="1:51" ht="15.95">
      <c r="A51" s="23" t="s">
        <v>246</v>
      </c>
      <c r="B51" s="19" t="s">
        <v>247</v>
      </c>
      <c r="C51" s="19" t="s">
        <v>248</v>
      </c>
      <c r="D51" s="20">
        <f t="shared" si="0"/>
        <v>0</v>
      </c>
      <c r="E51" s="22">
        <v>0</v>
      </c>
      <c r="F51" s="22">
        <v>0</v>
      </c>
      <c r="G51" s="22">
        <v>0</v>
      </c>
      <c r="H51" s="22">
        <v>0</v>
      </c>
      <c r="I51" s="22">
        <v>0</v>
      </c>
      <c r="J51" s="22">
        <v>0</v>
      </c>
      <c r="K51" s="22">
        <v>0</v>
      </c>
      <c r="L51" s="22">
        <v>0</v>
      </c>
      <c r="M51" s="22">
        <v>0</v>
      </c>
      <c r="N51" s="22">
        <v>0</v>
      </c>
      <c r="O51" s="22">
        <v>0</v>
      </c>
      <c r="P51" s="22">
        <v>0</v>
      </c>
      <c r="Q51" s="22">
        <v>0</v>
      </c>
      <c r="R51" s="22">
        <v>0</v>
      </c>
      <c r="S51" s="22">
        <v>0</v>
      </c>
      <c r="T51" s="22">
        <v>0</v>
      </c>
      <c r="U51" s="22">
        <v>0</v>
      </c>
      <c r="V51" s="22">
        <v>0</v>
      </c>
      <c r="W51" s="22">
        <v>0</v>
      </c>
      <c r="X51" s="22">
        <v>0</v>
      </c>
      <c r="Y51" s="22">
        <v>0</v>
      </c>
      <c r="Z51" s="22">
        <v>0</v>
      </c>
      <c r="AA51" s="22">
        <v>0</v>
      </c>
      <c r="AB51" s="22">
        <v>0</v>
      </c>
      <c r="AC51" s="22">
        <v>0</v>
      </c>
      <c r="AD51" s="22">
        <v>0</v>
      </c>
      <c r="AE51" s="22">
        <v>0</v>
      </c>
      <c r="AF51" s="22">
        <v>0</v>
      </c>
      <c r="AG51" s="22">
        <v>0</v>
      </c>
      <c r="AH51" s="22">
        <v>0</v>
      </c>
      <c r="AI51" s="22">
        <v>0</v>
      </c>
      <c r="AJ51" s="22">
        <v>0</v>
      </c>
      <c r="AK51" s="22">
        <v>0</v>
      </c>
      <c r="AL51" s="22">
        <v>0</v>
      </c>
      <c r="AM51" s="22">
        <v>0</v>
      </c>
      <c r="AN51" s="22">
        <v>0</v>
      </c>
      <c r="AO51" s="22">
        <v>0</v>
      </c>
      <c r="AP51" s="22">
        <v>0</v>
      </c>
      <c r="AQ51" s="22">
        <v>0</v>
      </c>
      <c r="AR51" s="22">
        <v>0</v>
      </c>
      <c r="AS51" s="22">
        <v>0</v>
      </c>
      <c r="AT51" s="21">
        <v>0</v>
      </c>
      <c r="AU51" s="21">
        <v>0</v>
      </c>
      <c r="AV51" s="21">
        <v>0</v>
      </c>
      <c r="AW51" s="21">
        <v>0</v>
      </c>
      <c r="AX51" s="21">
        <v>0</v>
      </c>
      <c r="AY51" s="21">
        <v>0</v>
      </c>
    </row>
    <row r="52" spans="1:51" ht="15.95">
      <c r="A52" s="23" t="s">
        <v>249</v>
      </c>
      <c r="B52" s="19" t="s">
        <v>250</v>
      </c>
      <c r="C52" s="19" t="s">
        <v>236</v>
      </c>
      <c r="D52" s="20">
        <f t="shared" si="0"/>
        <v>0</v>
      </c>
      <c r="E52" s="22">
        <v>0</v>
      </c>
      <c r="F52" s="22">
        <v>0</v>
      </c>
      <c r="G52" s="22">
        <v>0</v>
      </c>
      <c r="H52" s="22">
        <v>0</v>
      </c>
      <c r="I52" s="22">
        <v>0</v>
      </c>
      <c r="J52" s="22">
        <v>0</v>
      </c>
      <c r="K52" s="22">
        <v>0</v>
      </c>
      <c r="L52" s="22">
        <v>0</v>
      </c>
      <c r="M52" s="22">
        <v>0</v>
      </c>
      <c r="N52" s="22">
        <v>0</v>
      </c>
      <c r="O52" s="22">
        <v>0</v>
      </c>
      <c r="P52" s="22">
        <v>0</v>
      </c>
      <c r="Q52" s="22">
        <v>0</v>
      </c>
      <c r="R52" s="22">
        <v>0</v>
      </c>
      <c r="S52" s="22">
        <v>0</v>
      </c>
      <c r="T52" s="22">
        <v>0</v>
      </c>
      <c r="U52" s="22">
        <v>0</v>
      </c>
      <c r="V52" s="22">
        <v>0</v>
      </c>
      <c r="W52" s="22">
        <v>0</v>
      </c>
      <c r="X52" s="22">
        <v>0</v>
      </c>
      <c r="Y52" s="22">
        <v>0</v>
      </c>
      <c r="Z52" s="22">
        <v>0</v>
      </c>
      <c r="AA52" s="22">
        <v>0</v>
      </c>
      <c r="AB52" s="22">
        <v>0</v>
      </c>
      <c r="AC52" s="22">
        <v>0</v>
      </c>
      <c r="AD52" s="22">
        <v>0</v>
      </c>
      <c r="AE52" s="22">
        <v>0</v>
      </c>
      <c r="AF52" s="22">
        <v>0</v>
      </c>
      <c r="AG52" s="22">
        <v>0</v>
      </c>
      <c r="AH52" s="22">
        <v>0</v>
      </c>
      <c r="AI52" s="22">
        <v>0</v>
      </c>
      <c r="AJ52" s="22">
        <v>0</v>
      </c>
      <c r="AK52" s="22">
        <v>0</v>
      </c>
      <c r="AL52" s="22">
        <v>0</v>
      </c>
      <c r="AM52" s="22">
        <v>0</v>
      </c>
      <c r="AN52" s="22">
        <v>0</v>
      </c>
      <c r="AO52" s="22">
        <v>0</v>
      </c>
      <c r="AP52" s="22">
        <v>0</v>
      </c>
      <c r="AQ52" s="22">
        <v>0</v>
      </c>
      <c r="AR52" s="22">
        <v>0</v>
      </c>
      <c r="AS52" s="22">
        <v>0</v>
      </c>
      <c r="AT52" s="21">
        <v>0</v>
      </c>
      <c r="AU52" s="21">
        <v>0</v>
      </c>
      <c r="AV52" s="21">
        <v>0</v>
      </c>
      <c r="AW52" s="21">
        <v>0</v>
      </c>
      <c r="AX52" s="21">
        <v>0</v>
      </c>
      <c r="AY52" s="21">
        <v>0</v>
      </c>
    </row>
    <row r="53" spans="1:51" ht="15.95">
      <c r="A53" s="23" t="s">
        <v>251</v>
      </c>
      <c r="B53" s="19" t="s">
        <v>252</v>
      </c>
      <c r="C53" s="19" t="s">
        <v>253</v>
      </c>
      <c r="D53" s="20">
        <f t="shared" si="0"/>
        <v>14</v>
      </c>
      <c r="E53" s="21">
        <v>3</v>
      </c>
      <c r="F53" s="21">
        <v>2</v>
      </c>
      <c r="G53" s="21">
        <v>2</v>
      </c>
      <c r="H53" s="21">
        <v>2</v>
      </c>
      <c r="I53" s="21">
        <v>2</v>
      </c>
      <c r="J53" s="21">
        <v>2</v>
      </c>
      <c r="K53" s="21">
        <v>0</v>
      </c>
      <c r="L53" s="21">
        <v>0</v>
      </c>
      <c r="M53" s="21">
        <v>1</v>
      </c>
      <c r="N53" s="21">
        <v>0</v>
      </c>
      <c r="O53" s="21">
        <v>0</v>
      </c>
      <c r="P53" s="21">
        <v>0</v>
      </c>
      <c r="Q53" s="21">
        <v>0</v>
      </c>
      <c r="R53" s="21">
        <v>0</v>
      </c>
      <c r="S53" s="21">
        <v>0</v>
      </c>
      <c r="T53" s="21">
        <v>0</v>
      </c>
      <c r="U53" s="21">
        <v>0</v>
      </c>
      <c r="V53" s="21">
        <v>0</v>
      </c>
      <c r="W53" s="21">
        <v>0</v>
      </c>
      <c r="X53" s="21">
        <v>0</v>
      </c>
      <c r="Y53" s="21">
        <v>0</v>
      </c>
      <c r="Z53" s="21">
        <v>0</v>
      </c>
      <c r="AA53" s="21">
        <v>0</v>
      </c>
      <c r="AB53" s="21">
        <v>0</v>
      </c>
      <c r="AC53" s="21">
        <v>0</v>
      </c>
      <c r="AD53" s="21">
        <v>0</v>
      </c>
      <c r="AE53" s="21">
        <v>0</v>
      </c>
      <c r="AF53" s="21">
        <v>0</v>
      </c>
      <c r="AG53" s="21">
        <v>0</v>
      </c>
      <c r="AH53" s="21">
        <v>0</v>
      </c>
      <c r="AI53" s="21">
        <v>0</v>
      </c>
      <c r="AJ53" s="21">
        <v>0</v>
      </c>
      <c r="AK53" s="21">
        <v>0</v>
      </c>
      <c r="AL53" s="21">
        <v>0</v>
      </c>
      <c r="AM53" s="21">
        <v>0</v>
      </c>
      <c r="AN53" s="21">
        <v>0</v>
      </c>
      <c r="AO53" s="21">
        <v>0</v>
      </c>
      <c r="AP53" s="21">
        <v>0</v>
      </c>
      <c r="AQ53" s="21">
        <v>0</v>
      </c>
      <c r="AR53" s="21">
        <v>0</v>
      </c>
      <c r="AS53" s="21">
        <v>0</v>
      </c>
      <c r="AT53" s="21">
        <v>0</v>
      </c>
      <c r="AU53" s="21">
        <v>0</v>
      </c>
      <c r="AV53" s="21">
        <v>0</v>
      </c>
      <c r="AW53" s="21">
        <v>0</v>
      </c>
      <c r="AX53" s="21">
        <v>0</v>
      </c>
      <c r="AY53" s="21">
        <v>0</v>
      </c>
    </row>
    <row r="54" spans="1:51" ht="15.95">
      <c r="A54" s="23" t="s">
        <v>254</v>
      </c>
      <c r="B54" s="19" t="s">
        <v>255</v>
      </c>
      <c r="C54" s="19" t="s">
        <v>256</v>
      </c>
      <c r="D54" s="20">
        <f t="shared" si="0"/>
        <v>2</v>
      </c>
      <c r="E54" s="21">
        <v>1</v>
      </c>
      <c r="F54" s="21">
        <v>1</v>
      </c>
      <c r="G54" s="21">
        <v>0</v>
      </c>
      <c r="H54" s="21">
        <v>0</v>
      </c>
      <c r="I54" s="21">
        <v>0</v>
      </c>
      <c r="J54" s="21">
        <v>0</v>
      </c>
      <c r="K54" s="21">
        <v>0</v>
      </c>
      <c r="L54" s="21">
        <v>0</v>
      </c>
      <c r="M54" s="21">
        <v>0</v>
      </c>
      <c r="N54" s="21">
        <v>0</v>
      </c>
      <c r="O54" s="21">
        <v>0</v>
      </c>
      <c r="P54" s="21">
        <v>0</v>
      </c>
      <c r="Q54" s="21">
        <v>0</v>
      </c>
      <c r="R54" s="21">
        <v>0</v>
      </c>
      <c r="S54" s="21">
        <v>0</v>
      </c>
      <c r="T54" s="21">
        <v>0</v>
      </c>
      <c r="U54" s="21">
        <v>0</v>
      </c>
      <c r="V54" s="21">
        <v>0</v>
      </c>
      <c r="W54" s="21">
        <v>0</v>
      </c>
      <c r="X54" s="21">
        <v>0</v>
      </c>
      <c r="Y54" s="21">
        <v>0</v>
      </c>
      <c r="Z54" s="21">
        <v>0</v>
      </c>
      <c r="AA54" s="21">
        <v>0</v>
      </c>
      <c r="AB54" s="21">
        <v>0</v>
      </c>
      <c r="AC54" s="21">
        <v>0</v>
      </c>
      <c r="AD54" s="21">
        <v>0</v>
      </c>
      <c r="AE54" s="21">
        <v>0</v>
      </c>
      <c r="AF54" s="21">
        <v>0</v>
      </c>
      <c r="AG54" s="21">
        <v>0</v>
      </c>
      <c r="AH54" s="21">
        <v>0</v>
      </c>
      <c r="AI54" s="21">
        <v>0</v>
      </c>
      <c r="AJ54" s="21">
        <v>0</v>
      </c>
      <c r="AK54" s="21">
        <v>0</v>
      </c>
      <c r="AL54" s="21">
        <v>0</v>
      </c>
      <c r="AM54" s="21">
        <v>0</v>
      </c>
      <c r="AN54" s="21">
        <v>0</v>
      </c>
      <c r="AO54" s="21">
        <v>0</v>
      </c>
      <c r="AP54" s="21">
        <v>0</v>
      </c>
      <c r="AQ54" s="21">
        <v>0</v>
      </c>
      <c r="AR54" s="21">
        <v>0</v>
      </c>
      <c r="AS54" s="21">
        <v>0</v>
      </c>
      <c r="AT54" s="21">
        <v>0</v>
      </c>
      <c r="AU54" s="21">
        <v>0</v>
      </c>
      <c r="AV54" s="21">
        <v>0</v>
      </c>
      <c r="AW54" s="21">
        <v>0</v>
      </c>
      <c r="AX54" s="21">
        <v>0</v>
      </c>
      <c r="AY54" s="21">
        <v>0</v>
      </c>
    </row>
    <row r="55" spans="1:51" ht="15.95">
      <c r="A55" s="23" t="s">
        <v>257</v>
      </c>
      <c r="B55" s="19" t="s">
        <v>258</v>
      </c>
      <c r="C55" s="19" t="s">
        <v>259</v>
      </c>
      <c r="D55" s="20">
        <f t="shared" si="0"/>
        <v>5</v>
      </c>
      <c r="E55" s="21">
        <v>0</v>
      </c>
      <c r="F55" s="21">
        <v>0</v>
      </c>
      <c r="G55" s="21">
        <v>1</v>
      </c>
      <c r="H55" s="21">
        <v>0</v>
      </c>
      <c r="I55" s="21">
        <v>0</v>
      </c>
      <c r="J55" s="21">
        <v>2</v>
      </c>
      <c r="K55" s="21">
        <v>1</v>
      </c>
      <c r="L55" s="21">
        <v>0</v>
      </c>
      <c r="M55" s="21">
        <v>0</v>
      </c>
      <c r="N55" s="21">
        <v>0</v>
      </c>
      <c r="O55" s="21">
        <v>0</v>
      </c>
      <c r="P55" s="21">
        <v>0</v>
      </c>
      <c r="Q55" s="21">
        <v>0</v>
      </c>
      <c r="R55" s="21">
        <v>0</v>
      </c>
      <c r="S55" s="21">
        <v>0</v>
      </c>
      <c r="T55" s="21">
        <v>0</v>
      </c>
      <c r="U55" s="21">
        <v>0</v>
      </c>
      <c r="V55" s="21">
        <v>0</v>
      </c>
      <c r="W55" s="21">
        <v>0</v>
      </c>
      <c r="X55" s="21">
        <v>0</v>
      </c>
      <c r="Y55" s="21">
        <v>0</v>
      </c>
      <c r="Z55" s="21">
        <v>0</v>
      </c>
      <c r="AA55" s="21">
        <v>0</v>
      </c>
      <c r="AB55" s="21">
        <v>0</v>
      </c>
      <c r="AC55" s="21">
        <v>1</v>
      </c>
      <c r="AD55" s="21">
        <v>0</v>
      </c>
      <c r="AE55" s="21">
        <v>0</v>
      </c>
      <c r="AF55" s="21">
        <v>0</v>
      </c>
      <c r="AG55" s="21">
        <v>0</v>
      </c>
      <c r="AH55" s="21">
        <v>0</v>
      </c>
      <c r="AI55" s="21">
        <v>0</v>
      </c>
      <c r="AJ55" s="21">
        <v>0</v>
      </c>
      <c r="AK55" s="21">
        <v>0</v>
      </c>
      <c r="AL55" s="21">
        <v>0</v>
      </c>
      <c r="AM55" s="21">
        <v>0</v>
      </c>
      <c r="AN55" s="21">
        <v>0</v>
      </c>
      <c r="AO55" s="21">
        <v>0</v>
      </c>
      <c r="AP55" s="21">
        <v>0</v>
      </c>
      <c r="AQ55" s="21">
        <v>0</v>
      </c>
      <c r="AR55" s="21">
        <v>0</v>
      </c>
      <c r="AS55" s="21">
        <v>0</v>
      </c>
      <c r="AT55" s="21">
        <v>0</v>
      </c>
      <c r="AU55" s="21">
        <v>0</v>
      </c>
      <c r="AV55" s="21">
        <v>0</v>
      </c>
      <c r="AW55" s="21">
        <v>0</v>
      </c>
      <c r="AX55" s="21">
        <v>0</v>
      </c>
      <c r="AY55" s="21">
        <v>0</v>
      </c>
    </row>
    <row r="56" spans="1:51" ht="15.95">
      <c r="A56" s="23" t="s">
        <v>257</v>
      </c>
      <c r="B56" s="19" t="s">
        <v>260</v>
      </c>
      <c r="C56" s="19" t="s">
        <v>259</v>
      </c>
      <c r="D56" s="20">
        <f t="shared" si="0"/>
        <v>3</v>
      </c>
      <c r="E56" s="22">
        <v>0</v>
      </c>
      <c r="F56" s="22">
        <v>1</v>
      </c>
      <c r="G56" s="22">
        <v>0</v>
      </c>
      <c r="H56" s="22">
        <v>1</v>
      </c>
      <c r="I56" s="22">
        <v>1</v>
      </c>
      <c r="J56" s="22">
        <v>0</v>
      </c>
      <c r="K56" s="22">
        <v>0</v>
      </c>
      <c r="L56" s="22">
        <v>0</v>
      </c>
      <c r="M56" s="22">
        <v>0</v>
      </c>
      <c r="N56" s="22">
        <v>0</v>
      </c>
      <c r="O56" s="22">
        <v>0</v>
      </c>
      <c r="P56" s="22">
        <v>0</v>
      </c>
      <c r="Q56" s="22">
        <v>0</v>
      </c>
      <c r="R56" s="22">
        <v>0</v>
      </c>
      <c r="S56" s="22">
        <v>0</v>
      </c>
      <c r="T56" s="22">
        <v>0</v>
      </c>
      <c r="U56" s="22">
        <v>0</v>
      </c>
      <c r="V56" s="22">
        <v>0</v>
      </c>
      <c r="W56" s="22">
        <v>0</v>
      </c>
      <c r="X56" s="22">
        <v>0</v>
      </c>
      <c r="Y56" s="22">
        <v>0</v>
      </c>
      <c r="Z56" s="22">
        <v>0</v>
      </c>
      <c r="AA56" s="22">
        <v>0</v>
      </c>
      <c r="AB56" s="22">
        <v>0</v>
      </c>
      <c r="AC56" s="22">
        <v>0</v>
      </c>
      <c r="AD56" s="22">
        <v>0</v>
      </c>
      <c r="AE56" s="22">
        <v>0</v>
      </c>
      <c r="AF56" s="22">
        <v>0</v>
      </c>
      <c r="AG56" s="22">
        <v>0</v>
      </c>
      <c r="AH56" s="22">
        <v>0</v>
      </c>
      <c r="AI56" s="22">
        <v>0</v>
      </c>
      <c r="AJ56" s="22">
        <v>0</v>
      </c>
      <c r="AK56" s="22">
        <v>0</v>
      </c>
      <c r="AL56" s="22">
        <v>0</v>
      </c>
      <c r="AM56" s="22">
        <v>0</v>
      </c>
      <c r="AN56" s="22">
        <v>0</v>
      </c>
      <c r="AO56" s="22">
        <v>0</v>
      </c>
      <c r="AP56" s="22">
        <v>0</v>
      </c>
      <c r="AQ56" s="22">
        <v>0</v>
      </c>
      <c r="AR56" s="22">
        <v>0</v>
      </c>
      <c r="AS56" s="22">
        <v>0</v>
      </c>
      <c r="AT56" s="21">
        <v>0</v>
      </c>
      <c r="AU56" s="21">
        <v>0</v>
      </c>
      <c r="AV56" s="21">
        <v>0</v>
      </c>
      <c r="AW56" s="21">
        <v>0</v>
      </c>
      <c r="AX56" s="21">
        <v>0</v>
      </c>
      <c r="AY56" s="21">
        <v>0</v>
      </c>
    </row>
    <row r="57" spans="1:51" ht="15.95">
      <c r="A57" s="23" t="s">
        <v>257</v>
      </c>
      <c r="B57" s="19" t="s">
        <v>261</v>
      </c>
      <c r="C57" s="19" t="s">
        <v>259</v>
      </c>
      <c r="D57" s="20">
        <f t="shared" si="0"/>
        <v>1</v>
      </c>
      <c r="E57" s="21">
        <v>1</v>
      </c>
      <c r="F57" s="21">
        <v>0</v>
      </c>
      <c r="G57" s="21">
        <v>0</v>
      </c>
      <c r="H57" s="21">
        <v>0</v>
      </c>
      <c r="I57" s="21">
        <v>0</v>
      </c>
      <c r="J57" s="21">
        <v>0</v>
      </c>
      <c r="K57" s="21">
        <v>0</v>
      </c>
      <c r="L57" s="21">
        <v>0</v>
      </c>
      <c r="M57" s="21">
        <v>0</v>
      </c>
      <c r="N57" s="21">
        <v>0</v>
      </c>
      <c r="O57" s="21">
        <v>0</v>
      </c>
      <c r="P57" s="21">
        <v>0</v>
      </c>
      <c r="Q57" s="21">
        <v>0</v>
      </c>
      <c r="R57" s="21">
        <v>0</v>
      </c>
      <c r="S57" s="21">
        <v>0</v>
      </c>
      <c r="T57" s="21">
        <v>0</v>
      </c>
      <c r="U57" s="21">
        <v>0</v>
      </c>
      <c r="V57" s="21">
        <v>0</v>
      </c>
      <c r="W57" s="21">
        <v>0</v>
      </c>
      <c r="X57" s="21">
        <v>0</v>
      </c>
      <c r="Y57" s="21">
        <v>0</v>
      </c>
      <c r="Z57" s="21">
        <v>0</v>
      </c>
      <c r="AA57" s="21">
        <v>0</v>
      </c>
      <c r="AB57" s="21">
        <v>0</v>
      </c>
      <c r="AC57" s="21">
        <v>0</v>
      </c>
      <c r="AD57" s="21">
        <v>0</v>
      </c>
      <c r="AE57" s="21">
        <v>0</v>
      </c>
      <c r="AF57" s="21">
        <v>0</v>
      </c>
      <c r="AG57" s="21">
        <v>0</v>
      </c>
      <c r="AH57" s="21">
        <v>0</v>
      </c>
      <c r="AI57" s="21">
        <v>0</v>
      </c>
      <c r="AJ57" s="21">
        <v>0</v>
      </c>
      <c r="AK57" s="21">
        <v>0</v>
      </c>
      <c r="AL57" s="21">
        <v>0</v>
      </c>
      <c r="AM57" s="21">
        <v>0</v>
      </c>
      <c r="AN57" s="21">
        <v>0</v>
      </c>
      <c r="AO57" s="21">
        <v>0</v>
      </c>
      <c r="AP57" s="21">
        <v>0</v>
      </c>
      <c r="AQ57" s="21">
        <v>0</v>
      </c>
      <c r="AR57" s="21">
        <v>0</v>
      </c>
      <c r="AS57" s="21">
        <v>0</v>
      </c>
      <c r="AT57" s="21">
        <v>0</v>
      </c>
      <c r="AU57" s="21">
        <v>0</v>
      </c>
      <c r="AV57" s="21">
        <v>0</v>
      </c>
      <c r="AW57" s="21">
        <v>0</v>
      </c>
      <c r="AX57" s="21">
        <v>0</v>
      </c>
      <c r="AY57" s="21">
        <v>0</v>
      </c>
    </row>
    <row r="58" spans="1:51" ht="15.95">
      <c r="A58" s="23" t="s">
        <v>262</v>
      </c>
      <c r="B58" s="19" t="s">
        <v>263</v>
      </c>
      <c r="C58" s="19" t="s">
        <v>259</v>
      </c>
      <c r="D58" s="20">
        <f t="shared" si="0"/>
        <v>2</v>
      </c>
      <c r="E58" s="21">
        <v>2</v>
      </c>
      <c r="F58" s="21">
        <v>0</v>
      </c>
      <c r="G58" s="21">
        <v>0</v>
      </c>
      <c r="H58" s="21">
        <v>0</v>
      </c>
      <c r="I58" s="21">
        <v>0</v>
      </c>
      <c r="J58" s="21">
        <v>0</v>
      </c>
      <c r="K58" s="21">
        <v>0</v>
      </c>
      <c r="L58" s="21">
        <v>0</v>
      </c>
      <c r="M58" s="21">
        <v>0</v>
      </c>
      <c r="N58" s="21">
        <v>0</v>
      </c>
      <c r="O58" s="21">
        <v>0</v>
      </c>
      <c r="P58" s="21">
        <v>0</v>
      </c>
      <c r="Q58" s="21">
        <v>0</v>
      </c>
      <c r="R58" s="21">
        <v>0</v>
      </c>
      <c r="S58" s="21">
        <v>0</v>
      </c>
      <c r="T58" s="21">
        <v>0</v>
      </c>
      <c r="U58" s="21">
        <v>0</v>
      </c>
      <c r="V58" s="21">
        <v>0</v>
      </c>
      <c r="W58" s="21">
        <v>0</v>
      </c>
      <c r="X58" s="21">
        <v>0</v>
      </c>
      <c r="Y58" s="21">
        <v>0</v>
      </c>
      <c r="Z58" s="21">
        <v>0</v>
      </c>
      <c r="AA58" s="21">
        <v>0</v>
      </c>
      <c r="AB58" s="21">
        <v>0</v>
      </c>
      <c r="AC58" s="21">
        <v>0</v>
      </c>
      <c r="AD58" s="21">
        <v>0</v>
      </c>
      <c r="AE58" s="21">
        <v>0</v>
      </c>
      <c r="AF58" s="21">
        <v>0</v>
      </c>
      <c r="AG58" s="21">
        <v>0</v>
      </c>
      <c r="AH58" s="21">
        <v>0</v>
      </c>
      <c r="AI58" s="21">
        <v>0</v>
      </c>
      <c r="AJ58" s="21">
        <v>0</v>
      </c>
      <c r="AK58" s="21">
        <v>0</v>
      </c>
      <c r="AL58" s="21">
        <v>0</v>
      </c>
      <c r="AM58" s="21">
        <v>0</v>
      </c>
      <c r="AN58" s="21">
        <v>0</v>
      </c>
      <c r="AO58" s="21">
        <v>0</v>
      </c>
      <c r="AP58" s="21">
        <v>0</v>
      </c>
      <c r="AQ58" s="21">
        <v>0</v>
      </c>
      <c r="AR58" s="21">
        <v>0</v>
      </c>
      <c r="AS58" s="21">
        <v>0</v>
      </c>
      <c r="AT58" s="21">
        <v>0</v>
      </c>
      <c r="AU58" s="21">
        <v>0</v>
      </c>
      <c r="AV58" s="21">
        <v>0</v>
      </c>
      <c r="AW58" s="21">
        <v>0</v>
      </c>
      <c r="AX58" s="21">
        <v>0</v>
      </c>
      <c r="AY58" s="21">
        <v>0</v>
      </c>
    </row>
    <row r="59" spans="1:51" ht="15.95">
      <c r="A59" s="23"/>
      <c r="B59" s="19" t="s">
        <v>264</v>
      </c>
      <c r="C59" s="19" t="s">
        <v>265</v>
      </c>
      <c r="D59" s="20">
        <f t="shared" si="0"/>
        <v>17</v>
      </c>
      <c r="E59" s="21">
        <v>3</v>
      </c>
      <c r="F59" s="21">
        <v>2</v>
      </c>
      <c r="G59" s="21">
        <v>2</v>
      </c>
      <c r="H59" s="21">
        <v>0</v>
      </c>
      <c r="I59" s="21">
        <v>2</v>
      </c>
      <c r="J59" s="21">
        <v>1</v>
      </c>
      <c r="K59" s="21">
        <v>1</v>
      </c>
      <c r="L59" s="21">
        <v>0</v>
      </c>
      <c r="M59" s="21">
        <v>2</v>
      </c>
      <c r="N59" s="21">
        <v>0</v>
      </c>
      <c r="O59" s="21">
        <v>0</v>
      </c>
      <c r="P59" s="21">
        <v>0</v>
      </c>
      <c r="Q59" s="21">
        <v>0</v>
      </c>
      <c r="R59" s="21">
        <v>0</v>
      </c>
      <c r="S59" s="21">
        <v>1</v>
      </c>
      <c r="T59" s="21">
        <v>1</v>
      </c>
      <c r="U59" s="21">
        <v>0</v>
      </c>
      <c r="V59" s="21">
        <v>0</v>
      </c>
      <c r="W59" s="21">
        <v>0</v>
      </c>
      <c r="X59" s="21">
        <v>0</v>
      </c>
      <c r="Y59" s="21">
        <v>0</v>
      </c>
      <c r="Z59" s="21">
        <v>0</v>
      </c>
      <c r="AA59" s="21">
        <v>0</v>
      </c>
      <c r="AB59" s="21">
        <v>0</v>
      </c>
      <c r="AC59" s="21">
        <v>1</v>
      </c>
      <c r="AD59" s="21">
        <v>0</v>
      </c>
      <c r="AE59" s="21">
        <v>0</v>
      </c>
      <c r="AF59" s="21">
        <v>0</v>
      </c>
      <c r="AG59" s="21">
        <v>0</v>
      </c>
      <c r="AH59" s="21">
        <v>0</v>
      </c>
      <c r="AI59" s="21">
        <v>0</v>
      </c>
      <c r="AJ59" s="21">
        <v>0</v>
      </c>
      <c r="AK59" s="21">
        <v>0</v>
      </c>
      <c r="AL59" s="21">
        <v>0</v>
      </c>
      <c r="AM59" s="21">
        <v>0</v>
      </c>
      <c r="AN59" s="21">
        <v>0</v>
      </c>
      <c r="AO59" s="21">
        <v>0</v>
      </c>
      <c r="AP59" s="21">
        <v>1</v>
      </c>
      <c r="AQ59" s="21">
        <v>0</v>
      </c>
      <c r="AR59" s="21">
        <v>0</v>
      </c>
      <c r="AS59" s="21">
        <v>0</v>
      </c>
      <c r="AT59" s="21">
        <v>0</v>
      </c>
      <c r="AU59" s="21">
        <v>0</v>
      </c>
      <c r="AV59" s="21">
        <v>0</v>
      </c>
      <c r="AW59" s="21">
        <v>0</v>
      </c>
      <c r="AX59" s="21">
        <v>0</v>
      </c>
      <c r="AY59" s="21">
        <v>0</v>
      </c>
    </row>
    <row r="60" spans="1:51" ht="15.95">
      <c r="A60" s="23" t="s">
        <v>262</v>
      </c>
      <c r="B60" s="19" t="s">
        <v>266</v>
      </c>
      <c r="C60" s="19" t="s">
        <v>265</v>
      </c>
      <c r="D60" s="20">
        <f t="shared" si="0"/>
        <v>17</v>
      </c>
      <c r="E60" s="21">
        <v>3</v>
      </c>
      <c r="F60" s="21">
        <v>2</v>
      </c>
      <c r="G60" s="21">
        <v>2</v>
      </c>
      <c r="H60" s="21">
        <v>0</v>
      </c>
      <c r="I60" s="21">
        <v>2</v>
      </c>
      <c r="J60" s="21">
        <v>1</v>
      </c>
      <c r="K60" s="21">
        <v>1</v>
      </c>
      <c r="L60" s="21">
        <v>0</v>
      </c>
      <c r="M60" s="21">
        <v>2</v>
      </c>
      <c r="N60" s="21">
        <v>0</v>
      </c>
      <c r="O60" s="21">
        <v>0</v>
      </c>
      <c r="P60" s="21">
        <v>0</v>
      </c>
      <c r="Q60" s="21">
        <v>0</v>
      </c>
      <c r="R60" s="21">
        <v>0</v>
      </c>
      <c r="S60" s="21">
        <v>1</v>
      </c>
      <c r="T60" s="21">
        <v>1</v>
      </c>
      <c r="U60" s="21">
        <v>0</v>
      </c>
      <c r="V60" s="21">
        <v>0</v>
      </c>
      <c r="W60" s="21">
        <v>0</v>
      </c>
      <c r="X60" s="21">
        <v>0</v>
      </c>
      <c r="Y60" s="21">
        <v>0</v>
      </c>
      <c r="Z60" s="21">
        <v>0</v>
      </c>
      <c r="AA60" s="21">
        <v>0</v>
      </c>
      <c r="AB60" s="21">
        <v>0</v>
      </c>
      <c r="AC60" s="21">
        <v>1</v>
      </c>
      <c r="AD60" s="21">
        <v>0</v>
      </c>
      <c r="AE60" s="21">
        <v>0</v>
      </c>
      <c r="AF60" s="21">
        <v>0</v>
      </c>
      <c r="AG60" s="21">
        <v>0</v>
      </c>
      <c r="AH60" s="21">
        <v>0</v>
      </c>
      <c r="AI60" s="21">
        <v>0</v>
      </c>
      <c r="AJ60" s="21">
        <v>0</v>
      </c>
      <c r="AK60" s="21">
        <v>0</v>
      </c>
      <c r="AL60" s="21">
        <v>0</v>
      </c>
      <c r="AM60" s="21">
        <v>0</v>
      </c>
      <c r="AN60" s="21">
        <v>0</v>
      </c>
      <c r="AO60" s="21">
        <v>0</v>
      </c>
      <c r="AP60" s="21">
        <v>1</v>
      </c>
      <c r="AQ60" s="21">
        <v>0</v>
      </c>
      <c r="AR60" s="21">
        <v>0</v>
      </c>
      <c r="AS60" s="21">
        <v>0</v>
      </c>
      <c r="AT60" s="21">
        <v>0</v>
      </c>
      <c r="AU60" s="21">
        <v>0</v>
      </c>
      <c r="AV60" s="21">
        <v>0</v>
      </c>
      <c r="AW60" s="21">
        <v>0</v>
      </c>
      <c r="AX60" s="21">
        <v>0</v>
      </c>
      <c r="AY60" s="21">
        <v>0</v>
      </c>
    </row>
    <row r="61" spans="1:51" ht="15.95">
      <c r="A61" s="23" t="s">
        <v>262</v>
      </c>
      <c r="B61" s="19" t="s">
        <v>267</v>
      </c>
      <c r="C61" s="19" t="s">
        <v>265</v>
      </c>
      <c r="D61" s="20">
        <f t="shared" si="0"/>
        <v>6</v>
      </c>
      <c r="E61" s="21">
        <v>2</v>
      </c>
      <c r="F61" s="21">
        <v>3</v>
      </c>
      <c r="G61" s="21">
        <v>0</v>
      </c>
      <c r="H61" s="21">
        <v>0</v>
      </c>
      <c r="I61" s="21">
        <v>1</v>
      </c>
      <c r="J61" s="21">
        <v>0</v>
      </c>
      <c r="K61" s="21">
        <v>0</v>
      </c>
      <c r="L61" s="21">
        <v>0</v>
      </c>
      <c r="M61" s="21">
        <v>0</v>
      </c>
      <c r="N61" s="21">
        <v>0</v>
      </c>
      <c r="O61" s="21">
        <v>0</v>
      </c>
      <c r="P61" s="21">
        <v>0</v>
      </c>
      <c r="Q61" s="21">
        <v>0</v>
      </c>
      <c r="R61" s="21">
        <v>0</v>
      </c>
      <c r="S61" s="21">
        <v>0</v>
      </c>
      <c r="T61" s="21">
        <v>0</v>
      </c>
      <c r="U61" s="21">
        <v>0</v>
      </c>
      <c r="V61" s="21">
        <v>0</v>
      </c>
      <c r="W61" s="21">
        <v>0</v>
      </c>
      <c r="X61" s="21">
        <v>0</v>
      </c>
      <c r="Y61" s="21">
        <v>0</v>
      </c>
      <c r="Z61" s="21">
        <v>0</v>
      </c>
      <c r="AA61" s="21">
        <v>0</v>
      </c>
      <c r="AB61" s="21">
        <v>0</v>
      </c>
      <c r="AC61" s="21">
        <v>0</v>
      </c>
      <c r="AD61" s="21">
        <v>0</v>
      </c>
      <c r="AE61" s="21">
        <v>0</v>
      </c>
      <c r="AF61" s="21">
        <v>0</v>
      </c>
      <c r="AG61" s="21">
        <v>0</v>
      </c>
      <c r="AH61" s="21">
        <v>0</v>
      </c>
      <c r="AI61" s="21">
        <v>0</v>
      </c>
      <c r="AJ61" s="21">
        <v>0</v>
      </c>
      <c r="AK61" s="21">
        <v>0</v>
      </c>
      <c r="AL61" s="21">
        <v>0</v>
      </c>
      <c r="AM61" s="21">
        <v>0</v>
      </c>
      <c r="AN61" s="21">
        <v>0</v>
      </c>
      <c r="AO61" s="21">
        <v>0</v>
      </c>
      <c r="AP61" s="21">
        <v>0</v>
      </c>
      <c r="AQ61" s="21">
        <v>0</v>
      </c>
      <c r="AR61" s="21">
        <v>0</v>
      </c>
      <c r="AS61" s="21">
        <v>0</v>
      </c>
      <c r="AT61" s="21">
        <v>0</v>
      </c>
      <c r="AU61" s="21">
        <v>0</v>
      </c>
      <c r="AV61" s="21">
        <v>0</v>
      </c>
      <c r="AW61" s="21">
        <v>0</v>
      </c>
      <c r="AX61" s="21">
        <v>0</v>
      </c>
      <c r="AY61" s="21">
        <v>0</v>
      </c>
    </row>
    <row r="62" spans="1:51" ht="15.95">
      <c r="A62" s="23" t="s">
        <v>262</v>
      </c>
      <c r="B62" s="19" t="s">
        <v>268</v>
      </c>
      <c r="C62" s="19" t="s">
        <v>265</v>
      </c>
      <c r="D62" s="20">
        <f t="shared" si="0"/>
        <v>4</v>
      </c>
      <c r="E62" s="21">
        <v>2</v>
      </c>
      <c r="F62" s="21">
        <v>1</v>
      </c>
      <c r="G62" s="21">
        <v>0</v>
      </c>
      <c r="H62" s="21">
        <v>1</v>
      </c>
      <c r="I62" s="21">
        <v>0</v>
      </c>
      <c r="J62" s="21">
        <v>0</v>
      </c>
      <c r="K62" s="21">
        <v>0</v>
      </c>
      <c r="L62" s="21">
        <v>0</v>
      </c>
      <c r="M62" s="21">
        <v>0</v>
      </c>
      <c r="N62" s="21">
        <v>0</v>
      </c>
      <c r="O62" s="21">
        <v>0</v>
      </c>
      <c r="P62" s="21">
        <v>0</v>
      </c>
      <c r="Q62" s="21">
        <v>0</v>
      </c>
      <c r="R62" s="21">
        <v>0</v>
      </c>
      <c r="S62" s="21">
        <v>0</v>
      </c>
      <c r="T62" s="21">
        <v>0</v>
      </c>
      <c r="U62" s="21">
        <v>0</v>
      </c>
      <c r="V62" s="21">
        <v>0</v>
      </c>
      <c r="W62" s="21">
        <v>0</v>
      </c>
      <c r="X62" s="21">
        <v>0</v>
      </c>
      <c r="Y62" s="21">
        <v>0</v>
      </c>
      <c r="Z62" s="21">
        <v>0</v>
      </c>
      <c r="AA62" s="21">
        <v>0</v>
      </c>
      <c r="AB62" s="21">
        <v>0</v>
      </c>
      <c r="AC62" s="21">
        <v>0</v>
      </c>
      <c r="AD62" s="21">
        <v>0</v>
      </c>
      <c r="AE62" s="21">
        <v>0</v>
      </c>
      <c r="AF62" s="21">
        <v>0</v>
      </c>
      <c r="AG62" s="21">
        <v>0</v>
      </c>
      <c r="AH62" s="21">
        <v>0</v>
      </c>
      <c r="AI62" s="21">
        <v>0</v>
      </c>
      <c r="AJ62" s="21">
        <v>0</v>
      </c>
      <c r="AK62" s="21">
        <v>0</v>
      </c>
      <c r="AL62" s="21">
        <v>0</v>
      </c>
      <c r="AM62" s="21">
        <v>0</v>
      </c>
      <c r="AN62" s="21">
        <v>0</v>
      </c>
      <c r="AO62" s="21">
        <v>0</v>
      </c>
      <c r="AP62" s="21">
        <v>0</v>
      </c>
      <c r="AQ62" s="21">
        <v>0</v>
      </c>
      <c r="AR62" s="21">
        <v>0</v>
      </c>
      <c r="AS62" s="21">
        <v>0</v>
      </c>
      <c r="AT62" s="21">
        <v>0</v>
      </c>
      <c r="AU62" s="21">
        <v>0</v>
      </c>
      <c r="AV62" s="21">
        <v>0</v>
      </c>
      <c r="AW62" s="21">
        <v>0</v>
      </c>
      <c r="AX62" s="21">
        <v>0</v>
      </c>
      <c r="AY62" s="21">
        <v>0</v>
      </c>
    </row>
    <row r="63" spans="1:51" ht="15.95">
      <c r="A63" s="23" t="s">
        <v>262</v>
      </c>
      <c r="B63" s="19" t="s">
        <v>269</v>
      </c>
      <c r="C63" s="19" t="s">
        <v>265</v>
      </c>
      <c r="D63" s="20">
        <f t="shared" si="0"/>
        <v>1</v>
      </c>
      <c r="E63" s="21">
        <v>1</v>
      </c>
      <c r="F63" s="21">
        <v>0</v>
      </c>
      <c r="G63" s="21">
        <v>0</v>
      </c>
      <c r="H63" s="21">
        <v>0</v>
      </c>
      <c r="I63" s="21">
        <v>0</v>
      </c>
      <c r="J63" s="21">
        <v>0</v>
      </c>
      <c r="K63" s="21">
        <v>0</v>
      </c>
      <c r="L63" s="21">
        <v>0</v>
      </c>
      <c r="M63" s="21">
        <v>0</v>
      </c>
      <c r="N63" s="21">
        <v>0</v>
      </c>
      <c r="O63" s="21">
        <v>0</v>
      </c>
      <c r="P63" s="21">
        <v>0</v>
      </c>
      <c r="Q63" s="21">
        <v>0</v>
      </c>
      <c r="R63" s="21">
        <v>0</v>
      </c>
      <c r="S63" s="21">
        <v>0</v>
      </c>
      <c r="T63" s="21">
        <v>0</v>
      </c>
      <c r="U63" s="21">
        <v>0</v>
      </c>
      <c r="V63" s="21">
        <v>0</v>
      </c>
      <c r="W63" s="21">
        <v>0</v>
      </c>
      <c r="X63" s="21">
        <v>0</v>
      </c>
      <c r="Y63" s="21">
        <v>0</v>
      </c>
      <c r="Z63" s="21">
        <v>0</v>
      </c>
      <c r="AA63" s="21">
        <v>0</v>
      </c>
      <c r="AB63" s="21">
        <v>0</v>
      </c>
      <c r="AC63" s="21">
        <v>0</v>
      </c>
      <c r="AD63" s="21">
        <v>0</v>
      </c>
      <c r="AE63" s="21">
        <v>0</v>
      </c>
      <c r="AF63" s="21">
        <v>0</v>
      </c>
      <c r="AG63" s="21">
        <v>0</v>
      </c>
      <c r="AH63" s="21">
        <v>0</v>
      </c>
      <c r="AI63" s="21">
        <v>0</v>
      </c>
      <c r="AJ63" s="21">
        <v>0</v>
      </c>
      <c r="AK63" s="21">
        <v>0</v>
      </c>
      <c r="AL63" s="21">
        <v>0</v>
      </c>
      <c r="AM63" s="21">
        <v>0</v>
      </c>
      <c r="AN63" s="21">
        <v>0</v>
      </c>
      <c r="AO63" s="21">
        <v>0</v>
      </c>
      <c r="AP63" s="21">
        <v>0</v>
      </c>
      <c r="AQ63" s="21">
        <v>0</v>
      </c>
      <c r="AR63" s="21">
        <v>0</v>
      </c>
      <c r="AS63" s="21">
        <v>0</v>
      </c>
      <c r="AT63" s="21">
        <v>0</v>
      </c>
      <c r="AU63" s="21">
        <v>0</v>
      </c>
      <c r="AV63" s="21">
        <v>0</v>
      </c>
      <c r="AW63" s="21">
        <v>0</v>
      </c>
      <c r="AX63" s="21">
        <v>0</v>
      </c>
      <c r="AY63" s="21">
        <v>0</v>
      </c>
    </row>
    <row r="64" spans="1:51" ht="15.95">
      <c r="A64" s="23" t="s">
        <v>270</v>
      </c>
      <c r="B64" s="19" t="s">
        <v>271</v>
      </c>
      <c r="C64" s="19" t="s">
        <v>272</v>
      </c>
      <c r="D64" s="20">
        <f t="shared" si="0"/>
        <v>0</v>
      </c>
      <c r="E64" s="22">
        <v>0</v>
      </c>
      <c r="F64" s="22">
        <v>0</v>
      </c>
      <c r="G64" s="22">
        <v>0</v>
      </c>
      <c r="H64" s="22">
        <v>0</v>
      </c>
      <c r="I64" s="22">
        <v>0</v>
      </c>
      <c r="J64" s="22">
        <v>0</v>
      </c>
      <c r="K64" s="22">
        <v>0</v>
      </c>
      <c r="L64" s="22">
        <v>0</v>
      </c>
      <c r="M64" s="22">
        <v>0</v>
      </c>
      <c r="N64" s="22">
        <v>0</v>
      </c>
      <c r="O64" s="22">
        <v>0</v>
      </c>
      <c r="P64" s="22">
        <v>0</v>
      </c>
      <c r="Q64" s="22">
        <v>0</v>
      </c>
      <c r="R64" s="22">
        <v>0</v>
      </c>
      <c r="S64" s="22">
        <v>0</v>
      </c>
      <c r="T64" s="22">
        <v>0</v>
      </c>
      <c r="U64" s="22">
        <v>0</v>
      </c>
      <c r="V64" s="22">
        <v>0</v>
      </c>
      <c r="W64" s="22">
        <v>0</v>
      </c>
      <c r="X64" s="22">
        <v>0</v>
      </c>
      <c r="Y64" s="22">
        <v>0</v>
      </c>
      <c r="Z64" s="22">
        <v>0</v>
      </c>
      <c r="AA64" s="22">
        <v>0</v>
      </c>
      <c r="AB64" s="22">
        <v>0</v>
      </c>
      <c r="AC64" s="22">
        <v>0</v>
      </c>
      <c r="AD64" s="22">
        <v>0</v>
      </c>
      <c r="AE64" s="22">
        <v>0</v>
      </c>
      <c r="AF64" s="22">
        <v>0</v>
      </c>
      <c r="AG64" s="22">
        <v>0</v>
      </c>
      <c r="AH64" s="22">
        <v>0</v>
      </c>
      <c r="AI64" s="22">
        <v>0</v>
      </c>
      <c r="AJ64" s="22">
        <v>0</v>
      </c>
      <c r="AK64" s="22">
        <v>0</v>
      </c>
      <c r="AL64" s="22">
        <v>0</v>
      </c>
      <c r="AM64" s="22">
        <v>0</v>
      </c>
      <c r="AN64" s="22">
        <v>0</v>
      </c>
      <c r="AO64" s="22">
        <v>0</v>
      </c>
      <c r="AP64" s="22">
        <v>0</v>
      </c>
      <c r="AQ64" s="22">
        <v>0</v>
      </c>
      <c r="AR64" s="22">
        <v>0</v>
      </c>
      <c r="AS64" s="22">
        <v>0</v>
      </c>
      <c r="AT64" s="21">
        <v>0</v>
      </c>
      <c r="AU64" s="21">
        <v>0</v>
      </c>
      <c r="AV64" s="21">
        <v>0</v>
      </c>
      <c r="AW64" s="21">
        <v>0</v>
      </c>
      <c r="AX64" s="21">
        <v>0</v>
      </c>
      <c r="AY64" s="21">
        <v>0</v>
      </c>
    </row>
    <row r="65" spans="1:51" ht="14.45" customHeight="1">
      <c r="A65" s="23" t="s">
        <v>273</v>
      </c>
      <c r="B65" s="19" t="s">
        <v>274</v>
      </c>
      <c r="C65" s="19" t="s">
        <v>275</v>
      </c>
      <c r="D65" s="20">
        <f t="shared" si="0"/>
        <v>769</v>
      </c>
      <c r="E65" s="21">
        <v>267</v>
      </c>
      <c r="F65" s="21">
        <v>146</v>
      </c>
      <c r="G65" s="21">
        <v>122</v>
      </c>
      <c r="H65" s="21">
        <v>136</v>
      </c>
      <c r="I65" s="21">
        <v>98</v>
      </c>
      <c r="J65" s="21">
        <v>0</v>
      </c>
      <c r="K65" s="21">
        <v>0</v>
      </c>
      <c r="L65" s="21">
        <v>0</v>
      </c>
      <c r="M65" s="21">
        <v>0</v>
      </c>
      <c r="N65" s="21">
        <v>0</v>
      </c>
      <c r="O65" s="21">
        <v>0</v>
      </c>
      <c r="P65" s="21">
        <v>0</v>
      </c>
      <c r="Q65" s="21">
        <v>0</v>
      </c>
      <c r="R65" s="21">
        <v>0</v>
      </c>
      <c r="S65" s="21">
        <v>0</v>
      </c>
      <c r="T65" s="21">
        <v>0</v>
      </c>
      <c r="U65" s="21">
        <v>0</v>
      </c>
      <c r="V65" s="21">
        <v>0</v>
      </c>
      <c r="W65" s="21">
        <v>0</v>
      </c>
      <c r="X65" s="21">
        <v>0</v>
      </c>
      <c r="Y65" s="21">
        <v>0</v>
      </c>
      <c r="Z65" s="21">
        <v>0</v>
      </c>
      <c r="AA65" s="21">
        <v>0</v>
      </c>
      <c r="AB65" s="21">
        <v>0</v>
      </c>
      <c r="AC65" s="21">
        <v>0</v>
      </c>
      <c r="AD65" s="21">
        <v>0</v>
      </c>
      <c r="AE65" s="21">
        <v>0</v>
      </c>
      <c r="AF65" s="21">
        <v>0</v>
      </c>
      <c r="AG65" s="21">
        <v>0</v>
      </c>
      <c r="AH65" s="21">
        <v>0</v>
      </c>
      <c r="AI65" s="21">
        <v>0</v>
      </c>
      <c r="AJ65" s="21">
        <v>0</v>
      </c>
      <c r="AK65" s="21">
        <v>0</v>
      </c>
      <c r="AL65" s="21">
        <v>0</v>
      </c>
      <c r="AM65" s="21">
        <v>0</v>
      </c>
      <c r="AN65" s="21">
        <v>0</v>
      </c>
      <c r="AO65" s="21">
        <v>0</v>
      </c>
      <c r="AP65" s="21">
        <v>0</v>
      </c>
      <c r="AQ65" s="21">
        <v>0</v>
      </c>
      <c r="AR65" s="21">
        <v>0</v>
      </c>
      <c r="AS65" s="21">
        <v>0</v>
      </c>
      <c r="AT65" s="21">
        <v>0</v>
      </c>
      <c r="AU65" s="21">
        <v>0</v>
      </c>
      <c r="AV65" s="21">
        <v>0</v>
      </c>
      <c r="AW65" s="21">
        <v>0</v>
      </c>
      <c r="AX65" s="21">
        <v>0</v>
      </c>
      <c r="AY65" s="21">
        <v>0</v>
      </c>
    </row>
    <row r="66" spans="1:51" ht="15.95">
      <c r="A66" s="23" t="s">
        <v>273</v>
      </c>
      <c r="B66" s="19" t="s">
        <v>276</v>
      </c>
      <c r="C66" s="19" t="s">
        <v>196</v>
      </c>
      <c r="D66" s="20">
        <f t="shared" si="0"/>
        <v>123717.55000000003</v>
      </c>
      <c r="E66" s="22">
        <v>26925.25</v>
      </c>
      <c r="F66" s="22">
        <v>14672.17</v>
      </c>
      <c r="G66" s="22">
        <v>5224.8</v>
      </c>
      <c r="H66" s="22">
        <v>9539.4</v>
      </c>
      <c r="I66" s="22">
        <v>12857.42</v>
      </c>
      <c r="J66" s="22">
        <v>14704.33</v>
      </c>
      <c r="K66" s="22">
        <v>1345.3000000000002</v>
      </c>
      <c r="L66" s="22">
        <v>3983.19</v>
      </c>
      <c r="M66" s="22">
        <v>2337.1399999999994</v>
      </c>
      <c r="N66" s="22">
        <v>255.9</v>
      </c>
      <c r="O66" s="22">
        <v>104.04</v>
      </c>
      <c r="P66" s="22">
        <v>127.51</v>
      </c>
      <c r="Q66" s="22">
        <v>205.60000000000002</v>
      </c>
      <c r="R66" s="22">
        <v>140.47999999999999</v>
      </c>
      <c r="S66" s="22">
        <v>1354.48</v>
      </c>
      <c r="T66" s="22">
        <v>7727.8</v>
      </c>
      <c r="U66" s="22">
        <v>358.44</v>
      </c>
      <c r="V66" s="22">
        <v>188.63</v>
      </c>
      <c r="W66" s="22">
        <v>108.3</v>
      </c>
      <c r="X66" s="22">
        <v>43.41</v>
      </c>
      <c r="Y66" s="22">
        <v>214.95999999999998</v>
      </c>
      <c r="Z66" s="22">
        <v>2051.21</v>
      </c>
      <c r="AA66" s="22">
        <v>251.13</v>
      </c>
      <c r="AB66" s="22">
        <v>2490.6800000000003</v>
      </c>
      <c r="AC66" s="22"/>
      <c r="AD66" s="22">
        <v>406.58</v>
      </c>
      <c r="AE66" s="22">
        <v>2253.1099999999997</v>
      </c>
      <c r="AF66" s="22">
        <v>109.57</v>
      </c>
      <c r="AG66" s="22">
        <v>165.79000000000002</v>
      </c>
      <c r="AH66" s="22">
        <v>431.26</v>
      </c>
      <c r="AI66" s="22">
        <v>484.58000000000004</v>
      </c>
      <c r="AJ66" s="22">
        <v>2643.31</v>
      </c>
      <c r="AK66" s="22">
        <v>229.77</v>
      </c>
      <c r="AL66" s="22">
        <v>1239.26</v>
      </c>
      <c r="AM66" s="22">
        <v>343.02</v>
      </c>
      <c r="AN66" s="22">
        <v>711.27</v>
      </c>
      <c r="AO66" s="22">
        <v>553.51</v>
      </c>
      <c r="AP66" s="22">
        <v>615.22</v>
      </c>
      <c r="AQ66" s="22">
        <v>196.76</v>
      </c>
      <c r="AR66" s="22">
        <v>43</v>
      </c>
      <c r="AS66" s="22">
        <v>115.97</v>
      </c>
      <c r="AT66" s="21">
        <v>170</v>
      </c>
      <c r="AU66" s="21">
        <v>280</v>
      </c>
      <c r="AV66" s="21">
        <v>200</v>
      </c>
      <c r="AW66" s="21">
        <v>2214</v>
      </c>
      <c r="AX66" s="21">
        <v>1890</v>
      </c>
      <c r="AY66" s="21">
        <v>1210</v>
      </c>
    </row>
    <row r="67" spans="1:51" ht="15.95">
      <c r="A67" s="23" t="s">
        <v>277</v>
      </c>
      <c r="B67" s="19" t="s">
        <v>278</v>
      </c>
      <c r="C67" s="19" t="s">
        <v>279</v>
      </c>
      <c r="D67" s="20">
        <f t="shared" si="0"/>
        <v>11</v>
      </c>
      <c r="E67" s="21">
        <v>2</v>
      </c>
      <c r="F67" s="21">
        <v>1</v>
      </c>
      <c r="G67" s="21">
        <v>1</v>
      </c>
      <c r="H67" s="21">
        <v>2</v>
      </c>
      <c r="I67" s="21">
        <v>1</v>
      </c>
      <c r="J67" s="21">
        <v>1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1</v>
      </c>
      <c r="T67" s="21">
        <v>1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1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1">
        <v>0</v>
      </c>
    </row>
    <row r="68" spans="1:51" ht="15.95">
      <c r="A68" s="23" t="s">
        <v>280</v>
      </c>
      <c r="B68" s="19" t="s">
        <v>281</v>
      </c>
      <c r="C68" s="19" t="s">
        <v>282</v>
      </c>
      <c r="D68" s="20">
        <f t="shared" si="0"/>
        <v>6</v>
      </c>
      <c r="E68" s="21">
        <v>1</v>
      </c>
      <c r="F68" s="21">
        <v>1</v>
      </c>
      <c r="G68" s="21">
        <v>1</v>
      </c>
      <c r="H68" s="21">
        <v>1</v>
      </c>
      <c r="I68" s="21">
        <v>1</v>
      </c>
      <c r="J68" s="21">
        <v>1</v>
      </c>
      <c r="K68" s="21">
        <v>0</v>
      </c>
      <c r="L68" s="21">
        <v>0</v>
      </c>
      <c r="M68" s="21">
        <v>0</v>
      </c>
      <c r="N68" s="21">
        <v>0</v>
      </c>
      <c r="O68" s="21">
        <v>0</v>
      </c>
      <c r="P68" s="21">
        <v>0</v>
      </c>
      <c r="Q68" s="21">
        <v>0</v>
      </c>
      <c r="R68" s="21">
        <v>0</v>
      </c>
      <c r="S68" s="21">
        <v>0</v>
      </c>
      <c r="T68" s="21">
        <v>0</v>
      </c>
      <c r="U68" s="21">
        <v>0</v>
      </c>
      <c r="V68" s="21">
        <v>0</v>
      </c>
      <c r="W68" s="21">
        <v>0</v>
      </c>
      <c r="X68" s="21">
        <v>0</v>
      </c>
      <c r="Y68" s="21">
        <v>0</v>
      </c>
      <c r="Z68" s="21">
        <v>0</v>
      </c>
      <c r="AA68" s="21">
        <v>0</v>
      </c>
      <c r="AB68" s="21">
        <v>0</v>
      </c>
      <c r="AC68" s="21">
        <v>0</v>
      </c>
      <c r="AD68" s="21">
        <v>0</v>
      </c>
      <c r="AE68" s="21">
        <v>0</v>
      </c>
      <c r="AF68" s="21">
        <v>0</v>
      </c>
      <c r="AG68" s="21">
        <v>0</v>
      </c>
      <c r="AH68" s="21">
        <v>0</v>
      </c>
      <c r="AI68" s="21">
        <v>0</v>
      </c>
      <c r="AJ68" s="21">
        <v>0</v>
      </c>
      <c r="AK68" s="21">
        <v>0</v>
      </c>
      <c r="AL68" s="21">
        <v>0</v>
      </c>
      <c r="AM68" s="21">
        <v>0</v>
      </c>
      <c r="AN68" s="21">
        <v>0</v>
      </c>
      <c r="AO68" s="21">
        <v>0</v>
      </c>
      <c r="AP68" s="21">
        <v>0</v>
      </c>
      <c r="AQ68" s="21">
        <v>0</v>
      </c>
      <c r="AR68" s="21">
        <v>0</v>
      </c>
      <c r="AS68" s="21">
        <v>0</v>
      </c>
      <c r="AT68" s="21">
        <v>0</v>
      </c>
      <c r="AU68" s="21">
        <v>0</v>
      </c>
      <c r="AV68" s="21">
        <v>0</v>
      </c>
      <c r="AW68" s="21">
        <v>0</v>
      </c>
      <c r="AX68" s="21">
        <v>0</v>
      </c>
      <c r="AY68" s="21">
        <v>0</v>
      </c>
    </row>
    <row r="69" spans="1:51" ht="15.95">
      <c r="A69" s="23" t="s">
        <v>283</v>
      </c>
      <c r="B69" s="19" t="s">
        <v>284</v>
      </c>
      <c r="C69" s="19" t="s">
        <v>285</v>
      </c>
      <c r="D69" s="20">
        <f t="shared" si="0"/>
        <v>1</v>
      </c>
      <c r="E69" s="22">
        <v>0</v>
      </c>
      <c r="F69" s="22">
        <v>0</v>
      </c>
      <c r="G69" s="22">
        <v>0</v>
      </c>
      <c r="H69" s="22">
        <v>0</v>
      </c>
      <c r="I69" s="22">
        <v>1</v>
      </c>
      <c r="J69" s="22">
        <v>0</v>
      </c>
      <c r="K69" s="22">
        <v>0</v>
      </c>
      <c r="L69" s="22">
        <v>0</v>
      </c>
      <c r="M69" s="22">
        <v>0</v>
      </c>
      <c r="N69" s="22">
        <v>0</v>
      </c>
      <c r="O69" s="22">
        <v>0</v>
      </c>
      <c r="P69" s="22">
        <v>0</v>
      </c>
      <c r="Q69" s="22">
        <v>0</v>
      </c>
      <c r="R69" s="22">
        <v>0</v>
      </c>
      <c r="S69" s="22">
        <v>0</v>
      </c>
      <c r="T69" s="22">
        <v>0</v>
      </c>
      <c r="U69" s="22">
        <v>0</v>
      </c>
      <c r="V69" s="22">
        <v>0</v>
      </c>
      <c r="W69" s="22">
        <v>0</v>
      </c>
      <c r="X69" s="22">
        <v>0</v>
      </c>
      <c r="Y69" s="22">
        <v>0</v>
      </c>
      <c r="Z69" s="22">
        <v>0</v>
      </c>
      <c r="AA69" s="22">
        <v>0</v>
      </c>
      <c r="AB69" s="22">
        <v>0</v>
      </c>
      <c r="AC69" s="22">
        <v>0</v>
      </c>
      <c r="AD69" s="22">
        <v>0</v>
      </c>
      <c r="AE69" s="22">
        <v>0</v>
      </c>
      <c r="AF69" s="22">
        <v>0</v>
      </c>
      <c r="AG69" s="22">
        <v>0</v>
      </c>
      <c r="AH69" s="22">
        <v>0</v>
      </c>
      <c r="AI69" s="22">
        <v>0</v>
      </c>
      <c r="AJ69" s="22">
        <v>0</v>
      </c>
      <c r="AK69" s="22">
        <v>0</v>
      </c>
      <c r="AL69" s="22">
        <v>0</v>
      </c>
      <c r="AM69" s="22">
        <v>0</v>
      </c>
      <c r="AN69" s="22">
        <v>0</v>
      </c>
      <c r="AO69" s="22">
        <v>0</v>
      </c>
      <c r="AP69" s="22">
        <v>0</v>
      </c>
      <c r="AQ69" s="22">
        <v>0</v>
      </c>
      <c r="AR69" s="22">
        <v>0</v>
      </c>
      <c r="AS69" s="22">
        <v>0</v>
      </c>
      <c r="AT69" s="21">
        <v>0</v>
      </c>
      <c r="AU69" s="21">
        <v>0</v>
      </c>
      <c r="AV69" s="21">
        <v>0</v>
      </c>
      <c r="AW69" s="21">
        <v>0</v>
      </c>
      <c r="AX69" s="21">
        <v>0</v>
      </c>
      <c r="AY69" s="21">
        <v>0</v>
      </c>
    </row>
    <row r="70" spans="1:51" ht="15.95">
      <c r="A70" s="23"/>
      <c r="B70" s="19" t="s">
        <v>286</v>
      </c>
      <c r="C70" s="19" t="s">
        <v>287</v>
      </c>
      <c r="D70" s="20">
        <f t="shared" si="0"/>
        <v>1</v>
      </c>
      <c r="E70" s="22">
        <v>1</v>
      </c>
      <c r="F70" s="22">
        <v>0</v>
      </c>
      <c r="G70" s="22">
        <v>0</v>
      </c>
      <c r="H70" s="22">
        <v>0</v>
      </c>
      <c r="I70" s="22">
        <v>0</v>
      </c>
      <c r="J70" s="22">
        <v>0</v>
      </c>
      <c r="K70" s="22">
        <v>0</v>
      </c>
      <c r="L70" s="22">
        <v>0</v>
      </c>
      <c r="M70" s="22">
        <v>0</v>
      </c>
      <c r="N70" s="22">
        <v>0</v>
      </c>
      <c r="O70" s="22">
        <v>0</v>
      </c>
      <c r="P70" s="22">
        <v>0</v>
      </c>
      <c r="Q70" s="22">
        <v>0</v>
      </c>
      <c r="R70" s="22">
        <v>0</v>
      </c>
      <c r="S70" s="22">
        <v>0</v>
      </c>
      <c r="T70" s="22">
        <v>0</v>
      </c>
      <c r="U70" s="22">
        <v>0</v>
      </c>
      <c r="V70" s="22">
        <v>0</v>
      </c>
      <c r="W70" s="22">
        <v>0</v>
      </c>
      <c r="X70" s="22">
        <v>0</v>
      </c>
      <c r="Y70" s="22">
        <v>0</v>
      </c>
      <c r="Z70" s="22">
        <v>0</v>
      </c>
      <c r="AA70" s="22">
        <v>0</v>
      </c>
      <c r="AB70" s="22">
        <v>0</v>
      </c>
      <c r="AC70" s="22">
        <v>0</v>
      </c>
      <c r="AD70" s="22">
        <v>0</v>
      </c>
      <c r="AE70" s="22">
        <v>0</v>
      </c>
      <c r="AF70" s="22">
        <v>0</v>
      </c>
      <c r="AG70" s="22">
        <v>0</v>
      </c>
      <c r="AH70" s="22">
        <v>0</v>
      </c>
      <c r="AI70" s="22">
        <v>0</v>
      </c>
      <c r="AJ70" s="22">
        <v>0</v>
      </c>
      <c r="AK70" s="22">
        <v>0</v>
      </c>
      <c r="AL70" s="22">
        <v>0</v>
      </c>
      <c r="AM70" s="22">
        <v>0</v>
      </c>
      <c r="AN70" s="22">
        <v>0</v>
      </c>
      <c r="AO70" s="22">
        <v>0</v>
      </c>
      <c r="AP70" s="22">
        <v>0</v>
      </c>
      <c r="AQ70" s="22">
        <v>0</v>
      </c>
      <c r="AR70" s="22">
        <v>0</v>
      </c>
      <c r="AS70" s="22">
        <v>0</v>
      </c>
      <c r="AT70" s="21">
        <v>0</v>
      </c>
      <c r="AU70" s="21">
        <v>0</v>
      </c>
      <c r="AV70" s="21">
        <v>0</v>
      </c>
      <c r="AW70" s="21">
        <v>0</v>
      </c>
      <c r="AX70" s="21">
        <v>0</v>
      </c>
      <c r="AY70" s="21">
        <v>0</v>
      </c>
    </row>
    <row r="71" spans="1:51" ht="32.1">
      <c r="A71" s="23"/>
      <c r="B71" s="19" t="s">
        <v>288</v>
      </c>
      <c r="C71" s="19" t="s">
        <v>227</v>
      </c>
      <c r="D71" s="20">
        <f t="shared" si="0"/>
        <v>6</v>
      </c>
      <c r="E71" s="22">
        <v>1</v>
      </c>
      <c r="F71" s="22">
        <v>1</v>
      </c>
      <c r="G71" s="22">
        <v>1</v>
      </c>
      <c r="H71" s="22">
        <v>1</v>
      </c>
      <c r="I71" s="22">
        <v>1</v>
      </c>
      <c r="J71" s="22">
        <v>1</v>
      </c>
      <c r="K71" s="22">
        <v>0</v>
      </c>
      <c r="L71" s="22">
        <v>0</v>
      </c>
      <c r="M71" s="22">
        <v>0</v>
      </c>
      <c r="N71" s="22">
        <v>0</v>
      </c>
      <c r="O71" s="22">
        <v>0</v>
      </c>
      <c r="P71" s="22">
        <v>0</v>
      </c>
      <c r="Q71" s="22">
        <v>0</v>
      </c>
      <c r="R71" s="22">
        <v>0</v>
      </c>
      <c r="S71" s="22">
        <v>0</v>
      </c>
      <c r="T71" s="22">
        <v>0</v>
      </c>
      <c r="U71" s="22">
        <v>0</v>
      </c>
      <c r="V71" s="22">
        <v>0</v>
      </c>
      <c r="W71" s="22">
        <v>0</v>
      </c>
      <c r="X71" s="22">
        <v>0</v>
      </c>
      <c r="Y71" s="22">
        <v>0</v>
      </c>
      <c r="Z71" s="22">
        <v>0</v>
      </c>
      <c r="AA71" s="22">
        <v>0</v>
      </c>
      <c r="AB71" s="22">
        <v>0</v>
      </c>
      <c r="AC71" s="22">
        <v>0</v>
      </c>
      <c r="AD71" s="22">
        <v>0</v>
      </c>
      <c r="AE71" s="22">
        <v>0</v>
      </c>
      <c r="AF71" s="22">
        <v>0</v>
      </c>
      <c r="AG71" s="22">
        <v>0</v>
      </c>
      <c r="AH71" s="22">
        <v>0</v>
      </c>
      <c r="AI71" s="22">
        <v>0</v>
      </c>
      <c r="AJ71" s="22">
        <v>0</v>
      </c>
      <c r="AK71" s="22">
        <v>0</v>
      </c>
      <c r="AL71" s="22">
        <v>0</v>
      </c>
      <c r="AM71" s="22">
        <v>0</v>
      </c>
      <c r="AN71" s="22">
        <v>0</v>
      </c>
      <c r="AO71" s="22">
        <v>0</v>
      </c>
      <c r="AP71" s="22">
        <v>0</v>
      </c>
      <c r="AQ71" s="22">
        <v>0</v>
      </c>
      <c r="AR71" s="22">
        <v>0</v>
      </c>
      <c r="AS71" s="22">
        <v>0</v>
      </c>
      <c r="AT71" s="21">
        <v>0</v>
      </c>
      <c r="AU71" s="21">
        <v>0</v>
      </c>
      <c r="AV71" s="21">
        <v>0</v>
      </c>
      <c r="AW71" s="21">
        <v>0</v>
      </c>
      <c r="AX71" s="21">
        <v>0</v>
      </c>
      <c r="AY71" s="21">
        <v>0</v>
      </c>
    </row>
    <row r="72" spans="1:51" ht="15.95">
      <c r="A72" s="23" t="s">
        <v>289</v>
      </c>
      <c r="B72" s="19" t="s">
        <v>290</v>
      </c>
      <c r="C72" s="27" t="s">
        <v>248</v>
      </c>
      <c r="D72" s="20">
        <f t="shared" si="0"/>
        <v>10</v>
      </c>
      <c r="E72" s="103">
        <v>10</v>
      </c>
      <c r="F72" s="104"/>
      <c r="G72" s="104"/>
      <c r="H72" s="104"/>
      <c r="I72" s="104"/>
      <c r="J72" s="104"/>
      <c r="K72" s="104"/>
      <c r="L72" s="104"/>
      <c r="M72" s="104"/>
      <c r="N72" s="104"/>
      <c r="O72" s="104"/>
      <c r="P72" s="104"/>
      <c r="Q72" s="104"/>
      <c r="R72" s="104"/>
      <c r="S72" s="104"/>
      <c r="T72" s="104"/>
      <c r="U72" s="104"/>
      <c r="V72" s="104"/>
      <c r="W72" s="104"/>
      <c r="X72" s="104"/>
      <c r="Y72" s="104"/>
      <c r="Z72" s="104"/>
      <c r="AA72" s="104"/>
      <c r="AB72" s="104"/>
      <c r="AC72" s="104"/>
      <c r="AD72" s="104"/>
      <c r="AE72" s="104"/>
      <c r="AF72" s="104"/>
      <c r="AG72" s="104"/>
      <c r="AH72" s="104"/>
      <c r="AI72" s="104"/>
      <c r="AJ72" s="104"/>
      <c r="AK72" s="104"/>
      <c r="AL72" s="104"/>
      <c r="AM72" s="104"/>
      <c r="AN72" s="104"/>
      <c r="AO72" s="104"/>
      <c r="AP72" s="104"/>
      <c r="AQ72" s="104"/>
      <c r="AR72" s="104"/>
      <c r="AS72" s="104"/>
      <c r="AT72" s="104"/>
      <c r="AU72" s="104"/>
      <c r="AV72" s="104"/>
      <c r="AW72" s="104"/>
      <c r="AX72" s="104"/>
      <c r="AY72" s="105"/>
    </row>
    <row r="73" spans="1:51" ht="15.95">
      <c r="A73" s="23" t="s">
        <v>289</v>
      </c>
      <c r="B73" s="19" t="s">
        <v>291</v>
      </c>
      <c r="C73" s="27" t="s">
        <v>248</v>
      </c>
      <c r="D73" s="20">
        <f t="shared" si="0"/>
        <v>10</v>
      </c>
      <c r="E73" s="103">
        <v>10</v>
      </c>
      <c r="F73" s="104"/>
      <c r="G73" s="104"/>
      <c r="H73" s="104"/>
      <c r="I73" s="104"/>
      <c r="J73" s="104"/>
      <c r="K73" s="104"/>
      <c r="L73" s="104"/>
      <c r="M73" s="104"/>
      <c r="N73" s="104"/>
      <c r="O73" s="104"/>
      <c r="P73" s="104"/>
      <c r="Q73" s="104"/>
      <c r="R73" s="104"/>
      <c r="S73" s="104"/>
      <c r="T73" s="104"/>
      <c r="U73" s="104"/>
      <c r="V73" s="104"/>
      <c r="W73" s="104"/>
      <c r="X73" s="104"/>
      <c r="Y73" s="104"/>
      <c r="Z73" s="104"/>
      <c r="AA73" s="104"/>
      <c r="AB73" s="104"/>
      <c r="AC73" s="104"/>
      <c r="AD73" s="104"/>
      <c r="AE73" s="104"/>
      <c r="AF73" s="104"/>
      <c r="AG73" s="104"/>
      <c r="AH73" s="104"/>
      <c r="AI73" s="104"/>
      <c r="AJ73" s="104"/>
      <c r="AK73" s="104"/>
      <c r="AL73" s="104"/>
      <c r="AM73" s="104"/>
      <c r="AN73" s="104"/>
      <c r="AO73" s="104"/>
      <c r="AP73" s="104"/>
      <c r="AQ73" s="104"/>
      <c r="AR73" s="104"/>
      <c r="AS73" s="104"/>
      <c r="AT73" s="104"/>
      <c r="AU73" s="104"/>
      <c r="AV73" s="104"/>
      <c r="AW73" s="104"/>
      <c r="AX73" s="104"/>
      <c r="AY73" s="105"/>
    </row>
    <row r="74" spans="1:51" ht="15.95">
      <c r="A74" s="26" t="s">
        <v>292</v>
      </c>
      <c r="B74" s="27" t="s">
        <v>293</v>
      </c>
      <c r="C74" s="27" t="s">
        <v>294</v>
      </c>
      <c r="D74" s="20">
        <f t="shared" si="0"/>
        <v>0</v>
      </c>
      <c r="E74" s="22">
        <v>0</v>
      </c>
      <c r="F74" s="22">
        <v>0</v>
      </c>
      <c r="G74" s="22">
        <v>0</v>
      </c>
      <c r="H74" s="22">
        <v>0</v>
      </c>
      <c r="I74" s="22">
        <v>0</v>
      </c>
      <c r="J74" s="22">
        <v>0</v>
      </c>
      <c r="K74" s="22">
        <v>0</v>
      </c>
      <c r="L74" s="22">
        <v>0</v>
      </c>
      <c r="M74" s="22">
        <v>0</v>
      </c>
      <c r="N74" s="22">
        <v>0</v>
      </c>
      <c r="O74" s="22">
        <v>0</v>
      </c>
      <c r="P74" s="22">
        <v>0</v>
      </c>
      <c r="Q74" s="22">
        <v>0</v>
      </c>
      <c r="R74" s="22">
        <v>0</v>
      </c>
      <c r="S74" s="22">
        <v>0</v>
      </c>
      <c r="T74" s="22">
        <v>0</v>
      </c>
      <c r="U74" s="22">
        <v>0</v>
      </c>
      <c r="V74" s="22">
        <v>0</v>
      </c>
      <c r="W74" s="22">
        <v>0</v>
      </c>
      <c r="X74" s="22">
        <v>0</v>
      </c>
      <c r="Y74" s="22">
        <v>0</v>
      </c>
      <c r="Z74" s="22">
        <v>0</v>
      </c>
      <c r="AA74" s="22">
        <v>0</v>
      </c>
      <c r="AB74" s="22">
        <v>0</v>
      </c>
      <c r="AC74" s="22">
        <v>0</v>
      </c>
      <c r="AD74" s="22">
        <v>0</v>
      </c>
      <c r="AE74" s="22">
        <v>0</v>
      </c>
      <c r="AF74" s="22">
        <v>0</v>
      </c>
      <c r="AG74" s="22">
        <v>0</v>
      </c>
      <c r="AH74" s="22">
        <v>0</v>
      </c>
      <c r="AI74" s="22">
        <v>0</v>
      </c>
      <c r="AJ74" s="22">
        <v>0</v>
      </c>
      <c r="AK74" s="22">
        <v>0</v>
      </c>
      <c r="AL74" s="22">
        <v>0</v>
      </c>
      <c r="AM74" s="22">
        <v>0</v>
      </c>
      <c r="AN74" s="22">
        <v>0</v>
      </c>
      <c r="AO74" s="22">
        <v>0</v>
      </c>
      <c r="AP74" s="22">
        <v>0</v>
      </c>
      <c r="AQ74" s="22">
        <v>0</v>
      </c>
      <c r="AR74" s="22">
        <v>0</v>
      </c>
      <c r="AS74" s="22">
        <v>0</v>
      </c>
      <c r="AT74" s="21">
        <v>0</v>
      </c>
      <c r="AU74" s="21">
        <v>0</v>
      </c>
      <c r="AV74" s="21">
        <v>0</v>
      </c>
      <c r="AW74" s="21">
        <v>0</v>
      </c>
      <c r="AX74" s="21">
        <v>0</v>
      </c>
      <c r="AY74" s="21">
        <v>0</v>
      </c>
    </row>
    <row r="75" spans="1:51" ht="15.95">
      <c r="A75" s="26" t="s">
        <v>295</v>
      </c>
      <c r="B75" s="27" t="s">
        <v>296</v>
      </c>
      <c r="C75" s="27" t="s">
        <v>297</v>
      </c>
      <c r="D75" s="20">
        <f t="shared" si="0"/>
        <v>0</v>
      </c>
      <c r="E75" s="22">
        <v>0</v>
      </c>
      <c r="F75" s="22">
        <v>0</v>
      </c>
      <c r="G75" s="22">
        <v>0</v>
      </c>
      <c r="H75" s="22">
        <v>0</v>
      </c>
      <c r="I75" s="22">
        <v>0</v>
      </c>
      <c r="J75" s="22">
        <v>0</v>
      </c>
      <c r="K75" s="22">
        <v>0</v>
      </c>
      <c r="L75" s="22">
        <v>0</v>
      </c>
      <c r="M75" s="22">
        <v>0</v>
      </c>
      <c r="N75" s="22">
        <v>0</v>
      </c>
      <c r="O75" s="22">
        <v>0</v>
      </c>
      <c r="P75" s="22">
        <v>0</v>
      </c>
      <c r="Q75" s="22">
        <v>0</v>
      </c>
      <c r="R75" s="22">
        <v>0</v>
      </c>
      <c r="S75" s="22">
        <v>0</v>
      </c>
      <c r="T75" s="22">
        <v>0</v>
      </c>
      <c r="U75" s="22">
        <v>0</v>
      </c>
      <c r="V75" s="22">
        <v>0</v>
      </c>
      <c r="W75" s="22">
        <v>0</v>
      </c>
      <c r="X75" s="22">
        <v>0</v>
      </c>
      <c r="Y75" s="22">
        <v>0</v>
      </c>
      <c r="Z75" s="22">
        <v>0</v>
      </c>
      <c r="AA75" s="22">
        <v>0</v>
      </c>
      <c r="AB75" s="22">
        <v>0</v>
      </c>
      <c r="AC75" s="22">
        <v>0</v>
      </c>
      <c r="AD75" s="22">
        <v>0</v>
      </c>
      <c r="AE75" s="22">
        <v>0</v>
      </c>
      <c r="AF75" s="22">
        <v>0</v>
      </c>
      <c r="AG75" s="22">
        <v>0</v>
      </c>
      <c r="AH75" s="22">
        <v>0</v>
      </c>
      <c r="AI75" s="22">
        <v>0</v>
      </c>
      <c r="AJ75" s="22">
        <v>0</v>
      </c>
      <c r="AK75" s="22">
        <v>0</v>
      </c>
      <c r="AL75" s="22">
        <v>0</v>
      </c>
      <c r="AM75" s="22">
        <v>0</v>
      </c>
      <c r="AN75" s="22">
        <v>0</v>
      </c>
      <c r="AO75" s="22">
        <v>0</v>
      </c>
      <c r="AP75" s="22">
        <v>0</v>
      </c>
      <c r="AQ75" s="22">
        <v>0</v>
      </c>
      <c r="AR75" s="22">
        <v>0</v>
      </c>
      <c r="AS75" s="22">
        <v>0</v>
      </c>
      <c r="AT75" s="21">
        <v>0</v>
      </c>
      <c r="AU75" s="21">
        <v>0</v>
      </c>
      <c r="AV75" s="21">
        <v>0</v>
      </c>
      <c r="AW75" s="21">
        <v>0</v>
      </c>
      <c r="AX75" s="21">
        <v>0</v>
      </c>
      <c r="AY75" s="21">
        <v>0</v>
      </c>
    </row>
    <row r="76" spans="1:51" ht="15.95">
      <c r="A76" s="24" t="s">
        <v>298</v>
      </c>
      <c r="B76" s="25"/>
      <c r="C76" s="25"/>
      <c r="D76" s="16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  <c r="AO76" s="28"/>
      <c r="AP76" s="28"/>
      <c r="AQ76" s="28"/>
      <c r="AR76" s="28"/>
      <c r="AS76" s="28"/>
      <c r="AT76" s="28"/>
      <c r="AU76" s="28"/>
      <c r="AV76" s="28"/>
      <c r="AW76" s="28"/>
      <c r="AX76" s="28"/>
      <c r="AY76" s="28"/>
    </row>
    <row r="77" spans="1:51" ht="15.95">
      <c r="A77" s="23" t="s">
        <v>299</v>
      </c>
      <c r="B77" s="19" t="s">
        <v>300</v>
      </c>
      <c r="C77" s="19" t="s">
        <v>301</v>
      </c>
      <c r="D77" s="20">
        <f t="shared" ref="D77:D88" si="1">SUM(E77:AY77)</f>
        <v>6</v>
      </c>
      <c r="E77" s="22">
        <v>1</v>
      </c>
      <c r="F77" s="22">
        <v>1</v>
      </c>
      <c r="G77" s="22">
        <v>1</v>
      </c>
      <c r="H77" s="22">
        <v>1</v>
      </c>
      <c r="I77" s="22">
        <v>1</v>
      </c>
      <c r="J77" s="22">
        <v>1</v>
      </c>
      <c r="K77" s="22">
        <v>0</v>
      </c>
      <c r="L77" s="22">
        <v>0</v>
      </c>
      <c r="M77" s="22">
        <v>0</v>
      </c>
      <c r="N77" s="22">
        <v>0</v>
      </c>
      <c r="O77" s="22">
        <v>0</v>
      </c>
      <c r="P77" s="22">
        <v>0</v>
      </c>
      <c r="Q77" s="22">
        <v>0</v>
      </c>
      <c r="R77" s="22">
        <v>0</v>
      </c>
      <c r="S77" s="22">
        <v>0</v>
      </c>
      <c r="T77" s="22">
        <v>0</v>
      </c>
      <c r="U77" s="22">
        <v>0</v>
      </c>
      <c r="V77" s="22">
        <v>0</v>
      </c>
      <c r="W77" s="22">
        <v>0</v>
      </c>
      <c r="X77" s="22">
        <v>0</v>
      </c>
      <c r="Y77" s="22">
        <v>0</v>
      </c>
      <c r="Z77" s="22">
        <v>0</v>
      </c>
      <c r="AA77" s="22">
        <v>0</v>
      </c>
      <c r="AB77" s="22">
        <v>0</v>
      </c>
      <c r="AC77" s="22">
        <v>0</v>
      </c>
      <c r="AD77" s="22">
        <v>0</v>
      </c>
      <c r="AE77" s="22">
        <v>0</v>
      </c>
      <c r="AF77" s="22">
        <v>0</v>
      </c>
      <c r="AG77" s="22">
        <v>0</v>
      </c>
      <c r="AH77" s="22">
        <v>0</v>
      </c>
      <c r="AI77" s="22">
        <v>0</v>
      </c>
      <c r="AJ77" s="22">
        <v>0</v>
      </c>
      <c r="AK77" s="22">
        <v>0</v>
      </c>
      <c r="AL77" s="22">
        <v>0</v>
      </c>
      <c r="AM77" s="22">
        <v>0</v>
      </c>
      <c r="AN77" s="22">
        <v>0</v>
      </c>
      <c r="AO77" s="22">
        <v>0</v>
      </c>
      <c r="AP77" s="22">
        <v>0</v>
      </c>
      <c r="AQ77" s="22">
        <v>0</v>
      </c>
      <c r="AR77" s="22">
        <v>0</v>
      </c>
      <c r="AS77" s="22">
        <v>0</v>
      </c>
      <c r="AT77" s="21">
        <v>0</v>
      </c>
      <c r="AU77" s="21">
        <v>0</v>
      </c>
      <c r="AV77" s="21">
        <v>0</v>
      </c>
      <c r="AW77" s="21">
        <v>0</v>
      </c>
      <c r="AX77" s="21">
        <v>0</v>
      </c>
      <c r="AY77" s="21">
        <v>0</v>
      </c>
    </row>
    <row r="78" spans="1:51" ht="15.95">
      <c r="A78" s="23" t="s">
        <v>302</v>
      </c>
      <c r="B78" s="19" t="s">
        <v>303</v>
      </c>
      <c r="C78" s="19" t="s">
        <v>304</v>
      </c>
      <c r="D78" s="20">
        <f t="shared" si="1"/>
        <v>5</v>
      </c>
      <c r="E78" s="22">
        <v>1</v>
      </c>
      <c r="F78" s="22">
        <v>1</v>
      </c>
      <c r="G78" s="22">
        <v>1</v>
      </c>
      <c r="H78" s="22">
        <v>1</v>
      </c>
      <c r="I78" s="22">
        <v>1</v>
      </c>
      <c r="J78" s="22">
        <v>0</v>
      </c>
      <c r="K78" s="22">
        <v>0</v>
      </c>
      <c r="L78" s="22">
        <v>0</v>
      </c>
      <c r="M78" s="22">
        <v>0</v>
      </c>
      <c r="N78" s="22">
        <v>0</v>
      </c>
      <c r="O78" s="22">
        <v>0</v>
      </c>
      <c r="P78" s="22">
        <v>0</v>
      </c>
      <c r="Q78" s="22">
        <v>0</v>
      </c>
      <c r="R78" s="22">
        <v>0</v>
      </c>
      <c r="S78" s="22">
        <v>0</v>
      </c>
      <c r="T78" s="22">
        <v>0</v>
      </c>
      <c r="U78" s="22">
        <v>0</v>
      </c>
      <c r="V78" s="22">
        <v>0</v>
      </c>
      <c r="W78" s="22">
        <v>0</v>
      </c>
      <c r="X78" s="22">
        <v>0</v>
      </c>
      <c r="Y78" s="22">
        <v>0</v>
      </c>
      <c r="Z78" s="22">
        <v>0</v>
      </c>
      <c r="AA78" s="22">
        <v>0</v>
      </c>
      <c r="AB78" s="22">
        <v>0</v>
      </c>
      <c r="AC78" s="22">
        <v>0</v>
      </c>
      <c r="AD78" s="22">
        <v>0</v>
      </c>
      <c r="AE78" s="22">
        <v>0</v>
      </c>
      <c r="AF78" s="22">
        <v>0</v>
      </c>
      <c r="AG78" s="22">
        <v>0</v>
      </c>
      <c r="AH78" s="22">
        <v>0</v>
      </c>
      <c r="AI78" s="22">
        <v>0</v>
      </c>
      <c r="AJ78" s="22">
        <v>0</v>
      </c>
      <c r="AK78" s="22">
        <v>0</v>
      </c>
      <c r="AL78" s="22">
        <v>0</v>
      </c>
      <c r="AM78" s="22">
        <v>0</v>
      </c>
      <c r="AN78" s="22">
        <v>0</v>
      </c>
      <c r="AO78" s="22">
        <v>0</v>
      </c>
      <c r="AP78" s="22">
        <v>0</v>
      </c>
      <c r="AQ78" s="22">
        <v>0</v>
      </c>
      <c r="AR78" s="22">
        <v>0</v>
      </c>
      <c r="AS78" s="22">
        <v>0</v>
      </c>
      <c r="AT78" s="21">
        <v>0</v>
      </c>
      <c r="AU78" s="21">
        <v>0</v>
      </c>
      <c r="AV78" s="21">
        <v>0</v>
      </c>
      <c r="AW78" s="21">
        <v>0</v>
      </c>
      <c r="AX78" s="21">
        <v>0</v>
      </c>
      <c r="AY78" s="21">
        <v>0</v>
      </c>
    </row>
    <row r="79" spans="1:51" ht="15.95">
      <c r="A79" s="23" t="s">
        <v>305</v>
      </c>
      <c r="B79" s="19" t="s">
        <v>306</v>
      </c>
      <c r="C79" s="19" t="s">
        <v>307</v>
      </c>
      <c r="D79" s="20">
        <f t="shared" si="1"/>
        <v>5</v>
      </c>
      <c r="E79" s="22">
        <v>1</v>
      </c>
      <c r="F79" s="22">
        <v>1</v>
      </c>
      <c r="G79" s="22">
        <v>1</v>
      </c>
      <c r="H79" s="22">
        <v>1</v>
      </c>
      <c r="I79" s="22">
        <v>1</v>
      </c>
      <c r="J79" s="22">
        <v>0</v>
      </c>
      <c r="K79" s="22">
        <v>0</v>
      </c>
      <c r="L79" s="22">
        <v>0</v>
      </c>
      <c r="M79" s="22">
        <v>0</v>
      </c>
      <c r="N79" s="22">
        <v>0</v>
      </c>
      <c r="O79" s="22">
        <v>0</v>
      </c>
      <c r="P79" s="22">
        <v>0</v>
      </c>
      <c r="Q79" s="22">
        <v>0</v>
      </c>
      <c r="R79" s="22">
        <v>0</v>
      </c>
      <c r="S79" s="22">
        <v>0</v>
      </c>
      <c r="T79" s="22">
        <v>0</v>
      </c>
      <c r="U79" s="22">
        <v>0</v>
      </c>
      <c r="V79" s="22">
        <v>0</v>
      </c>
      <c r="W79" s="22">
        <v>0</v>
      </c>
      <c r="X79" s="22">
        <v>0</v>
      </c>
      <c r="Y79" s="22">
        <v>0</v>
      </c>
      <c r="Z79" s="22">
        <v>0</v>
      </c>
      <c r="AA79" s="22">
        <v>0</v>
      </c>
      <c r="AB79" s="22">
        <v>0</v>
      </c>
      <c r="AC79" s="22">
        <v>0</v>
      </c>
      <c r="AD79" s="22">
        <v>0</v>
      </c>
      <c r="AE79" s="22">
        <v>0</v>
      </c>
      <c r="AF79" s="22">
        <v>0</v>
      </c>
      <c r="AG79" s="22">
        <v>0</v>
      </c>
      <c r="AH79" s="22">
        <v>0</v>
      </c>
      <c r="AI79" s="22">
        <v>0</v>
      </c>
      <c r="AJ79" s="22">
        <v>0</v>
      </c>
      <c r="AK79" s="22">
        <v>0</v>
      </c>
      <c r="AL79" s="22">
        <v>0</v>
      </c>
      <c r="AM79" s="22">
        <v>0</v>
      </c>
      <c r="AN79" s="22">
        <v>0</v>
      </c>
      <c r="AO79" s="22">
        <v>0</v>
      </c>
      <c r="AP79" s="22">
        <v>0</v>
      </c>
      <c r="AQ79" s="22">
        <v>0</v>
      </c>
      <c r="AR79" s="22">
        <v>0</v>
      </c>
      <c r="AS79" s="22">
        <v>0</v>
      </c>
      <c r="AT79" s="21">
        <v>0</v>
      </c>
      <c r="AU79" s="21">
        <v>0</v>
      </c>
      <c r="AV79" s="21">
        <v>0</v>
      </c>
      <c r="AW79" s="21">
        <v>0</v>
      </c>
      <c r="AX79" s="21">
        <v>0</v>
      </c>
      <c r="AY79" s="21">
        <v>0</v>
      </c>
    </row>
    <row r="80" spans="1:51" ht="15.95">
      <c r="A80" s="23" t="s">
        <v>305</v>
      </c>
      <c r="B80" s="19" t="s">
        <v>308</v>
      </c>
      <c r="C80" s="19" t="s">
        <v>309</v>
      </c>
      <c r="D80" s="20">
        <f t="shared" si="1"/>
        <v>5</v>
      </c>
      <c r="E80" s="22">
        <v>1</v>
      </c>
      <c r="F80" s="22">
        <v>1</v>
      </c>
      <c r="G80" s="22">
        <v>1</v>
      </c>
      <c r="H80" s="22">
        <v>1</v>
      </c>
      <c r="I80" s="22">
        <v>1</v>
      </c>
      <c r="J80" s="22">
        <v>0</v>
      </c>
      <c r="K80" s="22">
        <v>0</v>
      </c>
      <c r="L80" s="22">
        <v>0</v>
      </c>
      <c r="M80" s="22">
        <v>0</v>
      </c>
      <c r="N80" s="22">
        <v>0</v>
      </c>
      <c r="O80" s="22">
        <v>0</v>
      </c>
      <c r="P80" s="22">
        <v>0</v>
      </c>
      <c r="Q80" s="22">
        <v>0</v>
      </c>
      <c r="R80" s="22">
        <v>0</v>
      </c>
      <c r="S80" s="22">
        <v>0</v>
      </c>
      <c r="T80" s="22">
        <v>0</v>
      </c>
      <c r="U80" s="22">
        <v>0</v>
      </c>
      <c r="V80" s="22">
        <v>0</v>
      </c>
      <c r="W80" s="22">
        <v>0</v>
      </c>
      <c r="X80" s="22">
        <v>0</v>
      </c>
      <c r="Y80" s="22">
        <v>0</v>
      </c>
      <c r="Z80" s="22">
        <v>0</v>
      </c>
      <c r="AA80" s="22">
        <v>0</v>
      </c>
      <c r="AB80" s="22">
        <v>0</v>
      </c>
      <c r="AC80" s="22">
        <v>0</v>
      </c>
      <c r="AD80" s="22">
        <v>0</v>
      </c>
      <c r="AE80" s="22">
        <v>0</v>
      </c>
      <c r="AF80" s="22">
        <v>0</v>
      </c>
      <c r="AG80" s="22">
        <v>0</v>
      </c>
      <c r="AH80" s="22">
        <v>0</v>
      </c>
      <c r="AI80" s="22">
        <v>0</v>
      </c>
      <c r="AJ80" s="22">
        <v>0</v>
      </c>
      <c r="AK80" s="22">
        <v>0</v>
      </c>
      <c r="AL80" s="22">
        <v>0</v>
      </c>
      <c r="AM80" s="22">
        <v>0</v>
      </c>
      <c r="AN80" s="22">
        <v>0</v>
      </c>
      <c r="AO80" s="22">
        <v>0</v>
      </c>
      <c r="AP80" s="22">
        <v>0</v>
      </c>
      <c r="AQ80" s="22">
        <v>0</v>
      </c>
      <c r="AR80" s="22">
        <v>0</v>
      </c>
      <c r="AS80" s="22">
        <v>0</v>
      </c>
      <c r="AT80" s="21">
        <v>0</v>
      </c>
      <c r="AU80" s="21">
        <v>0</v>
      </c>
      <c r="AV80" s="21">
        <v>0</v>
      </c>
      <c r="AW80" s="21">
        <v>0</v>
      </c>
      <c r="AX80" s="21">
        <v>0</v>
      </c>
      <c r="AY80" s="21">
        <v>0</v>
      </c>
    </row>
    <row r="81" spans="1:51" ht="15.95">
      <c r="A81" s="23" t="s">
        <v>310</v>
      </c>
      <c r="B81" s="19" t="s">
        <v>311</v>
      </c>
      <c r="C81" s="19" t="s">
        <v>312</v>
      </c>
      <c r="D81" s="20">
        <f t="shared" si="1"/>
        <v>5</v>
      </c>
      <c r="E81" s="22">
        <v>1</v>
      </c>
      <c r="F81" s="22">
        <v>1</v>
      </c>
      <c r="G81" s="22">
        <v>1</v>
      </c>
      <c r="H81" s="22">
        <v>1</v>
      </c>
      <c r="I81" s="22">
        <v>1</v>
      </c>
      <c r="J81" s="22">
        <v>0</v>
      </c>
      <c r="K81" s="22">
        <v>0</v>
      </c>
      <c r="L81" s="22">
        <v>0</v>
      </c>
      <c r="M81" s="22">
        <v>0</v>
      </c>
      <c r="N81" s="22">
        <v>0</v>
      </c>
      <c r="O81" s="22">
        <v>0</v>
      </c>
      <c r="P81" s="22">
        <v>0</v>
      </c>
      <c r="Q81" s="22">
        <v>0</v>
      </c>
      <c r="R81" s="22">
        <v>0</v>
      </c>
      <c r="S81" s="22">
        <v>0</v>
      </c>
      <c r="T81" s="22">
        <v>0</v>
      </c>
      <c r="U81" s="22">
        <v>0</v>
      </c>
      <c r="V81" s="22">
        <v>0</v>
      </c>
      <c r="W81" s="22">
        <v>0</v>
      </c>
      <c r="X81" s="22">
        <v>0</v>
      </c>
      <c r="Y81" s="22">
        <v>0</v>
      </c>
      <c r="Z81" s="22">
        <v>0</v>
      </c>
      <c r="AA81" s="22">
        <v>0</v>
      </c>
      <c r="AB81" s="22">
        <v>0</v>
      </c>
      <c r="AC81" s="22">
        <v>0</v>
      </c>
      <c r="AD81" s="22">
        <v>0</v>
      </c>
      <c r="AE81" s="22">
        <v>0</v>
      </c>
      <c r="AF81" s="22">
        <v>0</v>
      </c>
      <c r="AG81" s="22">
        <v>0</v>
      </c>
      <c r="AH81" s="22">
        <v>0</v>
      </c>
      <c r="AI81" s="22">
        <v>0</v>
      </c>
      <c r="AJ81" s="22">
        <v>0</v>
      </c>
      <c r="AK81" s="22">
        <v>0</v>
      </c>
      <c r="AL81" s="22">
        <v>0</v>
      </c>
      <c r="AM81" s="22">
        <v>0</v>
      </c>
      <c r="AN81" s="22">
        <v>0</v>
      </c>
      <c r="AO81" s="22">
        <v>0</v>
      </c>
      <c r="AP81" s="22">
        <v>0</v>
      </c>
      <c r="AQ81" s="22">
        <v>0</v>
      </c>
      <c r="AR81" s="22">
        <v>0</v>
      </c>
      <c r="AS81" s="22">
        <v>0</v>
      </c>
      <c r="AT81" s="21">
        <v>0</v>
      </c>
      <c r="AU81" s="21">
        <v>0</v>
      </c>
      <c r="AV81" s="21">
        <v>0</v>
      </c>
      <c r="AW81" s="21">
        <v>0</v>
      </c>
      <c r="AX81" s="21">
        <v>0</v>
      </c>
      <c r="AY81" s="21">
        <v>0</v>
      </c>
    </row>
    <row r="82" spans="1:51" ht="15.95">
      <c r="A82" s="23" t="s">
        <v>313</v>
      </c>
      <c r="B82" s="19" t="s">
        <v>314</v>
      </c>
      <c r="C82" s="19" t="s">
        <v>196</v>
      </c>
      <c r="D82" s="20">
        <f t="shared" si="1"/>
        <v>123674.55000000003</v>
      </c>
      <c r="E82" s="21">
        <v>26925.25</v>
      </c>
      <c r="F82" s="21">
        <v>14672.17</v>
      </c>
      <c r="G82" s="21">
        <v>5224.8</v>
      </c>
      <c r="H82" s="21">
        <v>9539.4</v>
      </c>
      <c r="I82" s="21">
        <v>12857.42</v>
      </c>
      <c r="J82" s="21">
        <v>14704.33</v>
      </c>
      <c r="K82" s="21">
        <v>1345.3000000000002</v>
      </c>
      <c r="L82" s="21">
        <v>3983.19</v>
      </c>
      <c r="M82" s="21">
        <v>2337.1399999999994</v>
      </c>
      <c r="N82" s="21">
        <v>255.9</v>
      </c>
      <c r="O82" s="21">
        <v>104.04</v>
      </c>
      <c r="P82" s="21">
        <v>127.51</v>
      </c>
      <c r="Q82" s="21">
        <v>205.60000000000002</v>
      </c>
      <c r="R82" s="21">
        <v>140.47999999999999</v>
      </c>
      <c r="S82" s="21">
        <v>1354.48</v>
      </c>
      <c r="T82" s="21">
        <v>7727.8</v>
      </c>
      <c r="U82" s="21">
        <v>358.44</v>
      </c>
      <c r="V82" s="21">
        <v>188.63</v>
      </c>
      <c r="W82" s="21">
        <v>108.3</v>
      </c>
      <c r="X82" s="21">
        <v>43.41</v>
      </c>
      <c r="Y82" s="21">
        <v>214.95999999999998</v>
      </c>
      <c r="Z82" s="21">
        <v>2051.21</v>
      </c>
      <c r="AA82" s="21">
        <v>251.13</v>
      </c>
      <c r="AB82" s="21">
        <v>2490.6800000000003</v>
      </c>
      <c r="AC82" s="21"/>
      <c r="AD82" s="21">
        <v>406.58</v>
      </c>
      <c r="AE82" s="21">
        <v>2253.1099999999997</v>
      </c>
      <c r="AF82" s="21">
        <v>109.57</v>
      </c>
      <c r="AG82" s="21">
        <v>165.79000000000002</v>
      </c>
      <c r="AH82" s="21">
        <v>431.26</v>
      </c>
      <c r="AI82" s="21">
        <v>484.58000000000004</v>
      </c>
      <c r="AJ82" s="21">
        <v>2643.31</v>
      </c>
      <c r="AK82" s="21">
        <v>229.77</v>
      </c>
      <c r="AL82" s="21">
        <v>1239.26</v>
      </c>
      <c r="AM82" s="21">
        <v>343.02</v>
      </c>
      <c r="AN82" s="21">
        <v>711.27</v>
      </c>
      <c r="AO82" s="21">
        <v>553.51</v>
      </c>
      <c r="AP82" s="21">
        <v>615.22</v>
      </c>
      <c r="AQ82" s="21">
        <v>196.76</v>
      </c>
      <c r="AR82" s="21"/>
      <c r="AS82" s="21">
        <v>115.97</v>
      </c>
      <c r="AT82" s="21">
        <v>170</v>
      </c>
      <c r="AU82" s="21">
        <v>280</v>
      </c>
      <c r="AV82" s="21">
        <v>200</v>
      </c>
      <c r="AW82" s="21">
        <v>2214</v>
      </c>
      <c r="AX82" s="21">
        <v>1890</v>
      </c>
      <c r="AY82" s="21">
        <v>1210</v>
      </c>
    </row>
    <row r="83" spans="1:51" ht="32.1">
      <c r="A83" s="23" t="s">
        <v>315</v>
      </c>
      <c r="B83" s="19" t="s">
        <v>316</v>
      </c>
      <c r="C83" s="19" t="s">
        <v>317</v>
      </c>
      <c r="D83" s="20">
        <f t="shared" si="1"/>
        <v>5</v>
      </c>
      <c r="E83" s="22">
        <v>1</v>
      </c>
      <c r="F83" s="22">
        <v>1</v>
      </c>
      <c r="G83" s="22">
        <v>1</v>
      </c>
      <c r="H83" s="22">
        <v>1</v>
      </c>
      <c r="I83" s="22">
        <v>1</v>
      </c>
      <c r="J83" s="22">
        <v>0</v>
      </c>
      <c r="K83" s="22">
        <v>0</v>
      </c>
      <c r="L83" s="22">
        <v>0</v>
      </c>
      <c r="M83" s="22">
        <v>0</v>
      </c>
      <c r="N83" s="22">
        <v>0</v>
      </c>
      <c r="O83" s="22">
        <v>0</v>
      </c>
      <c r="P83" s="22">
        <v>0</v>
      </c>
      <c r="Q83" s="22">
        <v>0</v>
      </c>
      <c r="R83" s="22">
        <v>0</v>
      </c>
      <c r="S83" s="22">
        <v>0</v>
      </c>
      <c r="T83" s="22">
        <v>0</v>
      </c>
      <c r="U83" s="22">
        <v>0</v>
      </c>
      <c r="V83" s="22">
        <v>0</v>
      </c>
      <c r="W83" s="22">
        <v>0</v>
      </c>
      <c r="X83" s="22">
        <v>0</v>
      </c>
      <c r="Y83" s="22">
        <v>0</v>
      </c>
      <c r="Z83" s="22">
        <v>0</v>
      </c>
      <c r="AA83" s="22">
        <v>0</v>
      </c>
      <c r="AB83" s="22">
        <v>0</v>
      </c>
      <c r="AC83" s="22">
        <v>0</v>
      </c>
      <c r="AD83" s="22">
        <v>0</v>
      </c>
      <c r="AE83" s="22">
        <v>0</v>
      </c>
      <c r="AF83" s="22">
        <v>0</v>
      </c>
      <c r="AG83" s="22">
        <v>0</v>
      </c>
      <c r="AH83" s="22">
        <v>0</v>
      </c>
      <c r="AI83" s="22">
        <v>0</v>
      </c>
      <c r="AJ83" s="22">
        <v>0</v>
      </c>
      <c r="AK83" s="22">
        <v>0</v>
      </c>
      <c r="AL83" s="22">
        <v>0</v>
      </c>
      <c r="AM83" s="22">
        <v>0</v>
      </c>
      <c r="AN83" s="22">
        <v>0</v>
      </c>
      <c r="AO83" s="22">
        <v>0</v>
      </c>
      <c r="AP83" s="22">
        <v>0</v>
      </c>
      <c r="AQ83" s="22">
        <v>0</v>
      </c>
      <c r="AR83" s="22">
        <v>0</v>
      </c>
      <c r="AS83" s="22">
        <v>0</v>
      </c>
      <c r="AT83" s="21">
        <v>0</v>
      </c>
      <c r="AU83" s="21">
        <v>0</v>
      </c>
      <c r="AV83" s="21">
        <v>0</v>
      </c>
      <c r="AW83" s="21">
        <v>0</v>
      </c>
      <c r="AX83" s="21">
        <v>0</v>
      </c>
      <c r="AY83" s="21">
        <v>0</v>
      </c>
    </row>
    <row r="84" spans="1:51" ht="15.95">
      <c r="A84" s="23" t="s">
        <v>318</v>
      </c>
      <c r="B84" s="19" t="s">
        <v>319</v>
      </c>
      <c r="C84" s="19" t="s">
        <v>320</v>
      </c>
      <c r="D84" s="20">
        <f t="shared" si="1"/>
        <v>41</v>
      </c>
      <c r="E84" s="22">
        <v>1</v>
      </c>
      <c r="F84" s="22">
        <v>1</v>
      </c>
      <c r="G84" s="22">
        <v>1</v>
      </c>
      <c r="H84" s="22">
        <v>1</v>
      </c>
      <c r="I84" s="22">
        <v>1</v>
      </c>
      <c r="J84" s="22">
        <v>1</v>
      </c>
      <c r="K84" s="22">
        <v>1</v>
      </c>
      <c r="L84" s="22">
        <v>1</v>
      </c>
      <c r="M84" s="22">
        <v>1</v>
      </c>
      <c r="N84" s="22">
        <v>1</v>
      </c>
      <c r="O84" s="22">
        <v>1</v>
      </c>
      <c r="P84" s="22">
        <v>1</v>
      </c>
      <c r="Q84" s="22">
        <v>1</v>
      </c>
      <c r="R84" s="22">
        <v>1</v>
      </c>
      <c r="S84" s="22">
        <v>1</v>
      </c>
      <c r="T84" s="22">
        <v>1</v>
      </c>
      <c r="U84" s="22">
        <v>1</v>
      </c>
      <c r="V84" s="22">
        <v>1</v>
      </c>
      <c r="W84" s="22">
        <v>1</v>
      </c>
      <c r="X84" s="22">
        <v>1</v>
      </c>
      <c r="Y84" s="22">
        <v>1</v>
      </c>
      <c r="Z84" s="22">
        <v>1</v>
      </c>
      <c r="AA84" s="22">
        <v>1</v>
      </c>
      <c r="AB84" s="22">
        <v>1</v>
      </c>
      <c r="AC84" s="22">
        <v>1</v>
      </c>
      <c r="AD84" s="22">
        <v>1</v>
      </c>
      <c r="AE84" s="22">
        <v>1</v>
      </c>
      <c r="AF84" s="22">
        <v>1</v>
      </c>
      <c r="AG84" s="22">
        <v>1</v>
      </c>
      <c r="AH84" s="22">
        <v>1</v>
      </c>
      <c r="AI84" s="22">
        <v>1</v>
      </c>
      <c r="AJ84" s="22">
        <v>1</v>
      </c>
      <c r="AK84" s="22">
        <v>1</v>
      </c>
      <c r="AL84" s="22">
        <v>1</v>
      </c>
      <c r="AM84" s="22">
        <v>1</v>
      </c>
      <c r="AN84" s="22">
        <v>1</v>
      </c>
      <c r="AO84" s="22">
        <v>1</v>
      </c>
      <c r="AP84" s="22">
        <v>1</v>
      </c>
      <c r="AQ84" s="22">
        <v>1</v>
      </c>
      <c r="AR84" s="22">
        <v>1</v>
      </c>
      <c r="AS84" s="22">
        <v>1</v>
      </c>
      <c r="AT84" s="21">
        <v>0</v>
      </c>
      <c r="AU84" s="21">
        <v>0</v>
      </c>
      <c r="AV84" s="21">
        <v>0</v>
      </c>
      <c r="AW84" s="21">
        <v>0</v>
      </c>
      <c r="AX84" s="21">
        <v>0</v>
      </c>
      <c r="AY84" s="21">
        <v>0</v>
      </c>
    </row>
    <row r="85" spans="1:51" ht="15.95">
      <c r="A85" s="23" t="s">
        <v>321</v>
      </c>
      <c r="B85" s="19" t="s">
        <v>322</v>
      </c>
      <c r="C85" s="19" t="s">
        <v>323</v>
      </c>
      <c r="D85" s="20">
        <f t="shared" si="1"/>
        <v>4</v>
      </c>
      <c r="E85" s="22">
        <v>1</v>
      </c>
      <c r="F85" s="22">
        <v>1</v>
      </c>
      <c r="G85" s="22">
        <v>0</v>
      </c>
      <c r="H85" s="22">
        <v>1</v>
      </c>
      <c r="I85" s="22">
        <v>1</v>
      </c>
      <c r="J85" s="22">
        <v>0</v>
      </c>
      <c r="K85" s="22">
        <v>0</v>
      </c>
      <c r="L85" s="22">
        <v>0</v>
      </c>
      <c r="M85" s="22">
        <v>0</v>
      </c>
      <c r="N85" s="22">
        <v>0</v>
      </c>
      <c r="O85" s="22">
        <v>0</v>
      </c>
      <c r="P85" s="22">
        <v>0</v>
      </c>
      <c r="Q85" s="22">
        <v>0</v>
      </c>
      <c r="R85" s="22">
        <v>0</v>
      </c>
      <c r="S85" s="22">
        <v>0</v>
      </c>
      <c r="T85" s="22">
        <v>0</v>
      </c>
      <c r="U85" s="22">
        <v>0</v>
      </c>
      <c r="V85" s="22">
        <v>0</v>
      </c>
      <c r="W85" s="22">
        <v>0</v>
      </c>
      <c r="X85" s="22">
        <v>0</v>
      </c>
      <c r="Y85" s="22">
        <v>0</v>
      </c>
      <c r="Z85" s="22">
        <v>0</v>
      </c>
      <c r="AA85" s="22">
        <v>0</v>
      </c>
      <c r="AB85" s="22">
        <v>0</v>
      </c>
      <c r="AC85" s="22">
        <v>0</v>
      </c>
      <c r="AD85" s="22">
        <v>0</v>
      </c>
      <c r="AE85" s="22">
        <v>0</v>
      </c>
      <c r="AF85" s="22">
        <v>0</v>
      </c>
      <c r="AG85" s="22">
        <v>0</v>
      </c>
      <c r="AH85" s="22">
        <v>0</v>
      </c>
      <c r="AI85" s="22">
        <v>0</v>
      </c>
      <c r="AJ85" s="22">
        <v>0</v>
      </c>
      <c r="AK85" s="22">
        <v>0</v>
      </c>
      <c r="AL85" s="22">
        <v>0</v>
      </c>
      <c r="AM85" s="22">
        <v>0</v>
      </c>
      <c r="AN85" s="22">
        <v>0</v>
      </c>
      <c r="AO85" s="22">
        <v>0</v>
      </c>
      <c r="AP85" s="22">
        <v>0</v>
      </c>
      <c r="AQ85" s="22">
        <v>0</v>
      </c>
      <c r="AR85" s="22">
        <v>0</v>
      </c>
      <c r="AS85" s="22">
        <v>0</v>
      </c>
      <c r="AT85" s="21">
        <v>0</v>
      </c>
      <c r="AU85" s="21">
        <v>0</v>
      </c>
      <c r="AV85" s="21">
        <v>0</v>
      </c>
      <c r="AW85" s="21">
        <v>0</v>
      </c>
      <c r="AX85" s="21">
        <v>0</v>
      </c>
      <c r="AY85" s="21">
        <v>0</v>
      </c>
    </row>
    <row r="86" spans="1:51" ht="15.95">
      <c r="A86" s="23" t="s">
        <v>324</v>
      </c>
      <c r="B86" s="19" t="s">
        <v>325</v>
      </c>
      <c r="C86" s="19" t="s">
        <v>326</v>
      </c>
      <c r="D86" s="20">
        <f t="shared" si="1"/>
        <v>23</v>
      </c>
      <c r="E86" s="22">
        <v>9</v>
      </c>
      <c r="F86" s="22">
        <v>4</v>
      </c>
      <c r="G86" s="22">
        <v>2</v>
      </c>
      <c r="H86" s="22">
        <v>5</v>
      </c>
      <c r="I86" s="22">
        <v>3</v>
      </c>
      <c r="J86" s="22">
        <v>0</v>
      </c>
      <c r="K86" s="22">
        <v>0</v>
      </c>
      <c r="L86" s="22">
        <v>0</v>
      </c>
      <c r="M86" s="22">
        <v>0</v>
      </c>
      <c r="N86" s="22">
        <v>0</v>
      </c>
      <c r="O86" s="22">
        <v>0</v>
      </c>
      <c r="P86" s="22">
        <v>0</v>
      </c>
      <c r="Q86" s="22">
        <v>0</v>
      </c>
      <c r="R86" s="22">
        <v>0</v>
      </c>
      <c r="S86" s="22">
        <v>0</v>
      </c>
      <c r="T86" s="22">
        <v>0</v>
      </c>
      <c r="U86" s="22">
        <v>0</v>
      </c>
      <c r="V86" s="22">
        <v>0</v>
      </c>
      <c r="W86" s="22">
        <v>0</v>
      </c>
      <c r="X86" s="22">
        <v>0</v>
      </c>
      <c r="Y86" s="22">
        <v>0</v>
      </c>
      <c r="Z86" s="22">
        <v>0</v>
      </c>
      <c r="AA86" s="22">
        <v>0</v>
      </c>
      <c r="AB86" s="22">
        <v>0</v>
      </c>
      <c r="AC86" s="22">
        <v>0</v>
      </c>
      <c r="AD86" s="22">
        <v>0</v>
      </c>
      <c r="AE86" s="22">
        <v>0</v>
      </c>
      <c r="AF86" s="22">
        <v>0</v>
      </c>
      <c r="AG86" s="22">
        <v>0</v>
      </c>
      <c r="AH86" s="22">
        <v>0</v>
      </c>
      <c r="AI86" s="22">
        <v>0</v>
      </c>
      <c r="AJ86" s="22">
        <v>0</v>
      </c>
      <c r="AK86" s="22">
        <v>0</v>
      </c>
      <c r="AL86" s="22">
        <v>0</v>
      </c>
      <c r="AM86" s="22">
        <v>0</v>
      </c>
      <c r="AN86" s="22">
        <v>0</v>
      </c>
      <c r="AO86" s="22">
        <v>0</v>
      </c>
      <c r="AP86" s="22">
        <v>0</v>
      </c>
      <c r="AQ86" s="22">
        <v>0</v>
      </c>
      <c r="AR86" s="22">
        <v>0</v>
      </c>
      <c r="AS86" s="22">
        <v>0</v>
      </c>
      <c r="AT86" s="21">
        <v>0</v>
      </c>
      <c r="AU86" s="21">
        <v>0</v>
      </c>
      <c r="AV86" s="21">
        <v>0</v>
      </c>
      <c r="AW86" s="21">
        <v>0</v>
      </c>
      <c r="AX86" s="21">
        <v>0</v>
      </c>
      <c r="AY86" s="21">
        <v>0</v>
      </c>
    </row>
    <row r="87" spans="1:51" ht="15.95">
      <c r="A87" s="23" t="s">
        <v>327</v>
      </c>
      <c r="B87" s="19" t="s">
        <v>328</v>
      </c>
      <c r="C87" s="19" t="s">
        <v>329</v>
      </c>
      <c r="D87" s="20">
        <f t="shared" si="1"/>
        <v>0</v>
      </c>
      <c r="E87" s="22">
        <v>0</v>
      </c>
      <c r="F87" s="22">
        <v>0</v>
      </c>
      <c r="G87" s="22">
        <v>0</v>
      </c>
      <c r="H87" s="22">
        <v>0</v>
      </c>
      <c r="I87" s="22">
        <v>0</v>
      </c>
      <c r="J87" s="22">
        <v>0</v>
      </c>
      <c r="K87" s="22">
        <v>0</v>
      </c>
      <c r="L87" s="22">
        <v>0</v>
      </c>
      <c r="M87" s="22">
        <v>0</v>
      </c>
      <c r="N87" s="22">
        <v>0</v>
      </c>
      <c r="O87" s="22">
        <v>0</v>
      </c>
      <c r="P87" s="22">
        <v>0</v>
      </c>
      <c r="Q87" s="22">
        <v>0</v>
      </c>
      <c r="R87" s="22">
        <v>0</v>
      </c>
      <c r="S87" s="22">
        <v>0</v>
      </c>
      <c r="T87" s="22">
        <v>0</v>
      </c>
      <c r="U87" s="22">
        <v>0</v>
      </c>
      <c r="V87" s="22">
        <v>0</v>
      </c>
      <c r="W87" s="22">
        <v>0</v>
      </c>
      <c r="X87" s="22">
        <v>0</v>
      </c>
      <c r="Y87" s="22">
        <v>0</v>
      </c>
      <c r="Z87" s="22">
        <v>0</v>
      </c>
      <c r="AA87" s="22">
        <v>0</v>
      </c>
      <c r="AB87" s="22">
        <v>0</v>
      </c>
      <c r="AC87" s="22">
        <v>0</v>
      </c>
      <c r="AD87" s="22">
        <v>0</v>
      </c>
      <c r="AE87" s="22">
        <v>0</v>
      </c>
      <c r="AF87" s="22">
        <v>0</v>
      </c>
      <c r="AG87" s="22">
        <v>0</v>
      </c>
      <c r="AH87" s="22">
        <v>0</v>
      </c>
      <c r="AI87" s="22">
        <v>0</v>
      </c>
      <c r="AJ87" s="22">
        <v>0</v>
      </c>
      <c r="AK87" s="22">
        <v>0</v>
      </c>
      <c r="AL87" s="22">
        <v>0</v>
      </c>
      <c r="AM87" s="22">
        <v>0</v>
      </c>
      <c r="AN87" s="22">
        <v>0</v>
      </c>
      <c r="AO87" s="22">
        <v>0</v>
      </c>
      <c r="AP87" s="22">
        <v>0</v>
      </c>
      <c r="AQ87" s="22">
        <v>0</v>
      </c>
      <c r="AR87" s="22">
        <v>0</v>
      </c>
      <c r="AS87" s="22">
        <v>0</v>
      </c>
      <c r="AT87" s="21">
        <v>0</v>
      </c>
      <c r="AU87" s="21">
        <v>0</v>
      </c>
      <c r="AV87" s="21">
        <v>0</v>
      </c>
      <c r="AW87" s="21">
        <v>0</v>
      </c>
      <c r="AX87" s="21">
        <v>0</v>
      </c>
      <c r="AY87" s="21">
        <v>0</v>
      </c>
    </row>
    <row r="88" spans="1:51" ht="15.95">
      <c r="A88" s="23" t="s">
        <v>330</v>
      </c>
      <c r="B88" s="19" t="s">
        <v>331</v>
      </c>
      <c r="C88" s="19" t="s">
        <v>332</v>
      </c>
      <c r="D88" s="20">
        <f t="shared" si="1"/>
        <v>0</v>
      </c>
      <c r="E88" s="22">
        <v>0</v>
      </c>
      <c r="F88" s="22">
        <v>0</v>
      </c>
      <c r="G88" s="22">
        <v>0</v>
      </c>
      <c r="H88" s="22">
        <v>0</v>
      </c>
      <c r="I88" s="22">
        <v>0</v>
      </c>
      <c r="J88" s="22">
        <v>0</v>
      </c>
      <c r="K88" s="22">
        <v>0</v>
      </c>
      <c r="L88" s="22">
        <v>0</v>
      </c>
      <c r="M88" s="22">
        <v>0</v>
      </c>
      <c r="N88" s="22">
        <v>0</v>
      </c>
      <c r="O88" s="22">
        <v>0</v>
      </c>
      <c r="P88" s="22">
        <v>0</v>
      </c>
      <c r="Q88" s="22">
        <v>0</v>
      </c>
      <c r="R88" s="22">
        <v>0</v>
      </c>
      <c r="S88" s="22">
        <v>0</v>
      </c>
      <c r="T88" s="22">
        <v>0</v>
      </c>
      <c r="U88" s="22">
        <v>0</v>
      </c>
      <c r="V88" s="22">
        <v>0</v>
      </c>
      <c r="W88" s="22">
        <v>0</v>
      </c>
      <c r="X88" s="22">
        <v>0</v>
      </c>
      <c r="Y88" s="22">
        <v>0</v>
      </c>
      <c r="Z88" s="22">
        <v>0</v>
      </c>
      <c r="AA88" s="22">
        <v>0</v>
      </c>
      <c r="AB88" s="22">
        <v>0</v>
      </c>
      <c r="AC88" s="22">
        <v>0</v>
      </c>
      <c r="AD88" s="22">
        <v>0</v>
      </c>
      <c r="AE88" s="22">
        <v>0</v>
      </c>
      <c r="AF88" s="22">
        <v>0</v>
      </c>
      <c r="AG88" s="22">
        <v>0</v>
      </c>
      <c r="AH88" s="22">
        <v>0</v>
      </c>
      <c r="AI88" s="22">
        <v>0</v>
      </c>
      <c r="AJ88" s="22">
        <v>0</v>
      </c>
      <c r="AK88" s="22">
        <v>0</v>
      </c>
      <c r="AL88" s="22">
        <v>0</v>
      </c>
      <c r="AM88" s="22">
        <v>0</v>
      </c>
      <c r="AN88" s="22">
        <v>0</v>
      </c>
      <c r="AO88" s="22">
        <v>0</v>
      </c>
      <c r="AP88" s="22">
        <v>0</v>
      </c>
      <c r="AQ88" s="22">
        <v>0</v>
      </c>
      <c r="AR88" s="22">
        <v>0</v>
      </c>
      <c r="AS88" s="22">
        <v>0</v>
      </c>
      <c r="AT88" s="21">
        <v>0</v>
      </c>
      <c r="AU88" s="21">
        <v>0</v>
      </c>
      <c r="AV88" s="21">
        <v>0</v>
      </c>
      <c r="AW88" s="21">
        <v>0</v>
      </c>
      <c r="AX88" s="21">
        <v>0</v>
      </c>
      <c r="AY88" s="21">
        <v>0</v>
      </c>
    </row>
    <row r="89" spans="1:51" ht="15.95">
      <c r="A89" s="24" t="s">
        <v>333</v>
      </c>
      <c r="B89" s="25"/>
      <c r="C89" s="25"/>
      <c r="D89" s="16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28"/>
      <c r="AJ89" s="28"/>
      <c r="AK89" s="28"/>
      <c r="AL89" s="28"/>
      <c r="AM89" s="28"/>
      <c r="AN89" s="28"/>
      <c r="AO89" s="28"/>
      <c r="AP89" s="28"/>
      <c r="AQ89" s="28"/>
      <c r="AR89" s="28"/>
      <c r="AS89" s="28"/>
      <c r="AT89" s="28"/>
      <c r="AU89" s="28"/>
      <c r="AV89" s="28"/>
      <c r="AW89" s="28"/>
      <c r="AX89" s="28"/>
      <c r="AY89" s="28"/>
    </row>
    <row r="90" spans="1:51" ht="15.95">
      <c r="A90" s="19" t="s">
        <v>334</v>
      </c>
      <c r="B90" s="19" t="s">
        <v>335</v>
      </c>
      <c r="C90" s="19" t="s">
        <v>336</v>
      </c>
      <c r="D90" s="20">
        <f t="shared" ref="D90:D103" si="2">SUM(E90:AY90)</f>
        <v>123717.55000000003</v>
      </c>
      <c r="E90" s="22">
        <v>26925.25</v>
      </c>
      <c r="F90" s="22">
        <v>14672.17</v>
      </c>
      <c r="G90" s="22">
        <v>5224.8</v>
      </c>
      <c r="H90" s="22">
        <v>9539.4</v>
      </c>
      <c r="I90" s="22">
        <v>12857.42</v>
      </c>
      <c r="J90" s="22">
        <v>14704.33</v>
      </c>
      <c r="K90" s="22">
        <v>1345.3000000000002</v>
      </c>
      <c r="L90" s="22">
        <v>3983.19</v>
      </c>
      <c r="M90" s="22">
        <v>2337.1399999999994</v>
      </c>
      <c r="N90" s="22">
        <v>255.9</v>
      </c>
      <c r="O90" s="22">
        <v>104.04</v>
      </c>
      <c r="P90" s="22">
        <v>127.51</v>
      </c>
      <c r="Q90" s="22">
        <v>205.60000000000002</v>
      </c>
      <c r="R90" s="22">
        <v>140.47999999999999</v>
      </c>
      <c r="S90" s="22">
        <v>1354.48</v>
      </c>
      <c r="T90" s="22">
        <v>7727.8</v>
      </c>
      <c r="U90" s="22">
        <v>358.44</v>
      </c>
      <c r="V90" s="22">
        <v>188.63</v>
      </c>
      <c r="W90" s="22">
        <v>108.3</v>
      </c>
      <c r="X90" s="22">
        <v>43.41</v>
      </c>
      <c r="Y90" s="22">
        <v>214.95999999999998</v>
      </c>
      <c r="Z90" s="22">
        <v>2051.21</v>
      </c>
      <c r="AA90" s="22">
        <v>251.13</v>
      </c>
      <c r="AB90" s="22">
        <v>0</v>
      </c>
      <c r="AC90" s="22">
        <v>2490.6800000000003</v>
      </c>
      <c r="AD90" s="22">
        <v>406.58</v>
      </c>
      <c r="AE90" s="22">
        <v>2253.1099999999997</v>
      </c>
      <c r="AF90" s="22">
        <v>109.57</v>
      </c>
      <c r="AG90" s="22">
        <v>165.79000000000002</v>
      </c>
      <c r="AH90" s="22">
        <v>431.26</v>
      </c>
      <c r="AI90" s="22">
        <v>484.58000000000004</v>
      </c>
      <c r="AJ90" s="22">
        <v>2643.31</v>
      </c>
      <c r="AK90" s="22">
        <v>229.77</v>
      </c>
      <c r="AL90" s="22">
        <v>1239.26</v>
      </c>
      <c r="AM90" s="22">
        <v>343.02</v>
      </c>
      <c r="AN90" s="22">
        <v>711.27</v>
      </c>
      <c r="AO90" s="22">
        <v>553.51</v>
      </c>
      <c r="AP90" s="22">
        <v>615.22</v>
      </c>
      <c r="AQ90" s="22">
        <v>196.76</v>
      </c>
      <c r="AR90" s="22">
        <v>43</v>
      </c>
      <c r="AS90" s="22">
        <v>115.97</v>
      </c>
      <c r="AT90" s="21">
        <v>170</v>
      </c>
      <c r="AU90" s="21">
        <v>280</v>
      </c>
      <c r="AV90" s="21">
        <v>200</v>
      </c>
      <c r="AW90" s="21">
        <v>2214</v>
      </c>
      <c r="AX90" s="21">
        <v>1890</v>
      </c>
      <c r="AY90" s="21">
        <v>1210</v>
      </c>
    </row>
    <row r="91" spans="1:51" ht="15.95">
      <c r="A91" s="19" t="s">
        <v>337</v>
      </c>
      <c r="B91" s="19" t="s">
        <v>338</v>
      </c>
      <c r="C91" s="19" t="s">
        <v>336</v>
      </c>
      <c r="D91" s="20">
        <f t="shared" si="2"/>
        <v>123717.55000000003</v>
      </c>
      <c r="E91" s="22">
        <v>26925.25</v>
      </c>
      <c r="F91" s="22">
        <v>14672.17</v>
      </c>
      <c r="G91" s="22">
        <v>5224.8</v>
      </c>
      <c r="H91" s="22">
        <v>9539.4</v>
      </c>
      <c r="I91" s="22">
        <v>12857.42</v>
      </c>
      <c r="J91" s="22">
        <v>14704.33</v>
      </c>
      <c r="K91" s="22">
        <v>1345.3000000000002</v>
      </c>
      <c r="L91" s="22">
        <v>3983.19</v>
      </c>
      <c r="M91" s="22">
        <v>2337.1399999999994</v>
      </c>
      <c r="N91" s="22">
        <v>255.9</v>
      </c>
      <c r="O91" s="22">
        <v>104.04</v>
      </c>
      <c r="P91" s="22">
        <v>127.51</v>
      </c>
      <c r="Q91" s="22">
        <v>205.60000000000002</v>
      </c>
      <c r="R91" s="22">
        <v>140.47999999999999</v>
      </c>
      <c r="S91" s="22">
        <v>1354.48</v>
      </c>
      <c r="T91" s="22">
        <v>7727.8</v>
      </c>
      <c r="U91" s="22">
        <v>358.44</v>
      </c>
      <c r="V91" s="22">
        <v>188.63</v>
      </c>
      <c r="W91" s="22">
        <v>108.3</v>
      </c>
      <c r="X91" s="22">
        <v>43.41</v>
      </c>
      <c r="Y91" s="22">
        <v>214.95999999999998</v>
      </c>
      <c r="Z91" s="22">
        <v>2051.21</v>
      </c>
      <c r="AA91" s="22">
        <v>251.13</v>
      </c>
      <c r="AB91" s="22">
        <v>0</v>
      </c>
      <c r="AC91" s="22">
        <v>2490.6800000000003</v>
      </c>
      <c r="AD91" s="22">
        <v>406.58</v>
      </c>
      <c r="AE91" s="22">
        <v>2253.1099999999997</v>
      </c>
      <c r="AF91" s="22">
        <v>109.57</v>
      </c>
      <c r="AG91" s="22">
        <v>165.79000000000002</v>
      </c>
      <c r="AH91" s="22">
        <v>431.26</v>
      </c>
      <c r="AI91" s="22">
        <v>484.58000000000004</v>
      </c>
      <c r="AJ91" s="22">
        <v>2643.31</v>
      </c>
      <c r="AK91" s="22">
        <v>229.77</v>
      </c>
      <c r="AL91" s="22">
        <v>1239.26</v>
      </c>
      <c r="AM91" s="22">
        <v>343.02</v>
      </c>
      <c r="AN91" s="22">
        <v>711.27</v>
      </c>
      <c r="AO91" s="22">
        <v>553.51</v>
      </c>
      <c r="AP91" s="22">
        <v>615.22</v>
      </c>
      <c r="AQ91" s="22">
        <v>196.76</v>
      </c>
      <c r="AR91" s="22">
        <v>43</v>
      </c>
      <c r="AS91" s="22">
        <v>115.97</v>
      </c>
      <c r="AT91" s="21">
        <v>170</v>
      </c>
      <c r="AU91" s="21">
        <v>280</v>
      </c>
      <c r="AV91" s="21">
        <v>200</v>
      </c>
      <c r="AW91" s="21">
        <v>2214</v>
      </c>
      <c r="AX91" s="21">
        <v>1890</v>
      </c>
      <c r="AY91" s="21">
        <v>1210</v>
      </c>
    </row>
    <row r="92" spans="1:51" ht="15.95">
      <c r="A92" s="23" t="s">
        <v>339</v>
      </c>
      <c r="B92" s="19" t="s">
        <v>340</v>
      </c>
      <c r="C92" s="19" t="s">
        <v>196</v>
      </c>
      <c r="D92" s="20">
        <f t="shared" si="2"/>
        <v>123717.55000000003</v>
      </c>
      <c r="E92" s="22">
        <v>26925.25</v>
      </c>
      <c r="F92" s="22">
        <v>14672.17</v>
      </c>
      <c r="G92" s="22">
        <v>5224.8</v>
      </c>
      <c r="H92" s="22">
        <v>9539.4</v>
      </c>
      <c r="I92" s="22">
        <v>12857.42</v>
      </c>
      <c r="J92" s="22">
        <v>14704.33</v>
      </c>
      <c r="K92" s="22">
        <v>1345.3000000000002</v>
      </c>
      <c r="L92" s="22">
        <v>3983.19</v>
      </c>
      <c r="M92" s="22">
        <v>2337.1399999999994</v>
      </c>
      <c r="N92" s="22">
        <v>255.9</v>
      </c>
      <c r="O92" s="22">
        <v>104.04</v>
      </c>
      <c r="P92" s="22">
        <v>127.51</v>
      </c>
      <c r="Q92" s="22">
        <v>205.60000000000002</v>
      </c>
      <c r="R92" s="22">
        <v>140.47999999999999</v>
      </c>
      <c r="S92" s="22">
        <v>1354.48</v>
      </c>
      <c r="T92" s="22">
        <v>7727.8</v>
      </c>
      <c r="U92" s="22">
        <v>358.44</v>
      </c>
      <c r="V92" s="22">
        <v>188.63</v>
      </c>
      <c r="W92" s="22">
        <v>108.3</v>
      </c>
      <c r="X92" s="22">
        <v>43.41</v>
      </c>
      <c r="Y92" s="22">
        <v>214.95999999999998</v>
      </c>
      <c r="Z92" s="22">
        <v>2051.21</v>
      </c>
      <c r="AA92" s="22">
        <v>251.13</v>
      </c>
      <c r="AB92" s="22">
        <v>0</v>
      </c>
      <c r="AC92" s="22">
        <v>2490.6800000000003</v>
      </c>
      <c r="AD92" s="22">
        <v>406.58</v>
      </c>
      <c r="AE92" s="22">
        <v>2253.1099999999997</v>
      </c>
      <c r="AF92" s="22">
        <v>109.57</v>
      </c>
      <c r="AG92" s="22">
        <v>165.79000000000002</v>
      </c>
      <c r="AH92" s="22">
        <v>431.26</v>
      </c>
      <c r="AI92" s="22">
        <v>484.58000000000004</v>
      </c>
      <c r="AJ92" s="22">
        <v>2643.31</v>
      </c>
      <c r="AK92" s="22">
        <v>229.77</v>
      </c>
      <c r="AL92" s="22">
        <v>1239.26</v>
      </c>
      <c r="AM92" s="22">
        <v>343.02</v>
      </c>
      <c r="AN92" s="22">
        <v>711.27</v>
      </c>
      <c r="AO92" s="22">
        <v>553.51</v>
      </c>
      <c r="AP92" s="22">
        <v>615.22</v>
      </c>
      <c r="AQ92" s="22">
        <v>196.76</v>
      </c>
      <c r="AR92" s="22">
        <v>43</v>
      </c>
      <c r="AS92" s="22">
        <v>115.97</v>
      </c>
      <c r="AT92" s="21">
        <v>170</v>
      </c>
      <c r="AU92" s="21">
        <v>280</v>
      </c>
      <c r="AV92" s="21">
        <v>200</v>
      </c>
      <c r="AW92" s="21">
        <v>2214</v>
      </c>
      <c r="AX92" s="21">
        <v>1890</v>
      </c>
      <c r="AY92" s="21">
        <v>1210</v>
      </c>
    </row>
    <row r="93" spans="1:51" ht="15.95">
      <c r="A93" s="23" t="s">
        <v>341</v>
      </c>
      <c r="B93" s="19" t="s">
        <v>342</v>
      </c>
      <c r="C93" s="19" t="s">
        <v>196</v>
      </c>
      <c r="D93" s="20">
        <f t="shared" si="2"/>
        <v>123717.55000000003</v>
      </c>
      <c r="E93" s="22">
        <v>26925.25</v>
      </c>
      <c r="F93" s="22">
        <v>14672.17</v>
      </c>
      <c r="G93" s="22">
        <v>5224.8</v>
      </c>
      <c r="H93" s="22">
        <v>9539.4</v>
      </c>
      <c r="I93" s="22">
        <v>12857.42</v>
      </c>
      <c r="J93" s="22">
        <v>14704.33</v>
      </c>
      <c r="K93" s="22">
        <v>1345.3000000000002</v>
      </c>
      <c r="L93" s="22">
        <v>3983.19</v>
      </c>
      <c r="M93" s="22">
        <v>2337.1399999999994</v>
      </c>
      <c r="N93" s="22">
        <v>255.9</v>
      </c>
      <c r="O93" s="22">
        <v>104.04</v>
      </c>
      <c r="P93" s="22">
        <v>127.51</v>
      </c>
      <c r="Q93" s="22">
        <v>205.60000000000002</v>
      </c>
      <c r="R93" s="22">
        <v>140.47999999999999</v>
      </c>
      <c r="S93" s="22">
        <v>1354.48</v>
      </c>
      <c r="T93" s="22">
        <v>7727.8</v>
      </c>
      <c r="U93" s="22">
        <v>358.44</v>
      </c>
      <c r="V93" s="22">
        <v>188.63</v>
      </c>
      <c r="W93" s="22">
        <v>108.3</v>
      </c>
      <c r="X93" s="22">
        <v>43.41</v>
      </c>
      <c r="Y93" s="22">
        <v>214.95999999999998</v>
      </c>
      <c r="Z93" s="22">
        <v>2051.21</v>
      </c>
      <c r="AA93" s="22">
        <v>251.13</v>
      </c>
      <c r="AB93" s="22">
        <v>0</v>
      </c>
      <c r="AC93" s="22">
        <v>2490.6800000000003</v>
      </c>
      <c r="AD93" s="22">
        <v>406.58</v>
      </c>
      <c r="AE93" s="22">
        <v>2253.1099999999997</v>
      </c>
      <c r="AF93" s="22">
        <v>109.57</v>
      </c>
      <c r="AG93" s="22">
        <v>165.79000000000002</v>
      </c>
      <c r="AH93" s="22">
        <v>431.26</v>
      </c>
      <c r="AI93" s="22">
        <v>484.58000000000004</v>
      </c>
      <c r="AJ93" s="22">
        <v>2643.31</v>
      </c>
      <c r="AK93" s="22">
        <v>229.77</v>
      </c>
      <c r="AL93" s="22">
        <v>1239.26</v>
      </c>
      <c r="AM93" s="22">
        <v>343.02</v>
      </c>
      <c r="AN93" s="22">
        <v>711.27</v>
      </c>
      <c r="AO93" s="22">
        <v>553.51</v>
      </c>
      <c r="AP93" s="22">
        <v>615.22</v>
      </c>
      <c r="AQ93" s="22">
        <v>196.76</v>
      </c>
      <c r="AR93" s="22">
        <v>43</v>
      </c>
      <c r="AS93" s="22">
        <v>115.97</v>
      </c>
      <c r="AT93" s="21">
        <v>170</v>
      </c>
      <c r="AU93" s="21">
        <v>280</v>
      </c>
      <c r="AV93" s="21">
        <v>200</v>
      </c>
      <c r="AW93" s="21">
        <v>2214</v>
      </c>
      <c r="AX93" s="21">
        <v>1890</v>
      </c>
      <c r="AY93" s="21">
        <v>1210</v>
      </c>
    </row>
    <row r="94" spans="1:51" ht="15.95">
      <c r="A94" s="23" t="s">
        <v>343</v>
      </c>
      <c r="B94" s="19" t="s">
        <v>344</v>
      </c>
      <c r="C94" s="19" t="s">
        <v>345</v>
      </c>
      <c r="D94" s="20">
        <f t="shared" si="2"/>
        <v>13736.83</v>
      </c>
      <c r="E94" s="22">
        <v>3181.52</v>
      </c>
      <c r="F94" s="22">
        <v>1570.31</v>
      </c>
      <c r="G94" s="22">
        <v>823.54</v>
      </c>
      <c r="H94" s="22">
        <v>1732.14</v>
      </c>
      <c r="I94" s="22">
        <v>3427.81</v>
      </c>
      <c r="J94" s="22">
        <v>1326.4</v>
      </c>
      <c r="K94" s="22">
        <v>325.11</v>
      </c>
      <c r="L94" s="22">
        <v>50</v>
      </c>
      <c r="M94" s="22">
        <v>50</v>
      </c>
      <c r="N94" s="22">
        <v>50</v>
      </c>
      <c r="O94" s="22">
        <v>0</v>
      </c>
      <c r="P94" s="22">
        <v>0</v>
      </c>
      <c r="Q94" s="22">
        <v>0</v>
      </c>
      <c r="R94" s="22">
        <v>0</v>
      </c>
      <c r="S94" s="22">
        <v>0</v>
      </c>
      <c r="T94" s="22">
        <v>250</v>
      </c>
      <c r="U94" s="22">
        <v>0</v>
      </c>
      <c r="V94" s="22">
        <v>0</v>
      </c>
      <c r="W94" s="22">
        <v>0</v>
      </c>
      <c r="X94" s="22">
        <v>0</v>
      </c>
      <c r="Y94" s="22">
        <v>0</v>
      </c>
      <c r="Z94" s="22">
        <v>400</v>
      </c>
      <c r="AA94" s="22">
        <v>0</v>
      </c>
      <c r="AB94" s="22">
        <v>0</v>
      </c>
      <c r="AC94" s="22">
        <v>0</v>
      </c>
      <c r="AD94" s="22">
        <v>0</v>
      </c>
      <c r="AE94" s="22">
        <v>250</v>
      </c>
      <c r="AF94" s="22">
        <v>0</v>
      </c>
      <c r="AG94" s="22">
        <v>0</v>
      </c>
      <c r="AH94" s="22">
        <v>0</v>
      </c>
      <c r="AI94" s="22">
        <v>0</v>
      </c>
      <c r="AJ94" s="22">
        <v>150</v>
      </c>
      <c r="AK94" s="22">
        <v>0</v>
      </c>
      <c r="AL94" s="22">
        <v>0</v>
      </c>
      <c r="AM94" s="22">
        <v>0</v>
      </c>
      <c r="AN94" s="22">
        <v>50</v>
      </c>
      <c r="AO94" s="22">
        <v>0</v>
      </c>
      <c r="AP94" s="22">
        <v>100</v>
      </c>
      <c r="AQ94" s="22">
        <v>0</v>
      </c>
      <c r="AR94" s="22"/>
      <c r="AS94" s="22">
        <v>0</v>
      </c>
      <c r="AT94" s="21">
        <v>0</v>
      </c>
      <c r="AU94" s="21">
        <v>0</v>
      </c>
      <c r="AV94" s="21">
        <v>0</v>
      </c>
      <c r="AW94" s="21">
        <v>0</v>
      </c>
      <c r="AX94" s="21">
        <v>0</v>
      </c>
      <c r="AY94" s="21">
        <v>0</v>
      </c>
    </row>
    <row r="95" spans="1:51" ht="15.95">
      <c r="A95" s="23" t="s">
        <v>346</v>
      </c>
      <c r="B95" s="19" t="s">
        <v>347</v>
      </c>
      <c r="C95" s="19" t="s">
        <v>348</v>
      </c>
      <c r="D95" s="20">
        <f t="shared" si="2"/>
        <v>891</v>
      </c>
      <c r="E95" s="22">
        <v>167</v>
      </c>
      <c r="F95" s="22">
        <v>123</v>
      </c>
      <c r="G95" s="22">
        <v>66</v>
      </c>
      <c r="H95" s="22">
        <v>73</v>
      </c>
      <c r="I95" s="22">
        <v>130</v>
      </c>
      <c r="J95" s="22">
        <v>70</v>
      </c>
      <c r="K95" s="22">
        <v>15</v>
      </c>
      <c r="L95" s="22">
        <v>18</v>
      </c>
      <c r="M95" s="22">
        <v>14</v>
      </c>
      <c r="N95" s="22">
        <v>2</v>
      </c>
      <c r="O95" s="22">
        <v>1</v>
      </c>
      <c r="P95" s="22">
        <v>2</v>
      </c>
      <c r="Q95" s="22">
        <v>1</v>
      </c>
      <c r="R95" s="22">
        <v>2</v>
      </c>
      <c r="S95" s="22">
        <v>9</v>
      </c>
      <c r="T95" s="22">
        <v>47</v>
      </c>
      <c r="U95" s="22">
        <v>2</v>
      </c>
      <c r="V95" s="22">
        <v>3</v>
      </c>
      <c r="W95" s="22">
        <v>1</v>
      </c>
      <c r="X95" s="22">
        <v>1</v>
      </c>
      <c r="Y95" s="22">
        <v>1</v>
      </c>
      <c r="Z95" s="22">
        <v>25</v>
      </c>
      <c r="AA95" s="22">
        <v>2</v>
      </c>
      <c r="AB95" s="22">
        <v>26</v>
      </c>
      <c r="AC95" s="22">
        <v>0</v>
      </c>
      <c r="AD95" s="22">
        <v>4</v>
      </c>
      <c r="AE95" s="22">
        <v>27</v>
      </c>
      <c r="AF95" s="22">
        <v>4</v>
      </c>
      <c r="AG95" s="22">
        <v>1</v>
      </c>
      <c r="AH95" s="22">
        <v>3</v>
      </c>
      <c r="AI95" s="22">
        <v>2</v>
      </c>
      <c r="AJ95" s="22">
        <v>6</v>
      </c>
      <c r="AK95" s="22">
        <v>3</v>
      </c>
      <c r="AL95" s="22">
        <v>12</v>
      </c>
      <c r="AM95" s="22">
        <v>2</v>
      </c>
      <c r="AN95" s="22">
        <v>10</v>
      </c>
      <c r="AO95" s="22">
        <v>3</v>
      </c>
      <c r="AP95" s="22">
        <v>7</v>
      </c>
      <c r="AQ95" s="22">
        <v>2</v>
      </c>
      <c r="AR95" s="22">
        <v>0</v>
      </c>
      <c r="AS95" s="22">
        <v>4</v>
      </c>
      <c r="AT95" s="21">
        <v>0</v>
      </c>
      <c r="AU95" s="21">
        <v>0</v>
      </c>
      <c r="AV95" s="21">
        <v>0</v>
      </c>
      <c r="AW95" s="21">
        <v>0</v>
      </c>
      <c r="AX95" s="21">
        <v>0</v>
      </c>
      <c r="AY95" s="21">
        <v>0</v>
      </c>
    </row>
    <row r="96" spans="1:51" ht="15.95">
      <c r="A96" s="23" t="s">
        <v>349</v>
      </c>
      <c r="B96" s="19" t="s">
        <v>350</v>
      </c>
      <c r="C96" s="19" t="s">
        <v>351</v>
      </c>
      <c r="D96" s="20">
        <f t="shared" si="2"/>
        <v>0</v>
      </c>
      <c r="E96" s="22">
        <v>0</v>
      </c>
      <c r="F96" s="22">
        <v>0</v>
      </c>
      <c r="G96" s="22">
        <v>0</v>
      </c>
      <c r="H96" s="22">
        <v>0</v>
      </c>
      <c r="I96" s="22">
        <v>0</v>
      </c>
      <c r="J96" s="22">
        <v>0</v>
      </c>
      <c r="K96" s="22">
        <v>0</v>
      </c>
      <c r="L96" s="22">
        <v>0</v>
      </c>
      <c r="M96" s="22">
        <v>0</v>
      </c>
      <c r="N96" s="22">
        <v>0</v>
      </c>
      <c r="O96" s="22">
        <v>0</v>
      </c>
      <c r="P96" s="22">
        <v>0</v>
      </c>
      <c r="Q96" s="22">
        <v>0</v>
      </c>
      <c r="R96" s="22">
        <v>0</v>
      </c>
      <c r="S96" s="22">
        <v>0</v>
      </c>
      <c r="T96" s="22">
        <v>0</v>
      </c>
      <c r="U96" s="22">
        <v>0</v>
      </c>
      <c r="V96" s="22">
        <v>0</v>
      </c>
      <c r="W96" s="22">
        <v>0</v>
      </c>
      <c r="X96" s="22">
        <v>0</v>
      </c>
      <c r="Y96" s="22">
        <v>0</v>
      </c>
      <c r="Z96" s="22">
        <v>0</v>
      </c>
      <c r="AA96" s="22">
        <v>0</v>
      </c>
      <c r="AB96" s="22">
        <v>0</v>
      </c>
      <c r="AC96" s="22">
        <v>0</v>
      </c>
      <c r="AD96" s="22">
        <v>0</v>
      </c>
      <c r="AE96" s="22">
        <v>0</v>
      </c>
      <c r="AF96" s="22">
        <v>0</v>
      </c>
      <c r="AG96" s="22">
        <v>0</v>
      </c>
      <c r="AH96" s="22">
        <v>0</v>
      </c>
      <c r="AI96" s="22">
        <v>0</v>
      </c>
      <c r="AJ96" s="22">
        <v>0</v>
      </c>
      <c r="AK96" s="22">
        <v>0</v>
      </c>
      <c r="AL96" s="22">
        <v>0</v>
      </c>
      <c r="AM96" s="22">
        <v>0</v>
      </c>
      <c r="AN96" s="22">
        <v>0</v>
      </c>
      <c r="AO96" s="22">
        <v>0</v>
      </c>
      <c r="AP96" s="22">
        <v>0</v>
      </c>
      <c r="AQ96" s="22">
        <v>0</v>
      </c>
      <c r="AR96" s="22">
        <v>0</v>
      </c>
      <c r="AS96" s="22">
        <v>0</v>
      </c>
      <c r="AT96" s="21">
        <v>0</v>
      </c>
      <c r="AU96" s="21">
        <v>0</v>
      </c>
      <c r="AV96" s="21">
        <v>0</v>
      </c>
      <c r="AW96" s="21">
        <v>0</v>
      </c>
      <c r="AX96" s="21">
        <v>0</v>
      </c>
      <c r="AY96" s="21">
        <v>0</v>
      </c>
    </row>
    <row r="97" spans="1:51" ht="15.95">
      <c r="A97" s="23" t="s">
        <v>352</v>
      </c>
      <c r="B97" s="19" t="s">
        <v>353</v>
      </c>
      <c r="C97" s="19" t="s">
        <v>242</v>
      </c>
      <c r="D97" s="20">
        <f t="shared" si="2"/>
        <v>8</v>
      </c>
      <c r="E97" s="22">
        <v>1</v>
      </c>
      <c r="F97" s="22">
        <v>1</v>
      </c>
      <c r="G97" s="22">
        <v>1</v>
      </c>
      <c r="H97" s="22">
        <v>1</v>
      </c>
      <c r="I97" s="22">
        <v>1</v>
      </c>
      <c r="J97" s="22">
        <v>1</v>
      </c>
      <c r="K97" s="22">
        <v>1</v>
      </c>
      <c r="L97" s="22">
        <v>1</v>
      </c>
      <c r="M97" s="22">
        <v>0</v>
      </c>
      <c r="N97" s="22">
        <v>0</v>
      </c>
      <c r="O97" s="22">
        <v>0</v>
      </c>
      <c r="P97" s="22">
        <v>0</v>
      </c>
      <c r="Q97" s="22">
        <v>0</v>
      </c>
      <c r="R97" s="22">
        <v>0</v>
      </c>
      <c r="S97" s="22">
        <v>0</v>
      </c>
      <c r="T97" s="22">
        <v>0</v>
      </c>
      <c r="U97" s="22">
        <v>0</v>
      </c>
      <c r="V97" s="22">
        <v>0</v>
      </c>
      <c r="W97" s="22">
        <v>0</v>
      </c>
      <c r="X97" s="22">
        <v>0</v>
      </c>
      <c r="Y97" s="22">
        <v>0</v>
      </c>
      <c r="Z97" s="22">
        <v>0</v>
      </c>
      <c r="AA97" s="22">
        <v>0</v>
      </c>
      <c r="AB97" s="22">
        <v>0</v>
      </c>
      <c r="AC97" s="22">
        <v>0</v>
      </c>
      <c r="AD97" s="22">
        <v>0</v>
      </c>
      <c r="AE97" s="22">
        <v>0</v>
      </c>
      <c r="AF97" s="22">
        <v>0</v>
      </c>
      <c r="AG97" s="22">
        <v>0</v>
      </c>
      <c r="AH97" s="22">
        <v>0</v>
      </c>
      <c r="AI97" s="22">
        <v>0</v>
      </c>
      <c r="AJ97" s="22">
        <v>0</v>
      </c>
      <c r="AK97" s="22">
        <v>0</v>
      </c>
      <c r="AL97" s="22">
        <v>0</v>
      </c>
      <c r="AM97" s="22">
        <v>0</v>
      </c>
      <c r="AN97" s="22">
        <v>0</v>
      </c>
      <c r="AO97" s="22">
        <v>0</v>
      </c>
      <c r="AP97" s="22">
        <v>0</v>
      </c>
      <c r="AQ97" s="22">
        <v>0</v>
      </c>
      <c r="AR97" s="22">
        <v>0</v>
      </c>
      <c r="AS97" s="22">
        <v>0</v>
      </c>
      <c r="AT97" s="21">
        <v>0</v>
      </c>
      <c r="AU97" s="21">
        <v>0</v>
      </c>
      <c r="AV97" s="21">
        <v>0</v>
      </c>
      <c r="AW97" s="21">
        <v>0</v>
      </c>
      <c r="AX97" s="21">
        <v>0</v>
      </c>
      <c r="AY97" s="21">
        <v>0</v>
      </c>
    </row>
    <row r="98" spans="1:51" ht="15.95">
      <c r="A98" s="23" t="s">
        <v>354</v>
      </c>
      <c r="B98" s="19" t="s">
        <v>355</v>
      </c>
      <c r="C98" s="19" t="s">
        <v>356</v>
      </c>
      <c r="D98" s="20">
        <f t="shared" si="2"/>
        <v>251</v>
      </c>
      <c r="E98" s="22">
        <v>63</v>
      </c>
      <c r="F98" s="22">
        <v>9</v>
      </c>
      <c r="G98" s="22">
        <v>13</v>
      </c>
      <c r="H98" s="22">
        <v>44</v>
      </c>
      <c r="I98" s="22">
        <v>24</v>
      </c>
      <c r="J98" s="22">
        <v>24</v>
      </c>
      <c r="K98" s="22">
        <v>7</v>
      </c>
      <c r="L98" s="22">
        <v>12</v>
      </c>
      <c r="M98" s="22">
        <v>0</v>
      </c>
      <c r="N98" s="22">
        <v>0</v>
      </c>
      <c r="O98" s="22">
        <v>0</v>
      </c>
      <c r="P98" s="22">
        <v>0</v>
      </c>
      <c r="Q98" s="22">
        <v>0</v>
      </c>
      <c r="R98" s="22">
        <v>0</v>
      </c>
      <c r="S98" s="22">
        <v>0</v>
      </c>
      <c r="T98" s="22">
        <v>23</v>
      </c>
      <c r="U98" s="22">
        <v>0</v>
      </c>
      <c r="V98" s="22">
        <v>0</v>
      </c>
      <c r="W98" s="22">
        <v>0</v>
      </c>
      <c r="X98" s="22">
        <v>0</v>
      </c>
      <c r="Y98" s="22">
        <v>0</v>
      </c>
      <c r="Z98" s="22">
        <v>9</v>
      </c>
      <c r="AA98" s="22">
        <v>0</v>
      </c>
      <c r="AB98" s="22">
        <v>0</v>
      </c>
      <c r="AC98" s="22">
        <v>0</v>
      </c>
      <c r="AD98" s="22">
        <v>0</v>
      </c>
      <c r="AE98" s="22">
        <v>9</v>
      </c>
      <c r="AF98" s="22">
        <v>0</v>
      </c>
      <c r="AG98" s="22">
        <v>0</v>
      </c>
      <c r="AH98" s="22">
        <v>0</v>
      </c>
      <c r="AI98" s="22">
        <v>0</v>
      </c>
      <c r="AJ98" s="22">
        <v>9</v>
      </c>
      <c r="AK98" s="22">
        <v>0</v>
      </c>
      <c r="AL98" s="22">
        <v>5</v>
      </c>
      <c r="AM98" s="22">
        <v>0</v>
      </c>
      <c r="AN98" s="22">
        <v>0</v>
      </c>
      <c r="AO98" s="22">
        <v>0</v>
      </c>
      <c r="AP98" s="22">
        <v>0</v>
      </c>
      <c r="AQ98" s="22">
        <v>0</v>
      </c>
      <c r="AR98" s="22">
        <v>0</v>
      </c>
      <c r="AS98" s="22">
        <v>0</v>
      </c>
      <c r="AT98" s="21">
        <v>0</v>
      </c>
      <c r="AU98" s="21">
        <v>0</v>
      </c>
      <c r="AV98" s="21">
        <v>0</v>
      </c>
      <c r="AW98" s="21">
        <v>0</v>
      </c>
      <c r="AX98" s="21">
        <v>0</v>
      </c>
      <c r="AY98" s="21">
        <v>0</v>
      </c>
    </row>
    <row r="99" spans="1:51" ht="15.95">
      <c r="A99" s="23" t="s">
        <v>357</v>
      </c>
      <c r="B99" s="19" t="s">
        <v>358</v>
      </c>
      <c r="C99" s="19" t="s">
        <v>359</v>
      </c>
      <c r="D99" s="20">
        <f t="shared" si="2"/>
        <v>0</v>
      </c>
      <c r="E99" s="22">
        <v>0</v>
      </c>
      <c r="F99" s="22">
        <v>0</v>
      </c>
      <c r="G99" s="22">
        <v>0</v>
      </c>
      <c r="H99" s="22">
        <v>0</v>
      </c>
      <c r="I99" s="22">
        <v>0</v>
      </c>
      <c r="J99" s="22">
        <v>0</v>
      </c>
      <c r="K99" s="22">
        <v>0</v>
      </c>
      <c r="L99" s="22">
        <v>0</v>
      </c>
      <c r="M99" s="22">
        <v>0</v>
      </c>
      <c r="N99" s="22">
        <v>0</v>
      </c>
      <c r="O99" s="22">
        <v>0</v>
      </c>
      <c r="P99" s="22">
        <v>0</v>
      </c>
      <c r="Q99" s="22">
        <v>0</v>
      </c>
      <c r="R99" s="22">
        <v>0</v>
      </c>
      <c r="S99" s="22">
        <v>0</v>
      </c>
      <c r="T99" s="22">
        <v>0</v>
      </c>
      <c r="U99" s="22">
        <v>0</v>
      </c>
      <c r="V99" s="22">
        <v>0</v>
      </c>
      <c r="W99" s="22">
        <v>0</v>
      </c>
      <c r="X99" s="22">
        <v>0</v>
      </c>
      <c r="Y99" s="22">
        <v>0</v>
      </c>
      <c r="Z99" s="22">
        <v>0</v>
      </c>
      <c r="AA99" s="22">
        <v>0</v>
      </c>
      <c r="AB99" s="22">
        <v>0</v>
      </c>
      <c r="AC99" s="22">
        <v>0</v>
      </c>
      <c r="AD99" s="22">
        <v>0</v>
      </c>
      <c r="AE99" s="22">
        <v>0</v>
      </c>
      <c r="AF99" s="22">
        <v>0</v>
      </c>
      <c r="AG99" s="22">
        <v>0</v>
      </c>
      <c r="AH99" s="22">
        <v>0</v>
      </c>
      <c r="AI99" s="22">
        <v>0</v>
      </c>
      <c r="AJ99" s="22">
        <v>0</v>
      </c>
      <c r="AK99" s="22">
        <v>0</v>
      </c>
      <c r="AL99" s="22">
        <v>0</v>
      </c>
      <c r="AM99" s="22">
        <v>0</v>
      </c>
      <c r="AN99" s="22">
        <v>0</v>
      </c>
      <c r="AO99" s="22">
        <v>0</v>
      </c>
      <c r="AP99" s="22">
        <v>0</v>
      </c>
      <c r="AQ99" s="22">
        <v>0</v>
      </c>
      <c r="AR99" s="22">
        <v>0</v>
      </c>
      <c r="AS99" s="22">
        <v>0</v>
      </c>
      <c r="AT99" s="21">
        <v>0</v>
      </c>
      <c r="AU99" s="21">
        <v>0</v>
      </c>
      <c r="AV99" s="21">
        <v>0</v>
      </c>
      <c r="AW99" s="21">
        <v>0</v>
      </c>
      <c r="AX99" s="21">
        <v>0</v>
      </c>
      <c r="AY99" s="21">
        <v>0</v>
      </c>
    </row>
    <row r="100" spans="1:51" ht="32.1">
      <c r="A100" s="23" t="s">
        <v>360</v>
      </c>
      <c r="B100" s="19" t="s">
        <v>361</v>
      </c>
      <c r="C100" s="19" t="s">
        <v>362</v>
      </c>
      <c r="D100" s="20">
        <f t="shared" si="2"/>
        <v>0</v>
      </c>
      <c r="E100" s="22">
        <v>0</v>
      </c>
      <c r="F100" s="22">
        <v>0</v>
      </c>
      <c r="G100" s="22">
        <v>0</v>
      </c>
      <c r="H100" s="22">
        <v>0</v>
      </c>
      <c r="I100" s="22">
        <v>0</v>
      </c>
      <c r="J100" s="22">
        <v>0</v>
      </c>
      <c r="K100" s="22">
        <v>0</v>
      </c>
      <c r="L100" s="22">
        <v>0</v>
      </c>
      <c r="M100" s="22">
        <v>0</v>
      </c>
      <c r="N100" s="22">
        <v>0</v>
      </c>
      <c r="O100" s="22">
        <v>0</v>
      </c>
      <c r="P100" s="22">
        <v>0</v>
      </c>
      <c r="Q100" s="22">
        <v>0</v>
      </c>
      <c r="R100" s="22">
        <v>0</v>
      </c>
      <c r="S100" s="22">
        <v>0</v>
      </c>
      <c r="T100" s="22">
        <v>0</v>
      </c>
      <c r="U100" s="22">
        <v>0</v>
      </c>
      <c r="V100" s="22">
        <v>0</v>
      </c>
      <c r="W100" s="22">
        <v>0</v>
      </c>
      <c r="X100" s="22">
        <v>0</v>
      </c>
      <c r="Y100" s="22">
        <v>0</v>
      </c>
      <c r="Z100" s="22">
        <v>0</v>
      </c>
      <c r="AA100" s="22">
        <v>0</v>
      </c>
      <c r="AB100" s="22">
        <v>0</v>
      </c>
      <c r="AC100" s="22">
        <v>0</v>
      </c>
      <c r="AD100" s="22">
        <v>0</v>
      </c>
      <c r="AE100" s="22">
        <v>0</v>
      </c>
      <c r="AF100" s="22">
        <v>0</v>
      </c>
      <c r="AG100" s="22">
        <v>0</v>
      </c>
      <c r="AH100" s="22">
        <v>0</v>
      </c>
      <c r="AI100" s="22">
        <v>0</v>
      </c>
      <c r="AJ100" s="22">
        <v>0</v>
      </c>
      <c r="AK100" s="22">
        <v>0</v>
      </c>
      <c r="AL100" s="22">
        <v>0</v>
      </c>
      <c r="AM100" s="22">
        <v>0</v>
      </c>
      <c r="AN100" s="22">
        <v>0</v>
      </c>
      <c r="AO100" s="22">
        <v>0</v>
      </c>
      <c r="AP100" s="22">
        <v>0</v>
      </c>
      <c r="AQ100" s="22">
        <v>0</v>
      </c>
      <c r="AR100" s="22">
        <v>0</v>
      </c>
      <c r="AS100" s="22">
        <v>0</v>
      </c>
      <c r="AT100" s="21">
        <v>0</v>
      </c>
      <c r="AU100" s="21">
        <v>0</v>
      </c>
      <c r="AV100" s="21">
        <v>0</v>
      </c>
      <c r="AW100" s="21">
        <v>0</v>
      </c>
      <c r="AX100" s="21">
        <v>0</v>
      </c>
      <c r="AY100" s="21">
        <v>0</v>
      </c>
    </row>
    <row r="101" spans="1:51" ht="15.95">
      <c r="A101" s="23" t="s">
        <v>363</v>
      </c>
      <c r="B101" s="19" t="s">
        <v>364</v>
      </c>
      <c r="C101" s="19" t="s">
        <v>365</v>
      </c>
      <c r="D101" s="20">
        <f t="shared" si="2"/>
        <v>0</v>
      </c>
      <c r="E101" s="22">
        <v>0</v>
      </c>
      <c r="F101" s="22">
        <v>0</v>
      </c>
      <c r="G101" s="22">
        <v>0</v>
      </c>
      <c r="H101" s="22">
        <v>0</v>
      </c>
      <c r="I101" s="22">
        <v>0</v>
      </c>
      <c r="J101" s="22">
        <v>0</v>
      </c>
      <c r="K101" s="22">
        <v>0</v>
      </c>
      <c r="L101" s="22">
        <v>0</v>
      </c>
      <c r="M101" s="22">
        <v>0</v>
      </c>
      <c r="N101" s="22">
        <v>0</v>
      </c>
      <c r="O101" s="22">
        <v>0</v>
      </c>
      <c r="P101" s="22">
        <v>0</v>
      </c>
      <c r="Q101" s="22">
        <v>0</v>
      </c>
      <c r="R101" s="22">
        <v>0</v>
      </c>
      <c r="S101" s="22">
        <v>0</v>
      </c>
      <c r="T101" s="22">
        <v>0</v>
      </c>
      <c r="U101" s="22">
        <v>0</v>
      </c>
      <c r="V101" s="22">
        <v>0</v>
      </c>
      <c r="W101" s="22">
        <v>0</v>
      </c>
      <c r="X101" s="22">
        <v>0</v>
      </c>
      <c r="Y101" s="22">
        <v>0</v>
      </c>
      <c r="Z101" s="22">
        <v>0</v>
      </c>
      <c r="AA101" s="22">
        <v>0</v>
      </c>
      <c r="AB101" s="22">
        <v>0</v>
      </c>
      <c r="AC101" s="22">
        <v>0</v>
      </c>
      <c r="AD101" s="22">
        <v>0</v>
      </c>
      <c r="AE101" s="22">
        <v>0</v>
      </c>
      <c r="AF101" s="22">
        <v>0</v>
      </c>
      <c r="AG101" s="22">
        <v>0</v>
      </c>
      <c r="AH101" s="22">
        <v>0</v>
      </c>
      <c r="AI101" s="22">
        <v>0</v>
      </c>
      <c r="AJ101" s="22">
        <v>0</v>
      </c>
      <c r="AK101" s="22">
        <v>0</v>
      </c>
      <c r="AL101" s="22">
        <v>0</v>
      </c>
      <c r="AM101" s="22">
        <v>0</v>
      </c>
      <c r="AN101" s="22">
        <v>0</v>
      </c>
      <c r="AO101" s="22">
        <v>0</v>
      </c>
      <c r="AP101" s="22">
        <v>0</v>
      </c>
      <c r="AQ101" s="22">
        <v>0</v>
      </c>
      <c r="AR101" s="22">
        <v>0</v>
      </c>
      <c r="AS101" s="22">
        <v>0</v>
      </c>
      <c r="AT101" s="21">
        <v>0</v>
      </c>
      <c r="AU101" s="21">
        <v>0</v>
      </c>
      <c r="AV101" s="21">
        <v>0</v>
      </c>
      <c r="AW101" s="21">
        <v>0</v>
      </c>
      <c r="AX101" s="21">
        <v>0</v>
      </c>
      <c r="AY101" s="21">
        <v>0</v>
      </c>
    </row>
    <row r="102" spans="1:51" ht="15.95">
      <c r="A102" s="23" t="s">
        <v>366</v>
      </c>
      <c r="B102" s="19" t="s">
        <v>367</v>
      </c>
      <c r="C102" s="19" t="s">
        <v>368</v>
      </c>
      <c r="D102" s="20">
        <f t="shared" si="2"/>
        <v>0</v>
      </c>
      <c r="E102" s="22">
        <v>0</v>
      </c>
      <c r="F102" s="22">
        <v>0</v>
      </c>
      <c r="G102" s="22">
        <v>0</v>
      </c>
      <c r="H102" s="22">
        <v>0</v>
      </c>
      <c r="I102" s="22">
        <v>0</v>
      </c>
      <c r="J102" s="22">
        <v>0</v>
      </c>
      <c r="K102" s="22">
        <v>0</v>
      </c>
      <c r="L102" s="22">
        <v>0</v>
      </c>
      <c r="M102" s="22">
        <v>0</v>
      </c>
      <c r="N102" s="22">
        <v>0</v>
      </c>
      <c r="O102" s="22">
        <v>0</v>
      </c>
      <c r="P102" s="22">
        <v>0</v>
      </c>
      <c r="Q102" s="22">
        <v>0</v>
      </c>
      <c r="R102" s="22">
        <v>0</v>
      </c>
      <c r="S102" s="22">
        <v>0</v>
      </c>
      <c r="T102" s="22">
        <v>0</v>
      </c>
      <c r="U102" s="22">
        <v>0</v>
      </c>
      <c r="V102" s="22">
        <v>0</v>
      </c>
      <c r="W102" s="22">
        <v>0</v>
      </c>
      <c r="X102" s="22">
        <v>0</v>
      </c>
      <c r="Y102" s="22">
        <v>0</v>
      </c>
      <c r="Z102" s="22">
        <v>0</v>
      </c>
      <c r="AA102" s="22">
        <v>0</v>
      </c>
      <c r="AB102" s="22">
        <v>0</v>
      </c>
      <c r="AC102" s="22">
        <v>0</v>
      </c>
      <c r="AD102" s="22">
        <v>0</v>
      </c>
      <c r="AE102" s="22">
        <v>0</v>
      </c>
      <c r="AF102" s="22">
        <v>0</v>
      </c>
      <c r="AG102" s="22">
        <v>0</v>
      </c>
      <c r="AH102" s="22">
        <v>0</v>
      </c>
      <c r="AI102" s="22">
        <v>0</v>
      </c>
      <c r="AJ102" s="22">
        <v>0</v>
      </c>
      <c r="AK102" s="22">
        <v>0</v>
      </c>
      <c r="AL102" s="22">
        <v>0</v>
      </c>
      <c r="AM102" s="22">
        <v>0</v>
      </c>
      <c r="AN102" s="22">
        <v>0</v>
      </c>
      <c r="AO102" s="22">
        <v>0</v>
      </c>
      <c r="AP102" s="22">
        <v>0</v>
      </c>
      <c r="AQ102" s="22">
        <v>0</v>
      </c>
      <c r="AR102" s="22">
        <v>0</v>
      </c>
      <c r="AS102" s="22">
        <v>0</v>
      </c>
      <c r="AT102" s="21">
        <v>0</v>
      </c>
      <c r="AU102" s="21">
        <v>0</v>
      </c>
      <c r="AV102" s="21">
        <v>0</v>
      </c>
      <c r="AW102" s="21">
        <v>0</v>
      </c>
      <c r="AX102" s="21">
        <v>0</v>
      </c>
      <c r="AY102" s="21">
        <v>0</v>
      </c>
    </row>
    <row r="103" spans="1:51" ht="32.1">
      <c r="A103" s="23" t="s">
        <v>357</v>
      </c>
      <c r="B103" s="19" t="s">
        <v>369</v>
      </c>
      <c r="C103" s="19" t="s">
        <v>370</v>
      </c>
      <c r="D103" s="20">
        <f t="shared" si="2"/>
        <v>0</v>
      </c>
      <c r="E103" s="22">
        <v>0</v>
      </c>
      <c r="F103" s="22">
        <v>0</v>
      </c>
      <c r="G103" s="22">
        <v>0</v>
      </c>
      <c r="H103" s="22">
        <v>0</v>
      </c>
      <c r="I103" s="22">
        <v>0</v>
      </c>
      <c r="J103" s="22">
        <v>0</v>
      </c>
      <c r="K103" s="22">
        <v>0</v>
      </c>
      <c r="L103" s="22">
        <v>0</v>
      </c>
      <c r="M103" s="22">
        <v>0</v>
      </c>
      <c r="N103" s="22">
        <v>0</v>
      </c>
      <c r="O103" s="22">
        <v>0</v>
      </c>
      <c r="P103" s="22">
        <v>0</v>
      </c>
      <c r="Q103" s="22">
        <v>0</v>
      </c>
      <c r="R103" s="22">
        <v>0</v>
      </c>
      <c r="S103" s="22">
        <v>0</v>
      </c>
      <c r="T103" s="22">
        <v>0</v>
      </c>
      <c r="U103" s="22">
        <v>0</v>
      </c>
      <c r="V103" s="22">
        <v>0</v>
      </c>
      <c r="W103" s="22">
        <v>0</v>
      </c>
      <c r="X103" s="22">
        <v>0</v>
      </c>
      <c r="Y103" s="22">
        <v>0</v>
      </c>
      <c r="Z103" s="22">
        <v>0</v>
      </c>
      <c r="AA103" s="22">
        <v>0</v>
      </c>
      <c r="AB103" s="22">
        <v>0</v>
      </c>
      <c r="AC103" s="22">
        <v>0</v>
      </c>
      <c r="AD103" s="22">
        <v>0</v>
      </c>
      <c r="AE103" s="22">
        <v>0</v>
      </c>
      <c r="AF103" s="22">
        <v>0</v>
      </c>
      <c r="AG103" s="22">
        <v>0</v>
      </c>
      <c r="AH103" s="22">
        <v>0</v>
      </c>
      <c r="AI103" s="22">
        <v>0</v>
      </c>
      <c r="AJ103" s="22">
        <v>0</v>
      </c>
      <c r="AK103" s="22">
        <v>0</v>
      </c>
      <c r="AL103" s="22">
        <v>0</v>
      </c>
      <c r="AM103" s="22">
        <v>0</v>
      </c>
      <c r="AN103" s="22">
        <v>0</v>
      </c>
      <c r="AO103" s="22">
        <v>0</v>
      </c>
      <c r="AP103" s="22">
        <v>0</v>
      </c>
      <c r="AQ103" s="22">
        <v>0</v>
      </c>
      <c r="AR103" s="22">
        <v>0</v>
      </c>
      <c r="AS103" s="22">
        <v>0</v>
      </c>
      <c r="AT103" s="21">
        <v>0</v>
      </c>
      <c r="AU103" s="21">
        <v>0</v>
      </c>
      <c r="AV103" s="21">
        <v>0</v>
      </c>
      <c r="AW103" s="21">
        <v>0</v>
      </c>
      <c r="AX103" s="21">
        <v>0</v>
      </c>
      <c r="AY103" s="21">
        <v>0</v>
      </c>
    </row>
    <row r="104" spans="1:51" ht="15.95">
      <c r="A104" s="24" t="s">
        <v>371</v>
      </c>
      <c r="B104" s="25"/>
      <c r="C104" s="25"/>
      <c r="D104" s="16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  <c r="AI104" s="28"/>
      <c r="AJ104" s="28"/>
      <c r="AK104" s="28"/>
      <c r="AL104" s="28"/>
      <c r="AM104" s="28"/>
      <c r="AN104" s="28"/>
      <c r="AO104" s="28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</row>
    <row r="105" spans="1:51" ht="15.95">
      <c r="A105" s="23" t="s">
        <v>372</v>
      </c>
      <c r="B105" s="19" t="s">
        <v>373</v>
      </c>
      <c r="C105" s="19" t="s">
        <v>374</v>
      </c>
      <c r="D105" s="20">
        <f t="shared" ref="D105:D111" si="3">SUM(E105:AY105)</f>
        <v>36</v>
      </c>
      <c r="E105" s="22">
        <v>1</v>
      </c>
      <c r="F105" s="22">
        <v>9</v>
      </c>
      <c r="G105" s="22">
        <v>3</v>
      </c>
      <c r="H105" s="22">
        <v>2</v>
      </c>
      <c r="I105" s="22">
        <v>5</v>
      </c>
      <c r="J105" s="22">
        <v>0</v>
      </c>
      <c r="K105" s="22">
        <v>0</v>
      </c>
      <c r="L105" s="22">
        <v>2</v>
      </c>
      <c r="M105" s="22">
        <v>2</v>
      </c>
      <c r="N105" s="22">
        <v>0</v>
      </c>
      <c r="O105" s="22">
        <v>0</v>
      </c>
      <c r="P105" s="22">
        <v>0</v>
      </c>
      <c r="Q105" s="22">
        <v>0</v>
      </c>
      <c r="R105" s="22">
        <v>0</v>
      </c>
      <c r="S105" s="22">
        <v>2</v>
      </c>
      <c r="T105" s="22">
        <v>5</v>
      </c>
      <c r="U105" s="22">
        <v>0</v>
      </c>
      <c r="V105" s="22">
        <v>0</v>
      </c>
      <c r="W105" s="22">
        <v>0</v>
      </c>
      <c r="X105" s="22">
        <v>0</v>
      </c>
      <c r="Y105" s="22">
        <v>0</v>
      </c>
      <c r="Z105" s="22">
        <v>0</v>
      </c>
      <c r="AA105" s="22">
        <v>0</v>
      </c>
      <c r="AB105" s="22">
        <v>0</v>
      </c>
      <c r="AC105" s="22">
        <v>0</v>
      </c>
      <c r="AD105" s="22">
        <v>0</v>
      </c>
      <c r="AE105" s="22">
        <v>2</v>
      </c>
      <c r="AF105" s="22">
        <v>0</v>
      </c>
      <c r="AG105" s="22">
        <v>0</v>
      </c>
      <c r="AH105" s="22">
        <v>0</v>
      </c>
      <c r="AI105" s="22">
        <v>0</v>
      </c>
      <c r="AJ105" s="22">
        <v>2</v>
      </c>
      <c r="AK105" s="22">
        <v>0</v>
      </c>
      <c r="AL105" s="22">
        <v>0</v>
      </c>
      <c r="AM105" s="22">
        <v>0</v>
      </c>
      <c r="AN105" s="22">
        <v>1</v>
      </c>
      <c r="AO105" s="22">
        <v>0</v>
      </c>
      <c r="AP105" s="22">
        <v>0</v>
      </c>
      <c r="AQ105" s="22">
        <v>0</v>
      </c>
      <c r="AR105" s="22">
        <v>0</v>
      </c>
      <c r="AS105" s="22">
        <v>0</v>
      </c>
      <c r="AT105" s="21">
        <v>0</v>
      </c>
      <c r="AU105" s="21">
        <v>0</v>
      </c>
      <c r="AV105" s="21">
        <v>0</v>
      </c>
      <c r="AW105" s="21">
        <v>0</v>
      </c>
      <c r="AX105" s="21">
        <v>0</v>
      </c>
      <c r="AY105" s="21">
        <v>0</v>
      </c>
    </row>
    <row r="106" spans="1:51" ht="15.95">
      <c r="A106" s="23" t="s">
        <v>372</v>
      </c>
      <c r="B106" s="19" t="s">
        <v>375</v>
      </c>
      <c r="C106" s="19" t="s">
        <v>374</v>
      </c>
      <c r="D106" s="20">
        <f t="shared" si="3"/>
        <v>23</v>
      </c>
      <c r="E106" s="22">
        <v>12</v>
      </c>
      <c r="F106" s="22">
        <v>0</v>
      </c>
      <c r="G106" s="22">
        <v>0</v>
      </c>
      <c r="H106" s="22">
        <v>6</v>
      </c>
      <c r="I106" s="22">
        <v>0</v>
      </c>
      <c r="J106" s="22">
        <v>5</v>
      </c>
      <c r="K106" s="22">
        <v>0</v>
      </c>
      <c r="L106" s="22">
        <v>0</v>
      </c>
      <c r="M106" s="22">
        <v>0</v>
      </c>
      <c r="N106" s="22">
        <v>0</v>
      </c>
      <c r="O106" s="22">
        <v>0</v>
      </c>
      <c r="P106" s="22">
        <v>0</v>
      </c>
      <c r="Q106" s="22">
        <v>0</v>
      </c>
      <c r="R106" s="22">
        <v>0</v>
      </c>
      <c r="S106" s="22">
        <v>0</v>
      </c>
      <c r="T106" s="22">
        <v>0</v>
      </c>
      <c r="U106" s="22">
        <v>0</v>
      </c>
      <c r="V106" s="22">
        <v>0</v>
      </c>
      <c r="W106" s="22">
        <v>0</v>
      </c>
      <c r="X106" s="22">
        <v>0</v>
      </c>
      <c r="Y106" s="22">
        <v>0</v>
      </c>
      <c r="Z106" s="22">
        <v>0</v>
      </c>
      <c r="AA106" s="22">
        <v>0</v>
      </c>
      <c r="AB106" s="22">
        <v>0</v>
      </c>
      <c r="AC106" s="22">
        <v>0</v>
      </c>
      <c r="AD106" s="22">
        <v>0</v>
      </c>
      <c r="AE106" s="22">
        <v>0</v>
      </c>
      <c r="AF106" s="22">
        <v>0</v>
      </c>
      <c r="AG106" s="22">
        <v>0</v>
      </c>
      <c r="AH106" s="22">
        <v>0</v>
      </c>
      <c r="AI106" s="22">
        <v>0</v>
      </c>
      <c r="AJ106" s="22">
        <v>0</v>
      </c>
      <c r="AK106" s="22">
        <v>0</v>
      </c>
      <c r="AL106" s="22">
        <v>0</v>
      </c>
      <c r="AM106" s="22">
        <v>0</v>
      </c>
      <c r="AN106" s="22">
        <v>0</v>
      </c>
      <c r="AO106" s="22">
        <v>0</v>
      </c>
      <c r="AP106" s="22">
        <v>0</v>
      </c>
      <c r="AQ106" s="22">
        <v>0</v>
      </c>
      <c r="AR106" s="22">
        <v>0</v>
      </c>
      <c r="AS106" s="22">
        <v>0</v>
      </c>
      <c r="AT106" s="21">
        <v>0</v>
      </c>
      <c r="AU106" s="21">
        <v>0</v>
      </c>
      <c r="AV106" s="21">
        <v>0</v>
      </c>
      <c r="AW106" s="21">
        <v>0</v>
      </c>
      <c r="AX106" s="21">
        <v>0</v>
      </c>
      <c r="AY106" s="21">
        <v>0</v>
      </c>
    </row>
    <row r="107" spans="1:51" ht="15.95">
      <c r="A107" s="23" t="s">
        <v>372</v>
      </c>
      <c r="B107" s="19" t="s">
        <v>376</v>
      </c>
      <c r="C107" s="19" t="s">
        <v>374</v>
      </c>
      <c r="D107" s="20">
        <f t="shared" si="3"/>
        <v>0</v>
      </c>
      <c r="E107" s="22">
        <v>0</v>
      </c>
      <c r="F107" s="22">
        <v>0</v>
      </c>
      <c r="G107" s="22">
        <v>0</v>
      </c>
      <c r="H107" s="22">
        <v>0</v>
      </c>
      <c r="I107" s="22">
        <v>0</v>
      </c>
      <c r="J107" s="22">
        <v>0</v>
      </c>
      <c r="K107" s="22">
        <v>0</v>
      </c>
      <c r="L107" s="22">
        <v>0</v>
      </c>
      <c r="M107" s="22">
        <v>0</v>
      </c>
      <c r="N107" s="22">
        <v>0</v>
      </c>
      <c r="O107" s="22">
        <v>0</v>
      </c>
      <c r="P107" s="22">
        <v>0</v>
      </c>
      <c r="Q107" s="22">
        <v>0</v>
      </c>
      <c r="R107" s="22">
        <v>0</v>
      </c>
      <c r="S107" s="22">
        <v>0</v>
      </c>
      <c r="T107" s="22">
        <v>0</v>
      </c>
      <c r="U107" s="22">
        <v>0</v>
      </c>
      <c r="V107" s="22">
        <v>0</v>
      </c>
      <c r="W107" s="22">
        <v>0</v>
      </c>
      <c r="X107" s="22">
        <v>0</v>
      </c>
      <c r="Y107" s="22">
        <v>0</v>
      </c>
      <c r="Z107" s="22">
        <v>0</v>
      </c>
      <c r="AA107" s="22">
        <v>0</v>
      </c>
      <c r="AB107" s="22">
        <v>0</v>
      </c>
      <c r="AC107" s="22">
        <v>0</v>
      </c>
      <c r="AD107" s="22">
        <v>0</v>
      </c>
      <c r="AE107" s="22">
        <v>0</v>
      </c>
      <c r="AF107" s="22">
        <v>0</v>
      </c>
      <c r="AG107" s="22">
        <v>0</v>
      </c>
      <c r="AH107" s="22">
        <v>0</v>
      </c>
      <c r="AI107" s="22">
        <v>0</v>
      </c>
      <c r="AJ107" s="22">
        <v>0</v>
      </c>
      <c r="AK107" s="22">
        <v>0</v>
      </c>
      <c r="AL107" s="22">
        <v>0</v>
      </c>
      <c r="AM107" s="22">
        <v>0</v>
      </c>
      <c r="AN107" s="22">
        <v>0</v>
      </c>
      <c r="AO107" s="22">
        <v>0</v>
      </c>
      <c r="AP107" s="22">
        <v>0</v>
      </c>
      <c r="AQ107" s="22">
        <v>0</v>
      </c>
      <c r="AR107" s="22">
        <v>0</v>
      </c>
      <c r="AS107" s="22">
        <v>0</v>
      </c>
      <c r="AT107" s="21">
        <v>0</v>
      </c>
      <c r="AU107" s="21">
        <v>0</v>
      </c>
      <c r="AV107" s="21">
        <v>0</v>
      </c>
      <c r="AW107" s="21">
        <v>0</v>
      </c>
      <c r="AX107" s="21">
        <v>0</v>
      </c>
      <c r="AY107" s="21">
        <v>0</v>
      </c>
    </row>
    <row r="108" spans="1:51" ht="15.95">
      <c r="A108" s="23" t="s">
        <v>377</v>
      </c>
      <c r="B108" s="19" t="s">
        <v>378</v>
      </c>
      <c r="C108" s="19" t="s">
        <v>379</v>
      </c>
      <c r="D108" s="20">
        <f t="shared" si="3"/>
        <v>0</v>
      </c>
      <c r="E108" s="22">
        <v>0</v>
      </c>
      <c r="F108" s="22">
        <v>0</v>
      </c>
      <c r="G108" s="22">
        <v>0</v>
      </c>
      <c r="H108" s="22">
        <v>0</v>
      </c>
      <c r="I108" s="22">
        <v>0</v>
      </c>
      <c r="J108" s="22">
        <v>0</v>
      </c>
      <c r="K108" s="22">
        <v>0</v>
      </c>
      <c r="L108" s="22">
        <v>0</v>
      </c>
      <c r="M108" s="22">
        <v>0</v>
      </c>
      <c r="N108" s="22">
        <v>0</v>
      </c>
      <c r="O108" s="22">
        <v>0</v>
      </c>
      <c r="P108" s="22">
        <v>0</v>
      </c>
      <c r="Q108" s="22">
        <v>0</v>
      </c>
      <c r="R108" s="22">
        <v>0</v>
      </c>
      <c r="S108" s="22">
        <v>0</v>
      </c>
      <c r="T108" s="22">
        <v>0</v>
      </c>
      <c r="U108" s="22">
        <v>0</v>
      </c>
      <c r="V108" s="22">
        <v>0</v>
      </c>
      <c r="W108" s="22">
        <v>0</v>
      </c>
      <c r="X108" s="22">
        <v>0</v>
      </c>
      <c r="Y108" s="22">
        <v>0</v>
      </c>
      <c r="Z108" s="22">
        <v>0</v>
      </c>
      <c r="AA108" s="22">
        <v>0</v>
      </c>
      <c r="AB108" s="22">
        <v>0</v>
      </c>
      <c r="AC108" s="22">
        <v>0</v>
      </c>
      <c r="AD108" s="22">
        <v>0</v>
      </c>
      <c r="AE108" s="22">
        <v>0</v>
      </c>
      <c r="AF108" s="22">
        <v>0</v>
      </c>
      <c r="AG108" s="22">
        <v>0</v>
      </c>
      <c r="AH108" s="22">
        <v>0</v>
      </c>
      <c r="AI108" s="22">
        <v>0</v>
      </c>
      <c r="AJ108" s="22">
        <v>0</v>
      </c>
      <c r="AK108" s="22">
        <v>0</v>
      </c>
      <c r="AL108" s="22">
        <v>0</v>
      </c>
      <c r="AM108" s="22">
        <v>0</v>
      </c>
      <c r="AN108" s="22">
        <v>0</v>
      </c>
      <c r="AO108" s="22">
        <v>0</v>
      </c>
      <c r="AP108" s="22">
        <v>0</v>
      </c>
      <c r="AQ108" s="22">
        <v>0</v>
      </c>
      <c r="AR108" s="22">
        <v>0</v>
      </c>
      <c r="AS108" s="22">
        <v>0</v>
      </c>
      <c r="AT108" s="21">
        <v>0</v>
      </c>
      <c r="AU108" s="21">
        <v>0</v>
      </c>
      <c r="AV108" s="21">
        <v>0</v>
      </c>
      <c r="AW108" s="21">
        <v>0</v>
      </c>
      <c r="AX108" s="21">
        <v>0</v>
      </c>
      <c r="AY108" s="21">
        <v>0</v>
      </c>
    </row>
    <row r="109" spans="1:51" ht="15.95">
      <c r="A109" s="23" t="s">
        <v>380</v>
      </c>
      <c r="B109" s="19" t="s">
        <v>381</v>
      </c>
      <c r="C109" s="19" t="s">
        <v>382</v>
      </c>
      <c r="D109" s="20">
        <f t="shared" si="3"/>
        <v>0</v>
      </c>
      <c r="E109" s="22">
        <v>0</v>
      </c>
      <c r="F109" s="22">
        <v>0</v>
      </c>
      <c r="G109" s="22">
        <v>0</v>
      </c>
      <c r="H109" s="22">
        <v>0</v>
      </c>
      <c r="I109" s="22">
        <v>0</v>
      </c>
      <c r="J109" s="22">
        <v>0</v>
      </c>
      <c r="K109" s="22">
        <v>0</v>
      </c>
      <c r="L109" s="22">
        <v>0</v>
      </c>
      <c r="M109" s="22">
        <v>0</v>
      </c>
      <c r="N109" s="22">
        <v>0</v>
      </c>
      <c r="O109" s="22">
        <v>0</v>
      </c>
      <c r="P109" s="22">
        <v>0</v>
      </c>
      <c r="Q109" s="22">
        <v>0</v>
      </c>
      <c r="R109" s="22">
        <v>0</v>
      </c>
      <c r="S109" s="22">
        <v>0</v>
      </c>
      <c r="T109" s="22">
        <v>0</v>
      </c>
      <c r="U109" s="22">
        <v>0</v>
      </c>
      <c r="V109" s="22">
        <v>0</v>
      </c>
      <c r="W109" s="22">
        <v>0</v>
      </c>
      <c r="X109" s="22">
        <v>0</v>
      </c>
      <c r="Y109" s="22">
        <v>0</v>
      </c>
      <c r="Z109" s="22">
        <v>0</v>
      </c>
      <c r="AA109" s="22">
        <v>0</v>
      </c>
      <c r="AB109" s="22">
        <v>0</v>
      </c>
      <c r="AC109" s="22">
        <v>0</v>
      </c>
      <c r="AD109" s="22">
        <v>0</v>
      </c>
      <c r="AE109" s="22">
        <v>0</v>
      </c>
      <c r="AF109" s="22">
        <v>0</v>
      </c>
      <c r="AG109" s="22">
        <v>0</v>
      </c>
      <c r="AH109" s="22">
        <v>0</v>
      </c>
      <c r="AI109" s="22">
        <v>0</v>
      </c>
      <c r="AJ109" s="22">
        <v>0</v>
      </c>
      <c r="AK109" s="22">
        <v>0</v>
      </c>
      <c r="AL109" s="22">
        <v>0</v>
      </c>
      <c r="AM109" s="22">
        <v>0</v>
      </c>
      <c r="AN109" s="22">
        <v>0</v>
      </c>
      <c r="AO109" s="22">
        <v>0</v>
      </c>
      <c r="AP109" s="22">
        <v>0</v>
      </c>
      <c r="AQ109" s="22">
        <v>0</v>
      </c>
      <c r="AR109" s="22">
        <v>0</v>
      </c>
      <c r="AS109" s="22">
        <v>0</v>
      </c>
      <c r="AT109" s="21">
        <v>0</v>
      </c>
      <c r="AU109" s="21">
        <v>0</v>
      </c>
      <c r="AV109" s="21">
        <v>0</v>
      </c>
      <c r="AW109" s="21">
        <v>0</v>
      </c>
      <c r="AX109" s="21">
        <v>0</v>
      </c>
      <c r="AY109" s="21">
        <v>0</v>
      </c>
    </row>
    <row r="110" spans="1:51" ht="15.95">
      <c r="A110" s="23"/>
      <c r="B110" s="19" t="s">
        <v>383</v>
      </c>
      <c r="C110" s="19" t="s">
        <v>384</v>
      </c>
      <c r="D110" s="20">
        <f t="shared" si="3"/>
        <v>0</v>
      </c>
      <c r="E110" s="22">
        <v>0</v>
      </c>
      <c r="F110" s="22">
        <v>0</v>
      </c>
      <c r="G110" s="22">
        <v>0</v>
      </c>
      <c r="H110" s="22">
        <v>0</v>
      </c>
      <c r="I110" s="22">
        <v>0</v>
      </c>
      <c r="J110" s="22">
        <v>0</v>
      </c>
      <c r="K110" s="22">
        <v>0</v>
      </c>
      <c r="L110" s="22">
        <v>0</v>
      </c>
      <c r="M110" s="22">
        <v>0</v>
      </c>
      <c r="N110" s="22">
        <v>0</v>
      </c>
      <c r="O110" s="22">
        <v>0</v>
      </c>
      <c r="P110" s="22">
        <v>0</v>
      </c>
      <c r="Q110" s="22">
        <v>0</v>
      </c>
      <c r="R110" s="22">
        <v>0</v>
      </c>
      <c r="S110" s="22">
        <v>0</v>
      </c>
      <c r="T110" s="22">
        <v>0</v>
      </c>
      <c r="U110" s="22">
        <v>0</v>
      </c>
      <c r="V110" s="22">
        <v>0</v>
      </c>
      <c r="W110" s="22">
        <v>0</v>
      </c>
      <c r="X110" s="22">
        <v>0</v>
      </c>
      <c r="Y110" s="22">
        <v>0</v>
      </c>
      <c r="Z110" s="22">
        <v>0</v>
      </c>
      <c r="AA110" s="22">
        <v>0</v>
      </c>
      <c r="AB110" s="22">
        <v>0</v>
      </c>
      <c r="AC110" s="22">
        <v>0</v>
      </c>
      <c r="AD110" s="22">
        <v>0</v>
      </c>
      <c r="AE110" s="22">
        <v>0</v>
      </c>
      <c r="AF110" s="22">
        <v>0</v>
      </c>
      <c r="AG110" s="22">
        <v>0</v>
      </c>
      <c r="AH110" s="22">
        <v>0</v>
      </c>
      <c r="AI110" s="22">
        <v>0</v>
      </c>
      <c r="AJ110" s="22">
        <v>0</v>
      </c>
      <c r="AK110" s="22">
        <v>0</v>
      </c>
      <c r="AL110" s="22">
        <v>0</v>
      </c>
      <c r="AM110" s="22">
        <v>0</v>
      </c>
      <c r="AN110" s="22">
        <v>0</v>
      </c>
      <c r="AO110" s="22">
        <v>0</v>
      </c>
      <c r="AP110" s="22">
        <v>0</v>
      </c>
      <c r="AQ110" s="22">
        <v>0</v>
      </c>
      <c r="AR110" s="22">
        <v>0</v>
      </c>
      <c r="AS110" s="22">
        <v>0</v>
      </c>
      <c r="AT110" s="21">
        <v>0</v>
      </c>
      <c r="AU110" s="21">
        <v>0</v>
      </c>
      <c r="AV110" s="21">
        <v>0</v>
      </c>
      <c r="AW110" s="21">
        <v>0</v>
      </c>
      <c r="AX110" s="21">
        <v>0</v>
      </c>
      <c r="AY110" s="21">
        <v>0</v>
      </c>
    </row>
    <row r="111" spans="1:51" ht="15.95">
      <c r="A111" s="23"/>
      <c r="B111" s="19" t="s">
        <v>385</v>
      </c>
      <c r="C111" s="19" t="s">
        <v>287</v>
      </c>
      <c r="D111" s="20">
        <f t="shared" si="3"/>
        <v>0</v>
      </c>
      <c r="E111" s="22">
        <v>0</v>
      </c>
      <c r="F111" s="22">
        <v>0</v>
      </c>
      <c r="G111" s="22">
        <v>0</v>
      </c>
      <c r="H111" s="22">
        <v>0</v>
      </c>
      <c r="I111" s="22">
        <v>0</v>
      </c>
      <c r="J111" s="22">
        <v>0</v>
      </c>
      <c r="K111" s="22">
        <v>0</v>
      </c>
      <c r="L111" s="22">
        <v>0</v>
      </c>
      <c r="M111" s="22">
        <v>0</v>
      </c>
      <c r="N111" s="22">
        <v>0</v>
      </c>
      <c r="O111" s="22">
        <v>0</v>
      </c>
      <c r="P111" s="22">
        <v>0</v>
      </c>
      <c r="Q111" s="22">
        <v>0</v>
      </c>
      <c r="R111" s="22">
        <v>0</v>
      </c>
      <c r="S111" s="22">
        <v>0</v>
      </c>
      <c r="T111" s="22">
        <v>0</v>
      </c>
      <c r="U111" s="22">
        <v>0</v>
      </c>
      <c r="V111" s="22">
        <v>0</v>
      </c>
      <c r="W111" s="22">
        <v>0</v>
      </c>
      <c r="X111" s="22">
        <v>0</v>
      </c>
      <c r="Y111" s="22">
        <v>0</v>
      </c>
      <c r="Z111" s="22">
        <v>0</v>
      </c>
      <c r="AA111" s="22">
        <v>0</v>
      </c>
      <c r="AB111" s="22">
        <v>0</v>
      </c>
      <c r="AC111" s="22">
        <v>0</v>
      </c>
      <c r="AD111" s="22">
        <v>0</v>
      </c>
      <c r="AE111" s="22">
        <v>0</v>
      </c>
      <c r="AF111" s="22">
        <v>0</v>
      </c>
      <c r="AG111" s="22">
        <v>0</v>
      </c>
      <c r="AH111" s="22">
        <v>0</v>
      </c>
      <c r="AI111" s="22">
        <v>0</v>
      </c>
      <c r="AJ111" s="22">
        <v>0</v>
      </c>
      <c r="AK111" s="22">
        <v>0</v>
      </c>
      <c r="AL111" s="22">
        <v>0</v>
      </c>
      <c r="AM111" s="22">
        <v>0</v>
      </c>
      <c r="AN111" s="22">
        <v>0</v>
      </c>
      <c r="AO111" s="22">
        <v>0</v>
      </c>
      <c r="AP111" s="22">
        <v>0</v>
      </c>
      <c r="AQ111" s="22">
        <v>0</v>
      </c>
      <c r="AR111" s="22">
        <v>0</v>
      </c>
      <c r="AS111" s="22">
        <v>0</v>
      </c>
      <c r="AT111" s="21">
        <v>0</v>
      </c>
      <c r="AU111" s="21">
        <v>0</v>
      </c>
      <c r="AV111" s="21">
        <v>0</v>
      </c>
      <c r="AW111" s="21">
        <v>0</v>
      </c>
      <c r="AX111" s="21">
        <v>0</v>
      </c>
      <c r="AY111" s="21">
        <v>0</v>
      </c>
    </row>
    <row r="112" spans="1:51" ht="15.95">
      <c r="A112" s="24" t="s">
        <v>386</v>
      </c>
      <c r="B112" s="25"/>
      <c r="C112" s="25"/>
      <c r="D112" s="16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28"/>
      <c r="AI112" s="28"/>
      <c r="AJ112" s="28"/>
      <c r="AK112" s="28"/>
      <c r="AL112" s="28"/>
      <c r="AM112" s="28"/>
      <c r="AN112" s="28"/>
      <c r="AO112" s="28"/>
      <c r="AP112" s="28"/>
      <c r="AQ112" s="28"/>
      <c r="AR112" s="28"/>
      <c r="AS112" s="28"/>
      <c r="AT112" s="28"/>
      <c r="AU112" s="28"/>
      <c r="AV112" s="28"/>
      <c r="AW112" s="28"/>
      <c r="AX112" s="28"/>
      <c r="AY112" s="28"/>
    </row>
    <row r="113" spans="1:51" ht="15.95">
      <c r="A113" s="83" t="s">
        <v>387</v>
      </c>
      <c r="B113" s="19" t="s">
        <v>388</v>
      </c>
      <c r="C113" s="19" t="s">
        <v>389</v>
      </c>
      <c r="D113" s="20">
        <f t="shared" ref="D113:D128" si="4">SUM(E113:AY113)</f>
        <v>0</v>
      </c>
      <c r="E113" s="22">
        <v>0</v>
      </c>
      <c r="F113" s="22">
        <v>0</v>
      </c>
      <c r="G113" s="22">
        <v>0</v>
      </c>
      <c r="H113" s="22">
        <v>0</v>
      </c>
      <c r="I113" s="22">
        <v>0</v>
      </c>
      <c r="J113" s="22">
        <v>0</v>
      </c>
      <c r="K113" s="22">
        <v>0</v>
      </c>
      <c r="L113" s="22">
        <v>0</v>
      </c>
      <c r="M113" s="22">
        <v>0</v>
      </c>
      <c r="N113" s="22">
        <v>0</v>
      </c>
      <c r="O113" s="22">
        <v>0</v>
      </c>
      <c r="P113" s="22">
        <v>0</v>
      </c>
      <c r="Q113" s="22">
        <v>0</v>
      </c>
      <c r="R113" s="22">
        <v>0</v>
      </c>
      <c r="S113" s="22">
        <v>0</v>
      </c>
      <c r="T113" s="22">
        <v>0</v>
      </c>
      <c r="U113" s="22">
        <v>0</v>
      </c>
      <c r="V113" s="22">
        <v>0</v>
      </c>
      <c r="W113" s="22">
        <v>0</v>
      </c>
      <c r="X113" s="22">
        <v>0</v>
      </c>
      <c r="Y113" s="22">
        <v>0</v>
      </c>
      <c r="Z113" s="22">
        <v>0</v>
      </c>
      <c r="AA113" s="22">
        <v>0</v>
      </c>
      <c r="AB113" s="22">
        <v>0</v>
      </c>
      <c r="AC113" s="22">
        <v>0</v>
      </c>
      <c r="AD113" s="22">
        <v>0</v>
      </c>
      <c r="AE113" s="22">
        <v>0</v>
      </c>
      <c r="AF113" s="22">
        <v>0</v>
      </c>
      <c r="AG113" s="22">
        <v>0</v>
      </c>
      <c r="AH113" s="22">
        <v>0</v>
      </c>
      <c r="AI113" s="22">
        <v>0</v>
      </c>
      <c r="AJ113" s="22">
        <v>0</v>
      </c>
      <c r="AK113" s="22">
        <v>0</v>
      </c>
      <c r="AL113" s="22">
        <v>0</v>
      </c>
      <c r="AM113" s="22">
        <v>0</v>
      </c>
      <c r="AN113" s="22">
        <v>0</v>
      </c>
      <c r="AO113" s="22">
        <v>0</v>
      </c>
      <c r="AP113" s="22">
        <v>0</v>
      </c>
      <c r="AQ113" s="22">
        <v>0</v>
      </c>
      <c r="AR113" s="22">
        <v>0</v>
      </c>
      <c r="AS113" s="22">
        <v>0</v>
      </c>
      <c r="AT113" s="21">
        <v>0</v>
      </c>
      <c r="AU113" s="21">
        <v>0</v>
      </c>
      <c r="AV113" s="21">
        <v>0</v>
      </c>
      <c r="AW113" s="21">
        <v>0</v>
      </c>
      <c r="AX113" s="21">
        <v>0</v>
      </c>
      <c r="AY113" s="21">
        <v>0</v>
      </c>
    </row>
    <row r="114" spans="1:51" ht="15.95">
      <c r="A114" s="84" t="s">
        <v>390</v>
      </c>
      <c r="B114" s="19" t="s">
        <v>391</v>
      </c>
      <c r="C114" s="19" t="s">
        <v>392</v>
      </c>
      <c r="D114" s="20">
        <f>SUM(E114:AY114)</f>
        <v>0</v>
      </c>
      <c r="E114" s="22">
        <v>0</v>
      </c>
      <c r="F114" s="22">
        <v>0</v>
      </c>
      <c r="G114" s="22">
        <v>0</v>
      </c>
      <c r="H114" s="22">
        <v>0</v>
      </c>
      <c r="I114" s="22">
        <v>0</v>
      </c>
      <c r="J114" s="22">
        <v>0</v>
      </c>
      <c r="K114" s="22">
        <v>0</v>
      </c>
      <c r="L114" s="22">
        <v>0</v>
      </c>
      <c r="M114" s="22">
        <v>0</v>
      </c>
      <c r="N114" s="22">
        <v>0</v>
      </c>
      <c r="O114" s="22">
        <v>0</v>
      </c>
      <c r="P114" s="22">
        <v>0</v>
      </c>
      <c r="Q114" s="22">
        <v>0</v>
      </c>
      <c r="R114" s="22">
        <v>0</v>
      </c>
      <c r="S114" s="22">
        <v>0</v>
      </c>
      <c r="T114" s="22">
        <v>0</v>
      </c>
      <c r="U114" s="22">
        <v>0</v>
      </c>
      <c r="V114" s="22">
        <v>0</v>
      </c>
      <c r="W114" s="22">
        <v>0</v>
      </c>
      <c r="X114" s="22">
        <v>0</v>
      </c>
      <c r="Y114" s="22">
        <v>0</v>
      </c>
      <c r="Z114" s="22">
        <v>0</v>
      </c>
      <c r="AA114" s="22">
        <v>0</v>
      </c>
      <c r="AB114" s="22">
        <v>0</v>
      </c>
      <c r="AC114" s="22">
        <v>0</v>
      </c>
      <c r="AD114" s="22">
        <v>0</v>
      </c>
      <c r="AE114" s="22">
        <v>0</v>
      </c>
      <c r="AF114" s="22">
        <v>0</v>
      </c>
      <c r="AG114" s="22">
        <v>0</v>
      </c>
      <c r="AH114" s="22">
        <v>0</v>
      </c>
      <c r="AI114" s="22">
        <v>0</v>
      </c>
      <c r="AJ114" s="22">
        <v>0</v>
      </c>
      <c r="AK114" s="22">
        <v>0</v>
      </c>
      <c r="AL114" s="22">
        <v>0</v>
      </c>
      <c r="AM114" s="22">
        <v>0</v>
      </c>
      <c r="AN114" s="22">
        <v>0</v>
      </c>
      <c r="AO114" s="22">
        <v>0</v>
      </c>
      <c r="AP114" s="22">
        <v>0</v>
      </c>
      <c r="AQ114" s="22">
        <v>0</v>
      </c>
      <c r="AR114" s="22">
        <v>0</v>
      </c>
      <c r="AS114" s="22">
        <v>0</v>
      </c>
      <c r="AT114" s="21">
        <v>0</v>
      </c>
      <c r="AU114" s="21">
        <v>0</v>
      </c>
      <c r="AV114" s="21">
        <v>0</v>
      </c>
      <c r="AW114" s="21">
        <v>0</v>
      </c>
      <c r="AX114" s="21">
        <v>0</v>
      </c>
      <c r="AY114" s="21">
        <v>0</v>
      </c>
    </row>
    <row r="115" spans="1:51" ht="15.95">
      <c r="A115" s="23" t="s">
        <v>393</v>
      </c>
      <c r="B115" s="19" t="s">
        <v>394</v>
      </c>
      <c r="C115" s="19" t="s">
        <v>392</v>
      </c>
      <c r="D115" s="20">
        <f t="shared" si="4"/>
        <v>0</v>
      </c>
      <c r="E115" s="22">
        <v>0</v>
      </c>
      <c r="F115" s="22">
        <v>0</v>
      </c>
      <c r="G115" s="22">
        <v>0</v>
      </c>
      <c r="H115" s="22">
        <v>0</v>
      </c>
      <c r="I115" s="22">
        <v>0</v>
      </c>
      <c r="J115" s="22">
        <v>0</v>
      </c>
      <c r="K115" s="22">
        <v>0</v>
      </c>
      <c r="L115" s="22">
        <v>0</v>
      </c>
      <c r="M115" s="22">
        <v>0</v>
      </c>
      <c r="N115" s="22">
        <v>0</v>
      </c>
      <c r="O115" s="22">
        <v>0</v>
      </c>
      <c r="P115" s="22">
        <v>0</v>
      </c>
      <c r="Q115" s="22">
        <v>0</v>
      </c>
      <c r="R115" s="22">
        <v>0</v>
      </c>
      <c r="S115" s="22">
        <v>0</v>
      </c>
      <c r="T115" s="22">
        <v>0</v>
      </c>
      <c r="U115" s="22">
        <v>0</v>
      </c>
      <c r="V115" s="22">
        <v>0</v>
      </c>
      <c r="W115" s="22">
        <v>0</v>
      </c>
      <c r="X115" s="22">
        <v>0</v>
      </c>
      <c r="Y115" s="22">
        <v>0</v>
      </c>
      <c r="Z115" s="22">
        <v>0</v>
      </c>
      <c r="AA115" s="22">
        <v>0</v>
      </c>
      <c r="AB115" s="22">
        <v>0</v>
      </c>
      <c r="AC115" s="22">
        <v>0</v>
      </c>
      <c r="AD115" s="22">
        <v>0</v>
      </c>
      <c r="AE115" s="22">
        <v>0</v>
      </c>
      <c r="AF115" s="22">
        <v>0</v>
      </c>
      <c r="AG115" s="22">
        <v>0</v>
      </c>
      <c r="AH115" s="22">
        <v>0</v>
      </c>
      <c r="AI115" s="22">
        <v>0</v>
      </c>
      <c r="AJ115" s="22">
        <v>0</v>
      </c>
      <c r="AK115" s="22">
        <v>0</v>
      </c>
      <c r="AL115" s="22">
        <v>0</v>
      </c>
      <c r="AM115" s="22">
        <v>0</v>
      </c>
      <c r="AN115" s="22">
        <v>0</v>
      </c>
      <c r="AO115" s="22">
        <v>0</v>
      </c>
      <c r="AP115" s="22">
        <v>0</v>
      </c>
      <c r="AQ115" s="22">
        <v>0</v>
      </c>
      <c r="AR115" s="22">
        <v>0</v>
      </c>
      <c r="AS115" s="22">
        <v>0</v>
      </c>
      <c r="AT115" s="21">
        <v>0</v>
      </c>
      <c r="AU115" s="21">
        <v>0</v>
      </c>
      <c r="AV115" s="21">
        <v>0</v>
      </c>
      <c r="AW115" s="21">
        <v>0</v>
      </c>
      <c r="AX115" s="21">
        <v>0</v>
      </c>
      <c r="AY115" s="21">
        <v>0</v>
      </c>
    </row>
    <row r="116" spans="1:51" ht="15.95">
      <c r="A116" s="23" t="s">
        <v>395</v>
      </c>
      <c r="B116" s="19" t="s">
        <v>396</v>
      </c>
      <c r="C116" s="19" t="s">
        <v>392</v>
      </c>
      <c r="D116" s="20">
        <f t="shared" si="4"/>
        <v>0</v>
      </c>
      <c r="E116" s="22">
        <v>0</v>
      </c>
      <c r="F116" s="22">
        <v>0</v>
      </c>
      <c r="G116" s="22">
        <v>0</v>
      </c>
      <c r="H116" s="22">
        <v>0</v>
      </c>
      <c r="I116" s="22">
        <v>0</v>
      </c>
      <c r="J116" s="22">
        <v>0</v>
      </c>
      <c r="K116" s="22">
        <v>0</v>
      </c>
      <c r="L116" s="22">
        <v>0</v>
      </c>
      <c r="M116" s="22">
        <v>0</v>
      </c>
      <c r="N116" s="22">
        <v>0</v>
      </c>
      <c r="O116" s="22">
        <v>0</v>
      </c>
      <c r="P116" s="22">
        <v>0</v>
      </c>
      <c r="Q116" s="22">
        <v>0</v>
      </c>
      <c r="R116" s="22">
        <v>0</v>
      </c>
      <c r="S116" s="22">
        <v>0</v>
      </c>
      <c r="T116" s="22">
        <v>0</v>
      </c>
      <c r="U116" s="22">
        <v>0</v>
      </c>
      <c r="V116" s="22">
        <v>0</v>
      </c>
      <c r="W116" s="22">
        <v>0</v>
      </c>
      <c r="X116" s="22">
        <v>0</v>
      </c>
      <c r="Y116" s="22">
        <v>0</v>
      </c>
      <c r="Z116" s="22">
        <v>0</v>
      </c>
      <c r="AA116" s="22">
        <v>0</v>
      </c>
      <c r="AB116" s="22">
        <v>0</v>
      </c>
      <c r="AC116" s="22">
        <v>0</v>
      </c>
      <c r="AD116" s="22">
        <v>0</v>
      </c>
      <c r="AE116" s="22">
        <v>0</v>
      </c>
      <c r="AF116" s="22">
        <v>0</v>
      </c>
      <c r="AG116" s="22">
        <v>0</v>
      </c>
      <c r="AH116" s="22">
        <v>0</v>
      </c>
      <c r="AI116" s="22">
        <v>0</v>
      </c>
      <c r="AJ116" s="22">
        <v>0</v>
      </c>
      <c r="AK116" s="22">
        <v>0</v>
      </c>
      <c r="AL116" s="22">
        <v>0</v>
      </c>
      <c r="AM116" s="22">
        <v>0</v>
      </c>
      <c r="AN116" s="22">
        <v>0</v>
      </c>
      <c r="AO116" s="22">
        <v>0</v>
      </c>
      <c r="AP116" s="22">
        <v>0</v>
      </c>
      <c r="AQ116" s="22">
        <v>0</v>
      </c>
      <c r="AR116" s="22">
        <v>0</v>
      </c>
      <c r="AS116" s="22">
        <v>0</v>
      </c>
      <c r="AT116" s="21">
        <v>0</v>
      </c>
      <c r="AU116" s="21">
        <v>0</v>
      </c>
      <c r="AV116" s="21">
        <v>0</v>
      </c>
      <c r="AW116" s="21">
        <v>0</v>
      </c>
      <c r="AX116" s="21">
        <v>0</v>
      </c>
      <c r="AY116" s="21">
        <v>0</v>
      </c>
    </row>
    <row r="117" spans="1:51" ht="32.1">
      <c r="A117" s="23" t="s">
        <v>397</v>
      </c>
      <c r="B117" s="19" t="s">
        <v>398</v>
      </c>
      <c r="C117" s="19" t="s">
        <v>399</v>
      </c>
      <c r="D117" s="20">
        <f t="shared" si="4"/>
        <v>0</v>
      </c>
      <c r="E117" s="22">
        <v>0</v>
      </c>
      <c r="F117" s="22">
        <v>0</v>
      </c>
      <c r="G117" s="22">
        <v>0</v>
      </c>
      <c r="H117" s="22">
        <v>0</v>
      </c>
      <c r="I117" s="22">
        <v>0</v>
      </c>
      <c r="J117" s="22">
        <v>0</v>
      </c>
      <c r="K117" s="22">
        <v>0</v>
      </c>
      <c r="L117" s="22">
        <v>0</v>
      </c>
      <c r="M117" s="22">
        <v>0</v>
      </c>
      <c r="N117" s="22">
        <v>0</v>
      </c>
      <c r="O117" s="22">
        <v>0</v>
      </c>
      <c r="P117" s="22">
        <v>0</v>
      </c>
      <c r="Q117" s="22">
        <v>0</v>
      </c>
      <c r="R117" s="22">
        <v>0</v>
      </c>
      <c r="S117" s="22">
        <v>0</v>
      </c>
      <c r="T117" s="22">
        <v>0</v>
      </c>
      <c r="U117" s="22">
        <v>0</v>
      </c>
      <c r="V117" s="22">
        <v>0</v>
      </c>
      <c r="W117" s="22">
        <v>0</v>
      </c>
      <c r="X117" s="22">
        <v>0</v>
      </c>
      <c r="Y117" s="22">
        <v>0</v>
      </c>
      <c r="Z117" s="22">
        <v>0</v>
      </c>
      <c r="AA117" s="22">
        <v>0</v>
      </c>
      <c r="AB117" s="22">
        <v>0</v>
      </c>
      <c r="AC117" s="22">
        <v>0</v>
      </c>
      <c r="AD117" s="22">
        <v>0</v>
      </c>
      <c r="AE117" s="22">
        <v>0</v>
      </c>
      <c r="AF117" s="22">
        <v>0</v>
      </c>
      <c r="AG117" s="22">
        <v>0</v>
      </c>
      <c r="AH117" s="22">
        <v>0</v>
      </c>
      <c r="AI117" s="22">
        <v>0</v>
      </c>
      <c r="AJ117" s="22">
        <v>0</v>
      </c>
      <c r="AK117" s="22">
        <v>0</v>
      </c>
      <c r="AL117" s="22">
        <v>0</v>
      </c>
      <c r="AM117" s="22">
        <v>0</v>
      </c>
      <c r="AN117" s="22">
        <v>0</v>
      </c>
      <c r="AO117" s="22">
        <v>0</v>
      </c>
      <c r="AP117" s="22">
        <v>0</v>
      </c>
      <c r="AQ117" s="22">
        <v>0</v>
      </c>
      <c r="AR117" s="22">
        <v>0</v>
      </c>
      <c r="AS117" s="22">
        <v>0</v>
      </c>
      <c r="AT117" s="21">
        <v>0</v>
      </c>
      <c r="AU117" s="21">
        <v>0</v>
      </c>
      <c r="AV117" s="21">
        <v>0</v>
      </c>
      <c r="AW117" s="21">
        <v>0</v>
      </c>
      <c r="AX117" s="21">
        <v>0</v>
      </c>
      <c r="AY117" s="21">
        <v>0</v>
      </c>
    </row>
    <row r="118" spans="1:51" ht="15.95">
      <c r="A118" s="23" t="s">
        <v>400</v>
      </c>
      <c r="B118" s="19" t="s">
        <v>401</v>
      </c>
      <c r="C118" s="19" t="s">
        <v>402</v>
      </c>
      <c r="D118" s="20">
        <f t="shared" si="4"/>
        <v>0</v>
      </c>
      <c r="E118" s="22">
        <v>0</v>
      </c>
      <c r="F118" s="22">
        <v>0</v>
      </c>
      <c r="G118" s="22">
        <v>0</v>
      </c>
      <c r="H118" s="22">
        <v>0</v>
      </c>
      <c r="I118" s="22">
        <v>0</v>
      </c>
      <c r="J118" s="22">
        <v>0</v>
      </c>
      <c r="K118" s="22">
        <v>0</v>
      </c>
      <c r="L118" s="22">
        <v>0</v>
      </c>
      <c r="M118" s="22">
        <v>0</v>
      </c>
      <c r="N118" s="22">
        <v>0</v>
      </c>
      <c r="O118" s="22">
        <v>0</v>
      </c>
      <c r="P118" s="22">
        <v>0</v>
      </c>
      <c r="Q118" s="22">
        <v>0</v>
      </c>
      <c r="R118" s="22">
        <v>0</v>
      </c>
      <c r="S118" s="22">
        <v>0</v>
      </c>
      <c r="T118" s="22">
        <v>0</v>
      </c>
      <c r="U118" s="22">
        <v>0</v>
      </c>
      <c r="V118" s="22">
        <v>0</v>
      </c>
      <c r="W118" s="22">
        <v>0</v>
      </c>
      <c r="X118" s="22">
        <v>0</v>
      </c>
      <c r="Y118" s="22">
        <v>0</v>
      </c>
      <c r="Z118" s="22">
        <v>0</v>
      </c>
      <c r="AA118" s="22">
        <v>0</v>
      </c>
      <c r="AB118" s="22">
        <v>0</v>
      </c>
      <c r="AC118" s="22">
        <v>0</v>
      </c>
      <c r="AD118" s="22">
        <v>0</v>
      </c>
      <c r="AE118" s="22">
        <v>0</v>
      </c>
      <c r="AF118" s="22">
        <v>0</v>
      </c>
      <c r="AG118" s="22">
        <v>0</v>
      </c>
      <c r="AH118" s="22">
        <v>0</v>
      </c>
      <c r="AI118" s="22">
        <v>0</v>
      </c>
      <c r="AJ118" s="22">
        <v>0</v>
      </c>
      <c r="AK118" s="22">
        <v>0</v>
      </c>
      <c r="AL118" s="22">
        <v>0</v>
      </c>
      <c r="AM118" s="22">
        <v>0</v>
      </c>
      <c r="AN118" s="22">
        <v>0</v>
      </c>
      <c r="AO118" s="22">
        <v>0</v>
      </c>
      <c r="AP118" s="22">
        <v>0</v>
      </c>
      <c r="AQ118" s="22">
        <v>0</v>
      </c>
      <c r="AR118" s="22">
        <v>0</v>
      </c>
      <c r="AS118" s="22">
        <v>0</v>
      </c>
      <c r="AT118" s="21">
        <v>0</v>
      </c>
      <c r="AU118" s="21">
        <v>0</v>
      </c>
      <c r="AV118" s="21">
        <v>0</v>
      </c>
      <c r="AW118" s="21">
        <v>0</v>
      </c>
      <c r="AX118" s="21">
        <v>0</v>
      </c>
      <c r="AY118" s="21">
        <v>0</v>
      </c>
    </row>
    <row r="119" spans="1:51" ht="15.95">
      <c r="A119" s="23" t="s">
        <v>403</v>
      </c>
      <c r="B119" s="19" t="s">
        <v>404</v>
      </c>
      <c r="C119" s="19" t="s">
        <v>405</v>
      </c>
      <c r="D119" s="20">
        <f t="shared" si="4"/>
        <v>0</v>
      </c>
      <c r="E119" s="22">
        <v>0</v>
      </c>
      <c r="F119" s="22">
        <v>0</v>
      </c>
      <c r="G119" s="22">
        <v>0</v>
      </c>
      <c r="H119" s="22">
        <v>0</v>
      </c>
      <c r="I119" s="22">
        <v>0</v>
      </c>
      <c r="J119" s="22">
        <v>0</v>
      </c>
      <c r="K119" s="22">
        <v>0</v>
      </c>
      <c r="L119" s="22">
        <v>0</v>
      </c>
      <c r="M119" s="22">
        <v>0</v>
      </c>
      <c r="N119" s="22">
        <v>0</v>
      </c>
      <c r="O119" s="22">
        <v>0</v>
      </c>
      <c r="P119" s="22">
        <v>0</v>
      </c>
      <c r="Q119" s="22">
        <v>0</v>
      </c>
      <c r="R119" s="22">
        <v>0</v>
      </c>
      <c r="S119" s="22">
        <v>0</v>
      </c>
      <c r="T119" s="22">
        <v>0</v>
      </c>
      <c r="U119" s="22">
        <v>0</v>
      </c>
      <c r="V119" s="22">
        <v>0</v>
      </c>
      <c r="W119" s="22">
        <v>0</v>
      </c>
      <c r="X119" s="22">
        <v>0</v>
      </c>
      <c r="Y119" s="22">
        <v>0</v>
      </c>
      <c r="Z119" s="22">
        <v>0</v>
      </c>
      <c r="AA119" s="22">
        <v>0</v>
      </c>
      <c r="AB119" s="22">
        <v>0</v>
      </c>
      <c r="AC119" s="22">
        <v>0</v>
      </c>
      <c r="AD119" s="22">
        <v>0</v>
      </c>
      <c r="AE119" s="22">
        <v>0</v>
      </c>
      <c r="AF119" s="22">
        <v>0</v>
      </c>
      <c r="AG119" s="22">
        <v>0</v>
      </c>
      <c r="AH119" s="22">
        <v>0</v>
      </c>
      <c r="AI119" s="22">
        <v>0</v>
      </c>
      <c r="AJ119" s="22">
        <v>0</v>
      </c>
      <c r="AK119" s="22">
        <v>0</v>
      </c>
      <c r="AL119" s="22">
        <v>0</v>
      </c>
      <c r="AM119" s="22">
        <v>0</v>
      </c>
      <c r="AN119" s="22">
        <v>0</v>
      </c>
      <c r="AO119" s="22">
        <v>0</v>
      </c>
      <c r="AP119" s="22">
        <v>0</v>
      </c>
      <c r="AQ119" s="22">
        <v>0</v>
      </c>
      <c r="AR119" s="22">
        <v>0</v>
      </c>
      <c r="AS119" s="22">
        <v>0</v>
      </c>
      <c r="AT119" s="21">
        <v>0</v>
      </c>
      <c r="AU119" s="21">
        <v>0</v>
      </c>
      <c r="AV119" s="21">
        <v>0</v>
      </c>
      <c r="AW119" s="21">
        <v>0</v>
      </c>
      <c r="AX119" s="21">
        <v>0</v>
      </c>
      <c r="AY119" s="21">
        <v>0</v>
      </c>
    </row>
    <row r="120" spans="1:51" ht="32.1">
      <c r="A120" s="23" t="s">
        <v>406</v>
      </c>
      <c r="B120" s="19" t="s">
        <v>407</v>
      </c>
      <c r="C120" s="19" t="s">
        <v>408</v>
      </c>
      <c r="D120" s="20">
        <f t="shared" si="4"/>
        <v>0</v>
      </c>
      <c r="E120" s="22">
        <v>0</v>
      </c>
      <c r="F120" s="22">
        <v>0</v>
      </c>
      <c r="G120" s="22">
        <v>0</v>
      </c>
      <c r="H120" s="22">
        <v>0</v>
      </c>
      <c r="I120" s="22">
        <v>0</v>
      </c>
      <c r="J120" s="22">
        <v>0</v>
      </c>
      <c r="K120" s="22">
        <v>0</v>
      </c>
      <c r="L120" s="22">
        <v>0</v>
      </c>
      <c r="M120" s="22">
        <v>0</v>
      </c>
      <c r="N120" s="22">
        <v>0</v>
      </c>
      <c r="O120" s="22">
        <v>0</v>
      </c>
      <c r="P120" s="22">
        <v>0</v>
      </c>
      <c r="Q120" s="22">
        <v>0</v>
      </c>
      <c r="R120" s="22">
        <v>0</v>
      </c>
      <c r="S120" s="22">
        <v>0</v>
      </c>
      <c r="T120" s="22">
        <v>0</v>
      </c>
      <c r="U120" s="22">
        <v>0</v>
      </c>
      <c r="V120" s="22">
        <v>0</v>
      </c>
      <c r="W120" s="22">
        <v>0</v>
      </c>
      <c r="X120" s="22">
        <v>0</v>
      </c>
      <c r="Y120" s="22">
        <v>0</v>
      </c>
      <c r="Z120" s="22">
        <v>0</v>
      </c>
      <c r="AA120" s="22">
        <v>0</v>
      </c>
      <c r="AB120" s="22">
        <v>0</v>
      </c>
      <c r="AC120" s="22">
        <v>0</v>
      </c>
      <c r="AD120" s="22">
        <v>0</v>
      </c>
      <c r="AE120" s="22">
        <v>0</v>
      </c>
      <c r="AF120" s="22">
        <v>0</v>
      </c>
      <c r="AG120" s="22">
        <v>0</v>
      </c>
      <c r="AH120" s="22">
        <v>0</v>
      </c>
      <c r="AI120" s="22">
        <v>0</v>
      </c>
      <c r="AJ120" s="22">
        <v>0</v>
      </c>
      <c r="AK120" s="22">
        <v>0</v>
      </c>
      <c r="AL120" s="22">
        <v>0</v>
      </c>
      <c r="AM120" s="22">
        <v>0</v>
      </c>
      <c r="AN120" s="22">
        <v>0</v>
      </c>
      <c r="AO120" s="22">
        <v>0</v>
      </c>
      <c r="AP120" s="22">
        <v>0</v>
      </c>
      <c r="AQ120" s="22">
        <v>0</v>
      </c>
      <c r="AR120" s="22">
        <v>0</v>
      </c>
      <c r="AS120" s="22">
        <v>0</v>
      </c>
      <c r="AT120" s="21">
        <v>0</v>
      </c>
      <c r="AU120" s="21">
        <v>0</v>
      </c>
      <c r="AV120" s="21">
        <v>0</v>
      </c>
      <c r="AW120" s="21">
        <v>0</v>
      </c>
      <c r="AX120" s="21">
        <v>0</v>
      </c>
      <c r="AY120" s="21">
        <v>0</v>
      </c>
    </row>
    <row r="121" spans="1:51" ht="15.95">
      <c r="A121" s="23" t="s">
        <v>409</v>
      </c>
      <c r="B121" s="19" t="s">
        <v>410</v>
      </c>
      <c r="C121" s="19" t="s">
        <v>411</v>
      </c>
      <c r="D121" s="20">
        <f t="shared" si="4"/>
        <v>0</v>
      </c>
      <c r="E121" s="22">
        <v>0</v>
      </c>
      <c r="F121" s="22">
        <v>0</v>
      </c>
      <c r="G121" s="22">
        <v>0</v>
      </c>
      <c r="H121" s="22">
        <v>0</v>
      </c>
      <c r="I121" s="22">
        <v>0</v>
      </c>
      <c r="J121" s="22">
        <v>0</v>
      </c>
      <c r="K121" s="22">
        <v>0</v>
      </c>
      <c r="L121" s="22">
        <v>0</v>
      </c>
      <c r="M121" s="22">
        <v>0</v>
      </c>
      <c r="N121" s="22">
        <v>0</v>
      </c>
      <c r="O121" s="22">
        <v>0</v>
      </c>
      <c r="P121" s="22">
        <v>0</v>
      </c>
      <c r="Q121" s="22">
        <v>0</v>
      </c>
      <c r="R121" s="22">
        <v>0</v>
      </c>
      <c r="S121" s="22">
        <v>0</v>
      </c>
      <c r="T121" s="22">
        <v>0</v>
      </c>
      <c r="U121" s="22">
        <v>0</v>
      </c>
      <c r="V121" s="22">
        <v>0</v>
      </c>
      <c r="W121" s="22">
        <v>0</v>
      </c>
      <c r="X121" s="22">
        <v>0</v>
      </c>
      <c r="Y121" s="22">
        <v>0</v>
      </c>
      <c r="Z121" s="22">
        <v>0</v>
      </c>
      <c r="AA121" s="22">
        <v>0</v>
      </c>
      <c r="AB121" s="22">
        <v>0</v>
      </c>
      <c r="AC121" s="22">
        <v>0</v>
      </c>
      <c r="AD121" s="22">
        <v>0</v>
      </c>
      <c r="AE121" s="22">
        <v>0</v>
      </c>
      <c r="AF121" s="22">
        <v>0</v>
      </c>
      <c r="AG121" s="22">
        <v>0</v>
      </c>
      <c r="AH121" s="22">
        <v>0</v>
      </c>
      <c r="AI121" s="22">
        <v>0</v>
      </c>
      <c r="AJ121" s="22">
        <v>0</v>
      </c>
      <c r="AK121" s="22">
        <v>0</v>
      </c>
      <c r="AL121" s="22">
        <v>0</v>
      </c>
      <c r="AM121" s="22">
        <v>0</v>
      </c>
      <c r="AN121" s="22">
        <v>0</v>
      </c>
      <c r="AO121" s="22">
        <v>0</v>
      </c>
      <c r="AP121" s="22">
        <v>0</v>
      </c>
      <c r="AQ121" s="22">
        <v>0</v>
      </c>
      <c r="AR121" s="22">
        <v>0</v>
      </c>
      <c r="AS121" s="22">
        <v>0</v>
      </c>
      <c r="AT121" s="21">
        <v>0</v>
      </c>
      <c r="AU121" s="21">
        <v>0</v>
      </c>
      <c r="AV121" s="21">
        <v>0</v>
      </c>
      <c r="AW121" s="21">
        <v>0</v>
      </c>
      <c r="AX121" s="21">
        <v>0</v>
      </c>
      <c r="AY121" s="21">
        <v>0</v>
      </c>
    </row>
    <row r="122" spans="1:51" ht="15.95">
      <c r="A122" s="23" t="s">
        <v>412</v>
      </c>
      <c r="B122" s="19" t="s">
        <v>413</v>
      </c>
      <c r="C122" s="19" t="s">
        <v>392</v>
      </c>
      <c r="D122" s="20">
        <f t="shared" si="4"/>
        <v>0</v>
      </c>
      <c r="E122" s="22">
        <v>0</v>
      </c>
      <c r="F122" s="22">
        <v>0</v>
      </c>
      <c r="G122" s="22">
        <v>0</v>
      </c>
      <c r="H122" s="22">
        <v>0</v>
      </c>
      <c r="I122" s="22">
        <v>0</v>
      </c>
      <c r="J122" s="22">
        <v>0</v>
      </c>
      <c r="K122" s="22">
        <v>0</v>
      </c>
      <c r="L122" s="22">
        <v>0</v>
      </c>
      <c r="M122" s="22">
        <v>0</v>
      </c>
      <c r="N122" s="22">
        <v>0</v>
      </c>
      <c r="O122" s="22">
        <v>0</v>
      </c>
      <c r="P122" s="22">
        <v>0</v>
      </c>
      <c r="Q122" s="22">
        <v>0</v>
      </c>
      <c r="R122" s="22">
        <v>0</v>
      </c>
      <c r="S122" s="22">
        <v>0</v>
      </c>
      <c r="T122" s="22">
        <v>0</v>
      </c>
      <c r="U122" s="22">
        <v>0</v>
      </c>
      <c r="V122" s="22">
        <v>0</v>
      </c>
      <c r="W122" s="22">
        <v>0</v>
      </c>
      <c r="X122" s="22">
        <v>0</v>
      </c>
      <c r="Y122" s="22">
        <v>0</v>
      </c>
      <c r="Z122" s="22">
        <v>0</v>
      </c>
      <c r="AA122" s="22">
        <v>0</v>
      </c>
      <c r="AB122" s="22">
        <v>0</v>
      </c>
      <c r="AC122" s="22">
        <v>0</v>
      </c>
      <c r="AD122" s="22">
        <v>0</v>
      </c>
      <c r="AE122" s="22">
        <v>0</v>
      </c>
      <c r="AF122" s="22">
        <v>0</v>
      </c>
      <c r="AG122" s="22">
        <v>0</v>
      </c>
      <c r="AH122" s="22">
        <v>0</v>
      </c>
      <c r="AI122" s="22">
        <v>0</v>
      </c>
      <c r="AJ122" s="22">
        <v>0</v>
      </c>
      <c r="AK122" s="22">
        <v>0</v>
      </c>
      <c r="AL122" s="22">
        <v>0</v>
      </c>
      <c r="AM122" s="22">
        <v>0</v>
      </c>
      <c r="AN122" s="22">
        <v>0</v>
      </c>
      <c r="AO122" s="22">
        <v>0</v>
      </c>
      <c r="AP122" s="22">
        <v>0</v>
      </c>
      <c r="AQ122" s="22">
        <v>0</v>
      </c>
      <c r="AR122" s="22">
        <v>0</v>
      </c>
      <c r="AS122" s="22">
        <v>0</v>
      </c>
      <c r="AT122" s="21">
        <v>0</v>
      </c>
      <c r="AU122" s="21">
        <v>0</v>
      </c>
      <c r="AV122" s="21">
        <v>0</v>
      </c>
      <c r="AW122" s="21">
        <v>0</v>
      </c>
      <c r="AX122" s="21">
        <v>0</v>
      </c>
      <c r="AY122" s="21">
        <v>0</v>
      </c>
    </row>
    <row r="123" spans="1:51" ht="15.95">
      <c r="A123" s="23" t="s">
        <v>414</v>
      </c>
      <c r="B123" s="19" t="s">
        <v>415</v>
      </c>
      <c r="C123" s="19" t="s">
        <v>392</v>
      </c>
      <c r="D123" s="20">
        <f t="shared" si="4"/>
        <v>0</v>
      </c>
      <c r="E123" s="22">
        <v>0</v>
      </c>
      <c r="F123" s="22">
        <v>0</v>
      </c>
      <c r="G123" s="22">
        <v>0</v>
      </c>
      <c r="H123" s="22">
        <v>0</v>
      </c>
      <c r="I123" s="22">
        <v>0</v>
      </c>
      <c r="J123" s="22">
        <v>0</v>
      </c>
      <c r="K123" s="22">
        <v>0</v>
      </c>
      <c r="L123" s="22">
        <v>0</v>
      </c>
      <c r="M123" s="22">
        <v>0</v>
      </c>
      <c r="N123" s="22">
        <v>0</v>
      </c>
      <c r="O123" s="22">
        <v>0</v>
      </c>
      <c r="P123" s="22">
        <v>0</v>
      </c>
      <c r="Q123" s="22">
        <v>0</v>
      </c>
      <c r="R123" s="22">
        <v>0</v>
      </c>
      <c r="S123" s="22">
        <v>0</v>
      </c>
      <c r="T123" s="22">
        <v>0</v>
      </c>
      <c r="U123" s="22">
        <v>0</v>
      </c>
      <c r="V123" s="22">
        <v>0</v>
      </c>
      <c r="W123" s="22">
        <v>0</v>
      </c>
      <c r="X123" s="22">
        <v>0</v>
      </c>
      <c r="Y123" s="22">
        <v>0</v>
      </c>
      <c r="Z123" s="22">
        <v>0</v>
      </c>
      <c r="AA123" s="22">
        <v>0</v>
      </c>
      <c r="AB123" s="22">
        <v>0</v>
      </c>
      <c r="AC123" s="22">
        <v>0</v>
      </c>
      <c r="AD123" s="22">
        <v>0</v>
      </c>
      <c r="AE123" s="22">
        <v>0</v>
      </c>
      <c r="AF123" s="22">
        <v>0</v>
      </c>
      <c r="AG123" s="22">
        <v>0</v>
      </c>
      <c r="AH123" s="22">
        <v>0</v>
      </c>
      <c r="AI123" s="22">
        <v>0</v>
      </c>
      <c r="AJ123" s="22">
        <v>0</v>
      </c>
      <c r="AK123" s="22">
        <v>0</v>
      </c>
      <c r="AL123" s="22">
        <v>0</v>
      </c>
      <c r="AM123" s="22">
        <v>0</v>
      </c>
      <c r="AN123" s="22">
        <v>0</v>
      </c>
      <c r="AO123" s="22">
        <v>0</v>
      </c>
      <c r="AP123" s="22">
        <v>0</v>
      </c>
      <c r="AQ123" s="22">
        <v>0</v>
      </c>
      <c r="AR123" s="22">
        <v>0</v>
      </c>
      <c r="AS123" s="22">
        <v>0</v>
      </c>
      <c r="AT123" s="21">
        <v>0</v>
      </c>
      <c r="AU123" s="21">
        <v>0</v>
      </c>
      <c r="AV123" s="21">
        <v>0</v>
      </c>
      <c r="AW123" s="21">
        <v>0</v>
      </c>
      <c r="AX123" s="21">
        <v>0</v>
      </c>
      <c r="AY123" s="21">
        <v>0</v>
      </c>
    </row>
    <row r="124" spans="1:51" ht="15.95">
      <c r="A124" s="23" t="s">
        <v>416</v>
      </c>
      <c r="B124" s="19" t="s">
        <v>417</v>
      </c>
      <c r="C124" s="19" t="s">
        <v>392</v>
      </c>
      <c r="D124" s="20">
        <f t="shared" si="4"/>
        <v>1</v>
      </c>
      <c r="E124" s="22">
        <v>1</v>
      </c>
      <c r="F124" s="22">
        <v>0</v>
      </c>
      <c r="G124" s="22">
        <v>0</v>
      </c>
      <c r="H124" s="22">
        <v>0</v>
      </c>
      <c r="I124" s="22">
        <v>0</v>
      </c>
      <c r="J124" s="22">
        <v>0</v>
      </c>
      <c r="K124" s="22">
        <v>0</v>
      </c>
      <c r="L124" s="22">
        <v>0</v>
      </c>
      <c r="M124" s="22">
        <v>0</v>
      </c>
      <c r="N124" s="22">
        <v>0</v>
      </c>
      <c r="O124" s="22">
        <v>0</v>
      </c>
      <c r="P124" s="22">
        <v>0</v>
      </c>
      <c r="Q124" s="22">
        <v>0</v>
      </c>
      <c r="R124" s="22">
        <v>0</v>
      </c>
      <c r="S124" s="22">
        <v>0</v>
      </c>
      <c r="T124" s="22">
        <v>0</v>
      </c>
      <c r="U124" s="22">
        <v>0</v>
      </c>
      <c r="V124" s="22">
        <v>0</v>
      </c>
      <c r="W124" s="22">
        <v>0</v>
      </c>
      <c r="X124" s="22">
        <v>0</v>
      </c>
      <c r="Y124" s="22">
        <v>0</v>
      </c>
      <c r="Z124" s="22">
        <v>0</v>
      </c>
      <c r="AA124" s="22">
        <v>0</v>
      </c>
      <c r="AB124" s="22">
        <v>0</v>
      </c>
      <c r="AC124" s="22">
        <v>0</v>
      </c>
      <c r="AD124" s="22">
        <v>0</v>
      </c>
      <c r="AE124" s="22">
        <v>0</v>
      </c>
      <c r="AF124" s="22">
        <v>0</v>
      </c>
      <c r="AG124" s="22">
        <v>0</v>
      </c>
      <c r="AH124" s="22">
        <v>0</v>
      </c>
      <c r="AI124" s="22">
        <v>0</v>
      </c>
      <c r="AJ124" s="22">
        <v>0</v>
      </c>
      <c r="AK124" s="22">
        <v>0</v>
      </c>
      <c r="AL124" s="22">
        <v>0</v>
      </c>
      <c r="AM124" s="22">
        <v>0</v>
      </c>
      <c r="AN124" s="22">
        <v>0</v>
      </c>
      <c r="AO124" s="22">
        <v>0</v>
      </c>
      <c r="AP124" s="22">
        <v>0</v>
      </c>
      <c r="AQ124" s="22">
        <v>0</v>
      </c>
      <c r="AR124" s="22">
        <v>0</v>
      </c>
      <c r="AS124" s="22">
        <v>0</v>
      </c>
      <c r="AT124" s="21">
        <v>0</v>
      </c>
      <c r="AU124" s="21">
        <v>0</v>
      </c>
      <c r="AV124" s="21">
        <v>0</v>
      </c>
      <c r="AW124" s="21">
        <v>0</v>
      </c>
      <c r="AX124" s="21">
        <v>0</v>
      </c>
      <c r="AY124" s="21">
        <v>0</v>
      </c>
    </row>
    <row r="125" spans="1:51" ht="15.95">
      <c r="A125" s="23" t="s">
        <v>418</v>
      </c>
      <c r="B125" s="19" t="s">
        <v>419</v>
      </c>
      <c r="C125" s="19" t="s">
        <v>392</v>
      </c>
      <c r="D125" s="20">
        <f t="shared" si="4"/>
        <v>1</v>
      </c>
      <c r="E125" s="22">
        <v>1</v>
      </c>
      <c r="F125" s="22">
        <v>0</v>
      </c>
      <c r="G125" s="22">
        <v>0</v>
      </c>
      <c r="H125" s="22">
        <v>0</v>
      </c>
      <c r="I125" s="22">
        <v>0</v>
      </c>
      <c r="J125" s="22">
        <v>0</v>
      </c>
      <c r="K125" s="22">
        <v>0</v>
      </c>
      <c r="L125" s="22">
        <v>0</v>
      </c>
      <c r="M125" s="22">
        <v>0</v>
      </c>
      <c r="N125" s="22">
        <v>0</v>
      </c>
      <c r="O125" s="22">
        <v>0</v>
      </c>
      <c r="P125" s="22">
        <v>0</v>
      </c>
      <c r="Q125" s="22">
        <v>0</v>
      </c>
      <c r="R125" s="22">
        <v>0</v>
      </c>
      <c r="S125" s="22">
        <v>0</v>
      </c>
      <c r="T125" s="22">
        <v>0</v>
      </c>
      <c r="U125" s="22">
        <v>0</v>
      </c>
      <c r="V125" s="22">
        <v>0</v>
      </c>
      <c r="W125" s="22">
        <v>0</v>
      </c>
      <c r="X125" s="22">
        <v>0</v>
      </c>
      <c r="Y125" s="22">
        <v>0</v>
      </c>
      <c r="Z125" s="22">
        <v>0</v>
      </c>
      <c r="AA125" s="22">
        <v>0</v>
      </c>
      <c r="AB125" s="22">
        <v>0</v>
      </c>
      <c r="AC125" s="22">
        <v>0</v>
      </c>
      <c r="AD125" s="22">
        <v>0</v>
      </c>
      <c r="AE125" s="22">
        <v>0</v>
      </c>
      <c r="AF125" s="22">
        <v>0</v>
      </c>
      <c r="AG125" s="22">
        <v>0</v>
      </c>
      <c r="AH125" s="22">
        <v>0</v>
      </c>
      <c r="AI125" s="22">
        <v>0</v>
      </c>
      <c r="AJ125" s="22">
        <v>0</v>
      </c>
      <c r="AK125" s="22">
        <v>0</v>
      </c>
      <c r="AL125" s="22">
        <v>0</v>
      </c>
      <c r="AM125" s="22">
        <v>0</v>
      </c>
      <c r="AN125" s="22">
        <v>0</v>
      </c>
      <c r="AO125" s="22">
        <v>0</v>
      </c>
      <c r="AP125" s="22">
        <v>0</v>
      </c>
      <c r="AQ125" s="22">
        <v>0</v>
      </c>
      <c r="AR125" s="22">
        <v>0</v>
      </c>
      <c r="AS125" s="22">
        <v>0</v>
      </c>
      <c r="AT125" s="21">
        <v>0</v>
      </c>
      <c r="AU125" s="21">
        <v>0</v>
      </c>
      <c r="AV125" s="21">
        <v>0</v>
      </c>
      <c r="AW125" s="21">
        <v>0</v>
      </c>
      <c r="AX125" s="21">
        <v>0</v>
      </c>
      <c r="AY125" s="21">
        <v>0</v>
      </c>
    </row>
    <row r="126" spans="1:51" ht="15.95">
      <c r="A126" s="23" t="s">
        <v>420</v>
      </c>
      <c r="B126" s="19" t="s">
        <v>421</v>
      </c>
      <c r="C126" s="19" t="s">
        <v>392</v>
      </c>
      <c r="D126" s="20">
        <f t="shared" si="4"/>
        <v>1</v>
      </c>
      <c r="E126" s="22">
        <v>1</v>
      </c>
      <c r="F126" s="22">
        <v>0</v>
      </c>
      <c r="G126" s="22">
        <v>0</v>
      </c>
      <c r="H126" s="22">
        <v>0</v>
      </c>
      <c r="I126" s="22">
        <v>0</v>
      </c>
      <c r="J126" s="22">
        <v>0</v>
      </c>
      <c r="K126" s="22">
        <v>0</v>
      </c>
      <c r="L126" s="22">
        <v>0</v>
      </c>
      <c r="M126" s="22">
        <v>0</v>
      </c>
      <c r="N126" s="22">
        <v>0</v>
      </c>
      <c r="O126" s="22">
        <v>0</v>
      </c>
      <c r="P126" s="22">
        <v>0</v>
      </c>
      <c r="Q126" s="22">
        <v>0</v>
      </c>
      <c r="R126" s="22">
        <v>0</v>
      </c>
      <c r="S126" s="22">
        <v>0</v>
      </c>
      <c r="T126" s="22">
        <v>0</v>
      </c>
      <c r="U126" s="22">
        <v>0</v>
      </c>
      <c r="V126" s="22">
        <v>0</v>
      </c>
      <c r="W126" s="22">
        <v>0</v>
      </c>
      <c r="X126" s="22">
        <v>0</v>
      </c>
      <c r="Y126" s="22">
        <v>0</v>
      </c>
      <c r="Z126" s="22">
        <v>0</v>
      </c>
      <c r="AA126" s="22">
        <v>0</v>
      </c>
      <c r="AB126" s="22">
        <v>0</v>
      </c>
      <c r="AC126" s="22">
        <v>0</v>
      </c>
      <c r="AD126" s="22">
        <v>0</v>
      </c>
      <c r="AE126" s="22">
        <v>0</v>
      </c>
      <c r="AF126" s="22">
        <v>0</v>
      </c>
      <c r="AG126" s="22">
        <v>0</v>
      </c>
      <c r="AH126" s="22">
        <v>0</v>
      </c>
      <c r="AI126" s="22">
        <v>0</v>
      </c>
      <c r="AJ126" s="22">
        <v>0</v>
      </c>
      <c r="AK126" s="22">
        <v>0</v>
      </c>
      <c r="AL126" s="22">
        <v>0</v>
      </c>
      <c r="AM126" s="22">
        <v>0</v>
      </c>
      <c r="AN126" s="22">
        <v>0</v>
      </c>
      <c r="AO126" s="22">
        <v>0</v>
      </c>
      <c r="AP126" s="22">
        <v>0</v>
      </c>
      <c r="AQ126" s="22">
        <v>0</v>
      </c>
      <c r="AR126" s="22">
        <v>0</v>
      </c>
      <c r="AS126" s="22">
        <v>0</v>
      </c>
      <c r="AT126" s="21">
        <v>0</v>
      </c>
      <c r="AU126" s="21">
        <v>0</v>
      </c>
      <c r="AV126" s="21">
        <v>0</v>
      </c>
      <c r="AW126" s="21">
        <v>0</v>
      </c>
      <c r="AX126" s="21">
        <v>0</v>
      </c>
      <c r="AY126" s="21">
        <v>0</v>
      </c>
    </row>
    <row r="127" spans="1:51" ht="15.95">
      <c r="A127" s="23" t="s">
        <v>422</v>
      </c>
      <c r="B127" s="19" t="s">
        <v>423</v>
      </c>
      <c r="C127" s="19" t="s">
        <v>392</v>
      </c>
      <c r="D127" s="20">
        <f t="shared" si="4"/>
        <v>1</v>
      </c>
      <c r="E127" s="22">
        <v>1</v>
      </c>
      <c r="F127" s="22">
        <v>0</v>
      </c>
      <c r="G127" s="22">
        <v>0</v>
      </c>
      <c r="H127" s="22">
        <v>0</v>
      </c>
      <c r="I127" s="22">
        <v>0</v>
      </c>
      <c r="J127" s="22">
        <v>0</v>
      </c>
      <c r="K127" s="22">
        <v>0</v>
      </c>
      <c r="L127" s="22">
        <v>0</v>
      </c>
      <c r="M127" s="22">
        <v>0</v>
      </c>
      <c r="N127" s="22">
        <v>0</v>
      </c>
      <c r="O127" s="22">
        <v>0</v>
      </c>
      <c r="P127" s="22">
        <v>0</v>
      </c>
      <c r="Q127" s="22">
        <v>0</v>
      </c>
      <c r="R127" s="22">
        <v>0</v>
      </c>
      <c r="S127" s="22">
        <v>0</v>
      </c>
      <c r="T127" s="22">
        <v>0</v>
      </c>
      <c r="U127" s="22">
        <v>0</v>
      </c>
      <c r="V127" s="22">
        <v>0</v>
      </c>
      <c r="W127" s="22">
        <v>0</v>
      </c>
      <c r="X127" s="22">
        <v>0</v>
      </c>
      <c r="Y127" s="22">
        <v>0</v>
      </c>
      <c r="Z127" s="22">
        <v>0</v>
      </c>
      <c r="AA127" s="22">
        <v>0</v>
      </c>
      <c r="AB127" s="22">
        <v>0</v>
      </c>
      <c r="AC127" s="22">
        <v>0</v>
      </c>
      <c r="AD127" s="22">
        <v>0</v>
      </c>
      <c r="AE127" s="22">
        <v>0</v>
      </c>
      <c r="AF127" s="22">
        <v>0</v>
      </c>
      <c r="AG127" s="22">
        <v>0</v>
      </c>
      <c r="AH127" s="22">
        <v>0</v>
      </c>
      <c r="AI127" s="22">
        <v>0</v>
      </c>
      <c r="AJ127" s="22">
        <v>0</v>
      </c>
      <c r="AK127" s="22">
        <v>0</v>
      </c>
      <c r="AL127" s="22">
        <v>0</v>
      </c>
      <c r="AM127" s="22">
        <v>0</v>
      </c>
      <c r="AN127" s="22">
        <v>0</v>
      </c>
      <c r="AO127" s="22">
        <v>0</v>
      </c>
      <c r="AP127" s="22">
        <v>0</v>
      </c>
      <c r="AQ127" s="22">
        <v>0</v>
      </c>
      <c r="AR127" s="22">
        <v>0</v>
      </c>
      <c r="AS127" s="22">
        <v>0</v>
      </c>
      <c r="AT127" s="21">
        <v>0</v>
      </c>
      <c r="AU127" s="21">
        <v>0</v>
      </c>
      <c r="AV127" s="21">
        <v>0</v>
      </c>
      <c r="AW127" s="21">
        <v>0</v>
      </c>
      <c r="AX127" s="21">
        <v>0</v>
      </c>
      <c r="AY127" s="21">
        <v>0</v>
      </c>
    </row>
    <row r="128" spans="1:51" ht="15.95">
      <c r="A128" s="23" t="s">
        <v>424</v>
      </c>
      <c r="B128" s="19" t="s">
        <v>425</v>
      </c>
      <c r="C128" s="19" t="s">
        <v>285</v>
      </c>
      <c r="D128" s="20">
        <f t="shared" si="4"/>
        <v>0</v>
      </c>
      <c r="E128" s="22">
        <v>0</v>
      </c>
      <c r="F128" s="22">
        <v>0</v>
      </c>
      <c r="G128" s="22">
        <v>0</v>
      </c>
      <c r="H128" s="22">
        <v>0</v>
      </c>
      <c r="I128" s="22">
        <v>0</v>
      </c>
      <c r="J128" s="22">
        <v>0</v>
      </c>
      <c r="K128" s="22">
        <v>0</v>
      </c>
      <c r="L128" s="22">
        <v>0</v>
      </c>
      <c r="M128" s="22">
        <v>0</v>
      </c>
      <c r="N128" s="22">
        <v>0</v>
      </c>
      <c r="O128" s="22">
        <v>0</v>
      </c>
      <c r="P128" s="22">
        <v>0</v>
      </c>
      <c r="Q128" s="22">
        <v>0</v>
      </c>
      <c r="R128" s="22">
        <v>0</v>
      </c>
      <c r="S128" s="22">
        <v>0</v>
      </c>
      <c r="T128" s="22">
        <v>0</v>
      </c>
      <c r="U128" s="22">
        <v>0</v>
      </c>
      <c r="V128" s="22">
        <v>0</v>
      </c>
      <c r="W128" s="22">
        <v>0</v>
      </c>
      <c r="X128" s="22">
        <v>0</v>
      </c>
      <c r="Y128" s="22">
        <v>0</v>
      </c>
      <c r="Z128" s="22">
        <v>0</v>
      </c>
      <c r="AA128" s="22">
        <v>0</v>
      </c>
      <c r="AB128" s="22">
        <v>0</v>
      </c>
      <c r="AC128" s="22">
        <v>0</v>
      </c>
      <c r="AD128" s="22">
        <v>0</v>
      </c>
      <c r="AE128" s="22">
        <v>0</v>
      </c>
      <c r="AF128" s="22">
        <v>0</v>
      </c>
      <c r="AG128" s="22">
        <v>0</v>
      </c>
      <c r="AH128" s="22">
        <v>0</v>
      </c>
      <c r="AI128" s="22">
        <v>0</v>
      </c>
      <c r="AJ128" s="22">
        <v>0</v>
      </c>
      <c r="AK128" s="22">
        <v>0</v>
      </c>
      <c r="AL128" s="22">
        <v>0</v>
      </c>
      <c r="AM128" s="22">
        <v>0</v>
      </c>
      <c r="AN128" s="22">
        <v>0</v>
      </c>
      <c r="AO128" s="22">
        <v>0</v>
      </c>
      <c r="AP128" s="22">
        <v>0</v>
      </c>
      <c r="AQ128" s="22">
        <v>0</v>
      </c>
      <c r="AR128" s="22">
        <v>0</v>
      </c>
      <c r="AS128" s="22">
        <v>0</v>
      </c>
      <c r="AT128" s="21">
        <v>0</v>
      </c>
      <c r="AU128" s="21">
        <v>0</v>
      </c>
      <c r="AV128" s="21">
        <v>0</v>
      </c>
      <c r="AW128" s="21">
        <v>0</v>
      </c>
      <c r="AX128" s="21">
        <v>0</v>
      </c>
      <c r="AY128" s="21">
        <v>0</v>
      </c>
    </row>
    <row r="129" spans="1:51" ht="15.95">
      <c r="A129" s="24" t="s">
        <v>426</v>
      </c>
      <c r="B129" s="25"/>
      <c r="C129" s="25"/>
      <c r="D129" s="16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  <c r="AG129" s="28"/>
      <c r="AH129" s="28"/>
      <c r="AI129" s="28"/>
      <c r="AJ129" s="28"/>
      <c r="AK129" s="28"/>
      <c r="AL129" s="28"/>
      <c r="AM129" s="28"/>
      <c r="AN129" s="28"/>
      <c r="AO129" s="28"/>
      <c r="AP129" s="28"/>
      <c r="AQ129" s="28"/>
      <c r="AR129" s="28"/>
      <c r="AS129" s="28"/>
      <c r="AT129" s="28"/>
      <c r="AU129" s="28"/>
      <c r="AV129" s="28"/>
      <c r="AW129" s="28"/>
      <c r="AX129" s="28"/>
      <c r="AY129" s="28"/>
    </row>
    <row r="130" spans="1:51" ht="15.95">
      <c r="A130" s="23"/>
      <c r="B130" s="19" t="s">
        <v>427</v>
      </c>
      <c r="C130" s="19" t="s">
        <v>428</v>
      </c>
      <c r="D130" s="20">
        <f t="shared" ref="D130:D133" si="5">SUM(E130:AY130)</f>
        <v>123717.55000000003</v>
      </c>
      <c r="E130" s="22">
        <v>26925.25</v>
      </c>
      <c r="F130" s="22">
        <v>14672.17</v>
      </c>
      <c r="G130" s="22">
        <v>5224.8</v>
      </c>
      <c r="H130" s="22">
        <v>9539.4</v>
      </c>
      <c r="I130" s="22">
        <v>12857.42</v>
      </c>
      <c r="J130" s="22">
        <v>14704.33</v>
      </c>
      <c r="K130" s="22">
        <v>1345.3000000000002</v>
      </c>
      <c r="L130" s="22">
        <v>3983.19</v>
      </c>
      <c r="M130" s="22">
        <v>2337.1399999999994</v>
      </c>
      <c r="N130" s="22">
        <v>255.9</v>
      </c>
      <c r="O130" s="22">
        <v>104.04</v>
      </c>
      <c r="P130" s="22">
        <v>127.51</v>
      </c>
      <c r="Q130" s="22">
        <v>205.60000000000002</v>
      </c>
      <c r="R130" s="22">
        <v>140.47999999999999</v>
      </c>
      <c r="S130" s="22">
        <v>1354.48</v>
      </c>
      <c r="T130" s="22">
        <v>7727.8</v>
      </c>
      <c r="U130" s="22">
        <v>358.44</v>
      </c>
      <c r="V130" s="22">
        <v>188.63</v>
      </c>
      <c r="W130" s="22">
        <v>108.3</v>
      </c>
      <c r="X130" s="22">
        <v>43.41</v>
      </c>
      <c r="Y130" s="22">
        <v>214.95999999999998</v>
      </c>
      <c r="Z130" s="22">
        <v>2051.21</v>
      </c>
      <c r="AA130" s="22">
        <v>251.13</v>
      </c>
      <c r="AB130" s="22">
        <v>2490.6800000000003</v>
      </c>
      <c r="AC130" s="22"/>
      <c r="AD130" s="22">
        <v>406.58</v>
      </c>
      <c r="AE130" s="22">
        <v>2253.1099999999997</v>
      </c>
      <c r="AF130" s="22">
        <v>109.57</v>
      </c>
      <c r="AG130" s="22">
        <v>165.79000000000002</v>
      </c>
      <c r="AH130" s="22">
        <v>431.26</v>
      </c>
      <c r="AI130" s="22">
        <v>484.58000000000004</v>
      </c>
      <c r="AJ130" s="22">
        <v>2643.31</v>
      </c>
      <c r="AK130" s="22">
        <v>229.77</v>
      </c>
      <c r="AL130" s="22">
        <v>1239.26</v>
      </c>
      <c r="AM130" s="22">
        <v>343.02</v>
      </c>
      <c r="AN130" s="22">
        <v>711.27</v>
      </c>
      <c r="AO130" s="22">
        <v>553.51</v>
      </c>
      <c r="AP130" s="22">
        <v>615.22</v>
      </c>
      <c r="AQ130" s="22">
        <v>196.76</v>
      </c>
      <c r="AR130" s="22">
        <v>43</v>
      </c>
      <c r="AS130" s="22">
        <v>115.97</v>
      </c>
      <c r="AT130" s="21">
        <v>170</v>
      </c>
      <c r="AU130" s="21">
        <v>280</v>
      </c>
      <c r="AV130" s="21">
        <v>200</v>
      </c>
      <c r="AW130" s="21">
        <v>2214</v>
      </c>
      <c r="AX130" s="21">
        <v>1890</v>
      </c>
      <c r="AY130" s="21">
        <v>1210</v>
      </c>
    </row>
    <row r="131" spans="1:51" ht="15.95">
      <c r="A131" s="23"/>
      <c r="B131" s="19" t="s">
        <v>429</v>
      </c>
      <c r="C131" s="19" t="s">
        <v>428</v>
      </c>
      <c r="D131" s="20">
        <f t="shared" si="5"/>
        <v>123717.55000000003</v>
      </c>
      <c r="E131" s="22">
        <v>26925.25</v>
      </c>
      <c r="F131" s="22">
        <v>14672.17</v>
      </c>
      <c r="G131" s="22">
        <v>5224.8</v>
      </c>
      <c r="H131" s="22">
        <v>9539.4</v>
      </c>
      <c r="I131" s="22">
        <v>12857.42</v>
      </c>
      <c r="J131" s="22">
        <v>14704.33</v>
      </c>
      <c r="K131" s="22">
        <v>1345.3000000000002</v>
      </c>
      <c r="L131" s="22">
        <v>3983.19</v>
      </c>
      <c r="M131" s="22">
        <v>2337.1399999999994</v>
      </c>
      <c r="N131" s="22">
        <v>255.9</v>
      </c>
      <c r="O131" s="22">
        <v>104.04</v>
      </c>
      <c r="P131" s="22">
        <v>127.51</v>
      </c>
      <c r="Q131" s="22">
        <v>205.60000000000002</v>
      </c>
      <c r="R131" s="22">
        <v>140.47999999999999</v>
      </c>
      <c r="S131" s="22">
        <v>1354.48</v>
      </c>
      <c r="T131" s="22">
        <v>7727.8</v>
      </c>
      <c r="U131" s="22">
        <v>358.44</v>
      </c>
      <c r="V131" s="22">
        <v>188.63</v>
      </c>
      <c r="W131" s="22">
        <v>108.3</v>
      </c>
      <c r="X131" s="22">
        <v>43.41</v>
      </c>
      <c r="Y131" s="22">
        <v>214.95999999999998</v>
      </c>
      <c r="Z131" s="22">
        <v>2051.21</v>
      </c>
      <c r="AA131" s="22">
        <v>251.13</v>
      </c>
      <c r="AB131" s="22">
        <v>2490.6800000000003</v>
      </c>
      <c r="AC131" s="22"/>
      <c r="AD131" s="22">
        <v>406.58</v>
      </c>
      <c r="AE131" s="22">
        <v>2253.1099999999997</v>
      </c>
      <c r="AF131" s="22">
        <v>109.57</v>
      </c>
      <c r="AG131" s="22">
        <v>165.79000000000002</v>
      </c>
      <c r="AH131" s="22">
        <v>431.26</v>
      </c>
      <c r="AI131" s="22">
        <v>484.58000000000004</v>
      </c>
      <c r="AJ131" s="22">
        <v>2643.31</v>
      </c>
      <c r="AK131" s="22">
        <v>229.77</v>
      </c>
      <c r="AL131" s="22">
        <v>1239.26</v>
      </c>
      <c r="AM131" s="22">
        <v>343.02</v>
      </c>
      <c r="AN131" s="22">
        <v>711.27</v>
      </c>
      <c r="AO131" s="22">
        <v>553.51</v>
      </c>
      <c r="AP131" s="22">
        <v>615.22</v>
      </c>
      <c r="AQ131" s="22">
        <v>196.76</v>
      </c>
      <c r="AR131" s="22">
        <v>43</v>
      </c>
      <c r="AS131" s="22">
        <v>115.97</v>
      </c>
      <c r="AT131" s="21">
        <v>170</v>
      </c>
      <c r="AU131" s="21">
        <v>280</v>
      </c>
      <c r="AV131" s="21">
        <v>200</v>
      </c>
      <c r="AW131" s="21">
        <v>2214</v>
      </c>
      <c r="AX131" s="21">
        <v>1890</v>
      </c>
      <c r="AY131" s="21">
        <v>1210</v>
      </c>
    </row>
    <row r="132" spans="1:51" ht="15.95">
      <c r="A132" s="23"/>
      <c r="B132" s="19" t="s">
        <v>430</v>
      </c>
      <c r="C132" s="19" t="s">
        <v>428</v>
      </c>
      <c r="D132" s="20">
        <f t="shared" si="5"/>
        <v>123717.55000000003</v>
      </c>
      <c r="E132" s="22">
        <v>26925.25</v>
      </c>
      <c r="F132" s="22">
        <v>14672.17</v>
      </c>
      <c r="G132" s="22">
        <v>5224.8</v>
      </c>
      <c r="H132" s="22">
        <v>9539.4</v>
      </c>
      <c r="I132" s="22">
        <v>12857.42</v>
      </c>
      <c r="J132" s="22">
        <v>14704.33</v>
      </c>
      <c r="K132" s="22">
        <v>1345.3000000000002</v>
      </c>
      <c r="L132" s="22">
        <v>3983.19</v>
      </c>
      <c r="M132" s="22">
        <v>2337.1399999999994</v>
      </c>
      <c r="N132" s="22">
        <v>255.9</v>
      </c>
      <c r="O132" s="22">
        <v>104.04</v>
      </c>
      <c r="P132" s="22">
        <v>127.51</v>
      </c>
      <c r="Q132" s="22">
        <v>205.60000000000002</v>
      </c>
      <c r="R132" s="22">
        <v>140.47999999999999</v>
      </c>
      <c r="S132" s="22">
        <v>1354.48</v>
      </c>
      <c r="T132" s="22">
        <v>7727.8</v>
      </c>
      <c r="U132" s="22">
        <v>358.44</v>
      </c>
      <c r="V132" s="22">
        <v>188.63</v>
      </c>
      <c r="W132" s="22">
        <v>108.3</v>
      </c>
      <c r="X132" s="22">
        <v>43.41</v>
      </c>
      <c r="Y132" s="22">
        <v>214.95999999999998</v>
      </c>
      <c r="Z132" s="22">
        <v>2051.21</v>
      </c>
      <c r="AA132" s="22">
        <v>251.13</v>
      </c>
      <c r="AB132" s="22">
        <v>2490.6800000000003</v>
      </c>
      <c r="AC132" s="22"/>
      <c r="AD132" s="22">
        <v>406.58</v>
      </c>
      <c r="AE132" s="22">
        <v>2253.1099999999997</v>
      </c>
      <c r="AF132" s="22">
        <v>109.57</v>
      </c>
      <c r="AG132" s="22">
        <v>165.79000000000002</v>
      </c>
      <c r="AH132" s="22">
        <v>431.26</v>
      </c>
      <c r="AI132" s="22">
        <v>484.58000000000004</v>
      </c>
      <c r="AJ132" s="22">
        <v>2643.31</v>
      </c>
      <c r="AK132" s="22">
        <v>229.77</v>
      </c>
      <c r="AL132" s="22">
        <v>1239.26</v>
      </c>
      <c r="AM132" s="22">
        <v>343.02</v>
      </c>
      <c r="AN132" s="22">
        <v>711.27</v>
      </c>
      <c r="AO132" s="22">
        <v>553.51</v>
      </c>
      <c r="AP132" s="22">
        <v>615.22</v>
      </c>
      <c r="AQ132" s="22">
        <v>196.76</v>
      </c>
      <c r="AR132" s="22">
        <v>43</v>
      </c>
      <c r="AS132" s="22">
        <v>115.97</v>
      </c>
      <c r="AT132" s="21">
        <v>170</v>
      </c>
      <c r="AU132" s="21">
        <v>280</v>
      </c>
      <c r="AV132" s="21">
        <v>200</v>
      </c>
      <c r="AW132" s="21">
        <v>2214</v>
      </c>
      <c r="AX132" s="21">
        <v>1890</v>
      </c>
      <c r="AY132" s="21">
        <v>1210</v>
      </c>
    </row>
    <row r="133" spans="1:51" ht="15.95">
      <c r="A133" s="23"/>
      <c r="B133" s="19" t="s">
        <v>431</v>
      </c>
      <c r="C133" s="19" t="s">
        <v>428</v>
      </c>
      <c r="D133" s="20">
        <f t="shared" si="5"/>
        <v>123717.55000000003</v>
      </c>
      <c r="E133" s="22">
        <v>26925.25</v>
      </c>
      <c r="F133" s="22">
        <v>14672.17</v>
      </c>
      <c r="G133" s="22">
        <v>5224.8</v>
      </c>
      <c r="H133" s="22">
        <v>9539.4</v>
      </c>
      <c r="I133" s="22">
        <v>12857.42</v>
      </c>
      <c r="J133" s="22">
        <v>14704.33</v>
      </c>
      <c r="K133" s="22">
        <v>1345.3000000000002</v>
      </c>
      <c r="L133" s="22">
        <v>3983.19</v>
      </c>
      <c r="M133" s="22">
        <v>2337.1399999999994</v>
      </c>
      <c r="N133" s="22">
        <v>255.9</v>
      </c>
      <c r="O133" s="22">
        <v>104.04</v>
      </c>
      <c r="P133" s="22">
        <v>127.51</v>
      </c>
      <c r="Q133" s="22">
        <v>205.60000000000002</v>
      </c>
      <c r="R133" s="22">
        <v>140.47999999999999</v>
      </c>
      <c r="S133" s="22">
        <v>1354.48</v>
      </c>
      <c r="T133" s="22">
        <v>7727.8</v>
      </c>
      <c r="U133" s="22">
        <v>358.44</v>
      </c>
      <c r="V133" s="22">
        <v>188.63</v>
      </c>
      <c r="W133" s="22">
        <v>108.3</v>
      </c>
      <c r="X133" s="22">
        <v>43.41</v>
      </c>
      <c r="Y133" s="22">
        <v>214.95999999999998</v>
      </c>
      <c r="Z133" s="22">
        <v>2051.21</v>
      </c>
      <c r="AA133" s="22">
        <v>251.13</v>
      </c>
      <c r="AB133" s="22">
        <v>0</v>
      </c>
      <c r="AC133" s="22">
        <v>2490.6800000000003</v>
      </c>
      <c r="AD133" s="22">
        <v>406.58</v>
      </c>
      <c r="AE133" s="22">
        <v>2253.1099999999997</v>
      </c>
      <c r="AF133" s="22">
        <v>109.57</v>
      </c>
      <c r="AG133" s="22">
        <v>165.79000000000002</v>
      </c>
      <c r="AH133" s="22">
        <v>431.26</v>
      </c>
      <c r="AI133" s="22">
        <v>484.58000000000004</v>
      </c>
      <c r="AJ133" s="22">
        <v>2643.31</v>
      </c>
      <c r="AK133" s="22">
        <v>229.77</v>
      </c>
      <c r="AL133" s="22">
        <v>1239.26</v>
      </c>
      <c r="AM133" s="22">
        <v>343.02</v>
      </c>
      <c r="AN133" s="22">
        <v>711.27</v>
      </c>
      <c r="AO133" s="22">
        <v>553.51</v>
      </c>
      <c r="AP133" s="22">
        <v>615.22</v>
      </c>
      <c r="AQ133" s="22">
        <v>196.76</v>
      </c>
      <c r="AR133" s="22">
        <v>43</v>
      </c>
      <c r="AS133" s="22">
        <v>115.97</v>
      </c>
      <c r="AT133" s="21">
        <v>170</v>
      </c>
      <c r="AU133" s="21">
        <v>280</v>
      </c>
      <c r="AV133" s="21">
        <v>200</v>
      </c>
      <c r="AW133" s="21">
        <v>2214</v>
      </c>
      <c r="AX133" s="21">
        <v>1890</v>
      </c>
      <c r="AY133" s="21">
        <v>1210</v>
      </c>
    </row>
    <row r="134" spans="1:51" ht="15.95">
      <c r="A134" s="24" t="s">
        <v>432</v>
      </c>
      <c r="B134" s="25"/>
      <c r="C134" s="25"/>
      <c r="D134" s="16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  <c r="AF134" s="28"/>
      <c r="AG134" s="28"/>
      <c r="AH134" s="28"/>
      <c r="AI134" s="28"/>
      <c r="AJ134" s="28"/>
      <c r="AK134" s="28"/>
      <c r="AL134" s="28"/>
      <c r="AM134" s="28"/>
      <c r="AN134" s="28"/>
      <c r="AO134" s="28"/>
      <c r="AP134" s="28"/>
      <c r="AQ134" s="28"/>
      <c r="AR134" s="28"/>
      <c r="AS134" s="28"/>
      <c r="AT134" s="28"/>
      <c r="AU134" s="28"/>
      <c r="AV134" s="28"/>
      <c r="AW134" s="28"/>
      <c r="AX134" s="28"/>
      <c r="AY134" s="28"/>
    </row>
    <row r="135" spans="1:51" ht="15.95">
      <c r="A135" s="23"/>
      <c r="B135" s="19" t="s">
        <v>433</v>
      </c>
      <c r="C135" s="19" t="s">
        <v>434</v>
      </c>
      <c r="D135" s="20">
        <f t="shared" ref="D135:D137" si="6">SUM(E135:AY135)</f>
        <v>184879</v>
      </c>
      <c r="E135" s="22">
        <v>51992</v>
      </c>
      <c r="F135" s="22">
        <v>29104</v>
      </c>
      <c r="G135" s="22">
        <v>8525</v>
      </c>
      <c r="H135" s="22">
        <v>23415</v>
      </c>
      <c r="I135" s="22">
        <v>33347</v>
      </c>
      <c r="J135" s="22">
        <v>18009</v>
      </c>
      <c r="K135" s="22">
        <v>799</v>
      </c>
      <c r="L135" s="22">
        <v>1472</v>
      </c>
      <c r="M135" s="22">
        <v>48</v>
      </c>
      <c r="N135" s="22">
        <v>303</v>
      </c>
      <c r="O135" s="22" t="s">
        <v>683</v>
      </c>
      <c r="P135" s="22" t="s">
        <v>683</v>
      </c>
      <c r="Q135" s="22" t="s">
        <v>683</v>
      </c>
      <c r="R135" s="22" t="s">
        <v>683</v>
      </c>
      <c r="S135" s="22">
        <v>1542</v>
      </c>
      <c r="T135" s="22">
        <v>8689</v>
      </c>
      <c r="U135" s="22">
        <v>192</v>
      </c>
      <c r="V135" s="22" t="s">
        <v>683</v>
      </c>
      <c r="W135" s="22" t="s">
        <v>683</v>
      </c>
      <c r="X135" s="22" t="s">
        <v>683</v>
      </c>
      <c r="Y135" s="22" t="s">
        <v>683</v>
      </c>
      <c r="Z135" s="22">
        <v>1542</v>
      </c>
      <c r="AA135" s="22" t="s">
        <v>683</v>
      </c>
      <c r="AB135" s="22">
        <v>714</v>
      </c>
      <c r="AC135" s="22">
        <v>909</v>
      </c>
      <c r="AD135" s="22" t="s">
        <v>683</v>
      </c>
      <c r="AE135" s="22">
        <v>1176</v>
      </c>
      <c r="AF135" s="22">
        <v>189</v>
      </c>
      <c r="AG135" s="22" t="s">
        <v>683</v>
      </c>
      <c r="AH135" s="22" t="s">
        <v>683</v>
      </c>
      <c r="AI135" s="22" t="s">
        <v>683</v>
      </c>
      <c r="AJ135" s="22">
        <v>1456</v>
      </c>
      <c r="AK135" s="22" t="s">
        <v>683</v>
      </c>
      <c r="AL135" s="22">
        <v>210</v>
      </c>
      <c r="AM135" s="22">
        <v>192</v>
      </c>
      <c r="AN135" s="22">
        <v>714</v>
      </c>
      <c r="AO135" s="22" t="s">
        <v>683</v>
      </c>
      <c r="AP135" s="22">
        <v>340</v>
      </c>
      <c r="AQ135" s="22">
        <v>0</v>
      </c>
      <c r="AR135" s="22" t="s">
        <v>683</v>
      </c>
      <c r="AS135" s="22">
        <v>0</v>
      </c>
      <c r="AT135" s="21">
        <v>0</v>
      </c>
      <c r="AU135" s="21">
        <v>0</v>
      </c>
      <c r="AV135" s="21">
        <v>0</v>
      </c>
      <c r="AW135" s="21">
        <v>0</v>
      </c>
      <c r="AX135" s="21">
        <v>0</v>
      </c>
      <c r="AY135" s="21">
        <v>0</v>
      </c>
    </row>
    <row r="136" spans="1:51" ht="15.95">
      <c r="A136" s="23"/>
      <c r="B136" s="19" t="s">
        <v>435</v>
      </c>
      <c r="C136" s="19" t="s">
        <v>434</v>
      </c>
      <c r="D136" s="20">
        <f t="shared" si="6"/>
        <v>188938</v>
      </c>
      <c r="E136" s="22">
        <v>54256</v>
      </c>
      <c r="F136" s="22">
        <v>21947</v>
      </c>
      <c r="G136" s="22">
        <v>10141</v>
      </c>
      <c r="H136" s="22">
        <v>24646</v>
      </c>
      <c r="I136" s="22">
        <v>39324</v>
      </c>
      <c r="J136" s="22">
        <v>18009</v>
      </c>
      <c r="K136" s="22">
        <v>485</v>
      </c>
      <c r="L136" s="22">
        <v>1684</v>
      </c>
      <c r="M136" s="22">
        <v>48</v>
      </c>
      <c r="N136" s="22">
        <v>337</v>
      </c>
      <c r="O136" s="22" t="s">
        <v>683</v>
      </c>
      <c r="P136" s="22" t="s">
        <v>683</v>
      </c>
      <c r="Q136" s="22" t="s">
        <v>683</v>
      </c>
      <c r="R136" s="22">
        <v>15</v>
      </c>
      <c r="S136" s="22">
        <v>1526</v>
      </c>
      <c r="T136" s="22">
        <v>7760</v>
      </c>
      <c r="U136" s="22">
        <v>221</v>
      </c>
      <c r="V136" s="22" t="s">
        <v>683</v>
      </c>
      <c r="W136" s="22" t="s">
        <v>683</v>
      </c>
      <c r="X136" s="22" t="s">
        <v>683</v>
      </c>
      <c r="Y136" s="22" t="s">
        <v>683</v>
      </c>
      <c r="Z136" s="22">
        <v>1526</v>
      </c>
      <c r="AA136" s="22" t="s">
        <v>683</v>
      </c>
      <c r="AB136" s="22">
        <v>741</v>
      </c>
      <c r="AC136" s="22">
        <v>886</v>
      </c>
      <c r="AD136" s="22" t="s">
        <v>683</v>
      </c>
      <c r="AE136" s="22">
        <v>2023</v>
      </c>
      <c r="AF136" s="22">
        <v>35</v>
      </c>
      <c r="AG136" s="22" t="s">
        <v>683</v>
      </c>
      <c r="AH136" s="22" t="s">
        <v>683</v>
      </c>
      <c r="AI136" s="22" t="s">
        <v>683</v>
      </c>
      <c r="AJ136" s="22">
        <v>1854</v>
      </c>
      <c r="AK136" s="22" t="s">
        <v>683</v>
      </c>
      <c r="AL136" s="22">
        <v>189</v>
      </c>
      <c r="AM136" s="22">
        <v>221</v>
      </c>
      <c r="AN136" s="22">
        <v>736</v>
      </c>
      <c r="AO136" s="22" t="s">
        <v>683</v>
      </c>
      <c r="AP136" s="22">
        <v>328</v>
      </c>
      <c r="AQ136" s="22">
        <v>0</v>
      </c>
      <c r="AR136" s="22" t="s">
        <v>683</v>
      </c>
      <c r="AS136" s="22">
        <v>0</v>
      </c>
      <c r="AT136" s="21">
        <v>0</v>
      </c>
      <c r="AU136" s="21">
        <v>0</v>
      </c>
      <c r="AV136" s="21">
        <v>0</v>
      </c>
      <c r="AW136" s="21">
        <v>0</v>
      </c>
      <c r="AX136" s="21">
        <v>0</v>
      </c>
      <c r="AY136" s="21">
        <v>0</v>
      </c>
    </row>
    <row r="137" spans="1:51" ht="15.95">
      <c r="A137" s="23"/>
      <c r="B137" s="19" t="s">
        <v>436</v>
      </c>
      <c r="C137" s="19" t="s">
        <v>434</v>
      </c>
      <c r="D137" s="20">
        <f t="shared" si="6"/>
        <v>156448</v>
      </c>
      <c r="E137" s="22">
        <v>33448</v>
      </c>
      <c r="F137" s="22">
        <v>14492</v>
      </c>
      <c r="G137" s="22">
        <v>11396</v>
      </c>
      <c r="H137" s="22">
        <v>28074</v>
      </c>
      <c r="I137" s="22">
        <v>38648</v>
      </c>
      <c r="J137" s="22">
        <v>11349</v>
      </c>
      <c r="K137" s="22">
        <v>428</v>
      </c>
      <c r="L137" s="22">
        <v>1442</v>
      </c>
      <c r="M137" s="22">
        <v>48</v>
      </c>
      <c r="N137" s="22">
        <v>335</v>
      </c>
      <c r="O137" s="22" t="s">
        <v>683</v>
      </c>
      <c r="P137" s="22" t="s">
        <v>683</v>
      </c>
      <c r="Q137" s="22" t="s">
        <v>683</v>
      </c>
      <c r="R137" s="22">
        <v>60</v>
      </c>
      <c r="S137" s="22">
        <v>2603</v>
      </c>
      <c r="T137" s="22">
        <v>4457</v>
      </c>
      <c r="U137" s="22">
        <v>89</v>
      </c>
      <c r="V137" s="22" t="s">
        <v>683</v>
      </c>
      <c r="W137" s="22" t="s">
        <v>683</v>
      </c>
      <c r="X137" s="22" t="s">
        <v>683</v>
      </c>
      <c r="Y137" s="22" t="s">
        <v>683</v>
      </c>
      <c r="Z137" s="22">
        <v>2603</v>
      </c>
      <c r="AA137" s="22" t="s">
        <v>683</v>
      </c>
      <c r="AB137" s="22">
        <v>357</v>
      </c>
      <c r="AC137" s="22">
        <v>759</v>
      </c>
      <c r="AD137" s="22" t="s">
        <v>683</v>
      </c>
      <c r="AE137" s="22">
        <v>2661</v>
      </c>
      <c r="AF137" s="22">
        <v>46</v>
      </c>
      <c r="AG137" s="22" t="s">
        <v>683</v>
      </c>
      <c r="AH137" s="22" t="s">
        <v>683</v>
      </c>
      <c r="AI137" s="22" t="s">
        <v>683</v>
      </c>
      <c r="AJ137" s="22">
        <v>1550</v>
      </c>
      <c r="AK137" s="22" t="s">
        <v>683</v>
      </c>
      <c r="AL137" s="22">
        <v>199</v>
      </c>
      <c r="AM137" s="22">
        <v>89</v>
      </c>
      <c r="AN137" s="22">
        <v>770</v>
      </c>
      <c r="AO137" s="22" t="s">
        <v>683</v>
      </c>
      <c r="AP137" s="22">
        <v>545</v>
      </c>
      <c r="AQ137" s="22">
        <v>0</v>
      </c>
      <c r="AR137" s="22" t="s">
        <v>683</v>
      </c>
      <c r="AS137" s="22">
        <v>0</v>
      </c>
      <c r="AT137" s="21">
        <v>0</v>
      </c>
      <c r="AU137" s="21">
        <v>0</v>
      </c>
      <c r="AV137" s="21">
        <v>0</v>
      </c>
      <c r="AW137" s="21">
        <v>0</v>
      </c>
      <c r="AX137" s="21">
        <v>0</v>
      </c>
      <c r="AY137" s="21">
        <v>0</v>
      </c>
    </row>
    <row r="139" spans="1:51">
      <c r="D139" s="46"/>
    </row>
    <row r="140" spans="1:51">
      <c r="D140" s="46"/>
    </row>
    <row r="141" spans="1:51">
      <c r="D141" s="46"/>
    </row>
    <row r="176" spans="1:4" s="44" customFormat="1">
      <c r="A176" s="33"/>
      <c r="B176" s="35"/>
      <c r="C176" s="35"/>
      <c r="D176" s="45"/>
    </row>
    <row r="177" spans="1:4" s="44" customFormat="1">
      <c r="A177" s="33"/>
      <c r="B177" s="35"/>
      <c r="C177" s="35"/>
      <c r="D177" s="45"/>
    </row>
    <row r="178" spans="1:4" s="44" customFormat="1">
      <c r="A178" s="33"/>
      <c r="B178" s="35"/>
      <c r="C178" s="35"/>
      <c r="D178" s="45"/>
    </row>
    <row r="179" spans="1:4" s="44" customFormat="1">
      <c r="A179" s="33"/>
      <c r="B179" s="35"/>
      <c r="C179" s="35"/>
      <c r="D179" s="45"/>
    </row>
    <row r="180" spans="1:4" s="44" customFormat="1">
      <c r="A180" s="33"/>
      <c r="B180" s="35"/>
      <c r="C180" s="35"/>
      <c r="D180" s="45"/>
    </row>
    <row r="181" spans="1:4" s="44" customFormat="1">
      <c r="A181" s="33"/>
      <c r="B181" s="35"/>
      <c r="C181" s="35"/>
      <c r="D181" s="45"/>
    </row>
    <row r="182" spans="1:4" s="44" customFormat="1">
      <c r="A182" s="33"/>
      <c r="B182" s="35"/>
      <c r="C182" s="35"/>
      <c r="D182" s="45"/>
    </row>
    <row r="183" spans="1:4" s="44" customFormat="1">
      <c r="A183" s="33"/>
      <c r="B183" s="35"/>
      <c r="C183" s="35"/>
      <c r="D183" s="45"/>
    </row>
    <row r="184" spans="1:4" s="44" customFormat="1">
      <c r="A184" s="33"/>
      <c r="B184" s="35"/>
      <c r="C184" s="35"/>
      <c r="D184" s="45"/>
    </row>
    <row r="185" spans="1:4" s="44" customFormat="1">
      <c r="A185" s="33"/>
      <c r="B185" s="35"/>
      <c r="C185" s="35"/>
      <c r="D185" s="45"/>
    </row>
    <row r="186" spans="1:4" s="44" customFormat="1">
      <c r="A186" s="33"/>
      <c r="B186" s="35"/>
      <c r="C186" s="35"/>
      <c r="D186" s="45"/>
    </row>
    <row r="187" spans="1:4" s="44" customFormat="1">
      <c r="A187" s="33"/>
      <c r="B187" s="35"/>
      <c r="C187" s="35"/>
      <c r="D187" s="45"/>
    </row>
    <row r="188" spans="1:4" s="44" customFormat="1">
      <c r="A188" s="33"/>
      <c r="B188" s="35"/>
      <c r="C188" s="35"/>
      <c r="D188" s="45"/>
    </row>
    <row r="189" spans="1:4" s="44" customFormat="1">
      <c r="A189" s="33"/>
      <c r="B189" s="35"/>
      <c r="C189" s="35"/>
      <c r="D189" s="45"/>
    </row>
    <row r="190" spans="1:4" s="44" customFormat="1">
      <c r="A190" s="33"/>
      <c r="B190" s="35"/>
      <c r="C190" s="35"/>
      <c r="D190" s="45"/>
    </row>
    <row r="191" spans="1:4" s="44" customFormat="1">
      <c r="A191" s="33"/>
      <c r="B191" s="35"/>
      <c r="C191" s="35"/>
      <c r="D191" s="45"/>
    </row>
    <row r="192" spans="1:4" s="44" customFormat="1">
      <c r="A192" s="33"/>
      <c r="B192" s="35"/>
      <c r="C192" s="35"/>
      <c r="D192" s="45"/>
    </row>
    <row r="193" spans="1:4" s="44" customFormat="1">
      <c r="A193" s="33"/>
      <c r="B193" s="35"/>
      <c r="C193" s="35"/>
      <c r="D193" s="45"/>
    </row>
    <row r="194" spans="1:4" s="44" customFormat="1">
      <c r="A194" s="33"/>
      <c r="B194" s="35"/>
      <c r="C194" s="35"/>
      <c r="D194" s="45"/>
    </row>
    <row r="195" spans="1:4" s="44" customFormat="1">
      <c r="A195" s="33"/>
      <c r="B195" s="35"/>
      <c r="C195" s="35"/>
      <c r="D195" s="45"/>
    </row>
    <row r="196" spans="1:4" s="44" customFormat="1">
      <c r="A196" s="33"/>
      <c r="B196" s="35"/>
      <c r="C196" s="35"/>
      <c r="D196" s="45"/>
    </row>
    <row r="197" spans="1:4" s="44" customFormat="1">
      <c r="A197" s="33"/>
      <c r="B197" s="35"/>
      <c r="C197" s="35"/>
      <c r="D197" s="45"/>
    </row>
    <row r="198" spans="1:4" s="44" customFormat="1">
      <c r="A198" s="33"/>
      <c r="B198" s="35"/>
      <c r="C198" s="35"/>
      <c r="D198" s="45"/>
    </row>
    <row r="199" spans="1:4" s="44" customFormat="1">
      <c r="A199" s="33"/>
      <c r="B199" s="35"/>
      <c r="C199" s="35"/>
      <c r="D199" s="45"/>
    </row>
    <row r="200" spans="1:4" s="44" customFormat="1">
      <c r="A200" s="33"/>
      <c r="B200" s="35"/>
      <c r="C200" s="35"/>
      <c r="D200" s="45"/>
    </row>
    <row r="201" spans="1:4" s="44" customFormat="1">
      <c r="A201" s="33"/>
      <c r="B201" s="35"/>
      <c r="C201" s="35"/>
      <c r="D201" s="45"/>
    </row>
    <row r="202" spans="1:4" s="44" customFormat="1">
      <c r="A202" s="33"/>
      <c r="B202" s="35"/>
      <c r="C202" s="35"/>
      <c r="D202" s="45"/>
    </row>
    <row r="203" spans="1:4" s="44" customFormat="1">
      <c r="A203" s="33"/>
      <c r="B203" s="35"/>
      <c r="C203" s="35"/>
      <c r="D203" s="45"/>
    </row>
    <row r="204" spans="1:4" s="44" customFormat="1">
      <c r="A204" s="33"/>
      <c r="B204" s="35"/>
      <c r="C204" s="35"/>
      <c r="D204" s="45"/>
    </row>
    <row r="205" spans="1:4" s="44" customFormat="1">
      <c r="A205" s="33"/>
      <c r="B205" s="35"/>
      <c r="C205" s="35"/>
      <c r="D205" s="45"/>
    </row>
    <row r="206" spans="1:4" s="44" customFormat="1">
      <c r="A206" s="33"/>
      <c r="B206" s="35"/>
      <c r="C206" s="35"/>
      <c r="D206" s="45"/>
    </row>
    <row r="207" spans="1:4" s="44" customFormat="1">
      <c r="A207" s="33"/>
      <c r="B207" s="35"/>
      <c r="C207" s="35"/>
      <c r="D207" s="45"/>
    </row>
    <row r="208" spans="1:4" s="44" customFormat="1">
      <c r="A208" s="33"/>
      <c r="B208" s="35"/>
      <c r="C208" s="35"/>
      <c r="D208" s="45"/>
    </row>
    <row r="209" spans="1:4" s="44" customFormat="1">
      <c r="A209" s="33"/>
      <c r="B209" s="35"/>
      <c r="C209" s="35"/>
      <c r="D209" s="45"/>
    </row>
    <row r="210" spans="1:4" s="44" customFormat="1">
      <c r="A210" s="33"/>
      <c r="B210" s="35"/>
      <c r="C210" s="35"/>
      <c r="D210" s="45"/>
    </row>
    <row r="211" spans="1:4" s="44" customFormat="1">
      <c r="A211" s="33"/>
      <c r="B211" s="35"/>
      <c r="C211" s="35"/>
      <c r="D211" s="45"/>
    </row>
    <row r="212" spans="1:4" s="44" customFormat="1">
      <c r="A212" s="33"/>
      <c r="B212" s="35"/>
      <c r="C212" s="35"/>
      <c r="D212" s="45"/>
    </row>
    <row r="213" spans="1:4" s="44" customFormat="1">
      <c r="A213" s="33"/>
      <c r="B213" s="35"/>
      <c r="C213" s="35"/>
      <c r="D213" s="45"/>
    </row>
    <row r="214" spans="1:4" s="44" customFormat="1">
      <c r="A214" s="33"/>
      <c r="B214" s="35"/>
      <c r="C214" s="35"/>
      <c r="D214" s="45"/>
    </row>
    <row r="215" spans="1:4" s="44" customFormat="1">
      <c r="A215" s="33"/>
      <c r="B215" s="35"/>
      <c r="C215" s="35"/>
      <c r="D215" s="45"/>
    </row>
    <row r="217" spans="1:4" s="44" customFormat="1">
      <c r="A217" s="33"/>
      <c r="B217" s="35"/>
      <c r="C217" s="35"/>
      <c r="D217" s="45"/>
    </row>
  </sheetData>
  <mergeCells count="3">
    <mergeCell ref="A1:C8"/>
    <mergeCell ref="E72:AY72"/>
    <mergeCell ref="E73:AY73"/>
  </mergeCells>
  <pageMargins left="0.70866141732283472" right="0.70866141732283472" top="0.74803149606299213" bottom="0.74803149606299213" header="0.31496062992125984" footer="0.31496062992125984"/>
  <pageSetup paperSize="8" scale="13" fitToHeight="5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6EF43-A4DC-4200-B7E9-9EB7ED28D255}">
  <sheetPr codeName="Sheet6">
    <pageSetUpPr fitToPage="1"/>
  </sheetPr>
  <dimension ref="A1:AR990"/>
  <sheetViews>
    <sheetView showGridLines="0" topLeftCell="A108" zoomScale="80" zoomScaleNormal="80" workbookViewId="0">
      <selection activeCell="B43" sqref="B43"/>
    </sheetView>
  </sheetViews>
  <sheetFormatPr defaultColWidth="14.42578125" defaultRowHeight="15" customHeight="1"/>
  <cols>
    <col min="1" max="1" width="27.7109375" style="4" customWidth="1"/>
    <col min="2" max="2" width="57.42578125" style="30" customWidth="1"/>
    <col min="3" max="3" width="29.5703125" style="30" bestFit="1" customWidth="1"/>
    <col min="4" max="4" width="28.5703125" style="31" customWidth="1"/>
    <col min="5" max="5" width="31.5703125" style="32" bestFit="1" customWidth="1"/>
    <col min="6" max="6" width="34.5703125" style="32" bestFit="1" customWidth="1"/>
    <col min="7" max="7" width="31.7109375" style="32" bestFit="1" customWidth="1"/>
    <col min="8" max="8" width="33.85546875" style="32" customWidth="1"/>
    <col min="9" max="9" width="33.140625" style="32" bestFit="1" customWidth="1"/>
    <col min="10" max="10" width="34.28515625" style="32" bestFit="1" customWidth="1"/>
    <col min="11" max="11" width="34.5703125" style="32" bestFit="1" customWidth="1"/>
    <col min="12" max="12" width="29.5703125" style="32" customWidth="1"/>
    <col min="13" max="13" width="32" style="32" bestFit="1" customWidth="1"/>
    <col min="14" max="18" width="27.85546875" style="32" bestFit="1" customWidth="1"/>
    <col min="19" max="19" width="32.42578125" style="32" bestFit="1" customWidth="1"/>
    <col min="20" max="20" width="29.140625" style="32" bestFit="1" customWidth="1"/>
    <col min="21" max="29" width="27.85546875" style="32" bestFit="1" customWidth="1"/>
    <col min="30" max="30" width="31.5703125" style="32" customWidth="1"/>
    <col min="31" max="37" width="27.85546875" style="32" bestFit="1" customWidth="1"/>
    <col min="38" max="38" width="27.7109375" style="32" customWidth="1"/>
    <col min="39" max="39" width="11.5703125" style="50" bestFit="1" customWidth="1"/>
    <col min="40" max="40" width="15.85546875" style="67" bestFit="1" customWidth="1"/>
    <col min="41" max="41" width="18.5703125" style="76" bestFit="1" customWidth="1"/>
    <col min="42" max="42" width="9.140625"/>
    <col min="43" max="44" width="25.7109375" style="33" customWidth="1"/>
  </cols>
  <sheetData>
    <row r="1" spans="1:44" ht="12.75" customHeight="1">
      <c r="A1" s="85" t="s">
        <v>1076</v>
      </c>
      <c r="B1" s="86"/>
      <c r="C1" s="87"/>
      <c r="D1" s="40" t="s">
        <v>1</v>
      </c>
      <c r="E1" s="2">
        <v>1</v>
      </c>
      <c r="F1" s="2">
        <v>2</v>
      </c>
      <c r="G1" s="2">
        <v>3</v>
      </c>
      <c r="H1" s="2">
        <v>4</v>
      </c>
      <c r="I1" s="2">
        <v>5</v>
      </c>
      <c r="J1" s="2">
        <v>6</v>
      </c>
      <c r="K1" s="2">
        <v>7</v>
      </c>
      <c r="L1" s="2">
        <v>8</v>
      </c>
      <c r="M1" s="2">
        <v>9</v>
      </c>
      <c r="N1" s="2">
        <v>11</v>
      </c>
      <c r="O1" s="2">
        <v>13</v>
      </c>
      <c r="P1" s="2">
        <v>14</v>
      </c>
      <c r="Q1" s="2">
        <v>15</v>
      </c>
      <c r="R1" s="2">
        <v>16</v>
      </c>
      <c r="S1" s="2">
        <v>17</v>
      </c>
      <c r="T1" s="2">
        <v>19</v>
      </c>
      <c r="U1" s="2">
        <v>24</v>
      </c>
      <c r="V1" s="2">
        <v>25</v>
      </c>
      <c r="W1" s="2">
        <v>26</v>
      </c>
      <c r="X1" s="2">
        <v>27</v>
      </c>
      <c r="Y1" s="2">
        <v>29</v>
      </c>
      <c r="Z1" s="2">
        <v>32</v>
      </c>
      <c r="AA1" s="2">
        <v>33</v>
      </c>
      <c r="AB1" s="2">
        <v>34</v>
      </c>
      <c r="AC1" s="2">
        <v>36</v>
      </c>
      <c r="AD1" s="2">
        <v>37</v>
      </c>
      <c r="AE1" s="2">
        <v>38</v>
      </c>
      <c r="AF1" s="2">
        <v>39</v>
      </c>
      <c r="AG1" s="2">
        <v>40</v>
      </c>
      <c r="AH1" s="2">
        <v>41</v>
      </c>
      <c r="AI1" s="2">
        <v>44</v>
      </c>
      <c r="AJ1" s="2">
        <v>46</v>
      </c>
      <c r="AK1" s="2">
        <v>47</v>
      </c>
      <c r="AL1" s="2">
        <v>48</v>
      </c>
    </row>
    <row r="2" spans="1:44" ht="48">
      <c r="A2" s="88"/>
      <c r="B2" s="89"/>
      <c r="C2" s="90"/>
      <c r="D2" s="40" t="s">
        <v>2</v>
      </c>
      <c r="E2" s="54" t="s">
        <v>1077</v>
      </c>
      <c r="F2" s="54" t="s">
        <v>1078</v>
      </c>
      <c r="G2" s="54" t="s">
        <v>1079</v>
      </c>
      <c r="H2" s="54" t="s">
        <v>1080</v>
      </c>
      <c r="I2" s="54" t="s">
        <v>1081</v>
      </c>
      <c r="J2" s="54" t="s">
        <v>1082</v>
      </c>
      <c r="K2" s="54" t="s">
        <v>1083</v>
      </c>
      <c r="L2" s="54" t="s">
        <v>1084</v>
      </c>
      <c r="M2" s="54" t="s">
        <v>1085</v>
      </c>
      <c r="N2" s="54" t="s">
        <v>1086</v>
      </c>
      <c r="O2" s="54" t="s">
        <v>1087</v>
      </c>
      <c r="P2" s="54" t="s">
        <v>1087</v>
      </c>
      <c r="Q2" s="54" t="s">
        <v>1087</v>
      </c>
      <c r="R2" s="54" t="s">
        <v>1088</v>
      </c>
      <c r="S2" s="54" t="s">
        <v>1089</v>
      </c>
      <c r="T2" s="54" t="s">
        <v>1090</v>
      </c>
      <c r="U2" s="54" t="s">
        <v>1091</v>
      </c>
      <c r="V2" s="54" t="s">
        <v>1092</v>
      </c>
      <c r="W2" s="54" t="s">
        <v>1091</v>
      </c>
      <c r="X2" s="54" t="s">
        <v>1093</v>
      </c>
      <c r="Y2" s="54" t="s">
        <v>1094</v>
      </c>
      <c r="Z2" s="54" t="s">
        <v>1095</v>
      </c>
      <c r="AA2" s="54" t="s">
        <v>1096</v>
      </c>
      <c r="AB2" s="54" t="s">
        <v>1095</v>
      </c>
      <c r="AC2" s="54" t="s">
        <v>1097</v>
      </c>
      <c r="AD2" s="54" t="s">
        <v>1098</v>
      </c>
      <c r="AE2" s="54" t="s">
        <v>1099</v>
      </c>
      <c r="AF2" s="54" t="s">
        <v>1095</v>
      </c>
      <c r="AG2" s="54" t="s">
        <v>1096</v>
      </c>
      <c r="AH2" s="54" t="s">
        <v>1100</v>
      </c>
      <c r="AI2" s="54" t="s">
        <v>1095</v>
      </c>
      <c r="AJ2" s="54" t="s">
        <v>1095</v>
      </c>
      <c r="AK2" s="54" t="s">
        <v>1088</v>
      </c>
      <c r="AL2" s="54" t="s">
        <v>1101</v>
      </c>
      <c r="AQ2" s="35"/>
      <c r="AR2" s="35"/>
    </row>
    <row r="3" spans="1:44" ht="12.75" customHeight="1">
      <c r="A3" s="88"/>
      <c r="B3" s="89"/>
      <c r="C3" s="90"/>
      <c r="D3" s="40" t="s">
        <v>11</v>
      </c>
      <c r="E3" s="6" t="s">
        <v>1102</v>
      </c>
      <c r="F3" s="6" t="s">
        <v>1102</v>
      </c>
      <c r="G3" s="6" t="s">
        <v>1103</v>
      </c>
      <c r="H3" s="6" t="s">
        <v>1103</v>
      </c>
      <c r="I3" s="6" t="s">
        <v>1102</v>
      </c>
      <c r="J3" s="6" t="s">
        <v>1104</v>
      </c>
      <c r="K3" s="6" t="s">
        <v>1102</v>
      </c>
      <c r="L3" s="6" t="s">
        <v>1103</v>
      </c>
      <c r="M3" s="6" t="s">
        <v>1102</v>
      </c>
      <c r="N3" s="6" t="s">
        <v>1105</v>
      </c>
      <c r="O3" s="6" t="s">
        <v>1106</v>
      </c>
      <c r="P3" s="6" t="s">
        <v>1106</v>
      </c>
      <c r="Q3" s="6" t="s">
        <v>1103</v>
      </c>
      <c r="R3" s="6" t="s">
        <v>1106</v>
      </c>
      <c r="S3" s="6" t="s">
        <v>1106</v>
      </c>
      <c r="T3" s="6" t="s">
        <v>1107</v>
      </c>
      <c r="U3" s="6" t="s">
        <v>1108</v>
      </c>
      <c r="V3" s="6" t="s">
        <v>1107</v>
      </c>
      <c r="W3" s="6" t="s">
        <v>1108</v>
      </c>
      <c r="X3" s="6" t="s">
        <v>1109</v>
      </c>
      <c r="Y3" s="6" t="s">
        <v>1110</v>
      </c>
      <c r="Z3" s="6" t="s">
        <v>1110</v>
      </c>
      <c r="AA3" s="6" t="s">
        <v>1109</v>
      </c>
      <c r="AB3" s="6" t="s">
        <v>1110</v>
      </c>
      <c r="AC3" s="6" t="s">
        <v>1111</v>
      </c>
      <c r="AD3" s="6" t="s">
        <v>1107</v>
      </c>
      <c r="AE3" s="6" t="s">
        <v>1112</v>
      </c>
      <c r="AF3" s="6" t="s">
        <v>1110</v>
      </c>
      <c r="AG3" s="6" t="s">
        <v>1109</v>
      </c>
      <c r="AH3" s="6" t="s">
        <v>1113</v>
      </c>
      <c r="AI3" s="6" t="s">
        <v>1110</v>
      </c>
      <c r="AJ3" s="6" t="s">
        <v>1110</v>
      </c>
      <c r="AK3" s="6" t="s">
        <v>1106</v>
      </c>
      <c r="AL3" s="6" t="s">
        <v>1102</v>
      </c>
    </row>
    <row r="4" spans="1:44" s="58" customFormat="1" ht="32.1">
      <c r="A4" s="88"/>
      <c r="B4" s="89"/>
      <c r="C4" s="90"/>
      <c r="D4" s="40" t="s">
        <v>14</v>
      </c>
      <c r="E4" s="38" t="s">
        <v>1114</v>
      </c>
      <c r="F4" s="38" t="s">
        <v>1115</v>
      </c>
      <c r="G4" s="38" t="s">
        <v>1116</v>
      </c>
      <c r="H4" s="38" t="s">
        <v>1117</v>
      </c>
      <c r="I4" s="38" t="s">
        <v>1118</v>
      </c>
      <c r="J4" s="38" t="s">
        <v>1119</v>
      </c>
      <c r="K4" s="38" t="s">
        <v>1120</v>
      </c>
      <c r="L4" s="38" t="s">
        <v>1121</v>
      </c>
      <c r="M4" s="38" t="s">
        <v>1122</v>
      </c>
      <c r="N4" s="38" t="s">
        <v>1123</v>
      </c>
      <c r="O4" s="38" t="s">
        <v>1124</v>
      </c>
      <c r="P4" s="38" t="s">
        <v>1125</v>
      </c>
      <c r="Q4" s="38" t="s">
        <v>1126</v>
      </c>
      <c r="R4" s="38" t="s">
        <v>1127</v>
      </c>
      <c r="S4" s="38" t="s">
        <v>1128</v>
      </c>
      <c r="T4" s="38" t="s">
        <v>1129</v>
      </c>
      <c r="U4" s="38" t="s">
        <v>1130</v>
      </c>
      <c r="V4" s="38" t="s">
        <v>1131</v>
      </c>
      <c r="W4" s="38" t="s">
        <v>1132</v>
      </c>
      <c r="X4" s="38" t="s">
        <v>1133</v>
      </c>
      <c r="Y4" s="38" t="s">
        <v>1134</v>
      </c>
      <c r="Z4" s="38" t="s">
        <v>1135</v>
      </c>
      <c r="AA4" s="38" t="s">
        <v>1136</v>
      </c>
      <c r="AB4" s="38" t="s">
        <v>1137</v>
      </c>
      <c r="AC4" s="38" t="s">
        <v>1138</v>
      </c>
      <c r="AD4" s="38" t="s">
        <v>1139</v>
      </c>
      <c r="AE4" s="38" t="s">
        <v>1140</v>
      </c>
      <c r="AF4" s="38" t="s">
        <v>1141</v>
      </c>
      <c r="AG4" s="38" t="s">
        <v>1142</v>
      </c>
      <c r="AH4" s="38" t="s">
        <v>1143</v>
      </c>
      <c r="AI4" s="38" t="s">
        <v>1144</v>
      </c>
      <c r="AJ4" s="38" t="s">
        <v>1145</v>
      </c>
      <c r="AK4" s="38" t="s">
        <v>1146</v>
      </c>
      <c r="AL4" s="38" t="s">
        <v>1147</v>
      </c>
      <c r="AM4" s="53"/>
      <c r="AN4" s="67"/>
      <c r="AO4" s="76"/>
      <c r="AP4"/>
      <c r="AQ4" s="33"/>
      <c r="AR4" s="33"/>
    </row>
    <row r="5" spans="1:44" ht="12.75" customHeight="1">
      <c r="A5" s="88"/>
      <c r="B5" s="89"/>
      <c r="C5" s="90"/>
      <c r="D5" s="40" t="s">
        <v>122</v>
      </c>
      <c r="E5" s="7" t="s">
        <v>125</v>
      </c>
      <c r="F5" s="7" t="s">
        <v>125</v>
      </c>
      <c r="G5" s="7" t="s">
        <v>125</v>
      </c>
      <c r="H5" s="7" t="s">
        <v>125</v>
      </c>
      <c r="I5" s="7" t="s">
        <v>125</v>
      </c>
      <c r="J5" s="7" t="s">
        <v>125</v>
      </c>
      <c r="K5" s="7" t="s">
        <v>1148</v>
      </c>
      <c r="L5" s="7" t="s">
        <v>130</v>
      </c>
      <c r="M5" s="7" t="s">
        <v>130</v>
      </c>
      <c r="N5" s="7" t="s">
        <v>125</v>
      </c>
      <c r="O5" s="7" t="s">
        <v>130</v>
      </c>
      <c r="P5" s="7" t="s">
        <v>123</v>
      </c>
      <c r="Q5" s="7" t="s">
        <v>128</v>
      </c>
      <c r="R5" s="7" t="s">
        <v>125</v>
      </c>
      <c r="S5" s="7" t="s">
        <v>123</v>
      </c>
      <c r="T5" s="7" t="s">
        <v>130</v>
      </c>
      <c r="U5" s="7" t="s">
        <v>123</v>
      </c>
      <c r="V5" s="7" t="s">
        <v>125</v>
      </c>
      <c r="W5" s="7" t="s">
        <v>125</v>
      </c>
      <c r="X5" s="7" t="s">
        <v>1149</v>
      </c>
      <c r="Y5" s="7" t="s">
        <v>125</v>
      </c>
      <c r="Z5" s="7" t="s">
        <v>130</v>
      </c>
      <c r="AA5" s="7" t="s">
        <v>125</v>
      </c>
      <c r="AB5" s="7" t="s">
        <v>128</v>
      </c>
      <c r="AC5" s="7" t="s">
        <v>125</v>
      </c>
      <c r="AD5" s="7" t="s">
        <v>130</v>
      </c>
      <c r="AE5" s="7" t="s">
        <v>130</v>
      </c>
      <c r="AF5" s="7" t="s">
        <v>123</v>
      </c>
      <c r="AG5" s="7" t="s">
        <v>130</v>
      </c>
      <c r="AH5" s="7" t="s">
        <v>1149</v>
      </c>
      <c r="AI5" s="7" t="s">
        <v>125</v>
      </c>
      <c r="AJ5" s="7" t="s">
        <v>123</v>
      </c>
      <c r="AK5" s="7" t="s">
        <v>125</v>
      </c>
      <c r="AL5" s="7" t="s">
        <v>1149</v>
      </c>
    </row>
    <row r="6" spans="1:44" ht="32.1">
      <c r="A6" s="88"/>
      <c r="B6" s="89"/>
      <c r="C6" s="90"/>
      <c r="D6" s="40" t="s">
        <v>134</v>
      </c>
      <c r="E6" s="9" t="s">
        <v>673</v>
      </c>
      <c r="F6" s="9" t="s">
        <v>673</v>
      </c>
      <c r="G6" s="9" t="s">
        <v>673</v>
      </c>
      <c r="H6" s="9" t="s">
        <v>1150</v>
      </c>
      <c r="I6" s="9" t="s">
        <v>673</v>
      </c>
      <c r="J6" s="9" t="s">
        <v>673</v>
      </c>
      <c r="K6" s="9" t="s">
        <v>673</v>
      </c>
      <c r="L6" s="9" t="s">
        <v>673</v>
      </c>
      <c r="M6" s="9" t="s">
        <v>673</v>
      </c>
      <c r="N6" s="9" t="s">
        <v>672</v>
      </c>
      <c r="O6" s="9" t="s">
        <v>673</v>
      </c>
      <c r="P6" s="9" t="s">
        <v>672</v>
      </c>
      <c r="Q6" s="9" t="s">
        <v>673</v>
      </c>
      <c r="R6" s="9" t="s">
        <v>672</v>
      </c>
      <c r="S6" s="9" t="s">
        <v>673</v>
      </c>
      <c r="T6" s="9" t="s">
        <v>1150</v>
      </c>
      <c r="U6" s="9" t="s">
        <v>672</v>
      </c>
      <c r="V6" s="9" t="s">
        <v>672</v>
      </c>
      <c r="W6" s="9" t="s">
        <v>672</v>
      </c>
      <c r="X6" s="9" t="s">
        <v>1150</v>
      </c>
      <c r="Y6" s="9" t="s">
        <v>1150</v>
      </c>
      <c r="Z6" s="9" t="s">
        <v>1150</v>
      </c>
      <c r="AA6" s="9" t="s">
        <v>1150</v>
      </c>
      <c r="AB6" s="9" t="s">
        <v>672</v>
      </c>
      <c r="AC6" s="9" t="s">
        <v>672</v>
      </c>
      <c r="AD6" s="9" t="s">
        <v>673</v>
      </c>
      <c r="AE6" s="9" t="s">
        <v>672</v>
      </c>
      <c r="AF6" s="9" t="s">
        <v>672</v>
      </c>
      <c r="AG6" s="9" t="s">
        <v>673</v>
      </c>
      <c r="AH6" s="9" t="s">
        <v>1150</v>
      </c>
      <c r="AI6" s="9" t="s">
        <v>1150</v>
      </c>
      <c r="AJ6" s="9" t="s">
        <v>672</v>
      </c>
      <c r="AK6" s="9" t="s">
        <v>673</v>
      </c>
      <c r="AL6" s="9" t="s">
        <v>673</v>
      </c>
    </row>
    <row r="7" spans="1:44" ht="32.1">
      <c r="A7" s="91"/>
      <c r="B7" s="92"/>
      <c r="C7" s="93"/>
      <c r="D7" s="40" t="s">
        <v>147</v>
      </c>
      <c r="E7" s="9" t="s">
        <v>682</v>
      </c>
      <c r="F7" s="9" t="s">
        <v>682</v>
      </c>
      <c r="G7" s="9" t="s">
        <v>682</v>
      </c>
      <c r="H7" s="9" t="s">
        <v>682</v>
      </c>
      <c r="I7" s="9" t="s">
        <v>682</v>
      </c>
      <c r="J7" s="9" t="s">
        <v>682</v>
      </c>
      <c r="K7" s="9" t="s">
        <v>682</v>
      </c>
      <c r="L7" s="9" t="s">
        <v>682</v>
      </c>
      <c r="M7" s="9" t="s">
        <v>682</v>
      </c>
      <c r="N7" s="9" t="s">
        <v>682</v>
      </c>
      <c r="O7" s="9" t="s">
        <v>682</v>
      </c>
      <c r="P7" s="9" t="s">
        <v>682</v>
      </c>
      <c r="Q7" s="9" t="s">
        <v>682</v>
      </c>
      <c r="R7" s="9" t="s">
        <v>682</v>
      </c>
      <c r="S7" s="9" t="s">
        <v>682</v>
      </c>
      <c r="T7" s="9" t="s">
        <v>682</v>
      </c>
      <c r="U7" s="9" t="s">
        <v>682</v>
      </c>
      <c r="V7" s="9" t="s">
        <v>682</v>
      </c>
      <c r="W7" s="9" t="s">
        <v>682</v>
      </c>
      <c r="X7" s="9" t="s">
        <v>682</v>
      </c>
      <c r="Y7" s="9" t="s">
        <v>682</v>
      </c>
      <c r="Z7" s="9" t="s">
        <v>682</v>
      </c>
      <c r="AA7" s="9" t="s">
        <v>682</v>
      </c>
      <c r="AB7" s="9" t="s">
        <v>682</v>
      </c>
      <c r="AC7" s="9" t="s">
        <v>682</v>
      </c>
      <c r="AD7" s="9" t="s">
        <v>682</v>
      </c>
      <c r="AE7" s="9" t="s">
        <v>682</v>
      </c>
      <c r="AF7" s="9" t="s">
        <v>682</v>
      </c>
      <c r="AG7" s="9" t="s">
        <v>682</v>
      </c>
      <c r="AH7" s="9" t="s">
        <v>682</v>
      </c>
      <c r="AI7" s="9" t="s">
        <v>682</v>
      </c>
      <c r="AJ7" s="9" t="s">
        <v>682</v>
      </c>
      <c r="AK7" s="9" t="s">
        <v>682</v>
      </c>
      <c r="AL7" s="9" t="s">
        <v>682</v>
      </c>
      <c r="AP7" s="58"/>
    </row>
    <row r="8" spans="1:44" ht="15.95">
      <c r="A8" s="10" t="s">
        <v>151</v>
      </c>
      <c r="B8" s="11" t="s">
        <v>152</v>
      </c>
      <c r="C8" s="11" t="s">
        <v>153</v>
      </c>
      <c r="D8" s="12" t="s">
        <v>154</v>
      </c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</row>
    <row r="9" spans="1:44" ht="15.95">
      <c r="A9" s="14" t="s">
        <v>155</v>
      </c>
      <c r="B9" s="15"/>
      <c r="C9" s="15"/>
      <c r="D9" s="16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51"/>
      <c r="AN9" s="69"/>
    </row>
    <row r="10" spans="1:44" ht="15.95">
      <c r="A10" s="19" t="s">
        <v>156</v>
      </c>
      <c r="B10" s="19" t="s">
        <v>157</v>
      </c>
      <c r="C10" s="19" t="s">
        <v>158</v>
      </c>
      <c r="D10" s="20">
        <f>SUM(E10:AL10)</f>
        <v>11</v>
      </c>
      <c r="E10" s="21">
        <v>1</v>
      </c>
      <c r="F10" s="21">
        <v>0</v>
      </c>
      <c r="G10" s="21">
        <v>0</v>
      </c>
      <c r="H10" s="21">
        <v>0</v>
      </c>
      <c r="I10" s="21">
        <v>1</v>
      </c>
      <c r="J10" s="21">
        <v>0</v>
      </c>
      <c r="K10" s="21">
        <v>0</v>
      </c>
      <c r="L10" s="21">
        <v>0</v>
      </c>
      <c r="M10" s="21">
        <v>0</v>
      </c>
      <c r="N10" s="21">
        <v>0</v>
      </c>
      <c r="O10" s="21">
        <v>0</v>
      </c>
      <c r="P10" s="21">
        <v>0</v>
      </c>
      <c r="Q10" s="21">
        <v>0</v>
      </c>
      <c r="R10" s="21">
        <v>0</v>
      </c>
      <c r="S10" s="21">
        <v>2</v>
      </c>
      <c r="T10" s="21">
        <v>1</v>
      </c>
      <c r="U10" s="21">
        <v>0</v>
      </c>
      <c r="V10" s="21">
        <v>1</v>
      </c>
      <c r="W10" s="21">
        <v>0</v>
      </c>
      <c r="X10" s="21">
        <v>1</v>
      </c>
      <c r="Y10" s="21">
        <v>0</v>
      </c>
      <c r="Z10" s="21">
        <v>0</v>
      </c>
      <c r="AA10" s="21">
        <v>0</v>
      </c>
      <c r="AB10" s="21">
        <v>1</v>
      </c>
      <c r="AC10" s="21">
        <v>2</v>
      </c>
      <c r="AD10" s="21">
        <v>0</v>
      </c>
      <c r="AE10" s="21">
        <v>1</v>
      </c>
      <c r="AF10" s="21">
        <v>0</v>
      </c>
      <c r="AG10" s="21">
        <v>0</v>
      </c>
      <c r="AH10" s="21">
        <v>0</v>
      </c>
      <c r="AI10" s="21">
        <v>0</v>
      </c>
      <c r="AJ10" s="21">
        <v>0</v>
      </c>
      <c r="AK10" s="21">
        <v>0</v>
      </c>
      <c r="AL10" s="21">
        <v>0</v>
      </c>
      <c r="AM10" s="67"/>
      <c r="AQ10" s="80"/>
      <c r="AR10"/>
    </row>
    <row r="11" spans="1:44" ht="15.95">
      <c r="A11" s="19" t="s">
        <v>156</v>
      </c>
      <c r="B11" s="19" t="s">
        <v>159</v>
      </c>
      <c r="C11" s="19" t="s">
        <v>158</v>
      </c>
      <c r="D11" s="20">
        <f t="shared" ref="D11:D76" si="0">SUM(E11:AL11)</f>
        <v>27</v>
      </c>
      <c r="E11" s="21">
        <v>1</v>
      </c>
      <c r="F11" s="21">
        <v>0</v>
      </c>
      <c r="G11" s="21">
        <v>11</v>
      </c>
      <c r="H11" s="21">
        <v>1</v>
      </c>
      <c r="I11" s="21">
        <v>1</v>
      </c>
      <c r="J11" s="21">
        <v>0</v>
      </c>
      <c r="K11" s="21">
        <v>0</v>
      </c>
      <c r="L11" s="21">
        <v>0</v>
      </c>
      <c r="M11" s="21">
        <v>1</v>
      </c>
      <c r="N11" s="21">
        <v>3</v>
      </c>
      <c r="O11" s="21">
        <v>2</v>
      </c>
      <c r="P11" s="21">
        <v>0</v>
      </c>
      <c r="Q11" s="21">
        <v>3</v>
      </c>
      <c r="R11" s="21">
        <v>0</v>
      </c>
      <c r="S11" s="21">
        <v>0</v>
      </c>
      <c r="T11" s="21">
        <v>0</v>
      </c>
      <c r="U11" s="21">
        <v>0</v>
      </c>
      <c r="V11" s="21">
        <v>0</v>
      </c>
      <c r="W11" s="21">
        <v>0</v>
      </c>
      <c r="X11" s="21">
        <v>0</v>
      </c>
      <c r="Y11" s="21">
        <v>1</v>
      </c>
      <c r="Z11" s="21">
        <v>1</v>
      </c>
      <c r="AA11" s="21">
        <v>0</v>
      </c>
      <c r="AB11" s="21">
        <v>0</v>
      </c>
      <c r="AC11" s="21">
        <v>0</v>
      </c>
      <c r="AD11" s="21">
        <v>1</v>
      </c>
      <c r="AE11" s="21">
        <v>0</v>
      </c>
      <c r="AF11" s="21">
        <v>0</v>
      </c>
      <c r="AG11" s="21">
        <v>0</v>
      </c>
      <c r="AH11" s="21">
        <v>0</v>
      </c>
      <c r="AI11" s="21">
        <v>1</v>
      </c>
      <c r="AJ11" s="21">
        <v>0</v>
      </c>
      <c r="AK11" s="21">
        <v>0</v>
      </c>
      <c r="AL11" s="21">
        <v>0</v>
      </c>
      <c r="AM11" s="67"/>
      <c r="AQ11" s="81"/>
      <c r="AR11"/>
    </row>
    <row r="12" spans="1:44" ht="15.95">
      <c r="A12" s="19" t="s">
        <v>156</v>
      </c>
      <c r="B12" s="19" t="s">
        <v>160</v>
      </c>
      <c r="C12" s="19" t="s">
        <v>158</v>
      </c>
      <c r="D12" s="20">
        <f t="shared" si="0"/>
        <v>19</v>
      </c>
      <c r="E12" s="21">
        <v>2</v>
      </c>
      <c r="F12" s="21">
        <v>3</v>
      </c>
      <c r="G12" s="21">
        <v>0</v>
      </c>
      <c r="H12" s="21">
        <v>3</v>
      </c>
      <c r="I12" s="21">
        <v>2</v>
      </c>
      <c r="J12" s="21">
        <v>0</v>
      </c>
      <c r="K12" s="21">
        <v>3</v>
      </c>
      <c r="L12" s="21">
        <v>2</v>
      </c>
      <c r="M12" s="21">
        <v>2</v>
      </c>
      <c r="N12" s="21">
        <v>0</v>
      </c>
      <c r="O12" s="21">
        <v>0</v>
      </c>
      <c r="P12" s="21">
        <v>0</v>
      </c>
      <c r="Q12" s="21">
        <v>0</v>
      </c>
      <c r="R12" s="21">
        <v>0</v>
      </c>
      <c r="S12" s="21">
        <v>0</v>
      </c>
      <c r="T12" s="21">
        <v>0</v>
      </c>
      <c r="U12" s="21">
        <v>0</v>
      </c>
      <c r="V12" s="21">
        <v>0</v>
      </c>
      <c r="W12" s="21">
        <v>0</v>
      </c>
      <c r="X12" s="21">
        <v>0</v>
      </c>
      <c r="Y12" s="21">
        <v>0</v>
      </c>
      <c r="Z12" s="21">
        <v>0</v>
      </c>
      <c r="AA12" s="21">
        <v>0</v>
      </c>
      <c r="AB12" s="21">
        <v>0</v>
      </c>
      <c r="AC12" s="21">
        <v>0</v>
      </c>
      <c r="AD12" s="21">
        <v>0</v>
      </c>
      <c r="AE12" s="21">
        <v>0</v>
      </c>
      <c r="AF12" s="21">
        <v>0</v>
      </c>
      <c r="AG12" s="21">
        <v>0</v>
      </c>
      <c r="AH12" s="21">
        <v>0</v>
      </c>
      <c r="AI12" s="21">
        <v>0</v>
      </c>
      <c r="AJ12" s="21">
        <v>0</v>
      </c>
      <c r="AK12" s="21">
        <v>2</v>
      </c>
      <c r="AL12" s="21">
        <v>0</v>
      </c>
      <c r="AM12" s="67"/>
      <c r="AQ12" s="81"/>
      <c r="AR12"/>
    </row>
    <row r="13" spans="1:44" ht="15.95">
      <c r="A13" s="19" t="s">
        <v>156</v>
      </c>
      <c r="B13" s="19" t="s">
        <v>161</v>
      </c>
      <c r="C13" s="19" t="s">
        <v>158</v>
      </c>
      <c r="D13" s="20">
        <f t="shared" si="0"/>
        <v>7</v>
      </c>
      <c r="E13" s="21">
        <v>0</v>
      </c>
      <c r="F13" s="21">
        <v>0</v>
      </c>
      <c r="G13" s="21">
        <v>0</v>
      </c>
      <c r="H13" s="21">
        <v>0</v>
      </c>
      <c r="I13" s="21">
        <v>0</v>
      </c>
      <c r="J13" s="21">
        <v>2</v>
      </c>
      <c r="K13" s="21">
        <v>0</v>
      </c>
      <c r="L13" s="21">
        <v>0</v>
      </c>
      <c r="M13" s="21">
        <v>0</v>
      </c>
      <c r="N13" s="21">
        <v>0</v>
      </c>
      <c r="O13" s="21">
        <v>0</v>
      </c>
      <c r="P13" s="21">
        <v>0</v>
      </c>
      <c r="Q13" s="21">
        <v>0</v>
      </c>
      <c r="R13" s="21">
        <v>0</v>
      </c>
      <c r="S13" s="21">
        <v>0</v>
      </c>
      <c r="T13" s="21">
        <v>0</v>
      </c>
      <c r="U13" s="21">
        <v>0</v>
      </c>
      <c r="V13" s="21">
        <v>0</v>
      </c>
      <c r="W13" s="21">
        <v>0</v>
      </c>
      <c r="X13" s="21">
        <v>0</v>
      </c>
      <c r="Y13" s="21">
        <v>0</v>
      </c>
      <c r="Z13" s="21">
        <v>0</v>
      </c>
      <c r="AA13" s="21">
        <v>0</v>
      </c>
      <c r="AB13" s="21">
        <v>0</v>
      </c>
      <c r="AC13" s="21">
        <v>0</v>
      </c>
      <c r="AD13" s="21">
        <v>0</v>
      </c>
      <c r="AE13" s="21">
        <v>0</v>
      </c>
      <c r="AF13" s="21">
        <v>0</v>
      </c>
      <c r="AG13" s="21">
        <v>0</v>
      </c>
      <c r="AH13" s="21">
        <v>0</v>
      </c>
      <c r="AI13" s="21">
        <v>0</v>
      </c>
      <c r="AJ13" s="21">
        <v>0</v>
      </c>
      <c r="AK13" s="21">
        <v>0</v>
      </c>
      <c r="AL13" s="21">
        <v>5</v>
      </c>
      <c r="AM13" s="67"/>
      <c r="AQ13" s="81"/>
      <c r="AR13"/>
    </row>
    <row r="14" spans="1:44" ht="15.95">
      <c r="A14" s="19" t="s">
        <v>162</v>
      </c>
      <c r="B14" s="19" t="s">
        <v>163</v>
      </c>
      <c r="C14" s="19" t="s">
        <v>164</v>
      </c>
      <c r="D14" s="20">
        <f t="shared" si="0"/>
        <v>361.37</v>
      </c>
      <c r="E14" s="21">
        <v>0</v>
      </c>
      <c r="F14" s="22">
        <v>20.89</v>
      </c>
      <c r="G14" s="21">
        <v>0</v>
      </c>
      <c r="H14" s="21">
        <v>0</v>
      </c>
      <c r="I14" s="21">
        <v>0</v>
      </c>
      <c r="J14" s="21">
        <v>0</v>
      </c>
      <c r="K14" s="21">
        <v>0</v>
      </c>
      <c r="L14" s="21">
        <v>0</v>
      </c>
      <c r="M14" s="21">
        <v>0</v>
      </c>
      <c r="N14" s="21">
        <v>0</v>
      </c>
      <c r="O14" s="21">
        <v>0</v>
      </c>
      <c r="P14" s="21">
        <v>0</v>
      </c>
      <c r="Q14" s="21">
        <v>0</v>
      </c>
      <c r="R14" s="21">
        <v>0</v>
      </c>
      <c r="S14" s="21">
        <v>0</v>
      </c>
      <c r="T14" s="21">
        <v>0</v>
      </c>
      <c r="U14" s="21">
        <v>0</v>
      </c>
      <c r="V14" s="21">
        <v>0</v>
      </c>
      <c r="W14" s="21">
        <v>0</v>
      </c>
      <c r="X14" s="21">
        <v>0</v>
      </c>
      <c r="Y14" s="21">
        <v>0</v>
      </c>
      <c r="Z14" s="21">
        <v>0</v>
      </c>
      <c r="AA14" s="21">
        <v>0</v>
      </c>
      <c r="AB14" s="21">
        <v>0</v>
      </c>
      <c r="AC14" s="21">
        <v>0</v>
      </c>
      <c r="AD14" s="21">
        <v>0</v>
      </c>
      <c r="AE14" s="21">
        <v>0</v>
      </c>
      <c r="AF14" s="21">
        <v>0</v>
      </c>
      <c r="AG14" s="21">
        <v>0</v>
      </c>
      <c r="AH14" s="21">
        <v>0</v>
      </c>
      <c r="AI14" s="21">
        <v>0</v>
      </c>
      <c r="AJ14" s="21">
        <v>0</v>
      </c>
      <c r="AK14" s="21">
        <v>0</v>
      </c>
      <c r="AL14" s="22">
        <v>340.48</v>
      </c>
      <c r="AM14" s="67"/>
      <c r="AQ14" s="81"/>
      <c r="AR14"/>
    </row>
    <row r="15" spans="1:44" ht="15.95">
      <c r="A15" s="19" t="s">
        <v>165</v>
      </c>
      <c r="B15" s="19" t="s">
        <v>166</v>
      </c>
      <c r="C15" s="19" t="s">
        <v>167</v>
      </c>
      <c r="D15" s="20">
        <f t="shared" si="0"/>
        <v>29</v>
      </c>
      <c r="E15" s="21">
        <v>1</v>
      </c>
      <c r="F15" s="21">
        <v>2</v>
      </c>
      <c r="G15" s="21">
        <v>1</v>
      </c>
      <c r="H15" s="21">
        <v>6</v>
      </c>
      <c r="I15" s="21">
        <v>3</v>
      </c>
      <c r="J15" s="21">
        <v>2</v>
      </c>
      <c r="K15" s="21">
        <v>0</v>
      </c>
      <c r="L15" s="21">
        <v>1</v>
      </c>
      <c r="M15" s="21">
        <v>5</v>
      </c>
      <c r="N15" s="21">
        <v>0</v>
      </c>
      <c r="O15" s="21">
        <v>0</v>
      </c>
      <c r="P15" s="21">
        <v>0</v>
      </c>
      <c r="Q15" s="21">
        <v>1</v>
      </c>
      <c r="R15" s="21">
        <v>0</v>
      </c>
      <c r="S15" s="21">
        <v>0</v>
      </c>
      <c r="T15" s="21">
        <v>0</v>
      </c>
      <c r="U15" s="21">
        <v>0</v>
      </c>
      <c r="V15" s="21">
        <v>0</v>
      </c>
      <c r="W15" s="21">
        <v>0</v>
      </c>
      <c r="X15" s="21">
        <v>0</v>
      </c>
      <c r="Y15" s="21">
        <v>0</v>
      </c>
      <c r="Z15" s="21">
        <v>0</v>
      </c>
      <c r="AA15" s="21">
        <v>0</v>
      </c>
      <c r="AB15" s="21">
        <v>0</v>
      </c>
      <c r="AC15" s="21">
        <v>0</v>
      </c>
      <c r="AD15" s="21">
        <v>1</v>
      </c>
      <c r="AE15" s="21">
        <v>0</v>
      </c>
      <c r="AF15" s="21">
        <v>0</v>
      </c>
      <c r="AG15" s="21">
        <v>0</v>
      </c>
      <c r="AH15" s="21">
        <v>0</v>
      </c>
      <c r="AI15" s="21">
        <v>0</v>
      </c>
      <c r="AJ15" s="21">
        <v>0</v>
      </c>
      <c r="AK15" s="21">
        <v>2</v>
      </c>
      <c r="AL15" s="21">
        <v>4</v>
      </c>
      <c r="AM15" s="67"/>
      <c r="AQ15" s="81"/>
      <c r="AR15"/>
    </row>
    <row r="16" spans="1:44" ht="15.95">
      <c r="A16" s="19" t="s">
        <v>168</v>
      </c>
      <c r="B16" s="19" t="s">
        <v>169</v>
      </c>
      <c r="C16" s="19" t="s">
        <v>170</v>
      </c>
      <c r="D16" s="20">
        <f t="shared" si="0"/>
        <v>9</v>
      </c>
      <c r="E16" s="21">
        <v>0</v>
      </c>
      <c r="F16" s="21">
        <v>0</v>
      </c>
      <c r="G16" s="21">
        <v>2</v>
      </c>
      <c r="H16" s="21">
        <v>1</v>
      </c>
      <c r="I16" s="21">
        <v>2</v>
      </c>
      <c r="J16" s="21">
        <v>1</v>
      </c>
      <c r="K16" s="21">
        <v>0</v>
      </c>
      <c r="L16" s="21">
        <v>1</v>
      </c>
      <c r="M16" s="21">
        <v>0</v>
      </c>
      <c r="N16" s="21">
        <v>0</v>
      </c>
      <c r="O16" s="21">
        <v>0</v>
      </c>
      <c r="P16" s="21">
        <v>0</v>
      </c>
      <c r="Q16" s="21">
        <v>0</v>
      </c>
      <c r="R16" s="21">
        <v>0</v>
      </c>
      <c r="S16" s="21">
        <v>0</v>
      </c>
      <c r="T16" s="21">
        <v>0</v>
      </c>
      <c r="U16" s="21">
        <v>0</v>
      </c>
      <c r="V16" s="21">
        <v>0</v>
      </c>
      <c r="W16" s="21">
        <v>0</v>
      </c>
      <c r="X16" s="21">
        <v>0</v>
      </c>
      <c r="Y16" s="21">
        <v>0</v>
      </c>
      <c r="Z16" s="21">
        <v>0</v>
      </c>
      <c r="AA16" s="21">
        <v>0</v>
      </c>
      <c r="AB16" s="21">
        <v>0</v>
      </c>
      <c r="AC16" s="21">
        <v>0</v>
      </c>
      <c r="AD16" s="21">
        <v>0</v>
      </c>
      <c r="AE16" s="21">
        <v>0</v>
      </c>
      <c r="AF16" s="21">
        <v>0</v>
      </c>
      <c r="AG16" s="21">
        <v>0</v>
      </c>
      <c r="AH16" s="21">
        <v>0</v>
      </c>
      <c r="AI16" s="21">
        <v>0</v>
      </c>
      <c r="AJ16" s="21">
        <v>0</v>
      </c>
      <c r="AK16" s="21">
        <v>1</v>
      </c>
      <c r="AL16" s="21">
        <v>1</v>
      </c>
      <c r="AM16" s="67"/>
      <c r="AQ16" s="81"/>
      <c r="AR16"/>
    </row>
    <row r="17" spans="1:44" ht="15.95">
      <c r="A17" s="19" t="s">
        <v>168</v>
      </c>
      <c r="B17" s="19" t="s">
        <v>171</v>
      </c>
      <c r="C17" s="19" t="s">
        <v>170</v>
      </c>
      <c r="D17" s="20">
        <f t="shared" si="0"/>
        <v>0</v>
      </c>
      <c r="E17" s="21">
        <v>0</v>
      </c>
      <c r="F17" s="21">
        <v>0</v>
      </c>
      <c r="G17" s="21">
        <v>0</v>
      </c>
      <c r="H17" s="21">
        <v>0</v>
      </c>
      <c r="I17" s="21">
        <v>0</v>
      </c>
      <c r="J17" s="21">
        <v>0</v>
      </c>
      <c r="K17" s="21">
        <v>0</v>
      </c>
      <c r="L17" s="21">
        <v>0</v>
      </c>
      <c r="M17" s="21">
        <v>0</v>
      </c>
      <c r="N17" s="21">
        <v>0</v>
      </c>
      <c r="O17" s="21">
        <v>0</v>
      </c>
      <c r="P17" s="21">
        <v>0</v>
      </c>
      <c r="Q17" s="21">
        <v>0</v>
      </c>
      <c r="R17" s="21">
        <v>0</v>
      </c>
      <c r="S17" s="21">
        <v>0</v>
      </c>
      <c r="T17" s="21">
        <v>0</v>
      </c>
      <c r="U17" s="21">
        <v>0</v>
      </c>
      <c r="V17" s="21">
        <v>0</v>
      </c>
      <c r="W17" s="21">
        <v>0</v>
      </c>
      <c r="X17" s="21">
        <v>0</v>
      </c>
      <c r="Y17" s="21">
        <v>0</v>
      </c>
      <c r="Z17" s="21">
        <v>0</v>
      </c>
      <c r="AA17" s="21">
        <v>0</v>
      </c>
      <c r="AB17" s="21">
        <v>0</v>
      </c>
      <c r="AC17" s="21">
        <v>0</v>
      </c>
      <c r="AD17" s="21">
        <v>0</v>
      </c>
      <c r="AE17" s="21">
        <v>0</v>
      </c>
      <c r="AF17" s="21">
        <v>0</v>
      </c>
      <c r="AG17" s="21">
        <v>0</v>
      </c>
      <c r="AH17" s="21">
        <v>0</v>
      </c>
      <c r="AI17" s="21">
        <v>0</v>
      </c>
      <c r="AJ17" s="21">
        <v>0</v>
      </c>
      <c r="AK17" s="21">
        <v>0</v>
      </c>
      <c r="AL17" s="21">
        <v>0</v>
      </c>
      <c r="AM17" s="67"/>
      <c r="AQ17" s="81"/>
      <c r="AR17"/>
    </row>
    <row r="18" spans="1:44" ht="15.95">
      <c r="A18" s="19" t="s">
        <v>168</v>
      </c>
      <c r="B18" s="19" t="s">
        <v>172</v>
      </c>
      <c r="C18" s="19" t="s">
        <v>170</v>
      </c>
      <c r="D18" s="20">
        <f t="shared" si="0"/>
        <v>4</v>
      </c>
      <c r="E18" s="21">
        <v>0</v>
      </c>
      <c r="F18" s="21">
        <v>0</v>
      </c>
      <c r="G18" s="21">
        <v>0</v>
      </c>
      <c r="H18" s="21">
        <v>0</v>
      </c>
      <c r="I18" s="21">
        <v>0</v>
      </c>
      <c r="J18" s="21">
        <v>0</v>
      </c>
      <c r="K18" s="21">
        <v>0</v>
      </c>
      <c r="L18" s="21">
        <v>0</v>
      </c>
      <c r="M18" s="21">
        <v>0</v>
      </c>
      <c r="N18" s="21">
        <v>0</v>
      </c>
      <c r="O18" s="21">
        <v>0</v>
      </c>
      <c r="P18" s="21">
        <v>0</v>
      </c>
      <c r="Q18" s="21">
        <v>0</v>
      </c>
      <c r="R18" s="21">
        <v>0</v>
      </c>
      <c r="S18" s="21">
        <v>0</v>
      </c>
      <c r="T18" s="21">
        <v>0</v>
      </c>
      <c r="U18" s="21">
        <v>0</v>
      </c>
      <c r="V18" s="21">
        <v>0</v>
      </c>
      <c r="W18" s="21">
        <v>0</v>
      </c>
      <c r="X18" s="21">
        <v>0</v>
      </c>
      <c r="Y18" s="21">
        <v>0</v>
      </c>
      <c r="Z18" s="21">
        <v>0</v>
      </c>
      <c r="AA18" s="21">
        <v>0</v>
      </c>
      <c r="AB18" s="21">
        <v>0</v>
      </c>
      <c r="AC18" s="21">
        <v>0</v>
      </c>
      <c r="AD18" s="21">
        <v>0</v>
      </c>
      <c r="AE18" s="21">
        <v>0</v>
      </c>
      <c r="AF18" s="21">
        <v>0</v>
      </c>
      <c r="AG18" s="21">
        <v>0</v>
      </c>
      <c r="AH18" s="21">
        <v>0</v>
      </c>
      <c r="AI18" s="21">
        <v>0</v>
      </c>
      <c r="AJ18" s="21">
        <v>0</v>
      </c>
      <c r="AK18" s="21">
        <v>0</v>
      </c>
      <c r="AL18" s="21">
        <v>4</v>
      </c>
      <c r="AM18" s="67"/>
      <c r="AQ18" s="81"/>
      <c r="AR18"/>
    </row>
    <row r="19" spans="1:44" ht="15.95">
      <c r="A19" s="19" t="s">
        <v>173</v>
      </c>
      <c r="B19" s="19" t="s">
        <v>174</v>
      </c>
      <c r="C19" s="19" t="s">
        <v>175</v>
      </c>
      <c r="D19" s="20">
        <f t="shared" si="0"/>
        <v>2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2</v>
      </c>
      <c r="AM19" s="67"/>
      <c r="AQ19" s="81"/>
      <c r="AR19"/>
    </row>
    <row r="20" spans="1:44" ht="15.95">
      <c r="A20" s="19" t="s">
        <v>176</v>
      </c>
      <c r="B20" s="19" t="s">
        <v>177</v>
      </c>
      <c r="C20" s="19" t="s">
        <v>178</v>
      </c>
      <c r="D20" s="20">
        <f t="shared" si="0"/>
        <v>0</v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0</v>
      </c>
      <c r="N20" s="22">
        <v>0</v>
      </c>
      <c r="O20" s="22">
        <v>0</v>
      </c>
      <c r="P20" s="22">
        <v>0</v>
      </c>
      <c r="Q20" s="22">
        <v>0</v>
      </c>
      <c r="R20" s="22">
        <v>0</v>
      </c>
      <c r="S20" s="22">
        <v>0</v>
      </c>
      <c r="T20" s="22">
        <v>0</v>
      </c>
      <c r="U20" s="22">
        <v>0</v>
      </c>
      <c r="V20" s="22">
        <v>0</v>
      </c>
      <c r="W20" s="22">
        <v>0</v>
      </c>
      <c r="X20" s="22">
        <v>0</v>
      </c>
      <c r="Y20" s="22">
        <v>0</v>
      </c>
      <c r="Z20" s="22">
        <v>0</v>
      </c>
      <c r="AA20" s="22">
        <v>0</v>
      </c>
      <c r="AB20" s="22">
        <v>0</v>
      </c>
      <c r="AC20" s="22">
        <v>0</v>
      </c>
      <c r="AD20" s="22">
        <v>0</v>
      </c>
      <c r="AE20" s="22">
        <v>0</v>
      </c>
      <c r="AF20" s="22">
        <v>0</v>
      </c>
      <c r="AG20" s="22">
        <v>0</v>
      </c>
      <c r="AH20" s="22">
        <v>0</v>
      </c>
      <c r="AI20" s="22">
        <v>0</v>
      </c>
      <c r="AJ20" s="22">
        <v>0</v>
      </c>
      <c r="AK20" s="22">
        <v>0</v>
      </c>
      <c r="AL20" s="22">
        <v>0</v>
      </c>
      <c r="AM20" s="67"/>
      <c r="AQ20" s="81"/>
      <c r="AR20"/>
    </row>
    <row r="21" spans="1:44" ht="15.95">
      <c r="A21" s="19" t="s">
        <v>179</v>
      </c>
      <c r="B21" s="19" t="s">
        <v>180</v>
      </c>
      <c r="C21" s="19" t="s">
        <v>181</v>
      </c>
      <c r="D21" s="20">
        <f t="shared" si="0"/>
        <v>0</v>
      </c>
      <c r="E21" s="21">
        <v>0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1">
        <v>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  <c r="W21" s="21">
        <v>0</v>
      </c>
      <c r="X21" s="21">
        <v>0</v>
      </c>
      <c r="Y21" s="21">
        <v>0</v>
      </c>
      <c r="Z21" s="21">
        <v>0</v>
      </c>
      <c r="AA21" s="21">
        <v>0</v>
      </c>
      <c r="AB21" s="21">
        <v>0</v>
      </c>
      <c r="AC21" s="21">
        <v>0</v>
      </c>
      <c r="AD21" s="21">
        <v>0</v>
      </c>
      <c r="AE21" s="21">
        <v>0</v>
      </c>
      <c r="AF21" s="21">
        <v>0</v>
      </c>
      <c r="AG21" s="21">
        <v>0</v>
      </c>
      <c r="AH21" s="21">
        <v>0</v>
      </c>
      <c r="AI21" s="21">
        <v>0</v>
      </c>
      <c r="AJ21" s="21">
        <v>0</v>
      </c>
      <c r="AK21" s="21">
        <v>0</v>
      </c>
      <c r="AL21" s="21">
        <v>0</v>
      </c>
      <c r="AM21" s="67"/>
      <c r="AQ21" s="81"/>
      <c r="AR21"/>
    </row>
    <row r="22" spans="1:44" ht="15.95">
      <c r="A22" s="19" t="s">
        <v>182</v>
      </c>
      <c r="B22" s="19" t="s">
        <v>183</v>
      </c>
      <c r="C22" s="19" t="s">
        <v>181</v>
      </c>
      <c r="D22" s="20">
        <f t="shared" si="0"/>
        <v>0</v>
      </c>
      <c r="E22" s="21">
        <v>0</v>
      </c>
      <c r="F22" s="21">
        <v>0</v>
      </c>
      <c r="G22" s="21">
        <v>0</v>
      </c>
      <c r="H22" s="21">
        <v>0</v>
      </c>
      <c r="I22" s="21">
        <v>0</v>
      </c>
      <c r="J22" s="21">
        <v>0</v>
      </c>
      <c r="K22" s="21">
        <v>0</v>
      </c>
      <c r="L22" s="21">
        <v>0</v>
      </c>
      <c r="M22" s="21">
        <v>0</v>
      </c>
      <c r="N22" s="21">
        <v>0</v>
      </c>
      <c r="O22" s="21">
        <v>0</v>
      </c>
      <c r="P22" s="21">
        <v>0</v>
      </c>
      <c r="Q22" s="21">
        <v>0</v>
      </c>
      <c r="R22" s="21">
        <v>0</v>
      </c>
      <c r="S22" s="21">
        <v>0</v>
      </c>
      <c r="T22" s="21">
        <v>0</v>
      </c>
      <c r="U22" s="21">
        <v>0</v>
      </c>
      <c r="V22" s="21">
        <v>0</v>
      </c>
      <c r="W22" s="21">
        <v>0</v>
      </c>
      <c r="X22" s="21">
        <v>0</v>
      </c>
      <c r="Y22" s="21">
        <v>0</v>
      </c>
      <c r="Z22" s="21">
        <v>0</v>
      </c>
      <c r="AA22" s="21">
        <v>0</v>
      </c>
      <c r="AB22" s="21">
        <v>0</v>
      </c>
      <c r="AC22" s="21">
        <v>0</v>
      </c>
      <c r="AD22" s="21">
        <v>0</v>
      </c>
      <c r="AE22" s="21">
        <v>0</v>
      </c>
      <c r="AF22" s="21">
        <v>0</v>
      </c>
      <c r="AG22" s="21">
        <v>0</v>
      </c>
      <c r="AH22" s="21">
        <v>0</v>
      </c>
      <c r="AI22" s="21">
        <v>0</v>
      </c>
      <c r="AJ22" s="21">
        <v>0</v>
      </c>
      <c r="AK22" s="21">
        <v>0</v>
      </c>
      <c r="AL22" s="21">
        <v>0</v>
      </c>
      <c r="AM22" s="68"/>
      <c r="AQ22" s="81"/>
      <c r="AR22"/>
    </row>
    <row r="23" spans="1:44" ht="15.95">
      <c r="A23" s="19" t="s">
        <v>182</v>
      </c>
      <c r="B23" s="19" t="s">
        <v>184</v>
      </c>
      <c r="C23" s="19" t="s">
        <v>181</v>
      </c>
      <c r="D23" s="20">
        <f t="shared" si="0"/>
        <v>0</v>
      </c>
      <c r="E23" s="21">
        <v>0</v>
      </c>
      <c r="F23" s="21">
        <v>0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  <c r="M23" s="21">
        <v>0</v>
      </c>
      <c r="N23" s="21">
        <v>0</v>
      </c>
      <c r="O23" s="21">
        <v>0</v>
      </c>
      <c r="P23" s="21">
        <v>0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21">
        <v>0</v>
      </c>
      <c r="Y23" s="21">
        <v>0</v>
      </c>
      <c r="Z23" s="21">
        <v>0</v>
      </c>
      <c r="AA23" s="21">
        <v>0</v>
      </c>
      <c r="AB23" s="21">
        <v>0</v>
      </c>
      <c r="AC23" s="21">
        <v>0</v>
      </c>
      <c r="AD23" s="21">
        <v>0</v>
      </c>
      <c r="AE23" s="21">
        <v>0</v>
      </c>
      <c r="AF23" s="21">
        <v>0</v>
      </c>
      <c r="AG23" s="21">
        <v>0</v>
      </c>
      <c r="AH23" s="21">
        <v>0</v>
      </c>
      <c r="AI23" s="21">
        <v>0</v>
      </c>
      <c r="AJ23" s="21">
        <v>0</v>
      </c>
      <c r="AK23" s="21">
        <v>0</v>
      </c>
      <c r="AL23" s="21">
        <v>0</v>
      </c>
      <c r="AM23" s="67"/>
      <c r="AQ23" s="81"/>
      <c r="AR23"/>
    </row>
    <row r="24" spans="1:44" ht="15.95">
      <c r="A24" s="19" t="s">
        <v>185</v>
      </c>
      <c r="B24" s="19" t="s">
        <v>186</v>
      </c>
      <c r="C24" s="19" t="s">
        <v>187</v>
      </c>
      <c r="D24" s="20">
        <f t="shared" si="0"/>
        <v>23</v>
      </c>
      <c r="E24" s="21">
        <v>1</v>
      </c>
      <c r="F24" s="21">
        <v>1</v>
      </c>
      <c r="G24" s="21">
        <v>0</v>
      </c>
      <c r="H24" s="21">
        <v>1</v>
      </c>
      <c r="I24" s="21">
        <v>5</v>
      </c>
      <c r="J24" s="21">
        <v>1</v>
      </c>
      <c r="K24" s="21">
        <v>8</v>
      </c>
      <c r="L24" s="21">
        <v>1</v>
      </c>
      <c r="M24" s="21">
        <v>1</v>
      </c>
      <c r="N24" s="21">
        <v>1</v>
      </c>
      <c r="O24" s="21">
        <v>0</v>
      </c>
      <c r="P24" s="21">
        <v>1</v>
      </c>
      <c r="Q24" s="21">
        <v>0</v>
      </c>
      <c r="R24" s="21">
        <v>2</v>
      </c>
      <c r="S24" s="21">
        <v>0</v>
      </c>
      <c r="T24" s="21">
        <v>0</v>
      </c>
      <c r="U24" s="21">
        <v>0</v>
      </c>
      <c r="V24" s="21">
        <v>0</v>
      </c>
      <c r="W24" s="21">
        <v>0</v>
      </c>
      <c r="X24" s="21">
        <v>0</v>
      </c>
      <c r="Y24" s="21">
        <v>0</v>
      </c>
      <c r="Z24" s="21">
        <v>0</v>
      </c>
      <c r="AA24" s="21">
        <v>0</v>
      </c>
      <c r="AB24" s="21">
        <v>0</v>
      </c>
      <c r="AC24" s="21">
        <v>0</v>
      </c>
      <c r="AD24" s="21">
        <v>0</v>
      </c>
      <c r="AE24" s="21">
        <v>0</v>
      </c>
      <c r="AF24" s="21">
        <v>0</v>
      </c>
      <c r="AG24" s="21">
        <v>0</v>
      </c>
      <c r="AH24" s="21">
        <v>0</v>
      </c>
      <c r="AI24" s="21">
        <v>0</v>
      </c>
      <c r="AJ24" s="21">
        <v>0</v>
      </c>
      <c r="AK24" s="21">
        <v>0</v>
      </c>
      <c r="AL24" s="21">
        <v>0</v>
      </c>
      <c r="AM24" s="67"/>
      <c r="AQ24" s="81"/>
      <c r="AR24"/>
    </row>
    <row r="25" spans="1:44" ht="15.95">
      <c r="A25" s="19" t="s">
        <v>185</v>
      </c>
      <c r="B25" s="19" t="s">
        <v>188</v>
      </c>
      <c r="C25" s="19" t="s">
        <v>187</v>
      </c>
      <c r="D25" s="20">
        <f t="shared" si="0"/>
        <v>21</v>
      </c>
      <c r="E25" s="21">
        <v>4</v>
      </c>
      <c r="F25" s="21">
        <v>2</v>
      </c>
      <c r="G25" s="21">
        <v>1</v>
      </c>
      <c r="H25" s="21">
        <v>1</v>
      </c>
      <c r="I25" s="21">
        <v>4</v>
      </c>
      <c r="J25" s="21">
        <v>1</v>
      </c>
      <c r="K25" s="21">
        <v>1</v>
      </c>
      <c r="L25" s="21">
        <v>0</v>
      </c>
      <c r="M25" s="21">
        <v>1</v>
      </c>
      <c r="N25" s="21">
        <v>2</v>
      </c>
      <c r="O25" s="21">
        <v>0</v>
      </c>
      <c r="P25" s="21">
        <v>0</v>
      </c>
      <c r="Q25" s="21">
        <v>2</v>
      </c>
      <c r="R25" s="21">
        <v>0</v>
      </c>
      <c r="S25" s="21">
        <v>2</v>
      </c>
      <c r="T25" s="21">
        <v>0</v>
      </c>
      <c r="U25" s="21">
        <v>0</v>
      </c>
      <c r="V25" s="21">
        <v>0</v>
      </c>
      <c r="W25" s="21">
        <v>0</v>
      </c>
      <c r="X25" s="21">
        <v>0</v>
      </c>
      <c r="Y25" s="21">
        <v>0</v>
      </c>
      <c r="Z25" s="21">
        <v>0</v>
      </c>
      <c r="AA25" s="21">
        <v>0</v>
      </c>
      <c r="AB25" s="21">
        <v>0</v>
      </c>
      <c r="AC25" s="21">
        <v>0</v>
      </c>
      <c r="AD25" s="21">
        <v>0</v>
      </c>
      <c r="AE25" s="21">
        <v>0</v>
      </c>
      <c r="AF25" s="21">
        <v>0</v>
      </c>
      <c r="AG25" s="21">
        <v>0</v>
      </c>
      <c r="AH25" s="21">
        <v>0</v>
      </c>
      <c r="AI25" s="21">
        <v>0</v>
      </c>
      <c r="AJ25" s="21">
        <v>0</v>
      </c>
      <c r="AK25" s="21">
        <v>0</v>
      </c>
      <c r="AL25" s="21">
        <v>0</v>
      </c>
      <c r="AM25" s="67"/>
      <c r="AQ25" s="81"/>
      <c r="AR25"/>
    </row>
    <row r="26" spans="1:44" ht="15.95">
      <c r="A26" s="19" t="s">
        <v>185</v>
      </c>
      <c r="B26" s="19" t="s">
        <v>189</v>
      </c>
      <c r="C26" s="19" t="s">
        <v>187</v>
      </c>
      <c r="D26" s="20">
        <f t="shared" si="0"/>
        <v>3</v>
      </c>
      <c r="E26" s="21">
        <v>0</v>
      </c>
      <c r="F26" s="21">
        <v>1</v>
      </c>
      <c r="G26" s="21">
        <v>0</v>
      </c>
      <c r="H26" s="21">
        <v>0</v>
      </c>
      <c r="I26" s="21">
        <v>0</v>
      </c>
      <c r="J26" s="21">
        <v>0</v>
      </c>
      <c r="K26" s="21">
        <v>0</v>
      </c>
      <c r="L26" s="21">
        <v>0</v>
      </c>
      <c r="M26" s="21">
        <v>1</v>
      </c>
      <c r="N26" s="21">
        <v>0</v>
      </c>
      <c r="O26" s="21">
        <v>1</v>
      </c>
      <c r="P26" s="21">
        <v>0</v>
      </c>
      <c r="Q26" s="21">
        <v>0</v>
      </c>
      <c r="R26" s="21">
        <v>0</v>
      </c>
      <c r="S26" s="21">
        <v>0</v>
      </c>
      <c r="T26" s="21">
        <v>0</v>
      </c>
      <c r="U26" s="21">
        <v>0</v>
      </c>
      <c r="V26" s="21">
        <v>0</v>
      </c>
      <c r="W26" s="21">
        <v>0</v>
      </c>
      <c r="X26" s="21">
        <v>0</v>
      </c>
      <c r="Y26" s="21">
        <v>0</v>
      </c>
      <c r="Z26" s="21">
        <v>0</v>
      </c>
      <c r="AA26" s="21">
        <v>0</v>
      </c>
      <c r="AB26" s="21">
        <v>0</v>
      </c>
      <c r="AC26" s="21">
        <v>0</v>
      </c>
      <c r="AD26" s="21">
        <v>0</v>
      </c>
      <c r="AE26" s="21">
        <v>0</v>
      </c>
      <c r="AF26" s="21">
        <v>0</v>
      </c>
      <c r="AG26" s="21">
        <v>0</v>
      </c>
      <c r="AH26" s="21">
        <v>0</v>
      </c>
      <c r="AI26" s="21">
        <v>0</v>
      </c>
      <c r="AJ26" s="21">
        <v>0</v>
      </c>
      <c r="AK26" s="21">
        <v>0</v>
      </c>
      <c r="AL26" s="21">
        <v>0</v>
      </c>
      <c r="AM26" s="67"/>
      <c r="AQ26" s="81"/>
      <c r="AR26"/>
    </row>
    <row r="27" spans="1:44" ht="15.95">
      <c r="A27" s="19" t="s">
        <v>185</v>
      </c>
      <c r="B27" s="19" t="s">
        <v>190</v>
      </c>
      <c r="C27" s="19" t="s">
        <v>187</v>
      </c>
      <c r="D27" s="20">
        <f t="shared" si="0"/>
        <v>5</v>
      </c>
      <c r="E27" s="21">
        <v>0</v>
      </c>
      <c r="F27" s="21">
        <v>0</v>
      </c>
      <c r="G27" s="21">
        <v>0</v>
      </c>
      <c r="H27" s="21">
        <v>0</v>
      </c>
      <c r="I27" s="21">
        <v>0</v>
      </c>
      <c r="J27" s="21">
        <v>0</v>
      </c>
      <c r="K27" s="21">
        <v>0</v>
      </c>
      <c r="L27" s="21">
        <v>0</v>
      </c>
      <c r="M27" s="21">
        <v>0</v>
      </c>
      <c r="N27" s="21">
        <v>0</v>
      </c>
      <c r="O27" s="21">
        <v>0</v>
      </c>
      <c r="P27" s="21">
        <v>0</v>
      </c>
      <c r="Q27" s="21">
        <v>0</v>
      </c>
      <c r="R27" s="21">
        <v>0</v>
      </c>
      <c r="S27" s="21">
        <v>0</v>
      </c>
      <c r="T27" s="21">
        <v>0</v>
      </c>
      <c r="U27" s="21">
        <v>0</v>
      </c>
      <c r="V27" s="21">
        <v>0</v>
      </c>
      <c r="W27" s="21">
        <v>0</v>
      </c>
      <c r="X27" s="21">
        <v>0</v>
      </c>
      <c r="Y27" s="21">
        <v>0</v>
      </c>
      <c r="Z27" s="21">
        <v>0</v>
      </c>
      <c r="AA27" s="21">
        <v>0</v>
      </c>
      <c r="AB27" s="21">
        <v>0</v>
      </c>
      <c r="AC27" s="21">
        <v>0</v>
      </c>
      <c r="AD27" s="21">
        <v>0</v>
      </c>
      <c r="AE27" s="21">
        <v>0</v>
      </c>
      <c r="AF27" s="21">
        <v>0</v>
      </c>
      <c r="AG27" s="21">
        <v>0</v>
      </c>
      <c r="AH27" s="21">
        <v>0</v>
      </c>
      <c r="AI27" s="21">
        <v>0</v>
      </c>
      <c r="AJ27" s="21">
        <v>0</v>
      </c>
      <c r="AK27" s="21">
        <v>0</v>
      </c>
      <c r="AL27" s="21">
        <v>5</v>
      </c>
      <c r="AM27" s="67"/>
      <c r="AQ27" s="81"/>
      <c r="AR27"/>
    </row>
    <row r="28" spans="1:44" ht="15.95">
      <c r="A28" s="19" t="s">
        <v>191</v>
      </c>
      <c r="B28" s="19" t="s">
        <v>192</v>
      </c>
      <c r="C28" s="19" t="s">
        <v>193</v>
      </c>
      <c r="D28" s="20">
        <f t="shared" si="0"/>
        <v>0</v>
      </c>
      <c r="E28" s="21">
        <v>0</v>
      </c>
      <c r="F28" s="21">
        <v>0</v>
      </c>
      <c r="G28" s="21">
        <v>0</v>
      </c>
      <c r="H28" s="21">
        <v>0</v>
      </c>
      <c r="I28" s="21">
        <v>0</v>
      </c>
      <c r="J28" s="21">
        <v>0</v>
      </c>
      <c r="K28" s="21">
        <v>0</v>
      </c>
      <c r="L28" s="21">
        <v>0</v>
      </c>
      <c r="M28" s="21">
        <v>0</v>
      </c>
      <c r="N28" s="21">
        <v>0</v>
      </c>
      <c r="O28" s="21">
        <v>0</v>
      </c>
      <c r="P28" s="21">
        <v>0</v>
      </c>
      <c r="Q28" s="21">
        <v>0</v>
      </c>
      <c r="R28" s="21">
        <v>0</v>
      </c>
      <c r="S28" s="21">
        <v>0</v>
      </c>
      <c r="T28" s="21">
        <v>0</v>
      </c>
      <c r="U28" s="21">
        <v>0</v>
      </c>
      <c r="V28" s="21">
        <v>0</v>
      </c>
      <c r="W28" s="21">
        <v>0</v>
      </c>
      <c r="X28" s="21">
        <v>0</v>
      </c>
      <c r="Y28" s="21">
        <v>0</v>
      </c>
      <c r="Z28" s="21">
        <v>0</v>
      </c>
      <c r="AA28" s="21">
        <v>0</v>
      </c>
      <c r="AB28" s="21">
        <v>0</v>
      </c>
      <c r="AC28" s="21">
        <v>0</v>
      </c>
      <c r="AD28" s="21">
        <v>0</v>
      </c>
      <c r="AE28" s="21">
        <v>0</v>
      </c>
      <c r="AF28" s="21">
        <v>0</v>
      </c>
      <c r="AG28" s="21">
        <v>0</v>
      </c>
      <c r="AH28" s="21">
        <v>0</v>
      </c>
      <c r="AI28" s="21">
        <v>0</v>
      </c>
      <c r="AJ28" s="21">
        <v>0</v>
      </c>
      <c r="AK28" s="21">
        <v>0</v>
      </c>
      <c r="AL28" s="21">
        <v>0</v>
      </c>
      <c r="AM28" s="67"/>
      <c r="AQ28" s="81"/>
      <c r="AR28"/>
    </row>
    <row r="29" spans="1:44" ht="32.1">
      <c r="A29" s="19" t="s">
        <v>194</v>
      </c>
      <c r="B29" s="19" t="s">
        <v>195</v>
      </c>
      <c r="C29" s="19" t="s">
        <v>196</v>
      </c>
      <c r="D29" s="20">
        <f t="shared" si="0"/>
        <v>91391.8</v>
      </c>
      <c r="E29" s="21">
        <v>1126.68</v>
      </c>
      <c r="F29" s="21">
        <v>8342.4500000000007</v>
      </c>
      <c r="G29" s="21">
        <v>6322.64</v>
      </c>
      <c r="H29" s="21">
        <v>7996.91</v>
      </c>
      <c r="I29" s="21">
        <v>7869.9</v>
      </c>
      <c r="J29" s="21">
        <v>3413.18</v>
      </c>
      <c r="K29" s="21">
        <v>7762</v>
      </c>
      <c r="L29" s="21">
        <v>0</v>
      </c>
      <c r="M29" s="21">
        <v>6605.61</v>
      </c>
      <c r="N29" s="21">
        <v>2856.4</v>
      </c>
      <c r="O29" s="21">
        <v>1550.03</v>
      </c>
      <c r="P29" s="21">
        <v>2287.9299999999998</v>
      </c>
      <c r="Q29" s="21">
        <v>1633.8</v>
      </c>
      <c r="R29" s="21">
        <v>1085.21</v>
      </c>
      <c r="S29" s="21">
        <v>1742.77</v>
      </c>
      <c r="T29" s="21">
        <v>121.99</v>
      </c>
      <c r="U29" s="21">
        <v>0</v>
      </c>
      <c r="V29" s="21">
        <v>160.71</v>
      </c>
      <c r="W29" s="21">
        <v>0</v>
      </c>
      <c r="X29" s="21">
        <v>110.66</v>
      </c>
      <c r="Y29" s="21">
        <v>0</v>
      </c>
      <c r="Z29" s="21">
        <v>358.95</v>
      </c>
      <c r="AA29" s="21">
        <v>73.099999999999994</v>
      </c>
      <c r="AB29" s="21">
        <v>96.73</v>
      </c>
      <c r="AC29" s="21">
        <v>358.42</v>
      </c>
      <c r="AD29" s="21">
        <v>285.43</v>
      </c>
      <c r="AE29" s="21">
        <v>72.22</v>
      </c>
      <c r="AF29" s="21">
        <v>140.61000000000001</v>
      </c>
      <c r="AG29" s="21">
        <v>0</v>
      </c>
      <c r="AH29" s="21">
        <v>0</v>
      </c>
      <c r="AI29" s="21">
        <v>395.47</v>
      </c>
      <c r="AJ29" s="21">
        <v>429.17</v>
      </c>
      <c r="AK29" s="21">
        <v>5645.92</v>
      </c>
      <c r="AL29" s="21">
        <v>22546.91</v>
      </c>
      <c r="AM29" s="67"/>
      <c r="AQ29" s="81"/>
      <c r="AR29"/>
    </row>
    <row r="30" spans="1:44" ht="15.95">
      <c r="A30" s="19" t="s">
        <v>197</v>
      </c>
      <c r="B30" s="19" t="s">
        <v>198</v>
      </c>
      <c r="C30" s="19" t="s">
        <v>199</v>
      </c>
      <c r="D30" s="20">
        <f t="shared" si="0"/>
        <v>1732</v>
      </c>
      <c r="E30" s="21">
        <v>9</v>
      </c>
      <c r="F30" s="21">
        <v>207</v>
      </c>
      <c r="G30" s="21">
        <v>53</v>
      </c>
      <c r="H30" s="21">
        <v>31</v>
      </c>
      <c r="I30" s="21">
        <v>59</v>
      </c>
      <c r="J30" s="21">
        <v>68</v>
      </c>
      <c r="K30" s="21">
        <v>67</v>
      </c>
      <c r="L30" s="21">
        <v>15</v>
      </c>
      <c r="M30" s="21">
        <v>44</v>
      </c>
      <c r="N30" s="21">
        <v>98</v>
      </c>
      <c r="O30" s="21">
        <v>81</v>
      </c>
      <c r="P30" s="21">
        <v>132</v>
      </c>
      <c r="Q30" s="21">
        <v>74</v>
      </c>
      <c r="R30" s="21">
        <v>6</v>
      </c>
      <c r="S30" s="21">
        <v>119</v>
      </c>
      <c r="T30" s="21">
        <v>0</v>
      </c>
      <c r="U30" s="21">
        <v>0</v>
      </c>
      <c r="V30" s="21">
        <v>0</v>
      </c>
      <c r="W30" s="21">
        <v>0</v>
      </c>
      <c r="X30" s="21">
        <v>0</v>
      </c>
      <c r="Y30" s="21">
        <v>0</v>
      </c>
      <c r="Z30" s="21">
        <v>0</v>
      </c>
      <c r="AA30" s="21">
        <v>5</v>
      </c>
      <c r="AB30" s="21">
        <v>0</v>
      </c>
      <c r="AC30" s="21">
        <v>0</v>
      </c>
      <c r="AD30" s="21">
        <v>0</v>
      </c>
      <c r="AE30" s="21">
        <v>0</v>
      </c>
      <c r="AF30" s="21">
        <v>6</v>
      </c>
      <c r="AG30" s="21">
        <v>0</v>
      </c>
      <c r="AH30" s="21">
        <v>0</v>
      </c>
      <c r="AI30" s="21">
        <v>0</v>
      </c>
      <c r="AJ30" s="21">
        <v>0</v>
      </c>
      <c r="AK30" s="21">
        <v>7</v>
      </c>
      <c r="AL30" s="21">
        <v>651</v>
      </c>
      <c r="AM30" s="67"/>
      <c r="AQ30" s="81"/>
      <c r="AR30"/>
    </row>
    <row r="31" spans="1:44" ht="15.95">
      <c r="A31" s="19" t="s">
        <v>200</v>
      </c>
      <c r="B31" s="19" t="s">
        <v>201</v>
      </c>
      <c r="C31" s="19" t="s">
        <v>202</v>
      </c>
      <c r="D31" s="20">
        <f t="shared" si="0"/>
        <v>3</v>
      </c>
      <c r="E31" s="21">
        <v>0</v>
      </c>
      <c r="F31" s="21">
        <v>0</v>
      </c>
      <c r="G31" s="21">
        <v>0</v>
      </c>
      <c r="H31" s="21">
        <v>1</v>
      </c>
      <c r="I31" s="21">
        <v>0</v>
      </c>
      <c r="J31" s="21">
        <v>0</v>
      </c>
      <c r="K31" s="21">
        <v>1</v>
      </c>
      <c r="L31" s="21">
        <v>0</v>
      </c>
      <c r="M31" s="21">
        <v>0</v>
      </c>
      <c r="N31" s="21">
        <v>0</v>
      </c>
      <c r="O31" s="21">
        <v>0</v>
      </c>
      <c r="P31" s="21">
        <v>0</v>
      </c>
      <c r="Q31" s="21">
        <v>0</v>
      </c>
      <c r="R31" s="21">
        <v>0</v>
      </c>
      <c r="S31" s="21">
        <v>0</v>
      </c>
      <c r="T31" s="21">
        <v>0</v>
      </c>
      <c r="U31" s="21">
        <v>0</v>
      </c>
      <c r="V31" s="21">
        <v>0</v>
      </c>
      <c r="W31" s="21">
        <v>0</v>
      </c>
      <c r="X31" s="21">
        <v>0</v>
      </c>
      <c r="Y31" s="21">
        <v>0</v>
      </c>
      <c r="Z31" s="21">
        <v>0</v>
      </c>
      <c r="AA31" s="21">
        <v>0</v>
      </c>
      <c r="AB31" s="21">
        <v>0</v>
      </c>
      <c r="AC31" s="21">
        <v>0</v>
      </c>
      <c r="AD31" s="21">
        <v>0</v>
      </c>
      <c r="AE31" s="21">
        <v>0</v>
      </c>
      <c r="AF31" s="21">
        <v>0</v>
      </c>
      <c r="AG31" s="21">
        <v>0</v>
      </c>
      <c r="AH31" s="21">
        <v>0</v>
      </c>
      <c r="AI31" s="21">
        <v>0</v>
      </c>
      <c r="AJ31" s="21">
        <v>0</v>
      </c>
      <c r="AK31" s="21">
        <v>0</v>
      </c>
      <c r="AL31" s="21">
        <v>1</v>
      </c>
      <c r="AM31" s="67"/>
      <c r="AQ31" s="81"/>
      <c r="AR31"/>
    </row>
    <row r="32" spans="1:44" ht="15.95">
      <c r="A32" s="19" t="s">
        <v>203</v>
      </c>
      <c r="B32" s="19" t="s">
        <v>204</v>
      </c>
      <c r="C32" s="19" t="s">
        <v>205</v>
      </c>
      <c r="D32" s="20">
        <f t="shared" si="0"/>
        <v>902</v>
      </c>
      <c r="E32" s="21">
        <v>8</v>
      </c>
      <c r="F32" s="21">
        <v>107</v>
      </c>
      <c r="G32" s="21">
        <v>83</v>
      </c>
      <c r="H32" s="21">
        <v>97</v>
      </c>
      <c r="I32" s="21">
        <v>133</v>
      </c>
      <c r="J32" s="21">
        <v>9</v>
      </c>
      <c r="K32" s="21">
        <v>133</v>
      </c>
      <c r="L32" s="21">
        <v>41</v>
      </c>
      <c r="M32" s="21">
        <v>92</v>
      </c>
      <c r="N32" s="21">
        <v>18</v>
      </c>
      <c r="O32" s="21">
        <v>4</v>
      </c>
      <c r="P32" s="21">
        <v>3</v>
      </c>
      <c r="Q32" s="21">
        <v>10</v>
      </c>
      <c r="R32" s="21">
        <v>6</v>
      </c>
      <c r="S32" s="21">
        <v>4</v>
      </c>
      <c r="T32" s="21">
        <v>0</v>
      </c>
      <c r="U32" s="21">
        <v>4</v>
      </c>
      <c r="V32" s="21">
        <v>4</v>
      </c>
      <c r="W32" s="21">
        <v>6</v>
      </c>
      <c r="X32" s="21">
        <v>0</v>
      </c>
      <c r="Y32" s="21">
        <v>5</v>
      </c>
      <c r="Z32" s="21">
        <v>11</v>
      </c>
      <c r="AA32" s="21">
        <v>0</v>
      </c>
      <c r="AB32" s="21">
        <v>0</v>
      </c>
      <c r="AC32" s="21">
        <v>0</v>
      </c>
      <c r="AD32" s="21">
        <v>2</v>
      </c>
      <c r="AE32" s="21">
        <v>0</v>
      </c>
      <c r="AF32" s="21">
        <v>0</v>
      </c>
      <c r="AG32" s="21">
        <v>11</v>
      </c>
      <c r="AH32" s="21">
        <v>0</v>
      </c>
      <c r="AI32" s="21">
        <v>5</v>
      </c>
      <c r="AJ32" s="21">
        <v>17</v>
      </c>
      <c r="AK32" s="21">
        <v>85</v>
      </c>
      <c r="AL32" s="21">
        <v>4</v>
      </c>
      <c r="AM32" s="67"/>
      <c r="AQ32" s="81"/>
      <c r="AR32"/>
    </row>
    <row r="33" spans="1:44" ht="15.95">
      <c r="A33" s="19" t="s">
        <v>206</v>
      </c>
      <c r="B33" s="19" t="s">
        <v>207</v>
      </c>
      <c r="C33" s="19" t="s">
        <v>208</v>
      </c>
      <c r="D33" s="20">
        <f t="shared" si="0"/>
        <v>96</v>
      </c>
      <c r="E33" s="21">
        <v>5</v>
      </c>
      <c r="F33" s="21">
        <v>14</v>
      </c>
      <c r="G33" s="21">
        <v>1</v>
      </c>
      <c r="H33" s="21">
        <v>0</v>
      </c>
      <c r="I33" s="21">
        <v>5</v>
      </c>
      <c r="J33" s="21">
        <v>3</v>
      </c>
      <c r="K33" s="21">
        <v>7</v>
      </c>
      <c r="L33" s="21">
        <v>0</v>
      </c>
      <c r="M33" s="21">
        <v>3</v>
      </c>
      <c r="N33" s="21">
        <v>1</v>
      </c>
      <c r="O33" s="21">
        <v>3</v>
      </c>
      <c r="P33" s="21">
        <v>3</v>
      </c>
      <c r="Q33" s="21">
        <v>3</v>
      </c>
      <c r="R33" s="21">
        <v>2</v>
      </c>
      <c r="S33" s="21">
        <v>0</v>
      </c>
      <c r="T33" s="21">
        <v>0</v>
      </c>
      <c r="U33" s="21">
        <v>0</v>
      </c>
      <c r="V33" s="21">
        <v>0</v>
      </c>
      <c r="W33" s="21">
        <v>0</v>
      </c>
      <c r="X33" s="21">
        <v>0</v>
      </c>
      <c r="Y33" s="21">
        <v>0</v>
      </c>
      <c r="Z33" s="21">
        <v>0</v>
      </c>
      <c r="AA33" s="21">
        <v>0</v>
      </c>
      <c r="AB33" s="21">
        <v>0</v>
      </c>
      <c r="AC33" s="21">
        <v>0</v>
      </c>
      <c r="AD33" s="21">
        <v>0</v>
      </c>
      <c r="AE33" s="21">
        <v>0</v>
      </c>
      <c r="AF33" s="21">
        <v>0</v>
      </c>
      <c r="AG33" s="21">
        <v>0</v>
      </c>
      <c r="AH33" s="21">
        <v>0</v>
      </c>
      <c r="AI33" s="21">
        <v>0</v>
      </c>
      <c r="AJ33" s="21">
        <v>0</v>
      </c>
      <c r="AK33" s="21">
        <v>0</v>
      </c>
      <c r="AL33" s="21">
        <v>46</v>
      </c>
      <c r="AM33" s="67"/>
      <c r="AQ33" s="81"/>
      <c r="AR33"/>
    </row>
    <row r="34" spans="1:44" ht="15.95">
      <c r="A34" s="19" t="s">
        <v>206</v>
      </c>
      <c r="B34" s="19" t="s">
        <v>209</v>
      </c>
      <c r="C34" s="19" t="s">
        <v>208</v>
      </c>
      <c r="D34" s="20">
        <f t="shared" si="0"/>
        <v>10</v>
      </c>
      <c r="E34" s="21">
        <v>0</v>
      </c>
      <c r="F34" s="21">
        <v>1</v>
      </c>
      <c r="G34" s="21">
        <v>0</v>
      </c>
      <c r="H34" s="21">
        <v>0</v>
      </c>
      <c r="I34" s="21">
        <v>2</v>
      </c>
      <c r="J34" s="21">
        <v>0</v>
      </c>
      <c r="K34" s="21">
        <v>2</v>
      </c>
      <c r="L34" s="21">
        <v>0</v>
      </c>
      <c r="M34" s="21">
        <v>4</v>
      </c>
      <c r="N34" s="21">
        <v>0</v>
      </c>
      <c r="O34" s="21">
        <v>0</v>
      </c>
      <c r="P34" s="21">
        <v>0</v>
      </c>
      <c r="Q34" s="21">
        <v>0</v>
      </c>
      <c r="R34" s="21">
        <v>0</v>
      </c>
      <c r="S34" s="21">
        <v>0</v>
      </c>
      <c r="T34" s="21">
        <v>0</v>
      </c>
      <c r="U34" s="21">
        <v>0</v>
      </c>
      <c r="V34" s="21">
        <v>0</v>
      </c>
      <c r="W34" s="21">
        <v>0</v>
      </c>
      <c r="X34" s="21">
        <v>0</v>
      </c>
      <c r="Y34" s="21">
        <v>0</v>
      </c>
      <c r="Z34" s="21">
        <v>0</v>
      </c>
      <c r="AA34" s="21">
        <v>0</v>
      </c>
      <c r="AB34" s="21">
        <v>0</v>
      </c>
      <c r="AC34" s="21">
        <v>0</v>
      </c>
      <c r="AD34" s="21">
        <v>0</v>
      </c>
      <c r="AE34" s="21">
        <v>0</v>
      </c>
      <c r="AF34" s="21">
        <v>0</v>
      </c>
      <c r="AG34" s="21">
        <v>0</v>
      </c>
      <c r="AH34" s="21">
        <v>0</v>
      </c>
      <c r="AI34" s="21">
        <v>0</v>
      </c>
      <c r="AJ34" s="21">
        <v>0</v>
      </c>
      <c r="AK34" s="21">
        <v>0</v>
      </c>
      <c r="AL34" s="21">
        <v>1</v>
      </c>
      <c r="AM34" s="67"/>
      <c r="AQ34" s="81"/>
      <c r="AR34"/>
    </row>
    <row r="35" spans="1:44" ht="15.95">
      <c r="A35" s="19" t="s">
        <v>210</v>
      </c>
      <c r="B35" s="19" t="s">
        <v>211</v>
      </c>
      <c r="C35" s="19" t="s">
        <v>212</v>
      </c>
      <c r="D35" s="20">
        <f t="shared" si="0"/>
        <v>12</v>
      </c>
      <c r="E35" s="21">
        <v>0</v>
      </c>
      <c r="F35" s="21">
        <v>0</v>
      </c>
      <c r="G35" s="21">
        <v>0</v>
      </c>
      <c r="H35" s="21">
        <v>0</v>
      </c>
      <c r="I35" s="21">
        <v>0</v>
      </c>
      <c r="J35" s="21">
        <v>0</v>
      </c>
      <c r="K35" s="21">
        <v>0</v>
      </c>
      <c r="L35" s="21">
        <v>0</v>
      </c>
      <c r="M35" s="21">
        <v>0</v>
      </c>
      <c r="N35" s="21">
        <v>0</v>
      </c>
      <c r="O35" s="21">
        <v>0</v>
      </c>
      <c r="P35" s="21">
        <v>0</v>
      </c>
      <c r="Q35" s="21">
        <v>0</v>
      </c>
      <c r="R35" s="21">
        <v>0</v>
      </c>
      <c r="S35" s="21">
        <v>0</v>
      </c>
      <c r="T35" s="21">
        <v>0</v>
      </c>
      <c r="U35" s="21">
        <v>0</v>
      </c>
      <c r="V35" s="21">
        <v>0</v>
      </c>
      <c r="W35" s="21">
        <v>0</v>
      </c>
      <c r="X35" s="21">
        <v>0</v>
      </c>
      <c r="Y35" s="21">
        <v>0</v>
      </c>
      <c r="Z35" s="21">
        <v>0</v>
      </c>
      <c r="AA35" s="21">
        <v>0</v>
      </c>
      <c r="AB35" s="21">
        <v>0</v>
      </c>
      <c r="AC35" s="21">
        <v>0</v>
      </c>
      <c r="AD35" s="21">
        <v>0</v>
      </c>
      <c r="AE35" s="21">
        <v>0</v>
      </c>
      <c r="AF35" s="21">
        <v>0</v>
      </c>
      <c r="AG35" s="21">
        <v>0</v>
      </c>
      <c r="AH35" s="21">
        <v>0</v>
      </c>
      <c r="AI35" s="21">
        <v>0</v>
      </c>
      <c r="AJ35" s="21">
        <v>0</v>
      </c>
      <c r="AK35" s="21">
        <v>0</v>
      </c>
      <c r="AL35" s="21">
        <v>12</v>
      </c>
      <c r="AM35" s="68"/>
      <c r="AQ35" s="81"/>
      <c r="AR35"/>
    </row>
    <row r="36" spans="1:44" ht="32.1">
      <c r="A36" s="19" t="s">
        <v>213</v>
      </c>
      <c r="B36" s="19" t="s">
        <v>214</v>
      </c>
      <c r="C36" s="19" t="s">
        <v>215</v>
      </c>
      <c r="D36" s="20">
        <f t="shared" si="0"/>
        <v>65227.229999999996</v>
      </c>
      <c r="E36" s="22">
        <v>770.09</v>
      </c>
      <c r="F36" s="22">
        <v>6681.6</v>
      </c>
      <c r="G36" s="22">
        <v>1603.64</v>
      </c>
      <c r="H36" s="22">
        <v>500.7</v>
      </c>
      <c r="I36" s="22">
        <v>3125.6</v>
      </c>
      <c r="J36" s="22">
        <v>1953.44</v>
      </c>
      <c r="K36" s="22">
        <v>3218.52</v>
      </c>
      <c r="L36" s="22">
        <v>0</v>
      </c>
      <c r="M36" s="22">
        <v>2161.19</v>
      </c>
      <c r="N36" s="22">
        <v>235.37</v>
      </c>
      <c r="O36" s="22">
        <v>1845.09</v>
      </c>
      <c r="P36" s="22">
        <v>2562.84</v>
      </c>
      <c r="Q36" s="22">
        <v>1819.53</v>
      </c>
      <c r="R36" s="22">
        <v>715.09</v>
      </c>
      <c r="S36" s="22">
        <v>487.44</v>
      </c>
      <c r="T36" s="22">
        <v>0</v>
      </c>
      <c r="U36" s="22">
        <v>0</v>
      </c>
      <c r="V36" s="22">
        <v>0</v>
      </c>
      <c r="W36" s="22">
        <v>0</v>
      </c>
      <c r="X36" s="22">
        <v>0</v>
      </c>
      <c r="Y36" s="22">
        <v>0</v>
      </c>
      <c r="Z36" s="22">
        <v>0</v>
      </c>
      <c r="AA36" s="22">
        <v>0</v>
      </c>
      <c r="AB36" s="22">
        <v>0</v>
      </c>
      <c r="AC36" s="22">
        <v>56.84</v>
      </c>
      <c r="AD36" s="22">
        <v>0</v>
      </c>
      <c r="AE36" s="22">
        <v>0</v>
      </c>
      <c r="AF36" s="22">
        <v>0</v>
      </c>
      <c r="AG36" s="22">
        <v>0</v>
      </c>
      <c r="AH36" s="22">
        <v>0</v>
      </c>
      <c r="AI36" s="22">
        <v>0</v>
      </c>
      <c r="AJ36" s="22">
        <v>0</v>
      </c>
      <c r="AK36" s="22">
        <v>161.32</v>
      </c>
      <c r="AL36" s="22">
        <v>37328.93</v>
      </c>
      <c r="AM36" s="67"/>
      <c r="AQ36" s="81"/>
      <c r="AR36"/>
    </row>
    <row r="37" spans="1:44" ht="32.1">
      <c r="A37" s="19" t="s">
        <v>216</v>
      </c>
      <c r="B37" s="19" t="s">
        <v>217</v>
      </c>
      <c r="C37" s="19" t="s">
        <v>218</v>
      </c>
      <c r="D37" s="20">
        <f t="shared" si="0"/>
        <v>1580</v>
      </c>
      <c r="E37" s="21">
        <v>0</v>
      </c>
      <c r="F37" s="22">
        <v>380</v>
      </c>
      <c r="G37" s="21">
        <v>0</v>
      </c>
      <c r="H37" s="21">
        <v>0</v>
      </c>
      <c r="I37" s="22">
        <v>160</v>
      </c>
      <c r="J37" s="21">
        <v>0</v>
      </c>
      <c r="K37" s="22">
        <v>260</v>
      </c>
      <c r="L37" s="21">
        <v>0</v>
      </c>
      <c r="M37" s="22">
        <v>240</v>
      </c>
      <c r="N37" s="21">
        <v>0</v>
      </c>
      <c r="O37" s="21">
        <v>0</v>
      </c>
      <c r="P37" s="21">
        <v>0</v>
      </c>
      <c r="Q37" s="21">
        <v>0</v>
      </c>
      <c r="R37" s="21">
        <v>0</v>
      </c>
      <c r="S37" s="21">
        <v>0</v>
      </c>
      <c r="T37" s="21">
        <v>0</v>
      </c>
      <c r="U37" s="21">
        <v>0</v>
      </c>
      <c r="V37" s="21">
        <v>0</v>
      </c>
      <c r="W37" s="21">
        <v>0</v>
      </c>
      <c r="X37" s="21">
        <v>0</v>
      </c>
      <c r="Y37" s="21">
        <v>0</v>
      </c>
      <c r="Z37" s="21">
        <v>0</v>
      </c>
      <c r="AA37" s="21">
        <v>0</v>
      </c>
      <c r="AB37" s="21">
        <v>0</v>
      </c>
      <c r="AC37" s="21">
        <v>0</v>
      </c>
      <c r="AD37" s="21">
        <v>0</v>
      </c>
      <c r="AE37" s="21">
        <v>0</v>
      </c>
      <c r="AF37" s="21">
        <v>0</v>
      </c>
      <c r="AG37" s="21">
        <v>0</v>
      </c>
      <c r="AH37" s="21">
        <v>0</v>
      </c>
      <c r="AI37" s="21">
        <v>0</v>
      </c>
      <c r="AJ37" s="21">
        <v>0</v>
      </c>
      <c r="AK37" s="21">
        <v>0</v>
      </c>
      <c r="AL37" s="22">
        <v>540</v>
      </c>
      <c r="AM37" s="68"/>
      <c r="AQ37" s="81"/>
      <c r="AR37"/>
    </row>
    <row r="38" spans="1:44" ht="48">
      <c r="A38" s="23" t="s">
        <v>216</v>
      </c>
      <c r="B38" s="19" t="s">
        <v>219</v>
      </c>
      <c r="C38" s="19" t="s">
        <v>218</v>
      </c>
      <c r="D38" s="20">
        <f t="shared" si="0"/>
        <v>0</v>
      </c>
      <c r="E38" s="21">
        <v>0</v>
      </c>
      <c r="F38" s="21">
        <v>0</v>
      </c>
      <c r="G38" s="21">
        <v>0</v>
      </c>
      <c r="H38" s="21">
        <v>0</v>
      </c>
      <c r="I38" s="21">
        <v>0</v>
      </c>
      <c r="J38" s="21">
        <v>0</v>
      </c>
      <c r="K38" s="21">
        <v>0</v>
      </c>
      <c r="L38" s="21">
        <v>0</v>
      </c>
      <c r="M38" s="21">
        <v>0</v>
      </c>
      <c r="N38" s="21">
        <v>0</v>
      </c>
      <c r="O38" s="21">
        <v>0</v>
      </c>
      <c r="P38" s="21">
        <v>0</v>
      </c>
      <c r="Q38" s="21">
        <v>0</v>
      </c>
      <c r="R38" s="21">
        <v>0</v>
      </c>
      <c r="S38" s="21">
        <v>0</v>
      </c>
      <c r="T38" s="21">
        <v>0</v>
      </c>
      <c r="U38" s="21">
        <v>0</v>
      </c>
      <c r="V38" s="21">
        <v>0</v>
      </c>
      <c r="W38" s="21">
        <v>0</v>
      </c>
      <c r="X38" s="21">
        <v>0</v>
      </c>
      <c r="Y38" s="21">
        <v>0</v>
      </c>
      <c r="Z38" s="21">
        <v>0</v>
      </c>
      <c r="AA38" s="21">
        <v>0</v>
      </c>
      <c r="AB38" s="21">
        <v>0</v>
      </c>
      <c r="AC38" s="21">
        <v>0</v>
      </c>
      <c r="AD38" s="21">
        <v>0</v>
      </c>
      <c r="AE38" s="21">
        <v>0</v>
      </c>
      <c r="AF38" s="21">
        <v>0</v>
      </c>
      <c r="AG38" s="21">
        <v>0</v>
      </c>
      <c r="AH38" s="21">
        <v>0</v>
      </c>
      <c r="AI38" s="21">
        <v>0</v>
      </c>
      <c r="AJ38" s="21">
        <v>0</v>
      </c>
      <c r="AK38" s="21">
        <v>0</v>
      </c>
      <c r="AL38" s="21">
        <v>0</v>
      </c>
      <c r="AM38" s="68"/>
      <c r="AQ38" s="81"/>
      <c r="AR38"/>
    </row>
    <row r="39" spans="1:44" ht="48">
      <c r="A39" s="23" t="s">
        <v>216</v>
      </c>
      <c r="B39" s="19" t="s">
        <v>220</v>
      </c>
      <c r="C39" s="19" t="s">
        <v>218</v>
      </c>
      <c r="D39" s="20">
        <f t="shared" si="0"/>
        <v>4816</v>
      </c>
      <c r="E39" s="21">
        <v>0</v>
      </c>
      <c r="F39" s="22">
        <v>1288</v>
      </c>
      <c r="G39" s="21">
        <v>0</v>
      </c>
      <c r="H39" s="21">
        <v>0</v>
      </c>
      <c r="I39" s="22">
        <v>392</v>
      </c>
      <c r="J39" s="21">
        <v>0</v>
      </c>
      <c r="K39" s="22">
        <v>952</v>
      </c>
      <c r="L39" s="21">
        <v>0</v>
      </c>
      <c r="M39" s="22">
        <v>672</v>
      </c>
      <c r="N39" s="21">
        <v>0</v>
      </c>
      <c r="O39" s="21">
        <v>0</v>
      </c>
      <c r="P39" s="21">
        <v>0</v>
      </c>
      <c r="Q39" s="21">
        <v>0</v>
      </c>
      <c r="R39" s="21">
        <v>0</v>
      </c>
      <c r="S39" s="21">
        <v>0</v>
      </c>
      <c r="T39" s="21">
        <v>0</v>
      </c>
      <c r="U39" s="21">
        <v>0</v>
      </c>
      <c r="V39" s="21">
        <v>0</v>
      </c>
      <c r="W39" s="21">
        <v>0</v>
      </c>
      <c r="X39" s="21">
        <v>0</v>
      </c>
      <c r="Y39" s="21">
        <v>0</v>
      </c>
      <c r="Z39" s="21">
        <v>0</v>
      </c>
      <c r="AA39" s="21">
        <v>0</v>
      </c>
      <c r="AB39" s="21">
        <v>0</v>
      </c>
      <c r="AC39" s="21">
        <v>0</v>
      </c>
      <c r="AD39" s="21">
        <v>0</v>
      </c>
      <c r="AE39" s="21">
        <v>0</v>
      </c>
      <c r="AF39" s="21">
        <v>0</v>
      </c>
      <c r="AG39" s="21">
        <v>0</v>
      </c>
      <c r="AH39" s="21">
        <v>0</v>
      </c>
      <c r="AI39" s="21">
        <v>0</v>
      </c>
      <c r="AJ39" s="21">
        <v>0</v>
      </c>
      <c r="AK39" s="21">
        <v>0</v>
      </c>
      <c r="AL39" s="22">
        <v>1512</v>
      </c>
      <c r="AM39" s="68"/>
      <c r="AQ39" s="81"/>
      <c r="AR39"/>
    </row>
    <row r="40" spans="1:44" ht="32.1">
      <c r="A40" s="23"/>
      <c r="B40" s="19" t="s">
        <v>221</v>
      </c>
      <c r="C40" s="19" t="s">
        <v>222</v>
      </c>
      <c r="D40" s="20">
        <f t="shared" si="0"/>
        <v>0</v>
      </c>
      <c r="E40" s="21">
        <v>0</v>
      </c>
      <c r="F40" s="21">
        <v>0</v>
      </c>
      <c r="G40" s="21">
        <v>0</v>
      </c>
      <c r="H40" s="21">
        <v>0</v>
      </c>
      <c r="I40" s="21">
        <v>0</v>
      </c>
      <c r="J40" s="21">
        <v>0</v>
      </c>
      <c r="K40" s="21">
        <v>0</v>
      </c>
      <c r="L40" s="21">
        <v>0</v>
      </c>
      <c r="M40" s="21">
        <v>0</v>
      </c>
      <c r="N40" s="21">
        <v>0</v>
      </c>
      <c r="O40" s="21">
        <v>0</v>
      </c>
      <c r="P40" s="21">
        <v>0</v>
      </c>
      <c r="Q40" s="21">
        <v>0</v>
      </c>
      <c r="R40" s="21">
        <v>0</v>
      </c>
      <c r="S40" s="21">
        <v>0</v>
      </c>
      <c r="T40" s="21">
        <v>0</v>
      </c>
      <c r="U40" s="21">
        <v>0</v>
      </c>
      <c r="V40" s="21">
        <v>0</v>
      </c>
      <c r="W40" s="21">
        <v>0</v>
      </c>
      <c r="X40" s="21">
        <v>0</v>
      </c>
      <c r="Y40" s="21">
        <v>0</v>
      </c>
      <c r="Z40" s="21">
        <v>0</v>
      </c>
      <c r="AA40" s="21">
        <v>0</v>
      </c>
      <c r="AB40" s="21">
        <v>0</v>
      </c>
      <c r="AC40" s="21">
        <v>0</v>
      </c>
      <c r="AD40" s="21">
        <v>0</v>
      </c>
      <c r="AE40" s="21">
        <v>0</v>
      </c>
      <c r="AF40" s="21">
        <v>0</v>
      </c>
      <c r="AG40" s="21">
        <v>0</v>
      </c>
      <c r="AH40" s="21">
        <v>0</v>
      </c>
      <c r="AI40" s="21">
        <v>0</v>
      </c>
      <c r="AJ40" s="21">
        <v>0</v>
      </c>
      <c r="AK40" s="21">
        <v>0</v>
      </c>
      <c r="AL40" s="21">
        <v>0</v>
      </c>
      <c r="AM40" s="68"/>
      <c r="AQ40" s="81"/>
      <c r="AR40"/>
    </row>
    <row r="41" spans="1:44" ht="15.95">
      <c r="A41" s="23" t="s">
        <v>223</v>
      </c>
      <c r="B41" s="19" t="s">
        <v>224</v>
      </c>
      <c r="C41" s="19" t="s">
        <v>225</v>
      </c>
      <c r="D41" s="20">
        <f t="shared" si="0"/>
        <v>0</v>
      </c>
      <c r="E41" s="21">
        <v>0</v>
      </c>
      <c r="F41" s="21">
        <v>0</v>
      </c>
      <c r="G41" s="21">
        <v>0</v>
      </c>
      <c r="H41" s="21">
        <v>0</v>
      </c>
      <c r="I41" s="21">
        <v>0</v>
      </c>
      <c r="J41" s="21">
        <v>0</v>
      </c>
      <c r="K41" s="21">
        <v>0</v>
      </c>
      <c r="L41" s="21">
        <v>0</v>
      </c>
      <c r="M41" s="21">
        <v>0</v>
      </c>
      <c r="N41" s="21">
        <v>0</v>
      </c>
      <c r="O41" s="21">
        <v>0</v>
      </c>
      <c r="P41" s="21">
        <v>0</v>
      </c>
      <c r="Q41" s="21">
        <v>0</v>
      </c>
      <c r="R41" s="21">
        <v>0</v>
      </c>
      <c r="S41" s="21">
        <v>0</v>
      </c>
      <c r="T41" s="21">
        <v>0</v>
      </c>
      <c r="U41" s="21">
        <v>0</v>
      </c>
      <c r="V41" s="21">
        <v>0</v>
      </c>
      <c r="W41" s="21">
        <v>0</v>
      </c>
      <c r="X41" s="21">
        <v>0</v>
      </c>
      <c r="Y41" s="21">
        <v>0</v>
      </c>
      <c r="Z41" s="21">
        <v>0</v>
      </c>
      <c r="AA41" s="21">
        <v>0</v>
      </c>
      <c r="AB41" s="21">
        <v>0</v>
      </c>
      <c r="AC41" s="21">
        <v>0</v>
      </c>
      <c r="AD41" s="21">
        <v>0</v>
      </c>
      <c r="AE41" s="21">
        <v>0</v>
      </c>
      <c r="AF41" s="21">
        <v>0</v>
      </c>
      <c r="AG41" s="21">
        <v>0</v>
      </c>
      <c r="AH41" s="21">
        <v>0</v>
      </c>
      <c r="AI41" s="21">
        <v>0</v>
      </c>
      <c r="AJ41" s="21">
        <v>0</v>
      </c>
      <c r="AK41" s="21">
        <v>0</v>
      </c>
      <c r="AL41" s="21">
        <v>0</v>
      </c>
      <c r="AM41" s="68"/>
      <c r="AQ41" s="81"/>
      <c r="AR41"/>
    </row>
    <row r="42" spans="1:44" ht="32.1">
      <c r="A42" s="23"/>
      <c r="B42" s="19" t="s">
        <v>226</v>
      </c>
      <c r="C42" s="27" t="s">
        <v>227</v>
      </c>
      <c r="D42" s="20">
        <f t="shared" si="0"/>
        <v>0</v>
      </c>
      <c r="E42" s="21">
        <v>0</v>
      </c>
      <c r="F42" s="21">
        <v>0</v>
      </c>
      <c r="G42" s="21">
        <v>0</v>
      </c>
      <c r="H42" s="21">
        <v>0</v>
      </c>
      <c r="I42" s="21">
        <v>0</v>
      </c>
      <c r="J42" s="21">
        <v>0</v>
      </c>
      <c r="K42" s="21">
        <v>0</v>
      </c>
      <c r="L42" s="21">
        <v>0</v>
      </c>
      <c r="M42" s="21">
        <v>0</v>
      </c>
      <c r="N42" s="21">
        <v>0</v>
      </c>
      <c r="O42" s="21">
        <v>0</v>
      </c>
      <c r="P42" s="21">
        <v>0</v>
      </c>
      <c r="Q42" s="21">
        <v>0</v>
      </c>
      <c r="R42" s="21">
        <v>0</v>
      </c>
      <c r="S42" s="21">
        <v>0</v>
      </c>
      <c r="T42" s="21">
        <v>0</v>
      </c>
      <c r="U42" s="21">
        <v>0</v>
      </c>
      <c r="V42" s="21">
        <v>0</v>
      </c>
      <c r="W42" s="21">
        <v>0</v>
      </c>
      <c r="X42" s="21">
        <v>0</v>
      </c>
      <c r="Y42" s="21">
        <v>0</v>
      </c>
      <c r="Z42" s="21">
        <v>0</v>
      </c>
      <c r="AA42" s="21">
        <v>0</v>
      </c>
      <c r="AB42" s="21">
        <v>0</v>
      </c>
      <c r="AC42" s="21">
        <v>0</v>
      </c>
      <c r="AD42" s="21">
        <v>0</v>
      </c>
      <c r="AE42" s="21">
        <v>0</v>
      </c>
      <c r="AF42" s="21">
        <v>0</v>
      </c>
      <c r="AG42" s="21">
        <v>0</v>
      </c>
      <c r="AH42" s="21">
        <v>0</v>
      </c>
      <c r="AI42" s="21">
        <v>0</v>
      </c>
      <c r="AJ42" s="21">
        <v>0</v>
      </c>
      <c r="AK42" s="21">
        <v>0</v>
      </c>
      <c r="AL42" s="21">
        <v>0</v>
      </c>
      <c r="AM42" s="68"/>
      <c r="AQ42" s="81"/>
      <c r="AR42"/>
    </row>
    <row r="43" spans="1:44" ht="15.95">
      <c r="A43" s="23" t="s">
        <v>228</v>
      </c>
      <c r="B43" s="19" t="s">
        <v>229</v>
      </c>
      <c r="C43" s="19" t="s">
        <v>230</v>
      </c>
      <c r="D43" s="20">
        <f t="shared" si="0"/>
        <v>0</v>
      </c>
      <c r="E43" s="21">
        <v>0</v>
      </c>
      <c r="F43" s="21">
        <v>0</v>
      </c>
      <c r="G43" s="21">
        <v>0</v>
      </c>
      <c r="H43" s="21">
        <v>0</v>
      </c>
      <c r="I43" s="21">
        <v>0</v>
      </c>
      <c r="J43" s="21">
        <v>0</v>
      </c>
      <c r="K43" s="21">
        <v>0</v>
      </c>
      <c r="L43" s="21">
        <v>0</v>
      </c>
      <c r="M43" s="21">
        <v>0</v>
      </c>
      <c r="N43" s="21">
        <v>0</v>
      </c>
      <c r="O43" s="21">
        <v>0</v>
      </c>
      <c r="P43" s="21">
        <v>0</v>
      </c>
      <c r="Q43" s="21">
        <v>0</v>
      </c>
      <c r="R43" s="21">
        <v>0</v>
      </c>
      <c r="S43" s="21">
        <v>0</v>
      </c>
      <c r="T43" s="21">
        <v>0</v>
      </c>
      <c r="U43" s="21">
        <v>0</v>
      </c>
      <c r="V43" s="21">
        <v>0</v>
      </c>
      <c r="W43" s="21">
        <v>0</v>
      </c>
      <c r="X43" s="21">
        <v>0</v>
      </c>
      <c r="Y43" s="21">
        <v>0</v>
      </c>
      <c r="Z43" s="21">
        <v>0</v>
      </c>
      <c r="AA43" s="21">
        <v>0</v>
      </c>
      <c r="AB43" s="21">
        <v>0</v>
      </c>
      <c r="AC43" s="21">
        <v>0</v>
      </c>
      <c r="AD43" s="21">
        <v>0</v>
      </c>
      <c r="AE43" s="21">
        <v>0</v>
      </c>
      <c r="AF43" s="21">
        <v>0</v>
      </c>
      <c r="AG43" s="21">
        <v>0</v>
      </c>
      <c r="AH43" s="21">
        <v>0</v>
      </c>
      <c r="AI43" s="21">
        <v>0</v>
      </c>
      <c r="AJ43" s="21">
        <v>0</v>
      </c>
      <c r="AK43" s="21">
        <v>0</v>
      </c>
      <c r="AL43" s="21">
        <v>0</v>
      </c>
      <c r="AM43" s="67"/>
      <c r="AQ43" s="81"/>
      <c r="AR43"/>
    </row>
    <row r="44" spans="1:44" ht="12.75" customHeight="1">
      <c r="A44" s="24" t="s">
        <v>231</v>
      </c>
      <c r="B44" s="25"/>
      <c r="C44" s="25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67"/>
      <c r="AQ44" s="81"/>
      <c r="AR44"/>
    </row>
    <row r="45" spans="1:44" ht="15.95">
      <c r="A45" s="23" t="s">
        <v>232</v>
      </c>
      <c r="B45" s="19" t="s">
        <v>233</v>
      </c>
      <c r="C45" s="19" t="s">
        <v>196</v>
      </c>
      <c r="D45" s="20">
        <f t="shared" si="0"/>
        <v>402751.22000000009</v>
      </c>
      <c r="E45" s="21">
        <v>28067.59</v>
      </c>
      <c r="F45" s="21">
        <v>45822.68</v>
      </c>
      <c r="G45" s="21">
        <v>32381.07</v>
      </c>
      <c r="H45" s="21">
        <v>21507.96</v>
      </c>
      <c r="I45" s="21">
        <v>22525.09</v>
      </c>
      <c r="J45" s="21">
        <v>15970.81</v>
      </c>
      <c r="K45" s="21">
        <v>19533.43</v>
      </c>
      <c r="L45" s="21">
        <v>18960.5</v>
      </c>
      <c r="M45" s="21">
        <v>20749.990000000002</v>
      </c>
      <c r="N45" s="21">
        <v>6097.19</v>
      </c>
      <c r="O45" s="21">
        <v>8896.52</v>
      </c>
      <c r="P45" s="21">
        <v>6731.76</v>
      </c>
      <c r="Q45" s="21">
        <v>8531.39</v>
      </c>
      <c r="R45" s="21">
        <v>3360.18</v>
      </c>
      <c r="S45" s="21">
        <v>4615.57</v>
      </c>
      <c r="T45" s="21">
        <v>331.56</v>
      </c>
      <c r="U45" s="21">
        <v>98.6</v>
      </c>
      <c r="V45" s="21">
        <v>268.89999999999998</v>
      </c>
      <c r="W45" s="21">
        <v>126.21</v>
      </c>
      <c r="X45" s="21">
        <v>332.07</v>
      </c>
      <c r="Y45" s="21">
        <v>1301.93</v>
      </c>
      <c r="Z45" s="21">
        <v>1179.78</v>
      </c>
      <c r="AA45" s="21">
        <v>97.21</v>
      </c>
      <c r="AB45" s="21">
        <v>131.1</v>
      </c>
      <c r="AC45" s="21">
        <v>1179.53</v>
      </c>
      <c r="AD45" s="21">
        <v>1167.6400000000001</v>
      </c>
      <c r="AE45" s="21">
        <v>121.16</v>
      </c>
      <c r="AF45" s="21">
        <v>162.71</v>
      </c>
      <c r="AG45" s="21">
        <v>239.88</v>
      </c>
      <c r="AH45" s="21">
        <v>358.55</v>
      </c>
      <c r="AI45" s="21">
        <v>1338.09</v>
      </c>
      <c r="AJ45" s="21">
        <v>725.74</v>
      </c>
      <c r="AK45" s="21">
        <v>14126.86</v>
      </c>
      <c r="AL45" s="21">
        <v>115711.97</v>
      </c>
      <c r="AM45" s="67"/>
      <c r="AQ45" s="81"/>
      <c r="AR45"/>
    </row>
    <row r="46" spans="1:44" ht="15.95">
      <c r="A46" s="23" t="s">
        <v>234</v>
      </c>
      <c r="B46" s="19" t="s">
        <v>235</v>
      </c>
      <c r="C46" s="19" t="s">
        <v>236</v>
      </c>
      <c r="D46" s="20">
        <f t="shared" si="0"/>
        <v>1608</v>
      </c>
      <c r="E46" s="21">
        <v>74</v>
      </c>
      <c r="F46" s="21">
        <v>214</v>
      </c>
      <c r="G46" s="21">
        <v>185</v>
      </c>
      <c r="H46" s="21">
        <v>94</v>
      </c>
      <c r="I46" s="21">
        <v>135</v>
      </c>
      <c r="J46" s="21">
        <v>112</v>
      </c>
      <c r="K46" s="21">
        <v>71</v>
      </c>
      <c r="L46" s="21">
        <v>45</v>
      </c>
      <c r="M46" s="21">
        <v>104</v>
      </c>
      <c r="N46" s="21">
        <v>33</v>
      </c>
      <c r="O46" s="21">
        <v>22</v>
      </c>
      <c r="P46" s="21">
        <v>13</v>
      </c>
      <c r="Q46" s="21">
        <v>30</v>
      </c>
      <c r="R46" s="21">
        <v>0</v>
      </c>
      <c r="S46" s="21">
        <v>0</v>
      </c>
      <c r="T46" s="21">
        <v>0</v>
      </c>
      <c r="U46" s="21">
        <v>0</v>
      </c>
      <c r="V46" s="21">
        <v>3</v>
      </c>
      <c r="W46" s="21">
        <v>0</v>
      </c>
      <c r="X46" s="21">
        <v>2</v>
      </c>
      <c r="Y46" s="21">
        <v>9</v>
      </c>
      <c r="Z46" s="21">
        <v>9</v>
      </c>
      <c r="AA46" s="21">
        <v>0</v>
      </c>
      <c r="AB46" s="21">
        <v>0</v>
      </c>
      <c r="AC46" s="21">
        <v>12</v>
      </c>
      <c r="AD46" s="21">
        <v>5</v>
      </c>
      <c r="AE46" s="21">
        <v>0</v>
      </c>
      <c r="AF46" s="21">
        <v>0</v>
      </c>
      <c r="AG46" s="21">
        <v>8</v>
      </c>
      <c r="AH46" s="21">
        <v>3</v>
      </c>
      <c r="AI46" s="21">
        <v>8</v>
      </c>
      <c r="AJ46" s="21">
        <v>5</v>
      </c>
      <c r="AK46" s="21">
        <v>28</v>
      </c>
      <c r="AL46" s="21">
        <v>384</v>
      </c>
      <c r="AM46" s="67"/>
      <c r="AQ46" s="81"/>
      <c r="AR46"/>
    </row>
    <row r="47" spans="1:44" ht="15.95">
      <c r="A47" s="23" t="s">
        <v>237</v>
      </c>
      <c r="B47" s="19" t="s">
        <v>238</v>
      </c>
      <c r="C47" s="19" t="s">
        <v>239</v>
      </c>
      <c r="D47" s="20">
        <f t="shared" si="0"/>
        <v>908</v>
      </c>
      <c r="E47" s="21">
        <v>0</v>
      </c>
      <c r="F47" s="22">
        <v>184</v>
      </c>
      <c r="G47" s="21">
        <v>0</v>
      </c>
      <c r="H47" s="21">
        <v>0</v>
      </c>
      <c r="I47" s="22">
        <v>171</v>
      </c>
      <c r="J47" s="21">
        <v>0</v>
      </c>
      <c r="K47" s="22">
        <v>52</v>
      </c>
      <c r="L47" s="21">
        <v>0</v>
      </c>
      <c r="M47" s="22">
        <v>164</v>
      </c>
      <c r="N47" s="21">
        <v>0</v>
      </c>
      <c r="O47" s="21">
        <v>0</v>
      </c>
      <c r="P47" s="21">
        <v>0</v>
      </c>
      <c r="Q47" s="21">
        <v>0</v>
      </c>
      <c r="R47" s="21">
        <v>0</v>
      </c>
      <c r="S47" s="21">
        <v>0</v>
      </c>
      <c r="T47" s="21">
        <v>0</v>
      </c>
      <c r="U47" s="21">
        <v>0</v>
      </c>
      <c r="V47" s="21">
        <v>0</v>
      </c>
      <c r="W47" s="21">
        <v>0</v>
      </c>
      <c r="X47" s="21">
        <v>0</v>
      </c>
      <c r="Y47" s="21">
        <v>0</v>
      </c>
      <c r="Z47" s="21">
        <v>0</v>
      </c>
      <c r="AA47" s="21">
        <v>0</v>
      </c>
      <c r="AB47" s="21">
        <v>0</v>
      </c>
      <c r="AC47" s="21">
        <v>0</v>
      </c>
      <c r="AD47" s="21">
        <v>0</v>
      </c>
      <c r="AE47" s="21">
        <v>0</v>
      </c>
      <c r="AF47" s="21">
        <v>0</v>
      </c>
      <c r="AG47" s="21">
        <v>0</v>
      </c>
      <c r="AH47" s="21">
        <v>0</v>
      </c>
      <c r="AI47" s="21">
        <v>0</v>
      </c>
      <c r="AJ47" s="21">
        <v>0</v>
      </c>
      <c r="AK47" s="21">
        <v>0</v>
      </c>
      <c r="AL47" s="22">
        <v>337</v>
      </c>
      <c r="AM47" s="67"/>
      <c r="AQ47" s="81"/>
      <c r="AR47"/>
    </row>
    <row r="48" spans="1:44" ht="15.95">
      <c r="A48" s="23" t="s">
        <v>240</v>
      </c>
      <c r="B48" s="19" t="s">
        <v>241</v>
      </c>
      <c r="C48" s="19" t="s">
        <v>242</v>
      </c>
      <c r="D48" s="20">
        <f t="shared" si="0"/>
        <v>44</v>
      </c>
      <c r="E48" s="21">
        <v>0</v>
      </c>
      <c r="F48" s="22">
        <v>9</v>
      </c>
      <c r="G48" s="22">
        <v>7</v>
      </c>
      <c r="H48" s="22">
        <v>3</v>
      </c>
      <c r="I48" s="21">
        <v>0</v>
      </c>
      <c r="J48" s="22">
        <v>3</v>
      </c>
      <c r="K48" s="21">
        <v>0</v>
      </c>
      <c r="L48" s="21">
        <v>0</v>
      </c>
      <c r="M48" s="21">
        <v>0</v>
      </c>
      <c r="N48" s="21">
        <v>0</v>
      </c>
      <c r="O48" s="21">
        <v>0</v>
      </c>
      <c r="P48" s="21">
        <v>0</v>
      </c>
      <c r="Q48" s="21">
        <v>0</v>
      </c>
      <c r="R48" s="21">
        <v>0</v>
      </c>
      <c r="S48" s="21">
        <v>0</v>
      </c>
      <c r="T48" s="21">
        <v>0</v>
      </c>
      <c r="U48" s="21">
        <v>0</v>
      </c>
      <c r="V48" s="21">
        <v>0</v>
      </c>
      <c r="W48" s="21">
        <v>0</v>
      </c>
      <c r="X48" s="21">
        <v>0</v>
      </c>
      <c r="Y48" s="21">
        <v>0</v>
      </c>
      <c r="Z48" s="21">
        <v>0</v>
      </c>
      <c r="AA48" s="21">
        <v>0</v>
      </c>
      <c r="AB48" s="21">
        <v>0</v>
      </c>
      <c r="AC48" s="21">
        <v>0</v>
      </c>
      <c r="AD48" s="21">
        <v>0</v>
      </c>
      <c r="AE48" s="21">
        <v>0</v>
      </c>
      <c r="AF48" s="21">
        <v>0</v>
      </c>
      <c r="AG48" s="21">
        <v>0</v>
      </c>
      <c r="AH48" s="21">
        <v>0</v>
      </c>
      <c r="AI48" s="21">
        <v>0</v>
      </c>
      <c r="AJ48" s="21">
        <v>0</v>
      </c>
      <c r="AK48" s="21">
        <v>0</v>
      </c>
      <c r="AL48" s="22">
        <v>22</v>
      </c>
      <c r="AM48" s="68"/>
      <c r="AQ48" s="81"/>
      <c r="AR48"/>
    </row>
    <row r="49" spans="1:44" ht="15.95">
      <c r="A49" s="23" t="s">
        <v>243</v>
      </c>
      <c r="B49" s="19" t="s">
        <v>244</v>
      </c>
      <c r="C49" s="19" t="s">
        <v>245</v>
      </c>
      <c r="D49" s="20">
        <f t="shared" si="0"/>
        <v>0</v>
      </c>
      <c r="E49" s="21">
        <v>0</v>
      </c>
      <c r="F49" s="21">
        <v>0</v>
      </c>
      <c r="G49" s="21">
        <v>0</v>
      </c>
      <c r="H49" s="21">
        <v>0</v>
      </c>
      <c r="I49" s="21">
        <v>0</v>
      </c>
      <c r="J49" s="21">
        <v>0</v>
      </c>
      <c r="K49" s="21">
        <v>0</v>
      </c>
      <c r="L49" s="21">
        <v>0</v>
      </c>
      <c r="M49" s="21">
        <v>0</v>
      </c>
      <c r="N49" s="21">
        <v>0</v>
      </c>
      <c r="O49" s="21">
        <v>0</v>
      </c>
      <c r="P49" s="21">
        <v>0</v>
      </c>
      <c r="Q49" s="21">
        <v>0</v>
      </c>
      <c r="R49" s="21">
        <v>0</v>
      </c>
      <c r="S49" s="21">
        <v>0</v>
      </c>
      <c r="T49" s="21">
        <v>0</v>
      </c>
      <c r="U49" s="21">
        <v>0</v>
      </c>
      <c r="V49" s="21">
        <v>0</v>
      </c>
      <c r="W49" s="21">
        <v>0</v>
      </c>
      <c r="X49" s="21">
        <v>0</v>
      </c>
      <c r="Y49" s="21">
        <v>0</v>
      </c>
      <c r="Z49" s="21">
        <v>0</v>
      </c>
      <c r="AA49" s="21">
        <v>0</v>
      </c>
      <c r="AB49" s="21">
        <v>0</v>
      </c>
      <c r="AC49" s="21">
        <v>0</v>
      </c>
      <c r="AD49" s="21">
        <v>0</v>
      </c>
      <c r="AE49" s="21">
        <v>0</v>
      </c>
      <c r="AF49" s="21">
        <v>0</v>
      </c>
      <c r="AG49" s="21">
        <v>0</v>
      </c>
      <c r="AH49" s="21">
        <v>0</v>
      </c>
      <c r="AI49" s="21">
        <v>0</v>
      </c>
      <c r="AJ49" s="21">
        <v>0</v>
      </c>
      <c r="AK49" s="21">
        <v>0</v>
      </c>
      <c r="AL49" s="21">
        <v>0</v>
      </c>
      <c r="AM49" s="68"/>
      <c r="AQ49" s="81"/>
      <c r="AR49"/>
    </row>
    <row r="50" spans="1:44" ht="15.95">
      <c r="A50" s="23" t="s">
        <v>246</v>
      </c>
      <c r="B50" s="19" t="s">
        <v>247</v>
      </c>
      <c r="C50" s="19" t="s">
        <v>248</v>
      </c>
      <c r="D50" s="20">
        <f t="shared" si="0"/>
        <v>0</v>
      </c>
      <c r="E50" s="21">
        <v>0</v>
      </c>
      <c r="F50" s="21">
        <v>0</v>
      </c>
      <c r="G50" s="21">
        <v>0</v>
      </c>
      <c r="H50" s="21">
        <v>0</v>
      </c>
      <c r="I50" s="21">
        <v>0</v>
      </c>
      <c r="J50" s="21">
        <v>0</v>
      </c>
      <c r="K50" s="21">
        <v>0</v>
      </c>
      <c r="L50" s="21">
        <v>0</v>
      </c>
      <c r="M50" s="21">
        <v>0</v>
      </c>
      <c r="N50" s="21">
        <v>0</v>
      </c>
      <c r="O50" s="21">
        <v>0</v>
      </c>
      <c r="P50" s="21">
        <v>0</v>
      </c>
      <c r="Q50" s="21">
        <v>0</v>
      </c>
      <c r="R50" s="21">
        <v>0</v>
      </c>
      <c r="S50" s="21">
        <v>0</v>
      </c>
      <c r="T50" s="21">
        <v>0</v>
      </c>
      <c r="U50" s="21">
        <v>0</v>
      </c>
      <c r="V50" s="21">
        <v>0</v>
      </c>
      <c r="W50" s="21">
        <v>0</v>
      </c>
      <c r="X50" s="21">
        <v>0</v>
      </c>
      <c r="Y50" s="21">
        <v>0</v>
      </c>
      <c r="Z50" s="21">
        <v>0</v>
      </c>
      <c r="AA50" s="21">
        <v>0</v>
      </c>
      <c r="AB50" s="21">
        <v>0</v>
      </c>
      <c r="AC50" s="21">
        <v>0</v>
      </c>
      <c r="AD50" s="21">
        <v>0</v>
      </c>
      <c r="AE50" s="21">
        <v>0</v>
      </c>
      <c r="AF50" s="21">
        <v>0</v>
      </c>
      <c r="AG50" s="21">
        <v>0</v>
      </c>
      <c r="AH50" s="21">
        <v>0</v>
      </c>
      <c r="AI50" s="21">
        <v>0</v>
      </c>
      <c r="AJ50" s="21">
        <v>0</v>
      </c>
      <c r="AK50" s="21">
        <v>0</v>
      </c>
      <c r="AL50" s="21">
        <v>0</v>
      </c>
      <c r="AM50" s="68"/>
      <c r="AQ50" s="81"/>
      <c r="AR50"/>
    </row>
    <row r="51" spans="1:44" ht="15.95">
      <c r="A51" s="23" t="s">
        <v>249</v>
      </c>
      <c r="B51" s="19" t="s">
        <v>250</v>
      </c>
      <c r="C51" s="19" t="s">
        <v>236</v>
      </c>
      <c r="D51" s="20">
        <f t="shared" si="0"/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68"/>
      <c r="AQ51" s="81"/>
      <c r="AR51"/>
    </row>
    <row r="52" spans="1:44" ht="15.95">
      <c r="A52" s="23" t="s">
        <v>251</v>
      </c>
      <c r="B52" s="19" t="s">
        <v>252</v>
      </c>
      <c r="C52" s="19" t="s">
        <v>253</v>
      </c>
      <c r="D52" s="20">
        <f t="shared" si="0"/>
        <v>36</v>
      </c>
      <c r="E52" s="21">
        <v>2</v>
      </c>
      <c r="F52" s="21">
        <v>5</v>
      </c>
      <c r="G52" s="21">
        <v>2</v>
      </c>
      <c r="H52" s="21">
        <v>2</v>
      </c>
      <c r="I52" s="21">
        <v>4</v>
      </c>
      <c r="J52" s="21">
        <v>2</v>
      </c>
      <c r="K52" s="21">
        <v>2</v>
      </c>
      <c r="L52" s="21">
        <v>3</v>
      </c>
      <c r="M52" s="21">
        <v>2</v>
      </c>
      <c r="N52" s="21">
        <v>0</v>
      </c>
      <c r="O52" s="21">
        <v>2</v>
      </c>
      <c r="P52" s="21">
        <v>2</v>
      </c>
      <c r="Q52" s="21">
        <v>0</v>
      </c>
      <c r="R52" s="21">
        <v>0</v>
      </c>
      <c r="S52" s="21">
        <v>2</v>
      </c>
      <c r="T52" s="21">
        <v>0</v>
      </c>
      <c r="U52" s="21">
        <v>0</v>
      </c>
      <c r="V52" s="21">
        <v>0</v>
      </c>
      <c r="W52" s="21">
        <v>0</v>
      </c>
      <c r="X52" s="21">
        <v>0</v>
      </c>
      <c r="Y52" s="21">
        <v>0</v>
      </c>
      <c r="Z52" s="21">
        <v>0</v>
      </c>
      <c r="AA52" s="21">
        <v>0</v>
      </c>
      <c r="AB52" s="21">
        <v>0</v>
      </c>
      <c r="AC52" s="21">
        <v>0</v>
      </c>
      <c r="AD52" s="21">
        <v>0</v>
      </c>
      <c r="AE52" s="21">
        <v>0</v>
      </c>
      <c r="AF52" s="21">
        <v>0</v>
      </c>
      <c r="AG52" s="21">
        <v>0</v>
      </c>
      <c r="AH52" s="21">
        <v>0</v>
      </c>
      <c r="AI52" s="21">
        <v>0</v>
      </c>
      <c r="AJ52" s="21">
        <v>0</v>
      </c>
      <c r="AK52" s="21">
        <v>0</v>
      </c>
      <c r="AL52" s="21">
        <v>6</v>
      </c>
      <c r="AM52" s="68"/>
      <c r="AQ52" s="81"/>
      <c r="AR52"/>
    </row>
    <row r="53" spans="1:44" ht="15.95">
      <c r="A53" s="23" t="s">
        <v>254</v>
      </c>
      <c r="B53" s="19" t="s">
        <v>255</v>
      </c>
      <c r="C53" s="19" t="s">
        <v>256</v>
      </c>
      <c r="D53" s="20">
        <f t="shared" si="0"/>
        <v>14</v>
      </c>
      <c r="E53" s="21">
        <v>1</v>
      </c>
      <c r="F53" s="21">
        <v>2</v>
      </c>
      <c r="G53" s="21">
        <v>1</v>
      </c>
      <c r="H53" s="21">
        <v>0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1">
        <v>0</v>
      </c>
      <c r="O53" s="21">
        <v>0</v>
      </c>
      <c r="P53" s="21">
        <v>0</v>
      </c>
      <c r="Q53" s="21">
        <v>0</v>
      </c>
      <c r="R53" s="21">
        <v>0</v>
      </c>
      <c r="S53" s="21">
        <v>0</v>
      </c>
      <c r="T53" s="21">
        <v>0</v>
      </c>
      <c r="U53" s="21">
        <v>0</v>
      </c>
      <c r="V53" s="21">
        <v>0</v>
      </c>
      <c r="W53" s="21">
        <v>0</v>
      </c>
      <c r="X53" s="21">
        <v>0</v>
      </c>
      <c r="Y53" s="21">
        <v>0</v>
      </c>
      <c r="Z53" s="21">
        <v>0</v>
      </c>
      <c r="AA53" s="21">
        <v>0</v>
      </c>
      <c r="AB53" s="21">
        <v>0</v>
      </c>
      <c r="AC53" s="21">
        <v>0</v>
      </c>
      <c r="AD53" s="21">
        <v>0</v>
      </c>
      <c r="AE53" s="21">
        <v>0</v>
      </c>
      <c r="AF53" s="21">
        <v>0</v>
      </c>
      <c r="AG53" s="21">
        <v>0</v>
      </c>
      <c r="AH53" s="21">
        <v>0</v>
      </c>
      <c r="AI53" s="21">
        <v>0</v>
      </c>
      <c r="AJ53" s="21">
        <v>0</v>
      </c>
      <c r="AK53" s="21">
        <v>0</v>
      </c>
      <c r="AL53" s="21">
        <v>5</v>
      </c>
      <c r="AM53" s="68"/>
      <c r="AQ53" s="81"/>
      <c r="AR53"/>
    </row>
    <row r="54" spans="1:44" ht="15.95">
      <c r="A54" s="23" t="s">
        <v>257</v>
      </c>
      <c r="B54" s="19" t="s">
        <v>258</v>
      </c>
      <c r="C54" s="19" t="s">
        <v>259</v>
      </c>
      <c r="D54" s="20">
        <f t="shared" si="0"/>
        <v>7</v>
      </c>
      <c r="E54" s="21">
        <v>0</v>
      </c>
      <c r="F54" s="21">
        <v>0</v>
      </c>
      <c r="G54" s="21">
        <v>0</v>
      </c>
      <c r="H54" s="21">
        <v>1</v>
      </c>
      <c r="I54" s="21">
        <v>0</v>
      </c>
      <c r="J54" s="21">
        <v>0</v>
      </c>
      <c r="K54" s="21">
        <v>0</v>
      </c>
      <c r="L54" s="21">
        <v>1</v>
      </c>
      <c r="M54" s="21">
        <v>0</v>
      </c>
      <c r="N54" s="21">
        <v>1</v>
      </c>
      <c r="O54" s="21">
        <v>0</v>
      </c>
      <c r="P54" s="21">
        <v>1</v>
      </c>
      <c r="Q54" s="21">
        <v>1</v>
      </c>
      <c r="R54" s="21">
        <v>0</v>
      </c>
      <c r="S54" s="21">
        <v>1</v>
      </c>
      <c r="T54" s="21">
        <v>0</v>
      </c>
      <c r="U54" s="21">
        <v>0</v>
      </c>
      <c r="V54" s="21">
        <v>0</v>
      </c>
      <c r="W54" s="21">
        <v>0</v>
      </c>
      <c r="X54" s="21">
        <v>0</v>
      </c>
      <c r="Y54" s="21">
        <v>0</v>
      </c>
      <c r="Z54" s="21">
        <v>0</v>
      </c>
      <c r="AA54" s="21">
        <v>0</v>
      </c>
      <c r="AB54" s="21">
        <v>0</v>
      </c>
      <c r="AC54" s="21">
        <v>0</v>
      </c>
      <c r="AD54" s="21">
        <v>0</v>
      </c>
      <c r="AE54" s="21">
        <v>0</v>
      </c>
      <c r="AF54" s="21">
        <v>0</v>
      </c>
      <c r="AG54" s="21">
        <v>0</v>
      </c>
      <c r="AH54" s="21">
        <v>0</v>
      </c>
      <c r="AI54" s="21">
        <v>0</v>
      </c>
      <c r="AJ54" s="21">
        <v>0</v>
      </c>
      <c r="AK54" s="21">
        <v>1</v>
      </c>
      <c r="AL54" s="21">
        <v>0</v>
      </c>
      <c r="AM54" s="67"/>
      <c r="AQ54" s="81"/>
      <c r="AR54"/>
    </row>
    <row r="55" spans="1:44" ht="15.95">
      <c r="A55" s="23" t="s">
        <v>257</v>
      </c>
      <c r="B55" s="19" t="s">
        <v>260</v>
      </c>
      <c r="C55" s="19" t="s">
        <v>259</v>
      </c>
      <c r="D55" s="20">
        <f t="shared" si="0"/>
        <v>5</v>
      </c>
      <c r="E55" s="22">
        <v>1</v>
      </c>
      <c r="F55" s="22">
        <v>1</v>
      </c>
      <c r="G55" s="22">
        <v>1</v>
      </c>
      <c r="H55" s="22">
        <v>0</v>
      </c>
      <c r="I55" s="22">
        <v>1</v>
      </c>
      <c r="J55" s="22">
        <v>0</v>
      </c>
      <c r="K55" s="22">
        <v>1</v>
      </c>
      <c r="L55" s="22">
        <v>0</v>
      </c>
      <c r="M55" s="22">
        <v>0</v>
      </c>
      <c r="N55" s="22">
        <v>0</v>
      </c>
      <c r="O55" s="22">
        <v>0</v>
      </c>
      <c r="P55" s="22">
        <v>0</v>
      </c>
      <c r="Q55" s="22">
        <v>0</v>
      </c>
      <c r="R55" s="22">
        <v>0</v>
      </c>
      <c r="S55" s="22">
        <v>0</v>
      </c>
      <c r="T55" s="22">
        <v>0</v>
      </c>
      <c r="U55" s="22">
        <v>0</v>
      </c>
      <c r="V55" s="22">
        <v>0</v>
      </c>
      <c r="W55" s="22">
        <v>0</v>
      </c>
      <c r="X55" s="22">
        <v>0</v>
      </c>
      <c r="Y55" s="22">
        <v>0</v>
      </c>
      <c r="Z55" s="22">
        <v>0</v>
      </c>
      <c r="AA55" s="22">
        <v>0</v>
      </c>
      <c r="AB55" s="22">
        <v>0</v>
      </c>
      <c r="AC55" s="22">
        <v>0</v>
      </c>
      <c r="AD55" s="22">
        <v>0</v>
      </c>
      <c r="AE55" s="22">
        <v>0</v>
      </c>
      <c r="AF55" s="22">
        <v>0</v>
      </c>
      <c r="AG55" s="22">
        <v>0</v>
      </c>
      <c r="AH55" s="22">
        <v>0</v>
      </c>
      <c r="AI55" s="22">
        <v>0</v>
      </c>
      <c r="AJ55" s="22">
        <v>0</v>
      </c>
      <c r="AK55" s="22">
        <v>0</v>
      </c>
      <c r="AL55" s="22">
        <v>0</v>
      </c>
      <c r="AM55" s="67"/>
      <c r="AQ55" s="81"/>
      <c r="AR55"/>
    </row>
    <row r="56" spans="1:44" ht="15.95">
      <c r="A56" s="23" t="s">
        <v>257</v>
      </c>
      <c r="B56" s="19" t="s">
        <v>261</v>
      </c>
      <c r="C56" s="19" t="s">
        <v>259</v>
      </c>
      <c r="D56" s="20">
        <f t="shared" si="0"/>
        <v>3</v>
      </c>
      <c r="E56" s="21">
        <v>0</v>
      </c>
      <c r="F56" s="21">
        <v>1</v>
      </c>
      <c r="G56" s="21">
        <v>0</v>
      </c>
      <c r="H56" s="21">
        <v>0</v>
      </c>
      <c r="I56" s="21">
        <v>0</v>
      </c>
      <c r="J56" s="21">
        <v>1</v>
      </c>
      <c r="K56" s="21">
        <v>0</v>
      </c>
      <c r="L56" s="21">
        <v>0</v>
      </c>
      <c r="M56" s="21">
        <v>1</v>
      </c>
      <c r="N56" s="21">
        <v>0</v>
      </c>
      <c r="O56" s="21">
        <v>0</v>
      </c>
      <c r="P56" s="21">
        <v>0</v>
      </c>
      <c r="Q56" s="21">
        <v>0</v>
      </c>
      <c r="R56" s="21">
        <v>0</v>
      </c>
      <c r="S56" s="21">
        <v>0</v>
      </c>
      <c r="T56" s="21">
        <v>0</v>
      </c>
      <c r="U56" s="21">
        <v>0</v>
      </c>
      <c r="V56" s="21">
        <v>0</v>
      </c>
      <c r="W56" s="21">
        <v>0</v>
      </c>
      <c r="X56" s="21">
        <v>0</v>
      </c>
      <c r="Y56" s="21">
        <v>0</v>
      </c>
      <c r="Z56" s="21">
        <v>0</v>
      </c>
      <c r="AA56" s="21">
        <v>0</v>
      </c>
      <c r="AB56" s="21">
        <v>0</v>
      </c>
      <c r="AC56" s="21">
        <v>0</v>
      </c>
      <c r="AD56" s="21">
        <v>0</v>
      </c>
      <c r="AE56" s="21">
        <v>0</v>
      </c>
      <c r="AF56" s="21">
        <v>0</v>
      </c>
      <c r="AG56" s="21">
        <v>0</v>
      </c>
      <c r="AH56" s="21">
        <v>0</v>
      </c>
      <c r="AI56" s="21">
        <v>0</v>
      </c>
      <c r="AJ56" s="21">
        <v>0</v>
      </c>
      <c r="AK56" s="21">
        <v>0</v>
      </c>
      <c r="AL56" s="21">
        <v>0</v>
      </c>
      <c r="AM56" s="67"/>
      <c r="AQ56" s="81"/>
      <c r="AR56"/>
    </row>
    <row r="57" spans="1:44" ht="15.95">
      <c r="A57" s="23" t="s">
        <v>262</v>
      </c>
      <c r="B57" s="19" t="s">
        <v>263</v>
      </c>
      <c r="C57" s="19" t="s">
        <v>259</v>
      </c>
      <c r="D57" s="20">
        <f t="shared" si="0"/>
        <v>3</v>
      </c>
      <c r="E57" s="21">
        <v>0</v>
      </c>
      <c r="F57" s="21">
        <v>0</v>
      </c>
      <c r="G57" s="21">
        <v>0</v>
      </c>
      <c r="H57" s="21">
        <v>0</v>
      </c>
      <c r="I57" s="21">
        <v>0</v>
      </c>
      <c r="J57" s="21">
        <v>0</v>
      </c>
      <c r="K57" s="21">
        <v>0</v>
      </c>
      <c r="L57" s="21">
        <v>0</v>
      </c>
      <c r="M57" s="21">
        <v>0</v>
      </c>
      <c r="N57" s="21">
        <v>0</v>
      </c>
      <c r="O57" s="21">
        <v>0</v>
      </c>
      <c r="P57" s="21">
        <v>0</v>
      </c>
      <c r="Q57" s="21">
        <v>0</v>
      </c>
      <c r="R57" s="21">
        <v>0</v>
      </c>
      <c r="S57" s="21">
        <v>0</v>
      </c>
      <c r="T57" s="21">
        <v>0</v>
      </c>
      <c r="U57" s="21">
        <v>0</v>
      </c>
      <c r="V57" s="21">
        <v>0</v>
      </c>
      <c r="W57" s="21">
        <v>0</v>
      </c>
      <c r="X57" s="21">
        <v>0</v>
      </c>
      <c r="Y57" s="21">
        <v>0</v>
      </c>
      <c r="Z57" s="21">
        <v>0</v>
      </c>
      <c r="AA57" s="21">
        <v>0</v>
      </c>
      <c r="AB57" s="21">
        <v>0</v>
      </c>
      <c r="AC57" s="21">
        <v>0</v>
      </c>
      <c r="AD57" s="21">
        <v>0</v>
      </c>
      <c r="AE57" s="21">
        <v>0</v>
      </c>
      <c r="AF57" s="21">
        <v>0</v>
      </c>
      <c r="AG57" s="21">
        <v>0</v>
      </c>
      <c r="AH57" s="21">
        <v>0</v>
      </c>
      <c r="AI57" s="21">
        <v>0</v>
      </c>
      <c r="AJ57" s="21">
        <v>0</v>
      </c>
      <c r="AK57" s="21">
        <v>0</v>
      </c>
      <c r="AL57" s="21">
        <v>3</v>
      </c>
      <c r="AM57" s="67"/>
      <c r="AQ57" s="81"/>
      <c r="AR57"/>
    </row>
    <row r="58" spans="1:44" ht="15.95">
      <c r="A58" s="23"/>
      <c r="B58" s="19" t="s">
        <v>264</v>
      </c>
      <c r="C58" s="19" t="s">
        <v>265</v>
      </c>
      <c r="D58" s="20">
        <f t="shared" si="0"/>
        <v>27</v>
      </c>
      <c r="E58" s="21">
        <v>0</v>
      </c>
      <c r="F58" s="21">
        <v>2</v>
      </c>
      <c r="G58" s="21">
        <v>3</v>
      </c>
      <c r="H58" s="21">
        <v>1</v>
      </c>
      <c r="I58" s="21">
        <v>2</v>
      </c>
      <c r="J58" s="21">
        <v>0</v>
      </c>
      <c r="K58" s="21">
        <v>1</v>
      </c>
      <c r="L58" s="21">
        <v>0</v>
      </c>
      <c r="M58" s="21">
        <v>9</v>
      </c>
      <c r="N58" s="21">
        <v>0</v>
      </c>
      <c r="O58" s="21">
        <v>0</v>
      </c>
      <c r="P58" s="21">
        <v>0</v>
      </c>
      <c r="Q58" s="21">
        <v>0</v>
      </c>
      <c r="R58" s="21">
        <v>0</v>
      </c>
      <c r="S58" s="21">
        <v>0</v>
      </c>
      <c r="T58" s="21">
        <v>0</v>
      </c>
      <c r="U58" s="21">
        <v>0</v>
      </c>
      <c r="V58" s="21">
        <v>0</v>
      </c>
      <c r="W58" s="21">
        <v>0</v>
      </c>
      <c r="X58" s="21">
        <v>0</v>
      </c>
      <c r="Y58" s="21">
        <v>1</v>
      </c>
      <c r="Z58" s="21">
        <v>0</v>
      </c>
      <c r="AA58" s="21">
        <v>0</v>
      </c>
      <c r="AB58" s="21">
        <v>0</v>
      </c>
      <c r="AC58" s="21">
        <v>0</v>
      </c>
      <c r="AD58" s="21">
        <v>0</v>
      </c>
      <c r="AE58" s="21">
        <v>0</v>
      </c>
      <c r="AF58" s="21">
        <v>0</v>
      </c>
      <c r="AG58" s="21">
        <v>0</v>
      </c>
      <c r="AH58" s="21">
        <v>0</v>
      </c>
      <c r="AI58" s="21">
        <v>0</v>
      </c>
      <c r="AJ58" s="21">
        <v>0</v>
      </c>
      <c r="AK58" s="21">
        <v>0</v>
      </c>
      <c r="AL58" s="21">
        <v>8</v>
      </c>
      <c r="AM58" s="67"/>
      <c r="AQ58" s="81"/>
      <c r="AR58"/>
    </row>
    <row r="59" spans="1:44" ht="15.95">
      <c r="A59" s="23" t="s">
        <v>262</v>
      </c>
      <c r="B59" s="19" t="s">
        <v>266</v>
      </c>
      <c r="C59" s="19" t="s">
        <v>265</v>
      </c>
      <c r="D59" s="20">
        <f t="shared" si="0"/>
        <v>14</v>
      </c>
      <c r="E59" s="21">
        <v>0</v>
      </c>
      <c r="F59" s="21">
        <v>0</v>
      </c>
      <c r="G59" s="21">
        <v>0</v>
      </c>
      <c r="H59" s="21">
        <v>0</v>
      </c>
      <c r="I59" s="21">
        <v>6</v>
      </c>
      <c r="J59" s="21">
        <v>1</v>
      </c>
      <c r="K59" s="21">
        <v>2</v>
      </c>
      <c r="L59" s="21">
        <v>1</v>
      </c>
      <c r="M59" s="21">
        <v>2</v>
      </c>
      <c r="N59" s="21">
        <v>0</v>
      </c>
      <c r="O59" s="21">
        <v>0</v>
      </c>
      <c r="P59" s="21">
        <v>0</v>
      </c>
      <c r="Q59" s="21">
        <v>0</v>
      </c>
      <c r="R59" s="21">
        <v>0</v>
      </c>
      <c r="S59" s="21">
        <v>0</v>
      </c>
      <c r="T59" s="21">
        <v>0</v>
      </c>
      <c r="U59" s="21">
        <v>0</v>
      </c>
      <c r="V59" s="21">
        <v>0</v>
      </c>
      <c r="W59" s="21">
        <v>0</v>
      </c>
      <c r="X59" s="21">
        <v>0</v>
      </c>
      <c r="Y59" s="21">
        <v>0</v>
      </c>
      <c r="Z59" s="21">
        <v>0</v>
      </c>
      <c r="AA59" s="21">
        <v>0</v>
      </c>
      <c r="AB59" s="21">
        <v>0</v>
      </c>
      <c r="AC59" s="21">
        <v>0</v>
      </c>
      <c r="AD59" s="21">
        <v>0</v>
      </c>
      <c r="AE59" s="21">
        <v>0</v>
      </c>
      <c r="AF59" s="21">
        <v>0</v>
      </c>
      <c r="AG59" s="21">
        <v>0</v>
      </c>
      <c r="AH59" s="21">
        <v>0</v>
      </c>
      <c r="AI59" s="21">
        <v>0</v>
      </c>
      <c r="AJ59" s="21">
        <v>0</v>
      </c>
      <c r="AK59" s="21">
        <v>2</v>
      </c>
      <c r="AL59" s="21">
        <v>0</v>
      </c>
      <c r="AM59" s="67"/>
      <c r="AQ59" s="81"/>
      <c r="AR59"/>
    </row>
    <row r="60" spans="1:44" ht="15.95">
      <c r="A60" s="23" t="s">
        <v>262</v>
      </c>
      <c r="B60" s="19" t="s">
        <v>267</v>
      </c>
      <c r="C60" s="19" t="s">
        <v>265</v>
      </c>
      <c r="D60" s="20">
        <f t="shared" si="0"/>
        <v>4</v>
      </c>
      <c r="E60" s="21">
        <v>1</v>
      </c>
      <c r="F60" s="21">
        <v>1</v>
      </c>
      <c r="G60" s="21">
        <v>0</v>
      </c>
      <c r="H60" s="21">
        <v>0</v>
      </c>
      <c r="I60" s="21">
        <v>0</v>
      </c>
      <c r="J60" s="21">
        <v>0</v>
      </c>
      <c r="K60" s="21">
        <v>0</v>
      </c>
      <c r="L60" s="21">
        <v>0</v>
      </c>
      <c r="M60" s="21">
        <v>0</v>
      </c>
      <c r="N60" s="21">
        <v>2</v>
      </c>
      <c r="O60" s="21">
        <v>0</v>
      </c>
      <c r="P60" s="21">
        <v>0</v>
      </c>
      <c r="Q60" s="21">
        <v>0</v>
      </c>
      <c r="R60" s="21">
        <v>0</v>
      </c>
      <c r="S60" s="21">
        <v>0</v>
      </c>
      <c r="T60" s="21">
        <v>0</v>
      </c>
      <c r="U60" s="21">
        <v>0</v>
      </c>
      <c r="V60" s="21">
        <v>0</v>
      </c>
      <c r="W60" s="21">
        <v>0</v>
      </c>
      <c r="X60" s="21">
        <v>0</v>
      </c>
      <c r="Y60" s="21">
        <v>0</v>
      </c>
      <c r="Z60" s="21">
        <v>0</v>
      </c>
      <c r="AA60" s="21">
        <v>0</v>
      </c>
      <c r="AB60" s="21">
        <v>0</v>
      </c>
      <c r="AC60" s="21">
        <v>0</v>
      </c>
      <c r="AD60" s="21">
        <v>0</v>
      </c>
      <c r="AE60" s="21">
        <v>0</v>
      </c>
      <c r="AF60" s="21">
        <v>0</v>
      </c>
      <c r="AG60" s="21">
        <v>0</v>
      </c>
      <c r="AH60" s="21">
        <v>0</v>
      </c>
      <c r="AI60" s="21">
        <v>0</v>
      </c>
      <c r="AJ60" s="21">
        <v>0</v>
      </c>
      <c r="AK60" s="21">
        <v>0</v>
      </c>
      <c r="AL60" s="21">
        <v>0</v>
      </c>
      <c r="AM60" s="67"/>
      <c r="AQ60" s="81"/>
      <c r="AR60"/>
    </row>
    <row r="61" spans="1:44" ht="15.95">
      <c r="A61" s="23" t="s">
        <v>262</v>
      </c>
      <c r="B61" s="19" t="s">
        <v>268</v>
      </c>
      <c r="C61" s="19" t="s">
        <v>265</v>
      </c>
      <c r="D61" s="20">
        <f t="shared" si="0"/>
        <v>9</v>
      </c>
      <c r="E61" s="21">
        <v>0</v>
      </c>
      <c r="F61" s="21">
        <v>2</v>
      </c>
      <c r="G61" s="21">
        <v>0</v>
      </c>
      <c r="H61" s="21">
        <v>0</v>
      </c>
      <c r="I61" s="21">
        <v>0</v>
      </c>
      <c r="J61" s="21">
        <v>0</v>
      </c>
      <c r="K61" s="21">
        <v>0</v>
      </c>
      <c r="L61" s="21">
        <v>0</v>
      </c>
      <c r="M61" s="21">
        <v>1</v>
      </c>
      <c r="N61" s="21">
        <v>0</v>
      </c>
      <c r="O61" s="21">
        <v>0</v>
      </c>
      <c r="P61" s="21">
        <v>0</v>
      </c>
      <c r="Q61" s="21">
        <v>0</v>
      </c>
      <c r="R61" s="21">
        <v>0</v>
      </c>
      <c r="S61" s="21">
        <v>0</v>
      </c>
      <c r="T61" s="21">
        <v>0</v>
      </c>
      <c r="U61" s="21">
        <v>0</v>
      </c>
      <c r="V61" s="21">
        <v>0</v>
      </c>
      <c r="W61" s="21">
        <v>0</v>
      </c>
      <c r="X61" s="21">
        <v>0</v>
      </c>
      <c r="Y61" s="21">
        <v>0</v>
      </c>
      <c r="Z61" s="21">
        <v>0</v>
      </c>
      <c r="AA61" s="21">
        <v>0</v>
      </c>
      <c r="AB61" s="21">
        <v>0</v>
      </c>
      <c r="AC61" s="21">
        <v>0</v>
      </c>
      <c r="AD61" s="21">
        <v>0</v>
      </c>
      <c r="AE61" s="21">
        <v>0</v>
      </c>
      <c r="AF61" s="21">
        <v>0</v>
      </c>
      <c r="AG61" s="21">
        <v>0</v>
      </c>
      <c r="AH61" s="21">
        <v>0</v>
      </c>
      <c r="AI61" s="21">
        <v>0</v>
      </c>
      <c r="AJ61" s="21">
        <v>0</v>
      </c>
      <c r="AK61" s="21">
        <v>0</v>
      </c>
      <c r="AL61" s="21">
        <v>6</v>
      </c>
      <c r="AM61" s="67"/>
      <c r="AQ61" s="81"/>
      <c r="AR61"/>
    </row>
    <row r="62" spans="1:44" ht="15.95">
      <c r="A62" s="23" t="s">
        <v>262</v>
      </c>
      <c r="B62" s="19" t="s">
        <v>269</v>
      </c>
      <c r="C62" s="19" t="s">
        <v>265</v>
      </c>
      <c r="D62" s="20">
        <f t="shared" si="0"/>
        <v>0</v>
      </c>
      <c r="E62" s="21">
        <v>0</v>
      </c>
      <c r="F62" s="21">
        <v>0</v>
      </c>
      <c r="G62" s="21">
        <v>0</v>
      </c>
      <c r="H62" s="21">
        <v>0</v>
      </c>
      <c r="I62" s="21">
        <v>0</v>
      </c>
      <c r="J62" s="21">
        <v>0</v>
      </c>
      <c r="K62" s="21">
        <v>0</v>
      </c>
      <c r="L62" s="21">
        <v>0</v>
      </c>
      <c r="M62" s="21">
        <v>0</v>
      </c>
      <c r="N62" s="21">
        <v>0</v>
      </c>
      <c r="O62" s="21">
        <v>0</v>
      </c>
      <c r="P62" s="21">
        <v>0</v>
      </c>
      <c r="Q62" s="21">
        <v>0</v>
      </c>
      <c r="R62" s="21">
        <v>0</v>
      </c>
      <c r="S62" s="21">
        <v>0</v>
      </c>
      <c r="T62" s="21">
        <v>0</v>
      </c>
      <c r="U62" s="21">
        <v>0</v>
      </c>
      <c r="V62" s="21">
        <v>0</v>
      </c>
      <c r="W62" s="21">
        <v>0</v>
      </c>
      <c r="X62" s="21">
        <v>0</v>
      </c>
      <c r="Y62" s="21">
        <v>0</v>
      </c>
      <c r="Z62" s="21">
        <v>0</v>
      </c>
      <c r="AA62" s="21">
        <v>0</v>
      </c>
      <c r="AB62" s="21">
        <v>0</v>
      </c>
      <c r="AC62" s="21">
        <v>0</v>
      </c>
      <c r="AD62" s="21">
        <v>0</v>
      </c>
      <c r="AE62" s="21">
        <v>0</v>
      </c>
      <c r="AF62" s="21">
        <v>0</v>
      </c>
      <c r="AG62" s="21">
        <v>0</v>
      </c>
      <c r="AH62" s="21">
        <v>0</v>
      </c>
      <c r="AI62" s="21">
        <v>0</v>
      </c>
      <c r="AJ62" s="21">
        <v>0</v>
      </c>
      <c r="AK62" s="21">
        <v>0</v>
      </c>
      <c r="AL62" s="21">
        <v>0</v>
      </c>
      <c r="AM62" s="67"/>
      <c r="AQ62" s="81"/>
      <c r="AR62"/>
    </row>
    <row r="63" spans="1:44" ht="15.95">
      <c r="A63" s="23" t="s">
        <v>270</v>
      </c>
      <c r="B63" s="19" t="s">
        <v>271</v>
      </c>
      <c r="C63" s="19" t="s">
        <v>272</v>
      </c>
      <c r="D63" s="20">
        <f t="shared" si="0"/>
        <v>21.46</v>
      </c>
      <c r="E63" s="21">
        <v>0</v>
      </c>
      <c r="F63" s="22">
        <v>21.46</v>
      </c>
      <c r="G63" s="21">
        <v>0</v>
      </c>
      <c r="H63" s="21">
        <v>0</v>
      </c>
      <c r="I63" s="21">
        <v>0</v>
      </c>
      <c r="J63" s="21">
        <v>0</v>
      </c>
      <c r="K63" s="21">
        <v>0</v>
      </c>
      <c r="L63" s="21">
        <v>0</v>
      </c>
      <c r="M63" s="21">
        <v>0</v>
      </c>
      <c r="N63" s="21">
        <v>0</v>
      </c>
      <c r="O63" s="21">
        <v>0</v>
      </c>
      <c r="P63" s="21">
        <v>0</v>
      </c>
      <c r="Q63" s="21">
        <v>0</v>
      </c>
      <c r="R63" s="21">
        <v>0</v>
      </c>
      <c r="S63" s="21">
        <v>0</v>
      </c>
      <c r="T63" s="21">
        <v>0</v>
      </c>
      <c r="U63" s="21">
        <v>0</v>
      </c>
      <c r="V63" s="21">
        <v>0</v>
      </c>
      <c r="W63" s="21">
        <v>0</v>
      </c>
      <c r="X63" s="21">
        <v>0</v>
      </c>
      <c r="Y63" s="21">
        <v>0</v>
      </c>
      <c r="Z63" s="21">
        <v>0</v>
      </c>
      <c r="AA63" s="21">
        <v>0</v>
      </c>
      <c r="AB63" s="21">
        <v>0</v>
      </c>
      <c r="AC63" s="21">
        <v>0</v>
      </c>
      <c r="AD63" s="21">
        <v>0</v>
      </c>
      <c r="AE63" s="21">
        <v>0</v>
      </c>
      <c r="AF63" s="21">
        <v>0</v>
      </c>
      <c r="AG63" s="21">
        <v>0</v>
      </c>
      <c r="AH63" s="21">
        <v>0</v>
      </c>
      <c r="AI63" s="21">
        <v>0</v>
      </c>
      <c r="AJ63" s="21">
        <v>0</v>
      </c>
      <c r="AK63" s="21">
        <v>0</v>
      </c>
      <c r="AL63" s="21">
        <v>0</v>
      </c>
      <c r="AM63" s="67"/>
      <c r="AQ63" s="81"/>
      <c r="AR63"/>
    </row>
    <row r="64" spans="1:44" ht="15.95">
      <c r="A64" s="23" t="s">
        <v>273</v>
      </c>
      <c r="B64" s="19" t="s">
        <v>274</v>
      </c>
      <c r="C64" s="19" t="s">
        <v>275</v>
      </c>
      <c r="D64" s="20">
        <f t="shared" si="0"/>
        <v>881</v>
      </c>
      <c r="E64" s="21">
        <v>9</v>
      </c>
      <c r="F64" s="21">
        <v>108</v>
      </c>
      <c r="G64" s="21">
        <v>43</v>
      </c>
      <c r="H64" s="21">
        <v>53</v>
      </c>
      <c r="I64" s="21">
        <v>83</v>
      </c>
      <c r="J64" s="21">
        <v>0</v>
      </c>
      <c r="K64" s="21">
        <v>46</v>
      </c>
      <c r="L64" s="21">
        <v>24</v>
      </c>
      <c r="M64" s="21">
        <v>104</v>
      </c>
      <c r="N64" s="21">
        <v>0</v>
      </c>
      <c r="O64" s="21">
        <v>14</v>
      </c>
      <c r="P64" s="21">
        <v>1</v>
      </c>
      <c r="Q64" s="21">
        <v>15</v>
      </c>
      <c r="R64" s="21">
        <v>0</v>
      </c>
      <c r="S64" s="21">
        <v>1</v>
      </c>
      <c r="T64" s="21">
        <v>5</v>
      </c>
      <c r="U64" s="21" t="s">
        <v>683</v>
      </c>
      <c r="V64" s="21">
        <v>1</v>
      </c>
      <c r="W64" s="21" t="s">
        <v>683</v>
      </c>
      <c r="X64" s="21" t="s">
        <v>683</v>
      </c>
      <c r="Y64" s="21" t="s">
        <v>683</v>
      </c>
      <c r="Z64" s="21" t="s">
        <v>683</v>
      </c>
      <c r="AA64" s="21" t="s">
        <v>683</v>
      </c>
      <c r="AB64" s="21" t="s">
        <v>683</v>
      </c>
      <c r="AC64" s="21">
        <v>1</v>
      </c>
      <c r="AD64" s="21" t="s">
        <v>683</v>
      </c>
      <c r="AE64" s="21" t="s">
        <v>683</v>
      </c>
      <c r="AF64" s="21">
        <v>1</v>
      </c>
      <c r="AG64" s="21" t="s">
        <v>683</v>
      </c>
      <c r="AH64" s="21" t="s">
        <v>683</v>
      </c>
      <c r="AI64" s="21">
        <v>2</v>
      </c>
      <c r="AJ64" s="21">
        <v>8</v>
      </c>
      <c r="AK64" s="21">
        <v>3</v>
      </c>
      <c r="AL64" s="21">
        <v>359</v>
      </c>
      <c r="AM64" s="67"/>
      <c r="AQ64" s="81"/>
      <c r="AR64"/>
    </row>
    <row r="65" spans="1:44" ht="15.95">
      <c r="A65" s="23" t="s">
        <v>273</v>
      </c>
      <c r="B65" s="19" t="s">
        <v>276</v>
      </c>
      <c r="C65" s="19" t="s">
        <v>196</v>
      </c>
      <c r="D65" s="20">
        <f t="shared" si="0"/>
        <v>402751.22000000009</v>
      </c>
      <c r="E65" s="22">
        <v>28067.59</v>
      </c>
      <c r="F65" s="22">
        <v>45822.68</v>
      </c>
      <c r="G65" s="22">
        <v>32381.07</v>
      </c>
      <c r="H65" s="22">
        <v>21507.96</v>
      </c>
      <c r="I65" s="22">
        <v>22525.09</v>
      </c>
      <c r="J65" s="22">
        <v>15970.81</v>
      </c>
      <c r="K65" s="22">
        <v>19533.43</v>
      </c>
      <c r="L65" s="22">
        <v>18960.5</v>
      </c>
      <c r="M65" s="22">
        <v>20749.990000000002</v>
      </c>
      <c r="N65" s="22">
        <v>6097.19</v>
      </c>
      <c r="O65" s="22">
        <v>8896.52</v>
      </c>
      <c r="P65" s="22">
        <v>6731.76</v>
      </c>
      <c r="Q65" s="22">
        <v>8531.39</v>
      </c>
      <c r="R65" s="22">
        <v>3360.18</v>
      </c>
      <c r="S65" s="22">
        <v>4615.57</v>
      </c>
      <c r="T65" s="22">
        <v>331.56</v>
      </c>
      <c r="U65" s="22">
        <v>98.6</v>
      </c>
      <c r="V65" s="22">
        <v>268.89999999999998</v>
      </c>
      <c r="W65" s="22">
        <v>126.21</v>
      </c>
      <c r="X65" s="22">
        <v>332.07</v>
      </c>
      <c r="Y65" s="22">
        <v>1301.93</v>
      </c>
      <c r="Z65" s="22">
        <v>1179.78</v>
      </c>
      <c r="AA65" s="22">
        <v>97.21</v>
      </c>
      <c r="AB65" s="22">
        <v>131.1</v>
      </c>
      <c r="AC65" s="22">
        <v>1179.53</v>
      </c>
      <c r="AD65" s="22">
        <v>1167.6400000000001</v>
      </c>
      <c r="AE65" s="22">
        <v>121.16</v>
      </c>
      <c r="AF65" s="22">
        <v>162.71</v>
      </c>
      <c r="AG65" s="22">
        <v>239.88</v>
      </c>
      <c r="AH65" s="22">
        <v>358.55</v>
      </c>
      <c r="AI65" s="22">
        <v>1338.09</v>
      </c>
      <c r="AJ65" s="22">
        <v>725.74</v>
      </c>
      <c r="AK65" s="22">
        <v>14126.86</v>
      </c>
      <c r="AL65" s="22">
        <v>115711.97</v>
      </c>
      <c r="AM65" s="67"/>
      <c r="AQ65" s="81"/>
      <c r="AR65"/>
    </row>
    <row r="66" spans="1:44" ht="15.95">
      <c r="A66" s="23" t="s">
        <v>277</v>
      </c>
      <c r="B66" s="19" t="s">
        <v>278</v>
      </c>
      <c r="C66" s="19" t="s">
        <v>279</v>
      </c>
      <c r="D66" s="20">
        <f t="shared" si="0"/>
        <v>14</v>
      </c>
      <c r="E66" s="21">
        <v>1</v>
      </c>
      <c r="F66" s="21">
        <v>2</v>
      </c>
      <c r="G66" s="21">
        <v>1</v>
      </c>
      <c r="H66" s="21">
        <v>1</v>
      </c>
      <c r="I66" s="21">
        <v>1</v>
      </c>
      <c r="J66" s="21">
        <v>1</v>
      </c>
      <c r="K66" s="21">
        <v>1</v>
      </c>
      <c r="L66" s="21">
        <v>1</v>
      </c>
      <c r="M66" s="21">
        <v>1</v>
      </c>
      <c r="N66" s="21" t="s">
        <v>683</v>
      </c>
      <c r="O66" s="21">
        <v>1</v>
      </c>
      <c r="P66" s="21">
        <v>1</v>
      </c>
      <c r="Q66" s="21" t="s">
        <v>683</v>
      </c>
      <c r="R66" s="21" t="s">
        <v>683</v>
      </c>
      <c r="S66" s="21">
        <v>1</v>
      </c>
      <c r="T66" s="21" t="s">
        <v>683</v>
      </c>
      <c r="U66" s="21" t="s">
        <v>683</v>
      </c>
      <c r="V66" s="21" t="s">
        <v>683</v>
      </c>
      <c r="W66" s="21" t="s">
        <v>683</v>
      </c>
      <c r="X66" s="21" t="s">
        <v>683</v>
      </c>
      <c r="Y66" s="21" t="s">
        <v>683</v>
      </c>
      <c r="Z66" s="21" t="s">
        <v>683</v>
      </c>
      <c r="AA66" s="21" t="s">
        <v>683</v>
      </c>
      <c r="AB66" s="21" t="s">
        <v>683</v>
      </c>
      <c r="AC66" s="21" t="s">
        <v>683</v>
      </c>
      <c r="AD66" s="21" t="s">
        <v>683</v>
      </c>
      <c r="AE66" s="21" t="s">
        <v>683</v>
      </c>
      <c r="AF66" s="21" t="s">
        <v>683</v>
      </c>
      <c r="AG66" s="21" t="s">
        <v>683</v>
      </c>
      <c r="AH66" s="21" t="s">
        <v>683</v>
      </c>
      <c r="AI66" s="21" t="s">
        <v>683</v>
      </c>
      <c r="AJ66" s="21" t="s">
        <v>683</v>
      </c>
      <c r="AK66" s="21" t="s">
        <v>683</v>
      </c>
      <c r="AL66" s="21">
        <v>1</v>
      </c>
      <c r="AM66" s="67"/>
      <c r="AQ66" s="81"/>
      <c r="AR66"/>
    </row>
    <row r="67" spans="1:44" ht="15.95">
      <c r="A67" s="23" t="s">
        <v>280</v>
      </c>
      <c r="B67" s="19" t="s">
        <v>281</v>
      </c>
      <c r="C67" s="19" t="s">
        <v>282</v>
      </c>
      <c r="D67" s="20">
        <f t="shared" si="0"/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68"/>
      <c r="AQ67" s="81"/>
      <c r="AR67"/>
    </row>
    <row r="68" spans="1:44" ht="15.95">
      <c r="A68" s="23" t="s">
        <v>283</v>
      </c>
      <c r="B68" s="19" t="s">
        <v>284</v>
      </c>
      <c r="C68" s="19" t="s">
        <v>285</v>
      </c>
      <c r="D68" s="20">
        <f t="shared" si="0"/>
        <v>0</v>
      </c>
      <c r="E68" s="21">
        <v>0</v>
      </c>
      <c r="F68" s="21">
        <v>0</v>
      </c>
      <c r="G68" s="21">
        <v>0</v>
      </c>
      <c r="H68" s="21">
        <v>0</v>
      </c>
      <c r="I68" s="21">
        <v>0</v>
      </c>
      <c r="J68" s="21">
        <v>0</v>
      </c>
      <c r="K68" s="21">
        <v>0</v>
      </c>
      <c r="L68" s="21">
        <v>0</v>
      </c>
      <c r="M68" s="21">
        <v>0</v>
      </c>
      <c r="N68" s="21">
        <v>0</v>
      </c>
      <c r="O68" s="21">
        <v>0</v>
      </c>
      <c r="P68" s="21">
        <v>0</v>
      </c>
      <c r="Q68" s="21">
        <v>0</v>
      </c>
      <c r="R68" s="21">
        <v>0</v>
      </c>
      <c r="S68" s="21">
        <v>0</v>
      </c>
      <c r="T68" s="21">
        <v>0</v>
      </c>
      <c r="U68" s="21">
        <v>0</v>
      </c>
      <c r="V68" s="21">
        <v>0</v>
      </c>
      <c r="W68" s="21">
        <v>0</v>
      </c>
      <c r="X68" s="21">
        <v>0</v>
      </c>
      <c r="Y68" s="21">
        <v>0</v>
      </c>
      <c r="Z68" s="21">
        <v>0</v>
      </c>
      <c r="AA68" s="21">
        <v>0</v>
      </c>
      <c r="AB68" s="21">
        <v>0</v>
      </c>
      <c r="AC68" s="21">
        <v>0</v>
      </c>
      <c r="AD68" s="21">
        <v>0</v>
      </c>
      <c r="AE68" s="21">
        <v>0</v>
      </c>
      <c r="AF68" s="21">
        <v>0</v>
      </c>
      <c r="AG68" s="21">
        <v>0</v>
      </c>
      <c r="AH68" s="21">
        <v>0</v>
      </c>
      <c r="AI68" s="21">
        <v>0</v>
      </c>
      <c r="AJ68" s="21">
        <v>0</v>
      </c>
      <c r="AK68" s="21">
        <v>0</v>
      </c>
      <c r="AL68" s="21">
        <v>0</v>
      </c>
      <c r="AM68" s="67"/>
      <c r="AQ68" s="81"/>
      <c r="AR68"/>
    </row>
    <row r="69" spans="1:44" ht="15.95">
      <c r="A69" s="23"/>
      <c r="B69" s="19" t="s">
        <v>286</v>
      </c>
      <c r="C69" s="19" t="s">
        <v>287</v>
      </c>
      <c r="D69" s="20">
        <f t="shared" si="0"/>
        <v>0</v>
      </c>
      <c r="E69" s="21">
        <v>0</v>
      </c>
      <c r="F69" s="21">
        <v>0</v>
      </c>
      <c r="G69" s="21">
        <v>0</v>
      </c>
      <c r="H69" s="21">
        <v>0</v>
      </c>
      <c r="I69" s="21">
        <v>0</v>
      </c>
      <c r="J69" s="21">
        <v>0</v>
      </c>
      <c r="K69" s="21">
        <v>0</v>
      </c>
      <c r="L69" s="21">
        <v>0</v>
      </c>
      <c r="M69" s="21">
        <v>0</v>
      </c>
      <c r="N69" s="21">
        <v>0</v>
      </c>
      <c r="O69" s="21">
        <v>0</v>
      </c>
      <c r="P69" s="21">
        <v>0</v>
      </c>
      <c r="Q69" s="21">
        <v>0</v>
      </c>
      <c r="R69" s="21">
        <v>0</v>
      </c>
      <c r="S69" s="21">
        <v>0</v>
      </c>
      <c r="T69" s="21">
        <v>0</v>
      </c>
      <c r="U69" s="21">
        <v>0</v>
      </c>
      <c r="V69" s="21">
        <v>0</v>
      </c>
      <c r="W69" s="21">
        <v>0</v>
      </c>
      <c r="X69" s="21">
        <v>0</v>
      </c>
      <c r="Y69" s="21">
        <v>0</v>
      </c>
      <c r="Z69" s="21">
        <v>0</v>
      </c>
      <c r="AA69" s="21">
        <v>0</v>
      </c>
      <c r="AB69" s="21">
        <v>0</v>
      </c>
      <c r="AC69" s="21">
        <v>0</v>
      </c>
      <c r="AD69" s="21">
        <v>0</v>
      </c>
      <c r="AE69" s="21">
        <v>0</v>
      </c>
      <c r="AF69" s="21">
        <v>0</v>
      </c>
      <c r="AG69" s="21">
        <v>0</v>
      </c>
      <c r="AH69" s="21">
        <v>0</v>
      </c>
      <c r="AI69" s="21">
        <v>0</v>
      </c>
      <c r="AJ69" s="21">
        <v>0</v>
      </c>
      <c r="AK69" s="21">
        <v>0</v>
      </c>
      <c r="AL69" s="21">
        <v>0</v>
      </c>
      <c r="AM69" s="68"/>
      <c r="AQ69" s="81"/>
      <c r="AR69"/>
    </row>
    <row r="70" spans="1:44" ht="32.1">
      <c r="A70" s="23"/>
      <c r="B70" s="19" t="s">
        <v>288</v>
      </c>
      <c r="C70" s="19" t="s">
        <v>227</v>
      </c>
      <c r="D70" s="20">
        <f t="shared" si="0"/>
        <v>4</v>
      </c>
      <c r="E70" s="21">
        <v>0</v>
      </c>
      <c r="F70" s="22">
        <v>1</v>
      </c>
      <c r="G70" s="21">
        <v>0</v>
      </c>
      <c r="H70" s="21">
        <v>0</v>
      </c>
      <c r="I70" s="22">
        <v>1</v>
      </c>
      <c r="J70" s="21">
        <v>0</v>
      </c>
      <c r="K70" s="21">
        <v>0</v>
      </c>
      <c r="L70" s="21">
        <v>0</v>
      </c>
      <c r="M70" s="22">
        <v>1</v>
      </c>
      <c r="N70" s="21">
        <v>0</v>
      </c>
      <c r="O70" s="21">
        <v>0</v>
      </c>
      <c r="P70" s="21">
        <v>0</v>
      </c>
      <c r="Q70" s="21">
        <v>0</v>
      </c>
      <c r="R70" s="21">
        <v>0</v>
      </c>
      <c r="S70" s="21">
        <v>0</v>
      </c>
      <c r="T70" s="21">
        <v>0</v>
      </c>
      <c r="U70" s="21">
        <v>0</v>
      </c>
      <c r="V70" s="21">
        <v>0</v>
      </c>
      <c r="W70" s="21">
        <v>0</v>
      </c>
      <c r="X70" s="21">
        <v>0</v>
      </c>
      <c r="Y70" s="21">
        <v>0</v>
      </c>
      <c r="Z70" s="21">
        <v>0</v>
      </c>
      <c r="AA70" s="21">
        <v>0</v>
      </c>
      <c r="AB70" s="21">
        <v>0</v>
      </c>
      <c r="AC70" s="21">
        <v>0</v>
      </c>
      <c r="AD70" s="21">
        <v>0</v>
      </c>
      <c r="AE70" s="21">
        <v>0</v>
      </c>
      <c r="AF70" s="21">
        <v>0</v>
      </c>
      <c r="AG70" s="21">
        <v>0</v>
      </c>
      <c r="AH70" s="21">
        <v>0</v>
      </c>
      <c r="AI70" s="21">
        <v>0</v>
      </c>
      <c r="AJ70" s="21">
        <v>0</v>
      </c>
      <c r="AK70" s="21">
        <v>0</v>
      </c>
      <c r="AL70" s="22">
        <v>1</v>
      </c>
      <c r="AM70" s="68"/>
      <c r="AQ70" s="81"/>
      <c r="AR70"/>
    </row>
    <row r="71" spans="1:44" ht="15.95">
      <c r="A71" s="23" t="s">
        <v>289</v>
      </c>
      <c r="B71" s="19" t="s">
        <v>290</v>
      </c>
      <c r="C71" s="27" t="s">
        <v>248</v>
      </c>
      <c r="D71" s="20">
        <f t="shared" si="0"/>
        <v>10</v>
      </c>
      <c r="E71" s="103">
        <v>10</v>
      </c>
      <c r="F71" s="104"/>
      <c r="G71" s="104"/>
      <c r="H71" s="104"/>
      <c r="I71" s="104"/>
      <c r="J71" s="104"/>
      <c r="K71" s="104"/>
      <c r="L71" s="104"/>
      <c r="M71" s="104"/>
      <c r="N71" s="104"/>
      <c r="O71" s="104"/>
      <c r="P71" s="104"/>
      <c r="Q71" s="104"/>
      <c r="R71" s="104"/>
      <c r="S71" s="104"/>
      <c r="T71" s="104"/>
      <c r="U71" s="104"/>
      <c r="V71" s="104"/>
      <c r="W71" s="104"/>
      <c r="X71" s="104"/>
      <c r="Y71" s="104"/>
      <c r="Z71" s="104"/>
      <c r="AA71" s="104"/>
      <c r="AB71" s="104"/>
      <c r="AC71" s="104"/>
      <c r="AD71" s="104"/>
      <c r="AE71" s="104"/>
      <c r="AF71" s="104"/>
      <c r="AG71" s="104"/>
      <c r="AH71" s="104"/>
      <c r="AI71" s="104"/>
      <c r="AJ71" s="104"/>
      <c r="AK71" s="104"/>
      <c r="AL71" s="105"/>
      <c r="AM71" s="68"/>
      <c r="AQ71" s="81"/>
      <c r="AR71"/>
    </row>
    <row r="72" spans="1:44" ht="15.95">
      <c r="A72" s="23" t="s">
        <v>289</v>
      </c>
      <c r="B72" s="19" t="s">
        <v>291</v>
      </c>
      <c r="C72" s="27" t="s">
        <v>248</v>
      </c>
      <c r="D72" s="20">
        <f t="shared" si="0"/>
        <v>10</v>
      </c>
      <c r="E72" s="103">
        <v>10</v>
      </c>
      <c r="F72" s="104"/>
      <c r="G72" s="104"/>
      <c r="H72" s="104"/>
      <c r="I72" s="104"/>
      <c r="J72" s="104"/>
      <c r="K72" s="104"/>
      <c r="L72" s="104"/>
      <c r="M72" s="104"/>
      <c r="N72" s="104"/>
      <c r="O72" s="104"/>
      <c r="P72" s="104"/>
      <c r="Q72" s="104"/>
      <c r="R72" s="104"/>
      <c r="S72" s="104"/>
      <c r="T72" s="104"/>
      <c r="U72" s="104"/>
      <c r="V72" s="104"/>
      <c r="W72" s="104"/>
      <c r="X72" s="104"/>
      <c r="Y72" s="104"/>
      <c r="Z72" s="104"/>
      <c r="AA72" s="104"/>
      <c r="AB72" s="104"/>
      <c r="AC72" s="104"/>
      <c r="AD72" s="104"/>
      <c r="AE72" s="104"/>
      <c r="AF72" s="104"/>
      <c r="AG72" s="104"/>
      <c r="AH72" s="104"/>
      <c r="AI72" s="104"/>
      <c r="AJ72" s="104"/>
      <c r="AK72" s="104"/>
      <c r="AL72" s="105"/>
      <c r="AM72" s="68"/>
      <c r="AQ72" s="81"/>
      <c r="AR72"/>
    </row>
    <row r="73" spans="1:44" ht="15.95">
      <c r="A73" s="26" t="s">
        <v>292</v>
      </c>
      <c r="B73" s="27" t="s">
        <v>293</v>
      </c>
      <c r="C73" s="27" t="s">
        <v>294</v>
      </c>
      <c r="D73" s="20">
        <f t="shared" si="0"/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68"/>
      <c r="AQ73" s="81"/>
      <c r="AR73"/>
    </row>
    <row r="74" spans="1:44" ht="15.95">
      <c r="A74" s="26" t="s">
        <v>295</v>
      </c>
      <c r="B74" s="27" t="s">
        <v>296</v>
      </c>
      <c r="C74" s="27" t="s">
        <v>297</v>
      </c>
      <c r="D74" s="20">
        <f t="shared" si="0"/>
        <v>0</v>
      </c>
      <c r="E74" s="21">
        <v>0</v>
      </c>
      <c r="F74" s="21">
        <v>0</v>
      </c>
      <c r="G74" s="21">
        <v>0</v>
      </c>
      <c r="H74" s="21">
        <v>0</v>
      </c>
      <c r="I74" s="21">
        <v>0</v>
      </c>
      <c r="J74" s="21">
        <v>0</v>
      </c>
      <c r="K74" s="21">
        <v>0</v>
      </c>
      <c r="L74" s="21">
        <v>0</v>
      </c>
      <c r="M74" s="21">
        <v>0</v>
      </c>
      <c r="N74" s="21">
        <v>0</v>
      </c>
      <c r="O74" s="21">
        <v>0</v>
      </c>
      <c r="P74" s="21">
        <v>0</v>
      </c>
      <c r="Q74" s="21">
        <v>0</v>
      </c>
      <c r="R74" s="21">
        <v>0</v>
      </c>
      <c r="S74" s="21">
        <v>0</v>
      </c>
      <c r="T74" s="21">
        <v>0</v>
      </c>
      <c r="U74" s="21">
        <v>0</v>
      </c>
      <c r="V74" s="21">
        <v>0</v>
      </c>
      <c r="W74" s="21">
        <v>0</v>
      </c>
      <c r="X74" s="21">
        <v>0</v>
      </c>
      <c r="Y74" s="21">
        <v>0</v>
      </c>
      <c r="Z74" s="21">
        <v>0</v>
      </c>
      <c r="AA74" s="21">
        <v>0</v>
      </c>
      <c r="AB74" s="21">
        <v>0</v>
      </c>
      <c r="AC74" s="21">
        <v>0</v>
      </c>
      <c r="AD74" s="21">
        <v>0</v>
      </c>
      <c r="AE74" s="21">
        <v>0</v>
      </c>
      <c r="AF74" s="21">
        <v>0</v>
      </c>
      <c r="AG74" s="21">
        <v>0</v>
      </c>
      <c r="AH74" s="21">
        <v>0</v>
      </c>
      <c r="AI74" s="21">
        <v>0</v>
      </c>
      <c r="AJ74" s="21">
        <v>0</v>
      </c>
      <c r="AK74" s="21">
        <v>0</v>
      </c>
      <c r="AL74" s="21">
        <v>0</v>
      </c>
      <c r="AM74" s="67"/>
      <c r="AQ74" s="81"/>
      <c r="AR74"/>
    </row>
    <row r="75" spans="1:44" ht="15.95">
      <c r="A75" s="24" t="s">
        <v>298</v>
      </c>
      <c r="B75" s="25"/>
      <c r="C75" s="25"/>
      <c r="D75" s="56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67"/>
      <c r="AQ75" s="81"/>
      <c r="AR75"/>
    </row>
    <row r="76" spans="1:44" ht="15.95">
      <c r="A76" s="23" t="s">
        <v>299</v>
      </c>
      <c r="B76" s="19" t="s">
        <v>300</v>
      </c>
      <c r="C76" s="19" t="s">
        <v>301</v>
      </c>
      <c r="D76" s="20">
        <f t="shared" si="0"/>
        <v>39</v>
      </c>
      <c r="E76" s="22">
        <v>2</v>
      </c>
      <c r="F76" s="22">
        <v>4</v>
      </c>
      <c r="G76" s="22">
        <v>0</v>
      </c>
      <c r="H76" s="22">
        <v>9</v>
      </c>
      <c r="I76" s="22">
        <v>2</v>
      </c>
      <c r="J76" s="22">
        <v>8</v>
      </c>
      <c r="K76" s="22">
        <v>1</v>
      </c>
      <c r="L76" s="22">
        <v>2</v>
      </c>
      <c r="M76" s="22">
        <v>1</v>
      </c>
      <c r="N76" s="22">
        <v>2</v>
      </c>
      <c r="O76" s="22">
        <v>0</v>
      </c>
      <c r="P76" s="22">
        <v>0</v>
      </c>
      <c r="Q76" s="22">
        <v>0</v>
      </c>
      <c r="R76" s="22">
        <v>1</v>
      </c>
      <c r="S76" s="22">
        <v>0</v>
      </c>
      <c r="T76" s="22">
        <v>0</v>
      </c>
      <c r="U76" s="22">
        <v>0</v>
      </c>
      <c r="V76" s="22">
        <v>0</v>
      </c>
      <c r="W76" s="22">
        <v>0</v>
      </c>
      <c r="X76" s="22">
        <v>0</v>
      </c>
      <c r="Y76" s="22">
        <v>0</v>
      </c>
      <c r="Z76" s="22">
        <v>0</v>
      </c>
      <c r="AA76" s="22">
        <v>0</v>
      </c>
      <c r="AB76" s="22">
        <v>0</v>
      </c>
      <c r="AC76" s="22">
        <v>0</v>
      </c>
      <c r="AD76" s="22">
        <v>3</v>
      </c>
      <c r="AE76" s="22">
        <v>0</v>
      </c>
      <c r="AF76" s="22">
        <v>0</v>
      </c>
      <c r="AG76" s="22">
        <v>0</v>
      </c>
      <c r="AH76" s="22">
        <v>0</v>
      </c>
      <c r="AI76" s="22">
        <v>0</v>
      </c>
      <c r="AJ76" s="22">
        <v>0</v>
      </c>
      <c r="AK76" s="22">
        <v>0</v>
      </c>
      <c r="AL76" s="22">
        <v>4</v>
      </c>
      <c r="AM76" s="67"/>
      <c r="AQ76" s="81"/>
      <c r="AR76"/>
    </row>
    <row r="77" spans="1:44" ht="15.95">
      <c r="A77" s="23" t="s">
        <v>302</v>
      </c>
      <c r="B77" s="19" t="s">
        <v>303</v>
      </c>
      <c r="C77" s="19" t="s">
        <v>304</v>
      </c>
      <c r="D77" s="20">
        <f t="shared" ref="D77:D87" si="1">SUM(E77:AL77)</f>
        <v>6</v>
      </c>
      <c r="E77" s="22">
        <v>0</v>
      </c>
      <c r="F77" s="22">
        <v>2</v>
      </c>
      <c r="G77" s="22">
        <v>1</v>
      </c>
      <c r="H77" s="22">
        <v>0</v>
      </c>
      <c r="I77" s="22">
        <v>2</v>
      </c>
      <c r="J77" s="22">
        <v>0</v>
      </c>
      <c r="K77" s="22">
        <v>0</v>
      </c>
      <c r="L77" s="22">
        <v>0</v>
      </c>
      <c r="M77" s="22">
        <v>0</v>
      </c>
      <c r="N77" s="22">
        <v>0</v>
      </c>
      <c r="O77" s="22">
        <v>0</v>
      </c>
      <c r="P77" s="22">
        <v>0</v>
      </c>
      <c r="Q77" s="22">
        <v>0</v>
      </c>
      <c r="R77" s="22">
        <v>0</v>
      </c>
      <c r="S77" s="22">
        <v>0</v>
      </c>
      <c r="T77" s="22">
        <v>0</v>
      </c>
      <c r="U77" s="22">
        <v>0</v>
      </c>
      <c r="V77" s="22">
        <v>0</v>
      </c>
      <c r="W77" s="22">
        <v>0</v>
      </c>
      <c r="X77" s="22">
        <v>0</v>
      </c>
      <c r="Y77" s="22">
        <v>0</v>
      </c>
      <c r="Z77" s="22">
        <v>0</v>
      </c>
      <c r="AA77" s="22">
        <v>0</v>
      </c>
      <c r="AB77" s="22">
        <v>0</v>
      </c>
      <c r="AC77" s="22">
        <v>0</v>
      </c>
      <c r="AD77" s="22">
        <v>0</v>
      </c>
      <c r="AE77" s="22">
        <v>0</v>
      </c>
      <c r="AF77" s="22">
        <v>0</v>
      </c>
      <c r="AG77" s="22">
        <v>0</v>
      </c>
      <c r="AH77" s="22">
        <v>0</v>
      </c>
      <c r="AI77" s="22">
        <v>0</v>
      </c>
      <c r="AJ77" s="22">
        <v>0</v>
      </c>
      <c r="AK77" s="22">
        <v>0</v>
      </c>
      <c r="AL77" s="22">
        <v>1</v>
      </c>
      <c r="AM77" s="68"/>
      <c r="AQ77" s="81"/>
      <c r="AR77"/>
    </row>
    <row r="78" spans="1:44" ht="15.95">
      <c r="A78" s="23" t="s">
        <v>305</v>
      </c>
      <c r="B78" s="19" t="s">
        <v>306</v>
      </c>
      <c r="C78" s="19" t="s">
        <v>307</v>
      </c>
      <c r="D78" s="20">
        <f t="shared" si="1"/>
        <v>22</v>
      </c>
      <c r="E78" s="22">
        <v>2</v>
      </c>
      <c r="F78" s="22">
        <v>5</v>
      </c>
      <c r="G78" s="22">
        <v>2</v>
      </c>
      <c r="H78" s="22">
        <v>1</v>
      </c>
      <c r="I78" s="22">
        <v>2</v>
      </c>
      <c r="J78" s="22">
        <v>2</v>
      </c>
      <c r="K78" s="22">
        <v>1</v>
      </c>
      <c r="L78" s="22">
        <v>0</v>
      </c>
      <c r="M78" s="22">
        <v>5</v>
      </c>
      <c r="N78" s="22">
        <v>0</v>
      </c>
      <c r="O78" s="22">
        <v>0</v>
      </c>
      <c r="P78" s="22">
        <v>0</v>
      </c>
      <c r="Q78" s="22">
        <v>0</v>
      </c>
      <c r="R78" s="22">
        <v>0</v>
      </c>
      <c r="S78" s="22">
        <v>0</v>
      </c>
      <c r="T78" s="22">
        <v>0</v>
      </c>
      <c r="U78" s="22">
        <v>0</v>
      </c>
      <c r="V78" s="22">
        <v>0</v>
      </c>
      <c r="W78" s="22">
        <v>0</v>
      </c>
      <c r="X78" s="22">
        <v>0</v>
      </c>
      <c r="Y78" s="22">
        <v>0</v>
      </c>
      <c r="Z78" s="22">
        <v>0</v>
      </c>
      <c r="AA78" s="22">
        <v>0</v>
      </c>
      <c r="AB78" s="22">
        <v>0</v>
      </c>
      <c r="AC78" s="22">
        <v>0</v>
      </c>
      <c r="AD78" s="22">
        <v>0</v>
      </c>
      <c r="AE78" s="22">
        <v>0</v>
      </c>
      <c r="AF78" s="22">
        <v>0</v>
      </c>
      <c r="AG78" s="22">
        <v>0</v>
      </c>
      <c r="AH78" s="22">
        <v>0</v>
      </c>
      <c r="AI78" s="22">
        <v>0</v>
      </c>
      <c r="AJ78" s="22">
        <v>0</v>
      </c>
      <c r="AK78" s="22">
        <v>0</v>
      </c>
      <c r="AL78" s="22">
        <v>2</v>
      </c>
      <c r="AM78" s="67"/>
      <c r="AQ78" s="81"/>
      <c r="AR78"/>
    </row>
    <row r="79" spans="1:44" ht="15.95">
      <c r="A79" s="23" t="s">
        <v>305</v>
      </c>
      <c r="B79" s="19" t="s">
        <v>308</v>
      </c>
      <c r="C79" s="19" t="s">
        <v>309</v>
      </c>
      <c r="D79" s="20">
        <f t="shared" si="1"/>
        <v>3</v>
      </c>
      <c r="E79" s="22">
        <v>0</v>
      </c>
      <c r="F79" s="22">
        <v>0</v>
      </c>
      <c r="G79" s="22">
        <v>0</v>
      </c>
      <c r="H79" s="22">
        <v>0</v>
      </c>
      <c r="I79" s="22">
        <v>0</v>
      </c>
      <c r="J79" s="22">
        <v>0</v>
      </c>
      <c r="K79" s="22">
        <v>0</v>
      </c>
      <c r="L79" s="22">
        <v>0</v>
      </c>
      <c r="M79" s="22">
        <v>1</v>
      </c>
      <c r="N79" s="22">
        <v>0</v>
      </c>
      <c r="O79" s="22">
        <v>0</v>
      </c>
      <c r="P79" s="22">
        <v>0</v>
      </c>
      <c r="Q79" s="22">
        <v>0</v>
      </c>
      <c r="R79" s="22">
        <v>0</v>
      </c>
      <c r="S79" s="22">
        <v>0</v>
      </c>
      <c r="T79" s="22">
        <v>0</v>
      </c>
      <c r="U79" s="22">
        <v>0</v>
      </c>
      <c r="V79" s="22">
        <v>0</v>
      </c>
      <c r="W79" s="22">
        <v>0</v>
      </c>
      <c r="X79" s="22">
        <v>0</v>
      </c>
      <c r="Y79" s="22">
        <v>0</v>
      </c>
      <c r="Z79" s="22">
        <v>0</v>
      </c>
      <c r="AA79" s="22">
        <v>0</v>
      </c>
      <c r="AB79" s="22">
        <v>0</v>
      </c>
      <c r="AC79" s="22">
        <v>0</v>
      </c>
      <c r="AD79" s="22">
        <v>0</v>
      </c>
      <c r="AE79" s="22">
        <v>0</v>
      </c>
      <c r="AF79" s="22">
        <v>0</v>
      </c>
      <c r="AG79" s="22">
        <v>0</v>
      </c>
      <c r="AH79" s="22">
        <v>0</v>
      </c>
      <c r="AI79" s="22">
        <v>0</v>
      </c>
      <c r="AJ79" s="22">
        <v>0</v>
      </c>
      <c r="AK79" s="22">
        <v>0</v>
      </c>
      <c r="AL79" s="22">
        <v>2</v>
      </c>
      <c r="AM79" s="67"/>
      <c r="AQ79" s="81"/>
      <c r="AR79"/>
    </row>
    <row r="80" spans="1:44" ht="15.95">
      <c r="A80" s="23" t="s">
        <v>310</v>
      </c>
      <c r="B80" s="19" t="s">
        <v>311</v>
      </c>
      <c r="C80" s="19" t="s">
        <v>312</v>
      </c>
      <c r="D80" s="20">
        <f t="shared" si="1"/>
        <v>0</v>
      </c>
      <c r="E80" s="21">
        <v>0</v>
      </c>
      <c r="F80" s="21">
        <v>0</v>
      </c>
      <c r="G80" s="21">
        <v>0</v>
      </c>
      <c r="H80" s="21">
        <v>0</v>
      </c>
      <c r="I80" s="21">
        <v>0</v>
      </c>
      <c r="J80" s="21">
        <v>0</v>
      </c>
      <c r="K80" s="21">
        <v>0</v>
      </c>
      <c r="L80" s="21">
        <v>0</v>
      </c>
      <c r="M80" s="21">
        <v>0</v>
      </c>
      <c r="N80" s="21">
        <v>0</v>
      </c>
      <c r="O80" s="21">
        <v>0</v>
      </c>
      <c r="P80" s="21">
        <v>0</v>
      </c>
      <c r="Q80" s="21">
        <v>0</v>
      </c>
      <c r="R80" s="21">
        <v>0</v>
      </c>
      <c r="S80" s="21">
        <v>0</v>
      </c>
      <c r="T80" s="21">
        <v>0</v>
      </c>
      <c r="U80" s="21">
        <v>0</v>
      </c>
      <c r="V80" s="21">
        <v>0</v>
      </c>
      <c r="W80" s="21">
        <v>0</v>
      </c>
      <c r="X80" s="21">
        <v>0</v>
      </c>
      <c r="Y80" s="21">
        <v>0</v>
      </c>
      <c r="Z80" s="21">
        <v>0</v>
      </c>
      <c r="AA80" s="21">
        <v>0</v>
      </c>
      <c r="AB80" s="21">
        <v>0</v>
      </c>
      <c r="AC80" s="21">
        <v>0</v>
      </c>
      <c r="AD80" s="21">
        <v>0</v>
      </c>
      <c r="AE80" s="21">
        <v>0</v>
      </c>
      <c r="AF80" s="21">
        <v>0</v>
      </c>
      <c r="AG80" s="21">
        <v>0</v>
      </c>
      <c r="AH80" s="21">
        <v>0</v>
      </c>
      <c r="AI80" s="21">
        <v>0</v>
      </c>
      <c r="AJ80" s="21">
        <v>0</v>
      </c>
      <c r="AK80" s="21">
        <v>0</v>
      </c>
      <c r="AL80" s="21">
        <v>0</v>
      </c>
      <c r="AM80" s="67"/>
      <c r="AQ80" s="81"/>
      <c r="AR80"/>
    </row>
    <row r="81" spans="1:44" ht="15.95">
      <c r="A81" s="23" t="s">
        <v>313</v>
      </c>
      <c r="B81" s="19" t="s">
        <v>314</v>
      </c>
      <c r="C81" s="19" t="s">
        <v>196</v>
      </c>
      <c r="D81" s="20">
        <f t="shared" si="1"/>
        <v>392899.1</v>
      </c>
      <c r="E81" s="21">
        <v>18215.47</v>
      </c>
      <c r="F81" s="21">
        <v>45822.68</v>
      </c>
      <c r="G81" s="21">
        <v>32381.07</v>
      </c>
      <c r="H81" s="21">
        <v>21507.96</v>
      </c>
      <c r="I81" s="21">
        <v>22525.09</v>
      </c>
      <c r="J81" s="21">
        <v>15970.81</v>
      </c>
      <c r="K81" s="21">
        <v>19533.43</v>
      </c>
      <c r="L81" s="21">
        <v>18960.5</v>
      </c>
      <c r="M81" s="21">
        <v>20749.990000000002</v>
      </c>
      <c r="N81" s="21">
        <v>6097.19</v>
      </c>
      <c r="O81" s="21">
        <v>8896.52</v>
      </c>
      <c r="P81" s="21">
        <v>6731.76</v>
      </c>
      <c r="Q81" s="21">
        <v>8531.39</v>
      </c>
      <c r="R81" s="21">
        <v>3360.18</v>
      </c>
      <c r="S81" s="21">
        <v>4615.57</v>
      </c>
      <c r="T81" s="21">
        <v>331.56</v>
      </c>
      <c r="U81" s="21">
        <v>98.6</v>
      </c>
      <c r="V81" s="21">
        <v>268.89999999999998</v>
      </c>
      <c r="W81" s="21">
        <v>126.21</v>
      </c>
      <c r="X81" s="21">
        <v>332.07</v>
      </c>
      <c r="Y81" s="21">
        <v>1301.93</v>
      </c>
      <c r="Z81" s="21">
        <v>1179.78</v>
      </c>
      <c r="AA81" s="21">
        <v>97.21</v>
      </c>
      <c r="AB81" s="21">
        <v>131.1</v>
      </c>
      <c r="AC81" s="21">
        <v>1179.53</v>
      </c>
      <c r="AD81" s="21">
        <v>1167.6400000000001</v>
      </c>
      <c r="AE81" s="21">
        <v>121.16</v>
      </c>
      <c r="AF81" s="21">
        <v>162.71</v>
      </c>
      <c r="AG81" s="21">
        <v>239.88</v>
      </c>
      <c r="AH81" s="21">
        <v>358.55</v>
      </c>
      <c r="AI81" s="21">
        <v>1338.09</v>
      </c>
      <c r="AJ81" s="21">
        <v>725.74</v>
      </c>
      <c r="AK81" s="21">
        <v>14126.86</v>
      </c>
      <c r="AL81" s="21">
        <v>115711.97</v>
      </c>
      <c r="AM81" s="67"/>
      <c r="AQ81" s="81"/>
      <c r="AR81"/>
    </row>
    <row r="82" spans="1:44" ht="32.1">
      <c r="A82" s="23" t="s">
        <v>315</v>
      </c>
      <c r="B82" s="19" t="s">
        <v>316</v>
      </c>
      <c r="C82" s="19" t="s">
        <v>317</v>
      </c>
      <c r="D82" s="20">
        <f t="shared" si="1"/>
        <v>7</v>
      </c>
      <c r="E82" s="21">
        <v>0</v>
      </c>
      <c r="F82" s="22">
        <v>2</v>
      </c>
      <c r="G82" s="22">
        <v>1</v>
      </c>
      <c r="H82" s="21">
        <v>0</v>
      </c>
      <c r="I82" s="22">
        <v>2</v>
      </c>
      <c r="J82" s="21">
        <v>0</v>
      </c>
      <c r="K82" s="21">
        <v>0</v>
      </c>
      <c r="L82" s="21">
        <v>0</v>
      </c>
      <c r="M82" s="22">
        <v>1</v>
      </c>
      <c r="N82" s="21">
        <v>0</v>
      </c>
      <c r="O82" s="21">
        <v>0</v>
      </c>
      <c r="P82" s="21">
        <v>0</v>
      </c>
      <c r="Q82" s="21">
        <v>0</v>
      </c>
      <c r="R82" s="21">
        <v>0</v>
      </c>
      <c r="S82" s="21">
        <v>0</v>
      </c>
      <c r="T82" s="21">
        <v>0</v>
      </c>
      <c r="U82" s="21">
        <v>0</v>
      </c>
      <c r="V82" s="21">
        <v>0</v>
      </c>
      <c r="W82" s="21">
        <v>0</v>
      </c>
      <c r="X82" s="21">
        <v>0</v>
      </c>
      <c r="Y82" s="21">
        <v>0</v>
      </c>
      <c r="Z82" s="21">
        <v>0</v>
      </c>
      <c r="AA82" s="21">
        <v>0</v>
      </c>
      <c r="AB82" s="21">
        <v>0</v>
      </c>
      <c r="AC82" s="21">
        <v>0</v>
      </c>
      <c r="AD82" s="21">
        <v>0</v>
      </c>
      <c r="AE82" s="21">
        <v>0</v>
      </c>
      <c r="AF82" s="21">
        <v>0</v>
      </c>
      <c r="AG82" s="21">
        <v>0</v>
      </c>
      <c r="AH82" s="21">
        <v>0</v>
      </c>
      <c r="AI82" s="21">
        <v>0</v>
      </c>
      <c r="AJ82" s="21">
        <v>0</v>
      </c>
      <c r="AK82" s="21">
        <v>0</v>
      </c>
      <c r="AL82" s="22">
        <v>1</v>
      </c>
      <c r="AM82" s="68"/>
      <c r="AQ82" s="81"/>
      <c r="AR82"/>
    </row>
    <row r="83" spans="1:44" ht="15.95">
      <c r="A83" s="23" t="s">
        <v>318</v>
      </c>
      <c r="B83" s="19" t="s">
        <v>319</v>
      </c>
      <c r="C83" s="19" t="s">
        <v>320</v>
      </c>
      <c r="D83" s="20">
        <f t="shared" si="1"/>
        <v>540</v>
      </c>
      <c r="E83" s="22">
        <v>36</v>
      </c>
      <c r="F83" s="22">
        <v>72</v>
      </c>
      <c r="G83" s="22">
        <v>36</v>
      </c>
      <c r="H83" s="22">
        <v>36</v>
      </c>
      <c r="I83" s="22">
        <v>72</v>
      </c>
      <c r="J83" s="22">
        <v>36</v>
      </c>
      <c r="K83" s="22">
        <v>36</v>
      </c>
      <c r="L83" s="22">
        <v>36</v>
      </c>
      <c r="M83" s="22">
        <v>36</v>
      </c>
      <c r="N83" s="21">
        <v>0</v>
      </c>
      <c r="O83" s="22">
        <v>36</v>
      </c>
      <c r="P83" s="21">
        <v>0</v>
      </c>
      <c r="Q83" s="22">
        <v>36</v>
      </c>
      <c r="R83" s="21">
        <v>0</v>
      </c>
      <c r="S83" s="22">
        <v>36</v>
      </c>
      <c r="T83" s="21">
        <v>0</v>
      </c>
      <c r="U83" s="21">
        <v>0</v>
      </c>
      <c r="V83" s="21">
        <v>0</v>
      </c>
      <c r="W83" s="21">
        <v>0</v>
      </c>
      <c r="X83" s="21">
        <v>0</v>
      </c>
      <c r="Y83" s="21">
        <v>0</v>
      </c>
      <c r="Z83" s="21">
        <v>0</v>
      </c>
      <c r="AA83" s="21">
        <v>0</v>
      </c>
      <c r="AB83" s="21">
        <v>0</v>
      </c>
      <c r="AC83" s="21">
        <v>0</v>
      </c>
      <c r="AD83" s="21">
        <v>0</v>
      </c>
      <c r="AE83" s="21">
        <v>0</v>
      </c>
      <c r="AF83" s="21">
        <v>0</v>
      </c>
      <c r="AG83" s="21">
        <v>0</v>
      </c>
      <c r="AH83" s="21">
        <v>0</v>
      </c>
      <c r="AI83" s="21">
        <v>0</v>
      </c>
      <c r="AJ83" s="21">
        <v>0</v>
      </c>
      <c r="AK83" s="21">
        <v>0</v>
      </c>
      <c r="AL83" s="22">
        <v>36</v>
      </c>
      <c r="AM83" s="68"/>
      <c r="AQ83" s="81"/>
      <c r="AR83"/>
    </row>
    <row r="84" spans="1:44" ht="15.95">
      <c r="A84" s="23" t="s">
        <v>321</v>
      </c>
      <c r="B84" s="19" t="s">
        <v>322</v>
      </c>
      <c r="C84" s="19" t="s">
        <v>323</v>
      </c>
      <c r="D84" s="20">
        <f t="shared" si="1"/>
        <v>0</v>
      </c>
      <c r="E84" s="21">
        <v>0</v>
      </c>
      <c r="F84" s="21">
        <v>0</v>
      </c>
      <c r="G84" s="21">
        <v>0</v>
      </c>
      <c r="H84" s="21">
        <v>0</v>
      </c>
      <c r="I84" s="21">
        <v>0</v>
      </c>
      <c r="J84" s="21">
        <v>0</v>
      </c>
      <c r="K84" s="21">
        <v>0</v>
      </c>
      <c r="L84" s="21">
        <v>0</v>
      </c>
      <c r="M84" s="21">
        <v>0</v>
      </c>
      <c r="N84" s="21">
        <v>0</v>
      </c>
      <c r="O84" s="21">
        <v>0</v>
      </c>
      <c r="P84" s="21">
        <v>0</v>
      </c>
      <c r="Q84" s="21">
        <v>0</v>
      </c>
      <c r="R84" s="21">
        <v>0</v>
      </c>
      <c r="S84" s="21">
        <v>0</v>
      </c>
      <c r="T84" s="21">
        <v>0</v>
      </c>
      <c r="U84" s="21">
        <v>0</v>
      </c>
      <c r="V84" s="21">
        <v>0</v>
      </c>
      <c r="W84" s="21">
        <v>0</v>
      </c>
      <c r="X84" s="21">
        <v>0</v>
      </c>
      <c r="Y84" s="21">
        <v>0</v>
      </c>
      <c r="Z84" s="21">
        <v>0</v>
      </c>
      <c r="AA84" s="21">
        <v>0</v>
      </c>
      <c r="AB84" s="21">
        <v>0</v>
      </c>
      <c r="AC84" s="21">
        <v>0</v>
      </c>
      <c r="AD84" s="21">
        <v>0</v>
      </c>
      <c r="AE84" s="21">
        <v>0</v>
      </c>
      <c r="AF84" s="21">
        <v>0</v>
      </c>
      <c r="AG84" s="21">
        <v>0</v>
      </c>
      <c r="AH84" s="21">
        <v>0</v>
      </c>
      <c r="AI84" s="21">
        <v>0</v>
      </c>
      <c r="AJ84" s="21">
        <v>0</v>
      </c>
      <c r="AK84" s="21">
        <v>0</v>
      </c>
      <c r="AL84" s="21">
        <v>0</v>
      </c>
      <c r="AM84" s="68"/>
      <c r="AQ84" s="81"/>
      <c r="AR84"/>
    </row>
    <row r="85" spans="1:44" ht="15.95">
      <c r="A85" s="23" t="s">
        <v>324</v>
      </c>
      <c r="B85" s="19" t="s">
        <v>325</v>
      </c>
      <c r="C85" s="19" t="s">
        <v>326</v>
      </c>
      <c r="D85" s="20">
        <f t="shared" si="1"/>
        <v>0</v>
      </c>
      <c r="E85" s="21">
        <v>0</v>
      </c>
      <c r="F85" s="21">
        <v>0</v>
      </c>
      <c r="G85" s="21">
        <v>0</v>
      </c>
      <c r="H85" s="21">
        <v>0</v>
      </c>
      <c r="I85" s="21">
        <v>0</v>
      </c>
      <c r="J85" s="21">
        <v>0</v>
      </c>
      <c r="K85" s="21">
        <v>0</v>
      </c>
      <c r="L85" s="21">
        <v>0</v>
      </c>
      <c r="M85" s="21">
        <v>0</v>
      </c>
      <c r="N85" s="21">
        <v>0</v>
      </c>
      <c r="O85" s="21">
        <v>0</v>
      </c>
      <c r="P85" s="21">
        <v>0</v>
      </c>
      <c r="Q85" s="21">
        <v>0</v>
      </c>
      <c r="R85" s="21">
        <v>0</v>
      </c>
      <c r="S85" s="21">
        <v>0</v>
      </c>
      <c r="T85" s="21">
        <v>0</v>
      </c>
      <c r="U85" s="21">
        <v>0</v>
      </c>
      <c r="V85" s="21">
        <v>0</v>
      </c>
      <c r="W85" s="21">
        <v>0</v>
      </c>
      <c r="X85" s="21">
        <v>0</v>
      </c>
      <c r="Y85" s="21">
        <v>0</v>
      </c>
      <c r="Z85" s="21">
        <v>0</v>
      </c>
      <c r="AA85" s="21">
        <v>0</v>
      </c>
      <c r="AB85" s="21">
        <v>0</v>
      </c>
      <c r="AC85" s="21">
        <v>0</v>
      </c>
      <c r="AD85" s="21">
        <v>0</v>
      </c>
      <c r="AE85" s="21">
        <v>0</v>
      </c>
      <c r="AF85" s="21">
        <v>0</v>
      </c>
      <c r="AG85" s="21">
        <v>0</v>
      </c>
      <c r="AH85" s="21">
        <v>0</v>
      </c>
      <c r="AI85" s="21">
        <v>0</v>
      </c>
      <c r="AJ85" s="21">
        <v>0</v>
      </c>
      <c r="AK85" s="21">
        <v>0</v>
      </c>
      <c r="AL85" s="21">
        <v>0</v>
      </c>
      <c r="AM85" s="68"/>
      <c r="AQ85" s="81"/>
      <c r="AR85"/>
    </row>
    <row r="86" spans="1:44" ht="15.95">
      <c r="A86" s="23" t="s">
        <v>327</v>
      </c>
      <c r="B86" s="19" t="s">
        <v>328</v>
      </c>
      <c r="C86" s="19" t="s">
        <v>329</v>
      </c>
      <c r="D86" s="20">
        <f t="shared" si="1"/>
        <v>0</v>
      </c>
      <c r="E86" s="21">
        <v>0</v>
      </c>
      <c r="F86" s="21">
        <v>0</v>
      </c>
      <c r="G86" s="21">
        <v>0</v>
      </c>
      <c r="H86" s="21">
        <v>0</v>
      </c>
      <c r="I86" s="21">
        <v>0</v>
      </c>
      <c r="J86" s="21">
        <v>0</v>
      </c>
      <c r="K86" s="21">
        <v>0</v>
      </c>
      <c r="L86" s="21">
        <v>0</v>
      </c>
      <c r="M86" s="21">
        <v>0</v>
      </c>
      <c r="N86" s="21">
        <v>0</v>
      </c>
      <c r="O86" s="21">
        <v>0</v>
      </c>
      <c r="P86" s="21">
        <v>0</v>
      </c>
      <c r="Q86" s="21">
        <v>0</v>
      </c>
      <c r="R86" s="21">
        <v>0</v>
      </c>
      <c r="S86" s="21">
        <v>0</v>
      </c>
      <c r="T86" s="21">
        <v>0</v>
      </c>
      <c r="U86" s="21">
        <v>0</v>
      </c>
      <c r="V86" s="21">
        <v>0</v>
      </c>
      <c r="W86" s="21">
        <v>0</v>
      </c>
      <c r="X86" s="21">
        <v>0</v>
      </c>
      <c r="Y86" s="21">
        <v>0</v>
      </c>
      <c r="Z86" s="21">
        <v>0</v>
      </c>
      <c r="AA86" s="21">
        <v>0</v>
      </c>
      <c r="AB86" s="21">
        <v>0</v>
      </c>
      <c r="AC86" s="21">
        <v>0</v>
      </c>
      <c r="AD86" s="21">
        <v>0</v>
      </c>
      <c r="AE86" s="21">
        <v>0</v>
      </c>
      <c r="AF86" s="21">
        <v>0</v>
      </c>
      <c r="AG86" s="21">
        <v>0</v>
      </c>
      <c r="AH86" s="21">
        <v>0</v>
      </c>
      <c r="AI86" s="21">
        <v>0</v>
      </c>
      <c r="AJ86" s="21">
        <v>0</v>
      </c>
      <c r="AK86" s="21">
        <v>0</v>
      </c>
      <c r="AL86" s="21">
        <v>0</v>
      </c>
      <c r="AM86" s="68"/>
      <c r="AQ86" s="81"/>
      <c r="AR86"/>
    </row>
    <row r="87" spans="1:44" ht="15.95">
      <c r="A87" s="23" t="s">
        <v>330</v>
      </c>
      <c r="B87" s="19" t="s">
        <v>331</v>
      </c>
      <c r="C87" s="19" t="s">
        <v>332</v>
      </c>
      <c r="D87" s="20">
        <f t="shared" si="1"/>
        <v>0</v>
      </c>
      <c r="E87" s="21">
        <v>0</v>
      </c>
      <c r="F87" s="21">
        <v>0</v>
      </c>
      <c r="G87" s="21">
        <v>0</v>
      </c>
      <c r="H87" s="21">
        <v>0</v>
      </c>
      <c r="I87" s="21">
        <v>0</v>
      </c>
      <c r="J87" s="21">
        <v>0</v>
      </c>
      <c r="K87" s="21">
        <v>0</v>
      </c>
      <c r="L87" s="21">
        <v>0</v>
      </c>
      <c r="M87" s="21">
        <v>0</v>
      </c>
      <c r="N87" s="21">
        <v>0</v>
      </c>
      <c r="O87" s="21">
        <v>0</v>
      </c>
      <c r="P87" s="21">
        <v>0</v>
      </c>
      <c r="Q87" s="21">
        <v>0</v>
      </c>
      <c r="R87" s="21">
        <v>0</v>
      </c>
      <c r="S87" s="21">
        <v>0</v>
      </c>
      <c r="T87" s="21">
        <v>0</v>
      </c>
      <c r="U87" s="21">
        <v>0</v>
      </c>
      <c r="V87" s="21">
        <v>0</v>
      </c>
      <c r="W87" s="21">
        <v>0</v>
      </c>
      <c r="X87" s="21">
        <v>0</v>
      </c>
      <c r="Y87" s="21">
        <v>0</v>
      </c>
      <c r="Z87" s="21">
        <v>0</v>
      </c>
      <c r="AA87" s="21">
        <v>0</v>
      </c>
      <c r="AB87" s="21">
        <v>0</v>
      </c>
      <c r="AC87" s="21">
        <v>0</v>
      </c>
      <c r="AD87" s="21">
        <v>0</v>
      </c>
      <c r="AE87" s="21">
        <v>0</v>
      </c>
      <c r="AF87" s="21">
        <v>0</v>
      </c>
      <c r="AG87" s="21">
        <v>0</v>
      </c>
      <c r="AH87" s="21">
        <v>0</v>
      </c>
      <c r="AI87" s="21">
        <v>0</v>
      </c>
      <c r="AJ87" s="21">
        <v>0</v>
      </c>
      <c r="AK87" s="21">
        <v>0</v>
      </c>
      <c r="AL87" s="21">
        <v>0</v>
      </c>
      <c r="AM87" s="68"/>
      <c r="AQ87" s="81"/>
      <c r="AR87"/>
    </row>
    <row r="88" spans="1:44" ht="15.95">
      <c r="A88" s="24" t="s">
        <v>333</v>
      </c>
      <c r="B88" s="25"/>
      <c r="C88" s="25"/>
      <c r="D88" s="16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67"/>
      <c r="AQ88" s="81"/>
      <c r="AR88"/>
    </row>
    <row r="89" spans="1:44" ht="15.95">
      <c r="A89" s="19" t="s">
        <v>334</v>
      </c>
      <c r="B89" s="19" t="s">
        <v>335</v>
      </c>
      <c r="C89" s="19" t="s">
        <v>336</v>
      </c>
      <c r="D89" s="20">
        <f t="shared" ref="D89:D102" si="2">SUM(E89:AL89)</f>
        <v>203198.3600000001</v>
      </c>
      <c r="E89" s="22">
        <v>11306.25</v>
      </c>
      <c r="F89" s="22">
        <v>17950.009999999998</v>
      </c>
      <c r="G89" s="22">
        <v>8987.11</v>
      </c>
      <c r="H89" s="22">
        <v>11442.61</v>
      </c>
      <c r="I89" s="22">
        <v>12757.63</v>
      </c>
      <c r="J89" s="22">
        <v>7852.29</v>
      </c>
      <c r="K89" s="22">
        <v>12173.5</v>
      </c>
      <c r="L89" s="22">
        <v>11247.94</v>
      </c>
      <c r="M89" s="22">
        <v>11084.88</v>
      </c>
      <c r="N89" s="22">
        <v>4152.99</v>
      </c>
      <c r="O89" s="22">
        <v>2973.11</v>
      </c>
      <c r="P89" s="22">
        <v>3048.44</v>
      </c>
      <c r="Q89" s="22">
        <v>2463.11</v>
      </c>
      <c r="R89" s="22">
        <v>2447.08</v>
      </c>
      <c r="S89" s="22">
        <v>2979.85</v>
      </c>
      <c r="T89" s="22">
        <v>165.71</v>
      </c>
      <c r="U89" s="22">
        <v>98.6</v>
      </c>
      <c r="V89" s="22">
        <v>259.57</v>
      </c>
      <c r="W89" s="22">
        <v>126.21</v>
      </c>
      <c r="X89" s="22">
        <v>162.66</v>
      </c>
      <c r="Y89" s="22">
        <v>522.44000000000005</v>
      </c>
      <c r="Z89" s="22">
        <v>519.24</v>
      </c>
      <c r="AA89" s="22">
        <v>97.21</v>
      </c>
      <c r="AB89" s="22">
        <v>98.19</v>
      </c>
      <c r="AC89" s="22">
        <v>536.49</v>
      </c>
      <c r="AD89" s="22">
        <v>392.6</v>
      </c>
      <c r="AE89" s="22">
        <v>96.95</v>
      </c>
      <c r="AF89" s="22">
        <v>162.71</v>
      </c>
      <c r="AG89" s="22">
        <v>117.16</v>
      </c>
      <c r="AH89" s="22">
        <v>296.94</v>
      </c>
      <c r="AI89" s="22">
        <v>558.07000000000005</v>
      </c>
      <c r="AJ89" s="22">
        <v>481.23</v>
      </c>
      <c r="AK89" s="22">
        <v>8294.09</v>
      </c>
      <c r="AL89" s="22">
        <v>67345.490000000005</v>
      </c>
      <c r="AM89" s="67"/>
      <c r="AQ89" s="81"/>
      <c r="AR89"/>
    </row>
    <row r="90" spans="1:44" ht="15.95">
      <c r="A90" s="19" t="s">
        <v>337</v>
      </c>
      <c r="B90" s="19" t="s">
        <v>338</v>
      </c>
      <c r="C90" s="19" t="s">
        <v>336</v>
      </c>
      <c r="D90" s="20">
        <f t="shared" si="2"/>
        <v>108765.37999999999</v>
      </c>
      <c r="E90" s="22">
        <v>4319.09</v>
      </c>
      <c r="F90" s="22">
        <v>12334.16</v>
      </c>
      <c r="G90" s="22">
        <v>2691.14</v>
      </c>
      <c r="H90" s="22">
        <v>601.76</v>
      </c>
      <c r="I90" s="22">
        <v>6967.89</v>
      </c>
      <c r="J90" s="22">
        <v>4281.63</v>
      </c>
      <c r="K90" s="22">
        <v>9628.01</v>
      </c>
      <c r="L90" s="22">
        <v>233.6</v>
      </c>
      <c r="M90" s="22">
        <v>8643.6299999999992</v>
      </c>
      <c r="N90" s="22">
        <v>807.11</v>
      </c>
      <c r="O90" s="22">
        <v>0</v>
      </c>
      <c r="P90" s="22">
        <v>0</v>
      </c>
      <c r="Q90" s="22">
        <v>1662.52</v>
      </c>
      <c r="R90" s="22">
        <v>309.60000000000002</v>
      </c>
      <c r="S90" s="22">
        <v>0</v>
      </c>
      <c r="T90" s="22">
        <v>0</v>
      </c>
      <c r="U90" s="22">
        <v>0</v>
      </c>
      <c r="V90" s="22">
        <v>0</v>
      </c>
      <c r="W90" s="22">
        <v>0</v>
      </c>
      <c r="X90" s="22">
        <v>0</v>
      </c>
      <c r="Y90" s="22">
        <v>0</v>
      </c>
      <c r="Z90" s="22">
        <v>0</v>
      </c>
      <c r="AA90" s="22">
        <v>0</v>
      </c>
      <c r="AB90" s="22">
        <v>0</v>
      </c>
      <c r="AC90" s="22">
        <v>0</v>
      </c>
      <c r="AD90" s="22">
        <v>0</v>
      </c>
      <c r="AE90" s="22">
        <v>0</v>
      </c>
      <c r="AF90" s="22">
        <v>0</v>
      </c>
      <c r="AG90" s="22">
        <v>0</v>
      </c>
      <c r="AH90" s="22">
        <v>0</v>
      </c>
      <c r="AI90" s="22">
        <v>0</v>
      </c>
      <c r="AJ90" s="22">
        <v>406.28</v>
      </c>
      <c r="AK90" s="22">
        <v>2468.58</v>
      </c>
      <c r="AL90" s="22">
        <v>53410.38</v>
      </c>
      <c r="AM90" s="67"/>
      <c r="AQ90" s="81"/>
      <c r="AR90"/>
    </row>
    <row r="91" spans="1:44" ht="15.95">
      <c r="A91" s="23" t="s">
        <v>339</v>
      </c>
      <c r="B91" s="19" t="s">
        <v>340</v>
      </c>
      <c r="C91" s="19" t="s">
        <v>196</v>
      </c>
      <c r="D91" s="20">
        <f t="shared" si="2"/>
        <v>98960.78</v>
      </c>
      <c r="E91" s="22">
        <v>3452.61</v>
      </c>
      <c r="F91" s="22">
        <v>10186.450000000001</v>
      </c>
      <c r="G91" s="22">
        <v>5569.79</v>
      </c>
      <c r="H91" s="22">
        <v>6676.58</v>
      </c>
      <c r="I91" s="22">
        <v>7719.65</v>
      </c>
      <c r="J91" s="22">
        <v>3495.36</v>
      </c>
      <c r="K91" s="22">
        <v>6901.55</v>
      </c>
      <c r="L91" s="22">
        <v>3727.76</v>
      </c>
      <c r="M91" s="22">
        <v>6344.63</v>
      </c>
      <c r="N91" s="22">
        <v>1913.8</v>
      </c>
      <c r="O91" s="22">
        <v>1948.04</v>
      </c>
      <c r="P91" s="22">
        <v>999.05</v>
      </c>
      <c r="Q91" s="22">
        <v>1871.87</v>
      </c>
      <c r="R91" s="22">
        <v>1350.06</v>
      </c>
      <c r="S91" s="22">
        <v>1141.52</v>
      </c>
      <c r="T91" s="22">
        <v>90.24</v>
      </c>
      <c r="U91" s="22">
        <v>31.53</v>
      </c>
      <c r="V91" s="22">
        <v>63.31</v>
      </c>
      <c r="W91" s="22">
        <v>27.45</v>
      </c>
      <c r="X91" s="22">
        <v>173.91</v>
      </c>
      <c r="Y91" s="22">
        <v>174.34</v>
      </c>
      <c r="Z91" s="22">
        <v>255.65</v>
      </c>
      <c r="AA91" s="22">
        <v>38.28</v>
      </c>
      <c r="AB91" s="22">
        <v>55.65</v>
      </c>
      <c r="AC91" s="22">
        <v>291.81</v>
      </c>
      <c r="AD91" s="22">
        <v>118.78</v>
      </c>
      <c r="AE91" s="22">
        <v>44.4</v>
      </c>
      <c r="AF91" s="22">
        <v>51.16</v>
      </c>
      <c r="AG91" s="22">
        <v>31.1</v>
      </c>
      <c r="AH91" s="22">
        <v>228.75</v>
      </c>
      <c r="AI91" s="22">
        <v>959.3</v>
      </c>
      <c r="AJ91" s="22">
        <v>423.56</v>
      </c>
      <c r="AK91" s="22">
        <v>3877.89</v>
      </c>
      <c r="AL91" s="22">
        <v>28724.95</v>
      </c>
      <c r="AM91" s="67"/>
      <c r="AQ91" s="81"/>
      <c r="AR91"/>
    </row>
    <row r="92" spans="1:44" ht="15.95">
      <c r="A92" s="23" t="s">
        <v>341</v>
      </c>
      <c r="B92" s="19" t="s">
        <v>342</v>
      </c>
      <c r="C92" s="19" t="s">
        <v>196</v>
      </c>
      <c r="D92" s="20">
        <f t="shared" si="2"/>
        <v>109727.93000000001</v>
      </c>
      <c r="E92" s="22">
        <v>6123.87</v>
      </c>
      <c r="F92" s="22">
        <v>8777.0300000000007</v>
      </c>
      <c r="G92" s="22">
        <v>7217.21</v>
      </c>
      <c r="H92" s="22">
        <v>5682.76</v>
      </c>
      <c r="I92" s="22">
        <v>6679.56</v>
      </c>
      <c r="J92" s="22">
        <v>4315.08</v>
      </c>
      <c r="K92" s="22">
        <v>5278.98</v>
      </c>
      <c r="L92" s="22">
        <v>3493.97</v>
      </c>
      <c r="M92" s="22">
        <v>4659.57</v>
      </c>
      <c r="N92" s="22">
        <v>1050.8800000000001</v>
      </c>
      <c r="O92" s="22">
        <v>509.46</v>
      </c>
      <c r="P92" s="22">
        <v>759.19</v>
      </c>
      <c r="Q92" s="22">
        <v>1154.5899999999999</v>
      </c>
      <c r="R92" s="22">
        <v>1025.17</v>
      </c>
      <c r="S92" s="22">
        <v>1708.07</v>
      </c>
      <c r="T92" s="22">
        <v>129.26</v>
      </c>
      <c r="U92" s="22">
        <v>0</v>
      </c>
      <c r="V92" s="22">
        <v>0</v>
      </c>
      <c r="W92" s="22">
        <v>120.04</v>
      </c>
      <c r="X92" s="22">
        <v>17.05</v>
      </c>
      <c r="Y92" s="22">
        <v>420.54</v>
      </c>
      <c r="Z92" s="22">
        <v>283.32</v>
      </c>
      <c r="AA92" s="22">
        <v>16.13</v>
      </c>
      <c r="AB92" s="22">
        <v>0</v>
      </c>
      <c r="AC92" s="22">
        <v>130.85</v>
      </c>
      <c r="AD92" s="22">
        <v>94.95</v>
      </c>
      <c r="AE92" s="22">
        <v>44.4</v>
      </c>
      <c r="AF92" s="22">
        <v>137.4</v>
      </c>
      <c r="AG92" s="22">
        <v>102.41</v>
      </c>
      <c r="AH92" s="22">
        <v>0</v>
      </c>
      <c r="AI92" s="22">
        <v>392.49</v>
      </c>
      <c r="AJ92" s="22">
        <v>402.79</v>
      </c>
      <c r="AK92" s="22">
        <v>1517.97</v>
      </c>
      <c r="AL92" s="22">
        <v>47482.94</v>
      </c>
      <c r="AM92" s="67"/>
      <c r="AQ92" s="81"/>
      <c r="AR92"/>
    </row>
    <row r="93" spans="1:44" ht="15.95">
      <c r="A93" s="23" t="s">
        <v>343</v>
      </c>
      <c r="B93" s="19" t="s">
        <v>344</v>
      </c>
      <c r="C93" s="19" t="s">
        <v>345</v>
      </c>
      <c r="D93" s="20">
        <f t="shared" si="2"/>
        <v>1271</v>
      </c>
      <c r="E93" s="22">
        <v>34</v>
      </c>
      <c r="F93" s="22">
        <v>89</v>
      </c>
      <c r="G93" s="22">
        <v>40</v>
      </c>
      <c r="H93" s="22">
        <v>44</v>
      </c>
      <c r="I93" s="22">
        <v>109</v>
      </c>
      <c r="J93" s="22">
        <v>65</v>
      </c>
      <c r="K93" s="22">
        <v>75</v>
      </c>
      <c r="L93" s="22">
        <v>22</v>
      </c>
      <c r="M93" s="22">
        <v>144</v>
      </c>
      <c r="N93" s="22">
        <v>19</v>
      </c>
      <c r="O93" s="22">
        <v>7</v>
      </c>
      <c r="P93" s="22">
        <v>0</v>
      </c>
      <c r="Q93" s="22">
        <v>7</v>
      </c>
      <c r="R93" s="22">
        <v>10</v>
      </c>
      <c r="S93" s="22">
        <v>4</v>
      </c>
      <c r="T93" s="22">
        <v>0</v>
      </c>
      <c r="U93" s="22">
        <v>0</v>
      </c>
      <c r="V93" s="22">
        <v>0</v>
      </c>
      <c r="W93" s="22">
        <v>0</v>
      </c>
      <c r="X93" s="22">
        <v>0</v>
      </c>
      <c r="Y93" s="22">
        <v>1</v>
      </c>
      <c r="Z93" s="22">
        <v>0</v>
      </c>
      <c r="AA93" s="22">
        <v>0</v>
      </c>
      <c r="AB93" s="22">
        <v>0</v>
      </c>
      <c r="AC93" s="22">
        <v>0</v>
      </c>
      <c r="AD93" s="22">
        <v>1</v>
      </c>
      <c r="AE93" s="22">
        <v>0</v>
      </c>
      <c r="AF93" s="22">
        <v>0</v>
      </c>
      <c r="AG93" s="22">
        <v>2</v>
      </c>
      <c r="AH93" s="22">
        <v>0</v>
      </c>
      <c r="AI93" s="22">
        <v>3</v>
      </c>
      <c r="AJ93" s="22">
        <v>2</v>
      </c>
      <c r="AK93" s="22">
        <v>17</v>
      </c>
      <c r="AL93" s="22">
        <v>576</v>
      </c>
      <c r="AM93" s="67"/>
      <c r="AQ93" s="81"/>
      <c r="AR93"/>
    </row>
    <row r="94" spans="1:44" ht="15.95">
      <c r="A94" s="23" t="s">
        <v>346</v>
      </c>
      <c r="B94" s="19" t="s">
        <v>347</v>
      </c>
      <c r="C94" s="19" t="s">
        <v>348</v>
      </c>
      <c r="D94" s="20">
        <f t="shared" si="2"/>
        <v>1822</v>
      </c>
      <c r="E94" s="22">
        <v>86</v>
      </c>
      <c r="F94" s="22">
        <v>152</v>
      </c>
      <c r="G94" s="22">
        <v>130</v>
      </c>
      <c r="H94" s="22">
        <v>89</v>
      </c>
      <c r="I94" s="22">
        <v>120</v>
      </c>
      <c r="J94" s="22">
        <v>73</v>
      </c>
      <c r="K94" s="22">
        <v>121</v>
      </c>
      <c r="L94" s="22">
        <v>74</v>
      </c>
      <c r="M94" s="22">
        <v>202</v>
      </c>
      <c r="N94" s="22">
        <v>27</v>
      </c>
      <c r="O94" s="22">
        <v>34</v>
      </c>
      <c r="P94" s="22">
        <v>24</v>
      </c>
      <c r="Q94" s="22">
        <v>30</v>
      </c>
      <c r="R94" s="22">
        <v>20</v>
      </c>
      <c r="S94" s="22">
        <v>22</v>
      </c>
      <c r="T94" s="22">
        <v>3</v>
      </c>
      <c r="U94" s="22">
        <v>2</v>
      </c>
      <c r="V94" s="22">
        <v>1</v>
      </c>
      <c r="W94" s="22">
        <v>4</v>
      </c>
      <c r="X94" s="22">
        <v>2</v>
      </c>
      <c r="Y94" s="22">
        <v>9</v>
      </c>
      <c r="Z94" s="22">
        <v>14</v>
      </c>
      <c r="AA94" s="22">
        <v>2</v>
      </c>
      <c r="AB94" s="22">
        <v>2</v>
      </c>
      <c r="AC94" s="22">
        <v>12</v>
      </c>
      <c r="AD94" s="22">
        <v>4</v>
      </c>
      <c r="AE94" s="22">
        <v>1</v>
      </c>
      <c r="AF94" s="22">
        <v>6</v>
      </c>
      <c r="AG94" s="22">
        <v>2</v>
      </c>
      <c r="AH94" s="22">
        <v>3</v>
      </c>
      <c r="AI94" s="22">
        <v>5</v>
      </c>
      <c r="AJ94" s="22">
        <v>11</v>
      </c>
      <c r="AK94" s="22">
        <v>48</v>
      </c>
      <c r="AL94" s="22">
        <v>487</v>
      </c>
      <c r="AM94" s="67"/>
      <c r="AQ94" s="81"/>
      <c r="AR94"/>
    </row>
    <row r="95" spans="1:44" ht="15.95">
      <c r="A95" s="23" t="s">
        <v>349</v>
      </c>
      <c r="B95" s="19" t="s">
        <v>350</v>
      </c>
      <c r="C95" s="19" t="s">
        <v>351</v>
      </c>
      <c r="D95" s="20">
        <f t="shared" si="2"/>
        <v>2</v>
      </c>
      <c r="E95" s="22">
        <v>0</v>
      </c>
      <c r="F95" s="22">
        <v>1</v>
      </c>
      <c r="G95" s="22">
        <v>0</v>
      </c>
      <c r="H95" s="22">
        <v>0</v>
      </c>
      <c r="I95" s="22">
        <v>0</v>
      </c>
      <c r="J95" s="22">
        <v>0</v>
      </c>
      <c r="K95" s="22">
        <v>0</v>
      </c>
      <c r="L95" s="22">
        <v>0</v>
      </c>
      <c r="M95" s="22">
        <v>0</v>
      </c>
      <c r="N95" s="22">
        <v>0</v>
      </c>
      <c r="O95" s="22">
        <v>0</v>
      </c>
      <c r="P95" s="22">
        <v>0</v>
      </c>
      <c r="Q95" s="22">
        <v>0</v>
      </c>
      <c r="R95" s="22">
        <v>0</v>
      </c>
      <c r="S95" s="22">
        <v>0</v>
      </c>
      <c r="T95" s="22">
        <v>0</v>
      </c>
      <c r="U95" s="22">
        <v>0</v>
      </c>
      <c r="V95" s="22">
        <v>0</v>
      </c>
      <c r="W95" s="22">
        <v>0</v>
      </c>
      <c r="X95" s="22">
        <v>0</v>
      </c>
      <c r="Y95" s="22">
        <v>0</v>
      </c>
      <c r="Z95" s="22">
        <v>0</v>
      </c>
      <c r="AA95" s="22">
        <v>0</v>
      </c>
      <c r="AB95" s="22">
        <v>0</v>
      </c>
      <c r="AC95" s="22">
        <v>0</v>
      </c>
      <c r="AD95" s="22">
        <v>0</v>
      </c>
      <c r="AE95" s="22">
        <v>0</v>
      </c>
      <c r="AF95" s="22">
        <v>0</v>
      </c>
      <c r="AG95" s="22">
        <v>0</v>
      </c>
      <c r="AH95" s="22">
        <v>0</v>
      </c>
      <c r="AI95" s="22">
        <v>0</v>
      </c>
      <c r="AJ95" s="22">
        <v>0</v>
      </c>
      <c r="AK95" s="22">
        <v>0</v>
      </c>
      <c r="AL95" s="22">
        <v>1</v>
      </c>
      <c r="AM95" s="67"/>
      <c r="AQ95" s="81"/>
      <c r="AR95"/>
    </row>
    <row r="96" spans="1:44" ht="15.95">
      <c r="A96" s="23" t="s">
        <v>352</v>
      </c>
      <c r="B96" s="19" t="s">
        <v>353</v>
      </c>
      <c r="C96" s="19" t="s">
        <v>242</v>
      </c>
      <c r="D96" s="20">
        <f t="shared" si="2"/>
        <v>8</v>
      </c>
      <c r="E96" s="22">
        <v>1</v>
      </c>
      <c r="F96" s="22">
        <v>2</v>
      </c>
      <c r="G96" s="22">
        <v>0</v>
      </c>
      <c r="H96" s="22">
        <v>1</v>
      </c>
      <c r="I96" s="22">
        <v>0</v>
      </c>
      <c r="J96" s="22">
        <v>0</v>
      </c>
      <c r="K96" s="22">
        <v>0</v>
      </c>
      <c r="L96" s="22">
        <v>0</v>
      </c>
      <c r="M96" s="22">
        <v>1</v>
      </c>
      <c r="N96" s="22">
        <v>0</v>
      </c>
      <c r="O96" s="22">
        <v>0</v>
      </c>
      <c r="P96" s="22">
        <v>0</v>
      </c>
      <c r="Q96" s="22">
        <v>1</v>
      </c>
      <c r="R96" s="22">
        <v>0</v>
      </c>
      <c r="S96" s="22">
        <v>0</v>
      </c>
      <c r="T96" s="22">
        <v>0</v>
      </c>
      <c r="U96" s="22">
        <v>0</v>
      </c>
      <c r="V96" s="22">
        <v>0</v>
      </c>
      <c r="W96" s="22">
        <v>0</v>
      </c>
      <c r="X96" s="22">
        <v>0</v>
      </c>
      <c r="Y96" s="22">
        <v>0</v>
      </c>
      <c r="Z96" s="22">
        <v>0</v>
      </c>
      <c r="AA96" s="22">
        <v>0</v>
      </c>
      <c r="AB96" s="22">
        <v>0</v>
      </c>
      <c r="AC96" s="22">
        <v>0</v>
      </c>
      <c r="AD96" s="22">
        <v>0</v>
      </c>
      <c r="AE96" s="22">
        <v>0</v>
      </c>
      <c r="AF96" s="22">
        <v>0</v>
      </c>
      <c r="AG96" s="22">
        <v>0</v>
      </c>
      <c r="AH96" s="22">
        <v>0</v>
      </c>
      <c r="AI96" s="22">
        <v>0</v>
      </c>
      <c r="AJ96" s="22">
        <v>0</v>
      </c>
      <c r="AK96" s="22">
        <v>0</v>
      </c>
      <c r="AL96" s="22">
        <v>2</v>
      </c>
      <c r="AM96" s="67"/>
      <c r="AQ96" s="81"/>
      <c r="AR96"/>
    </row>
    <row r="97" spans="1:44" ht="15.95">
      <c r="A97" s="23" t="s">
        <v>354</v>
      </c>
      <c r="B97" s="19" t="s">
        <v>355</v>
      </c>
      <c r="C97" s="19" t="s">
        <v>356</v>
      </c>
      <c r="D97" s="20">
        <f t="shared" si="2"/>
        <v>495</v>
      </c>
      <c r="E97" s="22">
        <v>18</v>
      </c>
      <c r="F97" s="22">
        <v>34</v>
      </c>
      <c r="G97" s="22">
        <v>26</v>
      </c>
      <c r="H97" s="22">
        <v>35</v>
      </c>
      <c r="I97" s="22">
        <v>6</v>
      </c>
      <c r="J97" s="22">
        <v>29</v>
      </c>
      <c r="K97" s="22">
        <v>23</v>
      </c>
      <c r="L97" s="22">
        <v>1</v>
      </c>
      <c r="M97" s="22">
        <v>40</v>
      </c>
      <c r="N97" s="22">
        <v>10</v>
      </c>
      <c r="O97" s="22">
        <v>0</v>
      </c>
      <c r="P97" s="22">
        <v>8</v>
      </c>
      <c r="Q97" s="22">
        <v>6</v>
      </c>
      <c r="R97" s="22">
        <v>2</v>
      </c>
      <c r="S97" s="22">
        <v>7</v>
      </c>
      <c r="T97" s="22">
        <v>0</v>
      </c>
      <c r="U97" s="22">
        <v>0</v>
      </c>
      <c r="V97" s="22">
        <v>0</v>
      </c>
      <c r="W97" s="22">
        <v>0</v>
      </c>
      <c r="X97" s="22">
        <v>0</v>
      </c>
      <c r="Y97" s="22">
        <v>3</v>
      </c>
      <c r="Z97" s="22">
        <v>0</v>
      </c>
      <c r="AA97" s="22">
        <v>0</v>
      </c>
      <c r="AB97" s="22">
        <v>0</v>
      </c>
      <c r="AC97" s="22">
        <v>0</v>
      </c>
      <c r="AD97" s="22">
        <v>0</v>
      </c>
      <c r="AE97" s="22">
        <v>0</v>
      </c>
      <c r="AF97" s="22">
        <v>0</v>
      </c>
      <c r="AG97" s="22">
        <v>0</v>
      </c>
      <c r="AH97" s="22">
        <v>0</v>
      </c>
      <c r="AI97" s="22">
        <v>2</v>
      </c>
      <c r="AJ97" s="22">
        <v>0</v>
      </c>
      <c r="AK97" s="22">
        <v>27</v>
      </c>
      <c r="AL97" s="22">
        <v>218</v>
      </c>
      <c r="AM97" s="67"/>
      <c r="AQ97" s="81"/>
      <c r="AR97"/>
    </row>
    <row r="98" spans="1:44" ht="15.95">
      <c r="A98" s="23" t="s">
        <v>357</v>
      </c>
      <c r="B98" s="19" t="s">
        <v>358</v>
      </c>
      <c r="C98" s="19" t="s">
        <v>359</v>
      </c>
      <c r="D98" s="20">
        <f t="shared" si="2"/>
        <v>6</v>
      </c>
      <c r="E98" s="22">
        <v>0</v>
      </c>
      <c r="F98" s="22">
        <v>0</v>
      </c>
      <c r="G98" s="22">
        <v>2</v>
      </c>
      <c r="H98" s="22">
        <v>0</v>
      </c>
      <c r="I98" s="22">
        <v>0</v>
      </c>
      <c r="J98" s="22">
        <v>0</v>
      </c>
      <c r="K98" s="22">
        <v>1</v>
      </c>
      <c r="L98" s="22">
        <v>0</v>
      </c>
      <c r="M98" s="22">
        <v>0</v>
      </c>
      <c r="N98" s="22">
        <v>2</v>
      </c>
      <c r="O98" s="22">
        <v>0</v>
      </c>
      <c r="P98" s="22">
        <v>0</v>
      </c>
      <c r="Q98" s="22">
        <v>0</v>
      </c>
      <c r="R98" s="22">
        <v>0</v>
      </c>
      <c r="S98" s="22">
        <v>0</v>
      </c>
      <c r="T98" s="22">
        <v>0</v>
      </c>
      <c r="U98" s="22">
        <v>0</v>
      </c>
      <c r="V98" s="22">
        <v>0</v>
      </c>
      <c r="W98" s="22">
        <v>0</v>
      </c>
      <c r="X98" s="22">
        <v>0</v>
      </c>
      <c r="Y98" s="22">
        <v>0</v>
      </c>
      <c r="Z98" s="22">
        <v>0</v>
      </c>
      <c r="AA98" s="22">
        <v>0</v>
      </c>
      <c r="AB98" s="22">
        <v>0</v>
      </c>
      <c r="AC98" s="22">
        <v>0</v>
      </c>
      <c r="AD98" s="22">
        <v>0</v>
      </c>
      <c r="AE98" s="22">
        <v>0</v>
      </c>
      <c r="AF98" s="22">
        <v>0</v>
      </c>
      <c r="AG98" s="22">
        <v>0</v>
      </c>
      <c r="AH98" s="22">
        <v>0</v>
      </c>
      <c r="AI98" s="22">
        <v>0</v>
      </c>
      <c r="AJ98" s="22">
        <v>0</v>
      </c>
      <c r="AK98" s="22">
        <v>1</v>
      </c>
      <c r="AL98" s="22">
        <v>0</v>
      </c>
      <c r="AM98" s="67"/>
      <c r="AQ98" s="81"/>
      <c r="AR98"/>
    </row>
    <row r="99" spans="1:44" ht="48">
      <c r="A99" s="23" t="s">
        <v>360</v>
      </c>
      <c r="B99" s="19" t="s">
        <v>361</v>
      </c>
      <c r="C99" s="19" t="s">
        <v>362</v>
      </c>
      <c r="D99" s="20">
        <f t="shared" si="2"/>
        <v>9227.86</v>
      </c>
      <c r="E99" s="22">
        <v>0</v>
      </c>
      <c r="F99" s="22">
        <v>281.77999999999997</v>
      </c>
      <c r="G99" s="22">
        <v>0</v>
      </c>
      <c r="H99" s="22">
        <v>0</v>
      </c>
      <c r="I99" s="22">
        <v>0</v>
      </c>
      <c r="J99" s="22">
        <v>0</v>
      </c>
      <c r="K99" s="22">
        <v>29.62</v>
      </c>
      <c r="L99" s="22">
        <v>0</v>
      </c>
      <c r="M99" s="22">
        <v>0</v>
      </c>
      <c r="N99" s="22">
        <v>0</v>
      </c>
      <c r="O99" s="22">
        <v>0</v>
      </c>
      <c r="P99" s="22">
        <v>0</v>
      </c>
      <c r="Q99" s="22">
        <v>0</v>
      </c>
      <c r="R99" s="22">
        <v>0</v>
      </c>
      <c r="S99" s="22">
        <v>0</v>
      </c>
      <c r="T99" s="22">
        <v>0</v>
      </c>
      <c r="U99" s="22">
        <v>0</v>
      </c>
      <c r="V99" s="22">
        <v>0</v>
      </c>
      <c r="W99" s="22">
        <v>0</v>
      </c>
      <c r="X99" s="22">
        <v>0</v>
      </c>
      <c r="Y99" s="22">
        <v>0</v>
      </c>
      <c r="Z99" s="22">
        <v>0</v>
      </c>
      <c r="AA99" s="22">
        <v>0</v>
      </c>
      <c r="AB99" s="22">
        <v>0</v>
      </c>
      <c r="AC99" s="22">
        <v>0</v>
      </c>
      <c r="AD99" s="22">
        <v>0</v>
      </c>
      <c r="AE99" s="22">
        <v>0</v>
      </c>
      <c r="AF99" s="22">
        <v>0</v>
      </c>
      <c r="AG99" s="22">
        <v>0</v>
      </c>
      <c r="AH99" s="22">
        <v>0</v>
      </c>
      <c r="AI99" s="22">
        <v>0</v>
      </c>
      <c r="AJ99" s="22">
        <v>0</v>
      </c>
      <c r="AK99" s="22">
        <v>53.68</v>
      </c>
      <c r="AL99" s="22">
        <v>8862.7800000000007</v>
      </c>
      <c r="AM99" s="67"/>
      <c r="AQ99" s="81"/>
      <c r="AR99"/>
    </row>
    <row r="100" spans="1:44" ht="15.95">
      <c r="A100" s="23" t="s">
        <v>363</v>
      </c>
      <c r="B100" s="19" t="s">
        <v>364</v>
      </c>
      <c r="C100" s="19" t="s">
        <v>365</v>
      </c>
      <c r="D100" s="20">
        <f t="shared" si="2"/>
        <v>0</v>
      </c>
      <c r="E100" s="21">
        <v>0</v>
      </c>
      <c r="F100" s="21">
        <v>0</v>
      </c>
      <c r="G100" s="21">
        <v>0</v>
      </c>
      <c r="H100" s="21">
        <v>0</v>
      </c>
      <c r="I100" s="21">
        <v>0</v>
      </c>
      <c r="J100" s="21">
        <v>0</v>
      </c>
      <c r="K100" s="21">
        <v>0</v>
      </c>
      <c r="L100" s="21">
        <v>0</v>
      </c>
      <c r="M100" s="21">
        <v>0</v>
      </c>
      <c r="N100" s="21">
        <v>0</v>
      </c>
      <c r="O100" s="21">
        <v>0</v>
      </c>
      <c r="P100" s="21">
        <v>0</v>
      </c>
      <c r="Q100" s="21">
        <v>0</v>
      </c>
      <c r="R100" s="21">
        <v>0</v>
      </c>
      <c r="S100" s="21">
        <v>0</v>
      </c>
      <c r="T100" s="21">
        <v>0</v>
      </c>
      <c r="U100" s="21">
        <v>0</v>
      </c>
      <c r="V100" s="21">
        <v>0</v>
      </c>
      <c r="W100" s="21">
        <v>0</v>
      </c>
      <c r="X100" s="21">
        <v>0</v>
      </c>
      <c r="Y100" s="21">
        <v>0</v>
      </c>
      <c r="Z100" s="21">
        <v>0</v>
      </c>
      <c r="AA100" s="21">
        <v>0</v>
      </c>
      <c r="AB100" s="21">
        <v>0</v>
      </c>
      <c r="AC100" s="21">
        <v>0</v>
      </c>
      <c r="AD100" s="21">
        <v>0</v>
      </c>
      <c r="AE100" s="21">
        <v>0</v>
      </c>
      <c r="AF100" s="21">
        <v>0</v>
      </c>
      <c r="AG100" s="21">
        <v>0</v>
      </c>
      <c r="AH100" s="21">
        <v>0</v>
      </c>
      <c r="AI100" s="21">
        <v>0</v>
      </c>
      <c r="AJ100" s="21">
        <v>0</v>
      </c>
      <c r="AK100" s="21">
        <v>0</v>
      </c>
      <c r="AL100" s="21">
        <v>0</v>
      </c>
      <c r="AM100" s="67"/>
      <c r="AQ100" s="81"/>
      <c r="AR100"/>
    </row>
    <row r="101" spans="1:44" ht="15.95">
      <c r="A101" s="23" t="s">
        <v>366</v>
      </c>
      <c r="B101" s="19" t="s">
        <v>367</v>
      </c>
      <c r="C101" s="19" t="s">
        <v>368</v>
      </c>
      <c r="D101" s="20">
        <f t="shared" si="2"/>
        <v>0</v>
      </c>
      <c r="E101" s="21">
        <v>0</v>
      </c>
      <c r="F101" s="21">
        <v>0</v>
      </c>
      <c r="G101" s="21">
        <v>0</v>
      </c>
      <c r="H101" s="21">
        <v>0</v>
      </c>
      <c r="I101" s="21">
        <v>0</v>
      </c>
      <c r="J101" s="21">
        <v>0</v>
      </c>
      <c r="K101" s="21">
        <v>0</v>
      </c>
      <c r="L101" s="21">
        <v>0</v>
      </c>
      <c r="M101" s="21">
        <v>0</v>
      </c>
      <c r="N101" s="21">
        <v>0</v>
      </c>
      <c r="O101" s="21">
        <v>0</v>
      </c>
      <c r="P101" s="21">
        <v>0</v>
      </c>
      <c r="Q101" s="21">
        <v>0</v>
      </c>
      <c r="R101" s="21">
        <v>0</v>
      </c>
      <c r="S101" s="21">
        <v>0</v>
      </c>
      <c r="T101" s="21">
        <v>0</v>
      </c>
      <c r="U101" s="21">
        <v>0</v>
      </c>
      <c r="V101" s="21">
        <v>0</v>
      </c>
      <c r="W101" s="21">
        <v>0</v>
      </c>
      <c r="X101" s="21">
        <v>0</v>
      </c>
      <c r="Y101" s="21">
        <v>0</v>
      </c>
      <c r="Z101" s="21">
        <v>0</v>
      </c>
      <c r="AA101" s="21">
        <v>0</v>
      </c>
      <c r="AB101" s="21">
        <v>0</v>
      </c>
      <c r="AC101" s="21">
        <v>0</v>
      </c>
      <c r="AD101" s="21">
        <v>0</v>
      </c>
      <c r="AE101" s="21">
        <v>0</v>
      </c>
      <c r="AF101" s="21">
        <v>0</v>
      </c>
      <c r="AG101" s="21">
        <v>0</v>
      </c>
      <c r="AH101" s="21">
        <v>0</v>
      </c>
      <c r="AI101" s="21">
        <v>0</v>
      </c>
      <c r="AJ101" s="21">
        <v>0</v>
      </c>
      <c r="AK101" s="21">
        <v>0</v>
      </c>
      <c r="AL101" s="21">
        <v>0</v>
      </c>
      <c r="AM101" s="68"/>
      <c r="AQ101" s="81"/>
      <c r="AR101"/>
    </row>
    <row r="102" spans="1:44" ht="32.1">
      <c r="A102" s="23" t="s">
        <v>357</v>
      </c>
      <c r="B102" s="19" t="s">
        <v>369</v>
      </c>
      <c r="C102" s="19" t="s">
        <v>370</v>
      </c>
      <c r="D102" s="20">
        <f t="shared" si="2"/>
        <v>0</v>
      </c>
      <c r="E102" s="21">
        <v>0</v>
      </c>
      <c r="F102" s="21">
        <v>0</v>
      </c>
      <c r="G102" s="21">
        <v>0</v>
      </c>
      <c r="H102" s="21">
        <v>0</v>
      </c>
      <c r="I102" s="21">
        <v>0</v>
      </c>
      <c r="J102" s="21">
        <v>0</v>
      </c>
      <c r="K102" s="21">
        <v>0</v>
      </c>
      <c r="L102" s="21">
        <v>0</v>
      </c>
      <c r="M102" s="21">
        <v>0</v>
      </c>
      <c r="N102" s="21">
        <v>0</v>
      </c>
      <c r="O102" s="21">
        <v>0</v>
      </c>
      <c r="P102" s="21">
        <v>0</v>
      </c>
      <c r="Q102" s="21">
        <v>0</v>
      </c>
      <c r="R102" s="21">
        <v>0</v>
      </c>
      <c r="S102" s="21">
        <v>0</v>
      </c>
      <c r="T102" s="21">
        <v>0</v>
      </c>
      <c r="U102" s="21">
        <v>0</v>
      </c>
      <c r="V102" s="21">
        <v>0</v>
      </c>
      <c r="W102" s="21">
        <v>0</v>
      </c>
      <c r="X102" s="21">
        <v>0</v>
      </c>
      <c r="Y102" s="21">
        <v>0</v>
      </c>
      <c r="Z102" s="21">
        <v>0</v>
      </c>
      <c r="AA102" s="21">
        <v>0</v>
      </c>
      <c r="AB102" s="21">
        <v>0</v>
      </c>
      <c r="AC102" s="21">
        <v>0</v>
      </c>
      <c r="AD102" s="21">
        <v>0</v>
      </c>
      <c r="AE102" s="21">
        <v>0</v>
      </c>
      <c r="AF102" s="21">
        <v>0</v>
      </c>
      <c r="AG102" s="21">
        <v>0</v>
      </c>
      <c r="AH102" s="21">
        <v>0</v>
      </c>
      <c r="AI102" s="21">
        <v>0</v>
      </c>
      <c r="AJ102" s="21">
        <v>0</v>
      </c>
      <c r="AK102" s="21">
        <v>0</v>
      </c>
      <c r="AL102" s="21">
        <v>0</v>
      </c>
      <c r="AM102" s="67"/>
      <c r="AQ102" s="81"/>
      <c r="AR102"/>
    </row>
    <row r="103" spans="1:44" ht="15.95">
      <c r="A103" s="24" t="s">
        <v>371</v>
      </c>
      <c r="B103" s="25"/>
      <c r="C103" s="25"/>
      <c r="D103" s="16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67"/>
      <c r="AQ103" s="81"/>
      <c r="AR103"/>
    </row>
    <row r="104" spans="1:44" ht="15.95">
      <c r="A104" s="23" t="s">
        <v>372</v>
      </c>
      <c r="B104" s="19" t="s">
        <v>373</v>
      </c>
      <c r="C104" s="19" t="s">
        <v>374</v>
      </c>
      <c r="D104" s="20">
        <f t="shared" ref="D104:D110" si="3">SUM(E104:AL104)</f>
        <v>44</v>
      </c>
      <c r="E104" s="22">
        <v>1</v>
      </c>
      <c r="F104" s="22">
        <v>5</v>
      </c>
      <c r="G104" s="22">
        <v>8</v>
      </c>
      <c r="H104" s="22">
        <v>4</v>
      </c>
      <c r="I104" s="22">
        <v>9</v>
      </c>
      <c r="J104" s="22">
        <v>3</v>
      </c>
      <c r="K104" s="22">
        <v>1</v>
      </c>
      <c r="L104" s="22">
        <v>3</v>
      </c>
      <c r="M104" s="22">
        <v>1</v>
      </c>
      <c r="N104" s="22">
        <v>1</v>
      </c>
      <c r="O104" s="22">
        <v>2</v>
      </c>
      <c r="P104" s="22">
        <v>2</v>
      </c>
      <c r="Q104" s="22">
        <v>0</v>
      </c>
      <c r="R104" s="22">
        <v>0</v>
      </c>
      <c r="S104" s="22">
        <v>2</v>
      </c>
      <c r="T104" s="22">
        <v>0</v>
      </c>
      <c r="U104" s="22">
        <v>0</v>
      </c>
      <c r="V104" s="22">
        <v>0</v>
      </c>
      <c r="W104" s="22">
        <v>0</v>
      </c>
      <c r="X104" s="22">
        <v>0</v>
      </c>
      <c r="Y104" s="22">
        <v>0</v>
      </c>
      <c r="Z104" s="22">
        <v>0</v>
      </c>
      <c r="AA104" s="22">
        <v>0</v>
      </c>
      <c r="AB104" s="22">
        <v>0</v>
      </c>
      <c r="AC104" s="22">
        <v>0</v>
      </c>
      <c r="AD104" s="22">
        <v>1</v>
      </c>
      <c r="AE104" s="22">
        <v>0</v>
      </c>
      <c r="AF104" s="22">
        <v>0</v>
      </c>
      <c r="AG104" s="22">
        <v>0</v>
      </c>
      <c r="AH104" s="22">
        <v>0</v>
      </c>
      <c r="AI104" s="22">
        <v>1</v>
      </c>
      <c r="AJ104" s="22">
        <v>0</v>
      </c>
      <c r="AK104" s="22">
        <v>0</v>
      </c>
      <c r="AL104" s="22">
        <v>0</v>
      </c>
      <c r="AM104" s="67"/>
      <c r="AQ104" s="81"/>
      <c r="AR104"/>
    </row>
    <row r="105" spans="1:44" ht="15.95">
      <c r="A105" s="23" t="s">
        <v>372</v>
      </c>
      <c r="B105" s="19" t="s">
        <v>375</v>
      </c>
      <c r="C105" s="19" t="s">
        <v>374</v>
      </c>
      <c r="D105" s="20">
        <f t="shared" si="3"/>
        <v>48</v>
      </c>
      <c r="E105" s="22">
        <v>5</v>
      </c>
      <c r="F105" s="22">
        <v>3</v>
      </c>
      <c r="G105" s="22">
        <v>0</v>
      </c>
      <c r="H105" s="22">
        <v>0</v>
      </c>
      <c r="I105" s="22">
        <v>3</v>
      </c>
      <c r="J105" s="22">
        <v>5</v>
      </c>
      <c r="K105" s="22">
        <v>5</v>
      </c>
      <c r="L105" s="22">
        <v>0</v>
      </c>
      <c r="M105" s="22">
        <v>4</v>
      </c>
      <c r="N105" s="22">
        <v>0</v>
      </c>
      <c r="O105" s="22">
        <v>0</v>
      </c>
      <c r="P105" s="22">
        <v>0</v>
      </c>
      <c r="Q105" s="22">
        <v>0</v>
      </c>
      <c r="R105" s="22">
        <v>0</v>
      </c>
      <c r="S105" s="22">
        <v>0</v>
      </c>
      <c r="T105" s="22">
        <v>0</v>
      </c>
      <c r="U105" s="22">
        <v>0</v>
      </c>
      <c r="V105" s="22">
        <v>0</v>
      </c>
      <c r="W105" s="22">
        <v>0</v>
      </c>
      <c r="X105" s="22">
        <v>0</v>
      </c>
      <c r="Y105" s="22">
        <v>0</v>
      </c>
      <c r="Z105" s="22">
        <v>0</v>
      </c>
      <c r="AA105" s="22">
        <v>0</v>
      </c>
      <c r="AB105" s="22">
        <v>0</v>
      </c>
      <c r="AC105" s="22">
        <v>0</v>
      </c>
      <c r="AD105" s="22">
        <v>0</v>
      </c>
      <c r="AE105" s="22">
        <v>0</v>
      </c>
      <c r="AF105" s="22">
        <v>0</v>
      </c>
      <c r="AG105" s="22">
        <v>0</v>
      </c>
      <c r="AH105" s="22">
        <v>0</v>
      </c>
      <c r="AI105" s="22">
        <v>0</v>
      </c>
      <c r="AJ105" s="22">
        <v>0</v>
      </c>
      <c r="AK105" s="22">
        <v>2</v>
      </c>
      <c r="AL105" s="22">
        <v>21</v>
      </c>
      <c r="AM105" s="67"/>
      <c r="AQ105" s="81"/>
      <c r="AR105"/>
    </row>
    <row r="106" spans="1:44" ht="15.95">
      <c r="A106" s="23" t="s">
        <v>372</v>
      </c>
      <c r="B106" s="19" t="s">
        <v>376</v>
      </c>
      <c r="C106" s="19" t="s">
        <v>374</v>
      </c>
      <c r="D106" s="20">
        <f t="shared" si="3"/>
        <v>0</v>
      </c>
      <c r="E106" s="21">
        <v>0</v>
      </c>
      <c r="F106" s="21">
        <v>0</v>
      </c>
      <c r="G106" s="21">
        <v>0</v>
      </c>
      <c r="H106" s="21">
        <v>0</v>
      </c>
      <c r="I106" s="21">
        <v>0</v>
      </c>
      <c r="J106" s="21">
        <v>0</v>
      </c>
      <c r="K106" s="21">
        <v>0</v>
      </c>
      <c r="L106" s="21">
        <v>0</v>
      </c>
      <c r="M106" s="21">
        <v>0</v>
      </c>
      <c r="N106" s="21">
        <v>0</v>
      </c>
      <c r="O106" s="21">
        <v>0</v>
      </c>
      <c r="P106" s="21">
        <v>0</v>
      </c>
      <c r="Q106" s="21">
        <v>0</v>
      </c>
      <c r="R106" s="21">
        <v>0</v>
      </c>
      <c r="S106" s="21">
        <v>0</v>
      </c>
      <c r="T106" s="21">
        <v>0</v>
      </c>
      <c r="U106" s="21">
        <v>0</v>
      </c>
      <c r="V106" s="21">
        <v>0</v>
      </c>
      <c r="W106" s="21">
        <v>0</v>
      </c>
      <c r="X106" s="21">
        <v>0</v>
      </c>
      <c r="Y106" s="21">
        <v>0</v>
      </c>
      <c r="Z106" s="21">
        <v>0</v>
      </c>
      <c r="AA106" s="21">
        <v>0</v>
      </c>
      <c r="AB106" s="21">
        <v>0</v>
      </c>
      <c r="AC106" s="21">
        <v>0</v>
      </c>
      <c r="AD106" s="21">
        <v>0</v>
      </c>
      <c r="AE106" s="21">
        <v>0</v>
      </c>
      <c r="AF106" s="21">
        <v>0</v>
      </c>
      <c r="AG106" s="21">
        <v>0</v>
      </c>
      <c r="AH106" s="21">
        <v>0</v>
      </c>
      <c r="AI106" s="21">
        <v>0</v>
      </c>
      <c r="AJ106" s="21">
        <v>0</v>
      </c>
      <c r="AK106" s="21">
        <v>0</v>
      </c>
      <c r="AL106" s="21">
        <v>0</v>
      </c>
      <c r="AM106" s="67"/>
      <c r="AQ106" s="81"/>
      <c r="AR106"/>
    </row>
    <row r="107" spans="1:44" ht="15.95">
      <c r="A107" s="23" t="s">
        <v>377</v>
      </c>
      <c r="B107" s="19" t="s">
        <v>378</v>
      </c>
      <c r="C107" s="19" t="s">
        <v>379</v>
      </c>
      <c r="D107" s="20">
        <f t="shared" si="3"/>
        <v>0</v>
      </c>
      <c r="E107" s="22">
        <v>0</v>
      </c>
      <c r="F107" s="22">
        <v>0</v>
      </c>
      <c r="G107" s="22">
        <v>0</v>
      </c>
      <c r="H107" s="22">
        <v>0</v>
      </c>
      <c r="I107" s="22">
        <v>0</v>
      </c>
      <c r="J107" s="22">
        <v>0</v>
      </c>
      <c r="K107" s="22">
        <v>0</v>
      </c>
      <c r="L107" s="22">
        <v>0</v>
      </c>
      <c r="M107" s="22">
        <v>0</v>
      </c>
      <c r="N107" s="22">
        <v>0</v>
      </c>
      <c r="O107" s="22">
        <v>0</v>
      </c>
      <c r="P107" s="22">
        <v>0</v>
      </c>
      <c r="Q107" s="22">
        <v>0</v>
      </c>
      <c r="R107" s="22">
        <v>0</v>
      </c>
      <c r="S107" s="22">
        <v>0</v>
      </c>
      <c r="T107" s="22">
        <v>0</v>
      </c>
      <c r="U107" s="22">
        <v>0</v>
      </c>
      <c r="V107" s="22">
        <v>0</v>
      </c>
      <c r="W107" s="22">
        <v>0</v>
      </c>
      <c r="X107" s="22">
        <v>0</v>
      </c>
      <c r="Y107" s="22">
        <v>0</v>
      </c>
      <c r="Z107" s="22">
        <v>0</v>
      </c>
      <c r="AA107" s="22">
        <v>0</v>
      </c>
      <c r="AB107" s="22">
        <v>0</v>
      </c>
      <c r="AC107" s="22">
        <v>0</v>
      </c>
      <c r="AD107" s="22">
        <v>0</v>
      </c>
      <c r="AE107" s="22">
        <v>0</v>
      </c>
      <c r="AF107" s="22">
        <v>0</v>
      </c>
      <c r="AG107" s="22">
        <v>0</v>
      </c>
      <c r="AH107" s="22">
        <v>0</v>
      </c>
      <c r="AI107" s="22">
        <v>0</v>
      </c>
      <c r="AJ107" s="22">
        <v>0</v>
      </c>
      <c r="AK107" s="22">
        <v>0</v>
      </c>
      <c r="AL107" s="22">
        <v>0</v>
      </c>
      <c r="AM107" s="67"/>
      <c r="AQ107" s="81"/>
      <c r="AR107"/>
    </row>
    <row r="108" spans="1:44" ht="15.95">
      <c r="A108" s="23" t="s">
        <v>380</v>
      </c>
      <c r="B108" s="19" t="s">
        <v>381</v>
      </c>
      <c r="C108" s="19" t="s">
        <v>382</v>
      </c>
      <c r="D108" s="20">
        <f t="shared" si="3"/>
        <v>0</v>
      </c>
      <c r="E108" s="21">
        <v>0</v>
      </c>
      <c r="F108" s="21">
        <v>0</v>
      </c>
      <c r="G108" s="21">
        <v>0</v>
      </c>
      <c r="H108" s="21">
        <v>0</v>
      </c>
      <c r="I108" s="21">
        <v>0</v>
      </c>
      <c r="J108" s="21">
        <v>0</v>
      </c>
      <c r="K108" s="21">
        <v>0</v>
      </c>
      <c r="L108" s="21">
        <v>0</v>
      </c>
      <c r="M108" s="21">
        <v>0</v>
      </c>
      <c r="N108" s="21">
        <v>0</v>
      </c>
      <c r="O108" s="21">
        <v>0</v>
      </c>
      <c r="P108" s="21">
        <v>0</v>
      </c>
      <c r="Q108" s="21">
        <v>0</v>
      </c>
      <c r="R108" s="21">
        <v>0</v>
      </c>
      <c r="S108" s="21">
        <v>0</v>
      </c>
      <c r="T108" s="21">
        <v>0</v>
      </c>
      <c r="U108" s="21">
        <v>0</v>
      </c>
      <c r="V108" s="21">
        <v>0</v>
      </c>
      <c r="W108" s="21">
        <v>0</v>
      </c>
      <c r="X108" s="21">
        <v>0</v>
      </c>
      <c r="Y108" s="21">
        <v>0</v>
      </c>
      <c r="Z108" s="21">
        <v>0</v>
      </c>
      <c r="AA108" s="21">
        <v>0</v>
      </c>
      <c r="AB108" s="21">
        <v>0</v>
      </c>
      <c r="AC108" s="21">
        <v>0</v>
      </c>
      <c r="AD108" s="21">
        <v>0</v>
      </c>
      <c r="AE108" s="21">
        <v>0</v>
      </c>
      <c r="AF108" s="21">
        <v>0</v>
      </c>
      <c r="AG108" s="21">
        <v>0</v>
      </c>
      <c r="AH108" s="21">
        <v>0</v>
      </c>
      <c r="AI108" s="21">
        <v>0</v>
      </c>
      <c r="AJ108" s="21">
        <v>0</v>
      </c>
      <c r="AK108" s="21">
        <v>0</v>
      </c>
      <c r="AL108" s="21">
        <v>0</v>
      </c>
      <c r="AM108" s="67"/>
      <c r="AQ108" s="81"/>
      <c r="AR108"/>
    </row>
    <row r="109" spans="1:44" ht="15.95">
      <c r="A109" s="23"/>
      <c r="B109" s="19" t="s">
        <v>383</v>
      </c>
      <c r="C109" s="19" t="s">
        <v>384</v>
      </c>
      <c r="D109" s="20">
        <f t="shared" si="3"/>
        <v>0</v>
      </c>
      <c r="E109" s="21">
        <v>0</v>
      </c>
      <c r="F109" s="21">
        <v>0</v>
      </c>
      <c r="G109" s="21">
        <v>0</v>
      </c>
      <c r="H109" s="21">
        <v>0</v>
      </c>
      <c r="I109" s="21">
        <v>0</v>
      </c>
      <c r="J109" s="21">
        <v>0</v>
      </c>
      <c r="K109" s="21">
        <v>0</v>
      </c>
      <c r="L109" s="21">
        <v>0</v>
      </c>
      <c r="M109" s="21">
        <v>0</v>
      </c>
      <c r="N109" s="21">
        <v>0</v>
      </c>
      <c r="O109" s="21">
        <v>0</v>
      </c>
      <c r="P109" s="21">
        <v>0</v>
      </c>
      <c r="Q109" s="21">
        <v>0</v>
      </c>
      <c r="R109" s="21">
        <v>0</v>
      </c>
      <c r="S109" s="21">
        <v>0</v>
      </c>
      <c r="T109" s="21">
        <v>0</v>
      </c>
      <c r="U109" s="21">
        <v>0</v>
      </c>
      <c r="V109" s="21">
        <v>0</v>
      </c>
      <c r="W109" s="21">
        <v>0</v>
      </c>
      <c r="X109" s="21">
        <v>0</v>
      </c>
      <c r="Y109" s="21">
        <v>0</v>
      </c>
      <c r="Z109" s="21">
        <v>0</v>
      </c>
      <c r="AA109" s="21">
        <v>0</v>
      </c>
      <c r="AB109" s="21">
        <v>0</v>
      </c>
      <c r="AC109" s="21">
        <v>0</v>
      </c>
      <c r="AD109" s="21">
        <v>0</v>
      </c>
      <c r="AE109" s="21">
        <v>0</v>
      </c>
      <c r="AF109" s="21">
        <v>0</v>
      </c>
      <c r="AG109" s="21">
        <v>0</v>
      </c>
      <c r="AH109" s="21">
        <v>0</v>
      </c>
      <c r="AI109" s="21">
        <v>0</v>
      </c>
      <c r="AJ109" s="21">
        <v>0</v>
      </c>
      <c r="AK109" s="21">
        <v>0</v>
      </c>
      <c r="AL109" s="21">
        <v>0</v>
      </c>
      <c r="AM109" s="68"/>
      <c r="AQ109" s="81"/>
      <c r="AR109"/>
    </row>
    <row r="110" spans="1:44" ht="15.95">
      <c r="A110" s="23"/>
      <c r="B110" s="19" t="s">
        <v>385</v>
      </c>
      <c r="C110" s="19" t="s">
        <v>287</v>
      </c>
      <c r="D110" s="20">
        <f t="shared" si="3"/>
        <v>0</v>
      </c>
      <c r="E110" s="21">
        <v>0</v>
      </c>
      <c r="F110" s="21">
        <v>0</v>
      </c>
      <c r="G110" s="21">
        <v>0</v>
      </c>
      <c r="H110" s="21">
        <v>0</v>
      </c>
      <c r="I110" s="21">
        <v>0</v>
      </c>
      <c r="J110" s="21">
        <v>0</v>
      </c>
      <c r="K110" s="21">
        <v>0</v>
      </c>
      <c r="L110" s="21">
        <v>0</v>
      </c>
      <c r="M110" s="21">
        <v>0</v>
      </c>
      <c r="N110" s="21">
        <v>0</v>
      </c>
      <c r="O110" s="21">
        <v>0</v>
      </c>
      <c r="P110" s="21">
        <v>0</v>
      </c>
      <c r="Q110" s="21">
        <v>0</v>
      </c>
      <c r="R110" s="21">
        <v>0</v>
      </c>
      <c r="S110" s="21">
        <v>0</v>
      </c>
      <c r="T110" s="21">
        <v>0</v>
      </c>
      <c r="U110" s="21">
        <v>0</v>
      </c>
      <c r="V110" s="21">
        <v>0</v>
      </c>
      <c r="W110" s="21">
        <v>0</v>
      </c>
      <c r="X110" s="21">
        <v>0</v>
      </c>
      <c r="Y110" s="21">
        <v>0</v>
      </c>
      <c r="Z110" s="21">
        <v>0</v>
      </c>
      <c r="AA110" s="21">
        <v>0</v>
      </c>
      <c r="AB110" s="21">
        <v>0</v>
      </c>
      <c r="AC110" s="21">
        <v>0</v>
      </c>
      <c r="AD110" s="21">
        <v>0</v>
      </c>
      <c r="AE110" s="21">
        <v>0</v>
      </c>
      <c r="AF110" s="21">
        <v>0</v>
      </c>
      <c r="AG110" s="21">
        <v>0</v>
      </c>
      <c r="AH110" s="21">
        <v>0</v>
      </c>
      <c r="AI110" s="21">
        <v>0</v>
      </c>
      <c r="AJ110" s="21">
        <v>0</v>
      </c>
      <c r="AK110" s="21">
        <v>0</v>
      </c>
      <c r="AL110" s="21">
        <v>0</v>
      </c>
      <c r="AM110" s="68"/>
      <c r="AQ110" s="81"/>
      <c r="AR110"/>
    </row>
    <row r="111" spans="1:44" ht="15.95">
      <c r="A111" s="24" t="s">
        <v>386</v>
      </c>
      <c r="B111" s="25"/>
      <c r="C111" s="25"/>
      <c r="D111" s="16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28"/>
      <c r="AJ111" s="28"/>
      <c r="AK111" s="28"/>
      <c r="AL111" s="28"/>
      <c r="AM111" s="67"/>
      <c r="AQ111" s="81"/>
      <c r="AR111"/>
    </row>
    <row r="112" spans="1:44" ht="15.95">
      <c r="A112" s="83" t="s">
        <v>387</v>
      </c>
      <c r="B112" s="19" t="s">
        <v>388</v>
      </c>
      <c r="C112" s="19" t="s">
        <v>389</v>
      </c>
      <c r="D112" s="20">
        <f t="shared" ref="D112:D127" si="4">SUM(E112:AL112)</f>
        <v>0</v>
      </c>
      <c r="E112" s="21">
        <v>0</v>
      </c>
      <c r="F112" s="21">
        <v>0</v>
      </c>
      <c r="G112" s="21">
        <v>0</v>
      </c>
      <c r="H112" s="21">
        <v>0</v>
      </c>
      <c r="I112" s="21">
        <v>0</v>
      </c>
      <c r="J112" s="21">
        <v>0</v>
      </c>
      <c r="K112" s="21">
        <v>0</v>
      </c>
      <c r="L112" s="21">
        <v>0</v>
      </c>
      <c r="M112" s="21">
        <v>0</v>
      </c>
      <c r="N112" s="21">
        <v>0</v>
      </c>
      <c r="O112" s="21">
        <v>0</v>
      </c>
      <c r="P112" s="21">
        <v>0</v>
      </c>
      <c r="Q112" s="21">
        <v>0</v>
      </c>
      <c r="R112" s="21">
        <v>0</v>
      </c>
      <c r="S112" s="21">
        <v>0</v>
      </c>
      <c r="T112" s="21">
        <v>0</v>
      </c>
      <c r="U112" s="21">
        <v>0</v>
      </c>
      <c r="V112" s="21">
        <v>0</v>
      </c>
      <c r="W112" s="21">
        <v>0</v>
      </c>
      <c r="X112" s="21">
        <v>0</v>
      </c>
      <c r="Y112" s="21">
        <v>0</v>
      </c>
      <c r="Z112" s="21">
        <v>0</v>
      </c>
      <c r="AA112" s="21">
        <v>0</v>
      </c>
      <c r="AB112" s="21">
        <v>0</v>
      </c>
      <c r="AC112" s="21">
        <v>0</v>
      </c>
      <c r="AD112" s="21">
        <v>0</v>
      </c>
      <c r="AE112" s="21">
        <v>0</v>
      </c>
      <c r="AF112" s="21">
        <v>0</v>
      </c>
      <c r="AG112" s="21">
        <v>0</v>
      </c>
      <c r="AH112" s="21">
        <v>0</v>
      </c>
      <c r="AI112" s="21">
        <v>0</v>
      </c>
      <c r="AJ112" s="21">
        <v>0</v>
      </c>
      <c r="AK112" s="21">
        <v>0</v>
      </c>
      <c r="AL112" s="21">
        <v>0</v>
      </c>
      <c r="AM112" s="67"/>
      <c r="AQ112" s="81"/>
      <c r="AR112"/>
    </row>
    <row r="113" spans="1:44" ht="15.95">
      <c r="A113" s="84" t="s">
        <v>390</v>
      </c>
      <c r="B113" s="19" t="s">
        <v>391</v>
      </c>
      <c r="C113" s="19" t="s">
        <v>392</v>
      </c>
      <c r="D113" s="20">
        <f>SUM(E113:AL113)</f>
        <v>0</v>
      </c>
      <c r="E113" s="21">
        <v>0</v>
      </c>
      <c r="F113" s="21">
        <v>0</v>
      </c>
      <c r="G113" s="21">
        <v>0</v>
      </c>
      <c r="H113" s="21">
        <v>0</v>
      </c>
      <c r="I113" s="21">
        <v>0</v>
      </c>
      <c r="J113" s="21">
        <v>0</v>
      </c>
      <c r="K113" s="21">
        <v>0</v>
      </c>
      <c r="L113" s="21">
        <v>0</v>
      </c>
      <c r="M113" s="21">
        <v>0</v>
      </c>
      <c r="N113" s="21">
        <v>0</v>
      </c>
      <c r="O113" s="21">
        <v>0</v>
      </c>
      <c r="P113" s="21">
        <v>0</v>
      </c>
      <c r="Q113" s="21">
        <v>0</v>
      </c>
      <c r="R113" s="21">
        <v>0</v>
      </c>
      <c r="S113" s="21">
        <v>0</v>
      </c>
      <c r="T113" s="21">
        <v>0</v>
      </c>
      <c r="U113" s="21">
        <v>0</v>
      </c>
      <c r="V113" s="21">
        <v>0</v>
      </c>
      <c r="W113" s="21">
        <v>0</v>
      </c>
      <c r="X113" s="21">
        <v>0</v>
      </c>
      <c r="Y113" s="21">
        <v>0</v>
      </c>
      <c r="Z113" s="21">
        <v>0</v>
      </c>
      <c r="AA113" s="21">
        <v>0</v>
      </c>
      <c r="AB113" s="21">
        <v>0</v>
      </c>
      <c r="AC113" s="21">
        <v>0</v>
      </c>
      <c r="AD113" s="21">
        <v>0</v>
      </c>
      <c r="AE113" s="21">
        <v>0</v>
      </c>
      <c r="AF113" s="21">
        <v>0</v>
      </c>
      <c r="AG113" s="21">
        <v>0</v>
      </c>
      <c r="AH113" s="21">
        <v>0</v>
      </c>
      <c r="AI113" s="21">
        <v>0</v>
      </c>
      <c r="AJ113" s="21">
        <v>0</v>
      </c>
      <c r="AK113" s="21">
        <v>0</v>
      </c>
      <c r="AL113" s="21">
        <v>0</v>
      </c>
      <c r="AM113" s="68"/>
      <c r="AQ113" s="81"/>
      <c r="AR113"/>
    </row>
    <row r="114" spans="1:44" ht="15.95">
      <c r="A114" s="23" t="s">
        <v>393</v>
      </c>
      <c r="B114" s="19" t="s">
        <v>394</v>
      </c>
      <c r="C114" s="19" t="s">
        <v>392</v>
      </c>
      <c r="D114" s="20">
        <f t="shared" si="4"/>
        <v>0</v>
      </c>
      <c r="E114" s="21">
        <v>0</v>
      </c>
      <c r="F114" s="21">
        <v>0</v>
      </c>
      <c r="G114" s="21">
        <v>0</v>
      </c>
      <c r="H114" s="21">
        <v>0</v>
      </c>
      <c r="I114" s="21">
        <v>0</v>
      </c>
      <c r="J114" s="21">
        <v>0</v>
      </c>
      <c r="K114" s="21">
        <v>0</v>
      </c>
      <c r="L114" s="21">
        <v>0</v>
      </c>
      <c r="M114" s="21">
        <v>0</v>
      </c>
      <c r="N114" s="21">
        <v>0</v>
      </c>
      <c r="O114" s="21">
        <v>0</v>
      </c>
      <c r="P114" s="21">
        <v>0</v>
      </c>
      <c r="Q114" s="21">
        <v>0</v>
      </c>
      <c r="R114" s="21">
        <v>0</v>
      </c>
      <c r="S114" s="21">
        <v>0</v>
      </c>
      <c r="T114" s="21">
        <v>0</v>
      </c>
      <c r="U114" s="21">
        <v>0</v>
      </c>
      <c r="V114" s="21">
        <v>0</v>
      </c>
      <c r="W114" s="21">
        <v>0</v>
      </c>
      <c r="X114" s="21">
        <v>0</v>
      </c>
      <c r="Y114" s="21">
        <v>0</v>
      </c>
      <c r="Z114" s="21">
        <v>0</v>
      </c>
      <c r="AA114" s="21">
        <v>0</v>
      </c>
      <c r="AB114" s="21">
        <v>0</v>
      </c>
      <c r="AC114" s="21">
        <v>0</v>
      </c>
      <c r="AD114" s="21">
        <v>0</v>
      </c>
      <c r="AE114" s="21">
        <v>0</v>
      </c>
      <c r="AF114" s="21">
        <v>0</v>
      </c>
      <c r="AG114" s="21">
        <v>0</v>
      </c>
      <c r="AH114" s="21">
        <v>0</v>
      </c>
      <c r="AI114" s="21">
        <v>0</v>
      </c>
      <c r="AJ114" s="21">
        <v>0</v>
      </c>
      <c r="AK114" s="21">
        <v>0</v>
      </c>
      <c r="AL114" s="21">
        <v>0</v>
      </c>
      <c r="AM114" s="68"/>
      <c r="AQ114" s="81"/>
      <c r="AR114"/>
    </row>
    <row r="115" spans="1:44" ht="15.95">
      <c r="A115" s="23" t="s">
        <v>395</v>
      </c>
      <c r="B115" s="19" t="s">
        <v>396</v>
      </c>
      <c r="C115" s="19" t="s">
        <v>392</v>
      </c>
      <c r="D115" s="20">
        <f t="shared" si="4"/>
        <v>0</v>
      </c>
      <c r="E115" s="21">
        <v>0</v>
      </c>
      <c r="F115" s="21">
        <v>0</v>
      </c>
      <c r="G115" s="21">
        <v>0</v>
      </c>
      <c r="H115" s="21">
        <v>0</v>
      </c>
      <c r="I115" s="21">
        <v>0</v>
      </c>
      <c r="J115" s="21">
        <v>0</v>
      </c>
      <c r="K115" s="21">
        <v>0</v>
      </c>
      <c r="L115" s="21">
        <v>0</v>
      </c>
      <c r="M115" s="21">
        <v>0</v>
      </c>
      <c r="N115" s="21">
        <v>0</v>
      </c>
      <c r="O115" s="21">
        <v>0</v>
      </c>
      <c r="P115" s="21">
        <v>0</v>
      </c>
      <c r="Q115" s="21">
        <v>0</v>
      </c>
      <c r="R115" s="21">
        <v>0</v>
      </c>
      <c r="S115" s="21">
        <v>0</v>
      </c>
      <c r="T115" s="21">
        <v>0</v>
      </c>
      <c r="U115" s="21">
        <v>0</v>
      </c>
      <c r="V115" s="21">
        <v>0</v>
      </c>
      <c r="W115" s="21">
        <v>0</v>
      </c>
      <c r="X115" s="21">
        <v>0</v>
      </c>
      <c r="Y115" s="21">
        <v>0</v>
      </c>
      <c r="Z115" s="21">
        <v>0</v>
      </c>
      <c r="AA115" s="21">
        <v>0</v>
      </c>
      <c r="AB115" s="21">
        <v>0</v>
      </c>
      <c r="AC115" s="21">
        <v>0</v>
      </c>
      <c r="AD115" s="21">
        <v>0</v>
      </c>
      <c r="AE115" s="21">
        <v>0</v>
      </c>
      <c r="AF115" s="21">
        <v>0</v>
      </c>
      <c r="AG115" s="21">
        <v>0</v>
      </c>
      <c r="AH115" s="21">
        <v>0</v>
      </c>
      <c r="AI115" s="21">
        <v>0</v>
      </c>
      <c r="AJ115" s="21">
        <v>0</v>
      </c>
      <c r="AK115" s="21">
        <v>0</v>
      </c>
      <c r="AL115" s="21">
        <v>0</v>
      </c>
      <c r="AM115" s="68"/>
      <c r="AQ115" s="81"/>
      <c r="AR115"/>
    </row>
    <row r="116" spans="1:44" ht="32.1">
      <c r="A116" s="23" t="s">
        <v>397</v>
      </c>
      <c r="B116" s="19" t="s">
        <v>398</v>
      </c>
      <c r="C116" s="19" t="s">
        <v>399</v>
      </c>
      <c r="D116" s="20">
        <f t="shared" si="4"/>
        <v>0</v>
      </c>
      <c r="E116" s="21">
        <v>0</v>
      </c>
      <c r="F116" s="21">
        <v>0</v>
      </c>
      <c r="G116" s="21">
        <v>0</v>
      </c>
      <c r="H116" s="21">
        <v>0</v>
      </c>
      <c r="I116" s="21">
        <v>0</v>
      </c>
      <c r="J116" s="21">
        <v>0</v>
      </c>
      <c r="K116" s="21">
        <v>0</v>
      </c>
      <c r="L116" s="21">
        <v>0</v>
      </c>
      <c r="M116" s="21">
        <v>0</v>
      </c>
      <c r="N116" s="21">
        <v>0</v>
      </c>
      <c r="O116" s="21">
        <v>0</v>
      </c>
      <c r="P116" s="21">
        <v>0</v>
      </c>
      <c r="Q116" s="21">
        <v>0</v>
      </c>
      <c r="R116" s="21">
        <v>0</v>
      </c>
      <c r="S116" s="21">
        <v>0</v>
      </c>
      <c r="T116" s="21">
        <v>0</v>
      </c>
      <c r="U116" s="21">
        <v>0</v>
      </c>
      <c r="V116" s="21">
        <v>0</v>
      </c>
      <c r="W116" s="21">
        <v>0</v>
      </c>
      <c r="X116" s="21">
        <v>0</v>
      </c>
      <c r="Y116" s="21">
        <v>0</v>
      </c>
      <c r="Z116" s="21">
        <v>0</v>
      </c>
      <c r="AA116" s="21">
        <v>0</v>
      </c>
      <c r="AB116" s="21">
        <v>0</v>
      </c>
      <c r="AC116" s="21">
        <v>0</v>
      </c>
      <c r="AD116" s="21">
        <v>0</v>
      </c>
      <c r="AE116" s="21">
        <v>0</v>
      </c>
      <c r="AF116" s="21">
        <v>0</v>
      </c>
      <c r="AG116" s="21">
        <v>0</v>
      </c>
      <c r="AH116" s="21">
        <v>0</v>
      </c>
      <c r="AI116" s="21">
        <v>0</v>
      </c>
      <c r="AJ116" s="21">
        <v>0</v>
      </c>
      <c r="AK116" s="21">
        <v>0</v>
      </c>
      <c r="AL116" s="21">
        <v>0</v>
      </c>
      <c r="AM116" s="68"/>
      <c r="AQ116" s="81"/>
      <c r="AR116"/>
    </row>
    <row r="117" spans="1:44" ht="15.95">
      <c r="A117" s="23" t="s">
        <v>400</v>
      </c>
      <c r="B117" s="19" t="s">
        <v>401</v>
      </c>
      <c r="C117" s="19" t="s">
        <v>402</v>
      </c>
      <c r="D117" s="20">
        <f t="shared" si="4"/>
        <v>0</v>
      </c>
      <c r="E117" s="21">
        <v>0</v>
      </c>
      <c r="F117" s="21">
        <v>0</v>
      </c>
      <c r="G117" s="21">
        <v>0</v>
      </c>
      <c r="H117" s="21">
        <v>0</v>
      </c>
      <c r="I117" s="21">
        <v>0</v>
      </c>
      <c r="J117" s="21">
        <v>0</v>
      </c>
      <c r="K117" s="21">
        <v>0</v>
      </c>
      <c r="L117" s="21">
        <v>0</v>
      </c>
      <c r="M117" s="21">
        <v>0</v>
      </c>
      <c r="N117" s="21">
        <v>0</v>
      </c>
      <c r="O117" s="21">
        <v>0</v>
      </c>
      <c r="P117" s="21">
        <v>0</v>
      </c>
      <c r="Q117" s="21">
        <v>0</v>
      </c>
      <c r="R117" s="21">
        <v>0</v>
      </c>
      <c r="S117" s="21">
        <v>0</v>
      </c>
      <c r="T117" s="21">
        <v>0</v>
      </c>
      <c r="U117" s="21">
        <v>0</v>
      </c>
      <c r="V117" s="21">
        <v>0</v>
      </c>
      <c r="W117" s="21">
        <v>0</v>
      </c>
      <c r="X117" s="21">
        <v>0</v>
      </c>
      <c r="Y117" s="21">
        <v>0</v>
      </c>
      <c r="Z117" s="21">
        <v>0</v>
      </c>
      <c r="AA117" s="21">
        <v>0</v>
      </c>
      <c r="AB117" s="21">
        <v>0</v>
      </c>
      <c r="AC117" s="21">
        <v>0</v>
      </c>
      <c r="AD117" s="21">
        <v>0</v>
      </c>
      <c r="AE117" s="21">
        <v>0</v>
      </c>
      <c r="AF117" s="21">
        <v>0</v>
      </c>
      <c r="AG117" s="21">
        <v>0</v>
      </c>
      <c r="AH117" s="21">
        <v>0</v>
      </c>
      <c r="AI117" s="21">
        <v>0</v>
      </c>
      <c r="AJ117" s="21">
        <v>0</v>
      </c>
      <c r="AK117" s="21">
        <v>0</v>
      </c>
      <c r="AL117" s="21">
        <v>0</v>
      </c>
      <c r="AM117" s="67"/>
      <c r="AQ117" s="81"/>
      <c r="AR117"/>
    </row>
    <row r="118" spans="1:44" ht="15.95">
      <c r="A118" s="23" t="s">
        <v>403</v>
      </c>
      <c r="B118" s="19" t="s">
        <v>404</v>
      </c>
      <c r="C118" s="19" t="s">
        <v>405</v>
      </c>
      <c r="D118" s="20">
        <f t="shared" si="4"/>
        <v>122</v>
      </c>
      <c r="E118" s="22">
        <v>4</v>
      </c>
      <c r="F118" s="22">
        <v>13</v>
      </c>
      <c r="G118" s="22">
        <v>1</v>
      </c>
      <c r="H118" s="22">
        <v>8</v>
      </c>
      <c r="I118" s="22">
        <v>16</v>
      </c>
      <c r="J118" s="22">
        <v>5</v>
      </c>
      <c r="K118" s="22">
        <v>14</v>
      </c>
      <c r="L118" s="22">
        <v>3</v>
      </c>
      <c r="M118" s="22">
        <v>12</v>
      </c>
      <c r="N118" s="22">
        <v>1</v>
      </c>
      <c r="O118" s="22">
        <v>0</v>
      </c>
      <c r="P118" s="22">
        <v>0</v>
      </c>
      <c r="Q118" s="22">
        <v>3</v>
      </c>
      <c r="R118" s="22">
        <v>0</v>
      </c>
      <c r="S118" s="22">
        <v>2</v>
      </c>
      <c r="T118" s="22">
        <v>0</v>
      </c>
      <c r="U118" s="22">
        <v>0</v>
      </c>
      <c r="V118" s="22">
        <v>0</v>
      </c>
      <c r="W118" s="22">
        <v>0</v>
      </c>
      <c r="X118" s="22">
        <v>0</v>
      </c>
      <c r="Y118" s="22">
        <v>0</v>
      </c>
      <c r="Z118" s="22">
        <v>0</v>
      </c>
      <c r="AA118" s="22">
        <v>0</v>
      </c>
      <c r="AB118" s="22">
        <v>0</v>
      </c>
      <c r="AC118" s="22">
        <v>2</v>
      </c>
      <c r="AD118" s="22">
        <v>0</v>
      </c>
      <c r="AE118" s="22">
        <v>0</v>
      </c>
      <c r="AF118" s="22">
        <v>0</v>
      </c>
      <c r="AG118" s="22">
        <v>0</v>
      </c>
      <c r="AH118" s="22">
        <v>0</v>
      </c>
      <c r="AI118" s="22">
        <v>0</v>
      </c>
      <c r="AJ118" s="22">
        <v>0</v>
      </c>
      <c r="AK118" s="22">
        <v>1</v>
      </c>
      <c r="AL118" s="22">
        <v>37</v>
      </c>
      <c r="AM118" s="67"/>
      <c r="AQ118" s="81"/>
      <c r="AR118"/>
    </row>
    <row r="119" spans="1:44" ht="32.1">
      <c r="A119" s="23" t="s">
        <v>406</v>
      </c>
      <c r="B119" s="19" t="s">
        <v>407</v>
      </c>
      <c r="C119" s="19" t="s">
        <v>408</v>
      </c>
      <c r="D119" s="20">
        <f t="shared" si="4"/>
        <v>0</v>
      </c>
      <c r="E119" s="21">
        <v>0</v>
      </c>
      <c r="F119" s="21">
        <v>0</v>
      </c>
      <c r="G119" s="21">
        <v>0</v>
      </c>
      <c r="H119" s="21">
        <v>0</v>
      </c>
      <c r="I119" s="21">
        <v>0</v>
      </c>
      <c r="J119" s="21">
        <v>0</v>
      </c>
      <c r="K119" s="21">
        <v>0</v>
      </c>
      <c r="L119" s="21">
        <v>0</v>
      </c>
      <c r="M119" s="21">
        <v>0</v>
      </c>
      <c r="N119" s="21">
        <v>0</v>
      </c>
      <c r="O119" s="21">
        <v>0</v>
      </c>
      <c r="P119" s="21">
        <v>0</v>
      </c>
      <c r="Q119" s="21">
        <v>0</v>
      </c>
      <c r="R119" s="21">
        <v>0</v>
      </c>
      <c r="S119" s="21">
        <v>0</v>
      </c>
      <c r="T119" s="21">
        <v>0</v>
      </c>
      <c r="U119" s="21">
        <v>0</v>
      </c>
      <c r="V119" s="21">
        <v>0</v>
      </c>
      <c r="W119" s="21">
        <v>0</v>
      </c>
      <c r="X119" s="21">
        <v>0</v>
      </c>
      <c r="Y119" s="21">
        <v>0</v>
      </c>
      <c r="Z119" s="21">
        <v>0</v>
      </c>
      <c r="AA119" s="21">
        <v>0</v>
      </c>
      <c r="AB119" s="21">
        <v>0</v>
      </c>
      <c r="AC119" s="21">
        <v>0</v>
      </c>
      <c r="AD119" s="21">
        <v>0</v>
      </c>
      <c r="AE119" s="21">
        <v>0</v>
      </c>
      <c r="AF119" s="21">
        <v>0</v>
      </c>
      <c r="AG119" s="21">
        <v>0</v>
      </c>
      <c r="AH119" s="21">
        <v>0</v>
      </c>
      <c r="AI119" s="21">
        <v>0</v>
      </c>
      <c r="AJ119" s="21">
        <v>0</v>
      </c>
      <c r="AK119" s="21">
        <v>0</v>
      </c>
      <c r="AL119" s="21">
        <v>0</v>
      </c>
      <c r="AM119" s="68"/>
      <c r="AQ119" s="81"/>
      <c r="AR119"/>
    </row>
    <row r="120" spans="1:44" ht="15.95">
      <c r="A120" s="23" t="s">
        <v>409</v>
      </c>
      <c r="B120" s="19" t="s">
        <v>410</v>
      </c>
      <c r="C120" s="19" t="s">
        <v>411</v>
      </c>
      <c r="D120" s="20">
        <f t="shared" si="4"/>
        <v>0</v>
      </c>
      <c r="E120" s="21">
        <v>0</v>
      </c>
      <c r="F120" s="21">
        <v>0</v>
      </c>
      <c r="G120" s="21">
        <v>0</v>
      </c>
      <c r="H120" s="21">
        <v>0</v>
      </c>
      <c r="I120" s="21">
        <v>0</v>
      </c>
      <c r="J120" s="21">
        <v>0</v>
      </c>
      <c r="K120" s="21">
        <v>0</v>
      </c>
      <c r="L120" s="21">
        <v>0</v>
      </c>
      <c r="M120" s="21">
        <v>0</v>
      </c>
      <c r="N120" s="21">
        <v>0</v>
      </c>
      <c r="O120" s="21">
        <v>0</v>
      </c>
      <c r="P120" s="21">
        <v>0</v>
      </c>
      <c r="Q120" s="21">
        <v>0</v>
      </c>
      <c r="R120" s="21">
        <v>0</v>
      </c>
      <c r="S120" s="21">
        <v>0</v>
      </c>
      <c r="T120" s="21">
        <v>0</v>
      </c>
      <c r="U120" s="21">
        <v>0</v>
      </c>
      <c r="V120" s="21">
        <v>0</v>
      </c>
      <c r="W120" s="21">
        <v>0</v>
      </c>
      <c r="X120" s="21">
        <v>0</v>
      </c>
      <c r="Y120" s="21">
        <v>0</v>
      </c>
      <c r="Z120" s="21">
        <v>0</v>
      </c>
      <c r="AA120" s="21">
        <v>0</v>
      </c>
      <c r="AB120" s="21">
        <v>0</v>
      </c>
      <c r="AC120" s="21">
        <v>0</v>
      </c>
      <c r="AD120" s="21">
        <v>0</v>
      </c>
      <c r="AE120" s="21">
        <v>0</v>
      </c>
      <c r="AF120" s="21">
        <v>0</v>
      </c>
      <c r="AG120" s="21">
        <v>0</v>
      </c>
      <c r="AH120" s="21">
        <v>0</v>
      </c>
      <c r="AI120" s="21">
        <v>0</v>
      </c>
      <c r="AJ120" s="21">
        <v>0</v>
      </c>
      <c r="AK120" s="21">
        <v>0</v>
      </c>
      <c r="AL120" s="21">
        <v>0</v>
      </c>
      <c r="AM120" s="68"/>
      <c r="AQ120" s="81"/>
      <c r="AR120"/>
    </row>
    <row r="121" spans="1:44" ht="15.95">
      <c r="A121" s="23" t="s">
        <v>412</v>
      </c>
      <c r="B121" s="19" t="s">
        <v>413</v>
      </c>
      <c r="C121" s="19" t="s">
        <v>392</v>
      </c>
      <c r="D121" s="20">
        <f t="shared" si="4"/>
        <v>0</v>
      </c>
      <c r="E121" s="21">
        <v>0</v>
      </c>
      <c r="F121" s="21">
        <v>0</v>
      </c>
      <c r="G121" s="21">
        <v>0</v>
      </c>
      <c r="H121" s="21">
        <v>0</v>
      </c>
      <c r="I121" s="21">
        <v>0</v>
      </c>
      <c r="J121" s="21">
        <v>0</v>
      </c>
      <c r="K121" s="21">
        <v>0</v>
      </c>
      <c r="L121" s="21">
        <v>0</v>
      </c>
      <c r="M121" s="21">
        <v>0</v>
      </c>
      <c r="N121" s="21">
        <v>0</v>
      </c>
      <c r="O121" s="21">
        <v>0</v>
      </c>
      <c r="P121" s="21">
        <v>0</v>
      </c>
      <c r="Q121" s="21">
        <v>0</v>
      </c>
      <c r="R121" s="21">
        <v>0</v>
      </c>
      <c r="S121" s="21">
        <v>0</v>
      </c>
      <c r="T121" s="21">
        <v>0</v>
      </c>
      <c r="U121" s="21">
        <v>0</v>
      </c>
      <c r="V121" s="21">
        <v>0</v>
      </c>
      <c r="W121" s="21">
        <v>0</v>
      </c>
      <c r="X121" s="21">
        <v>0</v>
      </c>
      <c r="Y121" s="21">
        <v>0</v>
      </c>
      <c r="Z121" s="21">
        <v>0</v>
      </c>
      <c r="AA121" s="21">
        <v>0</v>
      </c>
      <c r="AB121" s="21">
        <v>0</v>
      </c>
      <c r="AC121" s="21">
        <v>0</v>
      </c>
      <c r="AD121" s="21">
        <v>0</v>
      </c>
      <c r="AE121" s="21">
        <v>0</v>
      </c>
      <c r="AF121" s="21">
        <v>0</v>
      </c>
      <c r="AG121" s="21">
        <v>0</v>
      </c>
      <c r="AH121" s="21">
        <v>0</v>
      </c>
      <c r="AI121" s="21">
        <v>0</v>
      </c>
      <c r="AJ121" s="21">
        <v>0</v>
      </c>
      <c r="AK121" s="21">
        <v>0</v>
      </c>
      <c r="AL121" s="21">
        <v>0</v>
      </c>
      <c r="AM121" s="68"/>
      <c r="AQ121" s="81"/>
      <c r="AR121"/>
    </row>
    <row r="122" spans="1:44" ht="15.95">
      <c r="A122" s="23" t="s">
        <v>414</v>
      </c>
      <c r="B122" s="19" t="s">
        <v>415</v>
      </c>
      <c r="C122" s="19" t="s">
        <v>392</v>
      </c>
      <c r="D122" s="20">
        <f t="shared" si="4"/>
        <v>0</v>
      </c>
      <c r="E122" s="21">
        <v>0</v>
      </c>
      <c r="F122" s="21">
        <v>0</v>
      </c>
      <c r="G122" s="21">
        <v>0</v>
      </c>
      <c r="H122" s="21">
        <v>0</v>
      </c>
      <c r="I122" s="21">
        <v>0</v>
      </c>
      <c r="J122" s="21">
        <v>0</v>
      </c>
      <c r="K122" s="21">
        <v>0</v>
      </c>
      <c r="L122" s="21">
        <v>0</v>
      </c>
      <c r="M122" s="21">
        <v>0</v>
      </c>
      <c r="N122" s="21">
        <v>0</v>
      </c>
      <c r="O122" s="21">
        <v>0</v>
      </c>
      <c r="P122" s="21">
        <v>0</v>
      </c>
      <c r="Q122" s="21">
        <v>0</v>
      </c>
      <c r="R122" s="21">
        <v>0</v>
      </c>
      <c r="S122" s="21">
        <v>0</v>
      </c>
      <c r="T122" s="21">
        <v>0</v>
      </c>
      <c r="U122" s="21">
        <v>0</v>
      </c>
      <c r="V122" s="21">
        <v>0</v>
      </c>
      <c r="W122" s="21">
        <v>0</v>
      </c>
      <c r="X122" s="21">
        <v>0</v>
      </c>
      <c r="Y122" s="21">
        <v>0</v>
      </c>
      <c r="Z122" s="21">
        <v>0</v>
      </c>
      <c r="AA122" s="21">
        <v>0</v>
      </c>
      <c r="AB122" s="21">
        <v>0</v>
      </c>
      <c r="AC122" s="21">
        <v>0</v>
      </c>
      <c r="AD122" s="21">
        <v>0</v>
      </c>
      <c r="AE122" s="21">
        <v>0</v>
      </c>
      <c r="AF122" s="21">
        <v>0</v>
      </c>
      <c r="AG122" s="21">
        <v>0</v>
      </c>
      <c r="AH122" s="21">
        <v>0</v>
      </c>
      <c r="AI122" s="21">
        <v>0</v>
      </c>
      <c r="AJ122" s="21">
        <v>0</v>
      </c>
      <c r="AK122" s="21">
        <v>0</v>
      </c>
      <c r="AL122" s="21">
        <v>0</v>
      </c>
      <c r="AM122" s="68"/>
      <c r="AQ122" s="81"/>
      <c r="AR122"/>
    </row>
    <row r="123" spans="1:44" ht="15.95">
      <c r="A123" s="23" t="s">
        <v>416</v>
      </c>
      <c r="B123" s="19" t="s">
        <v>417</v>
      </c>
      <c r="C123" s="19" t="s">
        <v>392</v>
      </c>
      <c r="D123" s="20">
        <f t="shared" si="4"/>
        <v>0</v>
      </c>
      <c r="E123" s="21">
        <v>0</v>
      </c>
      <c r="F123" s="21">
        <v>0</v>
      </c>
      <c r="G123" s="21">
        <v>0</v>
      </c>
      <c r="H123" s="21">
        <v>0</v>
      </c>
      <c r="I123" s="21">
        <v>0</v>
      </c>
      <c r="J123" s="21">
        <v>0</v>
      </c>
      <c r="K123" s="21">
        <v>0</v>
      </c>
      <c r="L123" s="21">
        <v>0</v>
      </c>
      <c r="M123" s="21">
        <v>0</v>
      </c>
      <c r="N123" s="21">
        <v>0</v>
      </c>
      <c r="O123" s="21">
        <v>0</v>
      </c>
      <c r="P123" s="21">
        <v>0</v>
      </c>
      <c r="Q123" s="21">
        <v>0</v>
      </c>
      <c r="R123" s="21">
        <v>0</v>
      </c>
      <c r="S123" s="21">
        <v>0</v>
      </c>
      <c r="T123" s="21">
        <v>0</v>
      </c>
      <c r="U123" s="21">
        <v>0</v>
      </c>
      <c r="V123" s="21">
        <v>0</v>
      </c>
      <c r="W123" s="21">
        <v>0</v>
      </c>
      <c r="X123" s="21">
        <v>0</v>
      </c>
      <c r="Y123" s="21">
        <v>0</v>
      </c>
      <c r="Z123" s="21">
        <v>0</v>
      </c>
      <c r="AA123" s="21">
        <v>0</v>
      </c>
      <c r="AB123" s="21">
        <v>0</v>
      </c>
      <c r="AC123" s="21">
        <v>0</v>
      </c>
      <c r="AD123" s="21">
        <v>0</v>
      </c>
      <c r="AE123" s="21">
        <v>0</v>
      </c>
      <c r="AF123" s="21">
        <v>0</v>
      </c>
      <c r="AG123" s="21">
        <v>0</v>
      </c>
      <c r="AH123" s="21">
        <v>0</v>
      </c>
      <c r="AI123" s="21">
        <v>0</v>
      </c>
      <c r="AJ123" s="21">
        <v>0</v>
      </c>
      <c r="AK123" s="21">
        <v>0</v>
      </c>
      <c r="AL123" s="21">
        <v>0</v>
      </c>
      <c r="AM123" s="68"/>
      <c r="AQ123" s="81"/>
      <c r="AR123"/>
    </row>
    <row r="124" spans="1:44" ht="15.95">
      <c r="A124" s="23" t="s">
        <v>418</v>
      </c>
      <c r="B124" s="19" t="s">
        <v>419</v>
      </c>
      <c r="C124" s="19" t="s">
        <v>392</v>
      </c>
      <c r="D124" s="20">
        <f t="shared" si="4"/>
        <v>0</v>
      </c>
      <c r="E124" s="21">
        <v>0</v>
      </c>
      <c r="F124" s="21">
        <v>0</v>
      </c>
      <c r="G124" s="21">
        <v>0</v>
      </c>
      <c r="H124" s="21">
        <v>0</v>
      </c>
      <c r="I124" s="21">
        <v>0</v>
      </c>
      <c r="J124" s="21">
        <v>0</v>
      </c>
      <c r="K124" s="21">
        <v>0</v>
      </c>
      <c r="L124" s="21">
        <v>0</v>
      </c>
      <c r="M124" s="21">
        <v>0</v>
      </c>
      <c r="N124" s="21">
        <v>0</v>
      </c>
      <c r="O124" s="21">
        <v>0</v>
      </c>
      <c r="P124" s="21">
        <v>0</v>
      </c>
      <c r="Q124" s="21">
        <v>0</v>
      </c>
      <c r="R124" s="21">
        <v>0</v>
      </c>
      <c r="S124" s="21">
        <v>0</v>
      </c>
      <c r="T124" s="21">
        <v>0</v>
      </c>
      <c r="U124" s="21">
        <v>0</v>
      </c>
      <c r="V124" s="21">
        <v>0</v>
      </c>
      <c r="W124" s="21">
        <v>0</v>
      </c>
      <c r="X124" s="21">
        <v>0</v>
      </c>
      <c r="Y124" s="21">
        <v>0</v>
      </c>
      <c r="Z124" s="21">
        <v>0</v>
      </c>
      <c r="AA124" s="21">
        <v>0</v>
      </c>
      <c r="AB124" s="21">
        <v>0</v>
      </c>
      <c r="AC124" s="21">
        <v>0</v>
      </c>
      <c r="AD124" s="21">
        <v>0</v>
      </c>
      <c r="AE124" s="21">
        <v>0</v>
      </c>
      <c r="AF124" s="21">
        <v>0</v>
      </c>
      <c r="AG124" s="21">
        <v>0</v>
      </c>
      <c r="AH124" s="21">
        <v>0</v>
      </c>
      <c r="AI124" s="21">
        <v>0</v>
      </c>
      <c r="AJ124" s="21">
        <v>0</v>
      </c>
      <c r="AK124" s="21">
        <v>0</v>
      </c>
      <c r="AL124" s="21">
        <v>0</v>
      </c>
      <c r="AM124" s="68"/>
      <c r="AQ124" s="81"/>
      <c r="AR124"/>
    </row>
    <row r="125" spans="1:44" ht="15.95">
      <c r="A125" s="23" t="s">
        <v>420</v>
      </c>
      <c r="B125" s="19" t="s">
        <v>421</v>
      </c>
      <c r="C125" s="19" t="s">
        <v>392</v>
      </c>
      <c r="D125" s="20">
        <f t="shared" si="4"/>
        <v>0</v>
      </c>
      <c r="E125" s="21">
        <v>0</v>
      </c>
      <c r="F125" s="21">
        <v>0</v>
      </c>
      <c r="G125" s="21">
        <v>0</v>
      </c>
      <c r="H125" s="21">
        <v>0</v>
      </c>
      <c r="I125" s="21">
        <v>0</v>
      </c>
      <c r="J125" s="21">
        <v>0</v>
      </c>
      <c r="K125" s="21">
        <v>0</v>
      </c>
      <c r="L125" s="21">
        <v>0</v>
      </c>
      <c r="M125" s="21">
        <v>0</v>
      </c>
      <c r="N125" s="21">
        <v>0</v>
      </c>
      <c r="O125" s="21">
        <v>0</v>
      </c>
      <c r="P125" s="21">
        <v>0</v>
      </c>
      <c r="Q125" s="21">
        <v>0</v>
      </c>
      <c r="R125" s="21">
        <v>0</v>
      </c>
      <c r="S125" s="21">
        <v>0</v>
      </c>
      <c r="T125" s="21">
        <v>0</v>
      </c>
      <c r="U125" s="21">
        <v>0</v>
      </c>
      <c r="V125" s="21">
        <v>0</v>
      </c>
      <c r="W125" s="21">
        <v>0</v>
      </c>
      <c r="X125" s="21">
        <v>0</v>
      </c>
      <c r="Y125" s="21">
        <v>0</v>
      </c>
      <c r="Z125" s="21">
        <v>0</v>
      </c>
      <c r="AA125" s="21">
        <v>0</v>
      </c>
      <c r="AB125" s="21">
        <v>0</v>
      </c>
      <c r="AC125" s="21">
        <v>0</v>
      </c>
      <c r="AD125" s="21">
        <v>0</v>
      </c>
      <c r="AE125" s="21">
        <v>0</v>
      </c>
      <c r="AF125" s="21">
        <v>0</v>
      </c>
      <c r="AG125" s="21">
        <v>0</v>
      </c>
      <c r="AH125" s="21">
        <v>0</v>
      </c>
      <c r="AI125" s="21">
        <v>0</v>
      </c>
      <c r="AJ125" s="21">
        <v>0</v>
      </c>
      <c r="AK125" s="21">
        <v>0</v>
      </c>
      <c r="AL125" s="21">
        <v>0</v>
      </c>
      <c r="AM125" s="68"/>
      <c r="AQ125" s="81"/>
      <c r="AR125"/>
    </row>
    <row r="126" spans="1:44" ht="15.95">
      <c r="A126" s="23" t="s">
        <v>422</v>
      </c>
      <c r="B126" s="19" t="s">
        <v>423</v>
      </c>
      <c r="C126" s="19" t="s">
        <v>392</v>
      </c>
      <c r="D126" s="20">
        <f t="shared" si="4"/>
        <v>0</v>
      </c>
      <c r="E126" s="21">
        <v>0</v>
      </c>
      <c r="F126" s="21">
        <v>0</v>
      </c>
      <c r="G126" s="21">
        <v>0</v>
      </c>
      <c r="H126" s="21">
        <v>0</v>
      </c>
      <c r="I126" s="21">
        <v>0</v>
      </c>
      <c r="J126" s="21">
        <v>0</v>
      </c>
      <c r="K126" s="21">
        <v>0</v>
      </c>
      <c r="L126" s="21">
        <v>0</v>
      </c>
      <c r="M126" s="21">
        <v>0</v>
      </c>
      <c r="N126" s="21">
        <v>0</v>
      </c>
      <c r="O126" s="21">
        <v>0</v>
      </c>
      <c r="P126" s="21">
        <v>0</v>
      </c>
      <c r="Q126" s="21">
        <v>0</v>
      </c>
      <c r="R126" s="21">
        <v>0</v>
      </c>
      <c r="S126" s="21">
        <v>0</v>
      </c>
      <c r="T126" s="21">
        <v>0</v>
      </c>
      <c r="U126" s="21">
        <v>0</v>
      </c>
      <c r="V126" s="21">
        <v>0</v>
      </c>
      <c r="W126" s="21">
        <v>0</v>
      </c>
      <c r="X126" s="21">
        <v>0</v>
      </c>
      <c r="Y126" s="21">
        <v>0</v>
      </c>
      <c r="Z126" s="21">
        <v>0</v>
      </c>
      <c r="AA126" s="21">
        <v>0</v>
      </c>
      <c r="AB126" s="21">
        <v>0</v>
      </c>
      <c r="AC126" s="21">
        <v>0</v>
      </c>
      <c r="AD126" s="21">
        <v>0</v>
      </c>
      <c r="AE126" s="21">
        <v>0</v>
      </c>
      <c r="AF126" s="21">
        <v>0</v>
      </c>
      <c r="AG126" s="21">
        <v>0</v>
      </c>
      <c r="AH126" s="21">
        <v>0</v>
      </c>
      <c r="AI126" s="21">
        <v>0</v>
      </c>
      <c r="AJ126" s="21">
        <v>0</v>
      </c>
      <c r="AK126" s="21">
        <v>0</v>
      </c>
      <c r="AL126" s="21">
        <v>0</v>
      </c>
      <c r="AM126" s="68"/>
      <c r="AQ126" s="81"/>
      <c r="AR126"/>
    </row>
    <row r="127" spans="1:44" ht="15.95">
      <c r="A127" s="23" t="s">
        <v>424</v>
      </c>
      <c r="B127" s="19" t="s">
        <v>425</v>
      </c>
      <c r="C127" s="19" t="s">
        <v>285</v>
      </c>
      <c r="D127" s="20">
        <f t="shared" si="4"/>
        <v>0</v>
      </c>
      <c r="E127" s="21">
        <v>0</v>
      </c>
      <c r="F127" s="21">
        <v>0</v>
      </c>
      <c r="G127" s="21">
        <v>0</v>
      </c>
      <c r="H127" s="21">
        <v>0</v>
      </c>
      <c r="I127" s="21">
        <v>0</v>
      </c>
      <c r="J127" s="21">
        <v>0</v>
      </c>
      <c r="K127" s="21">
        <v>0</v>
      </c>
      <c r="L127" s="21">
        <v>0</v>
      </c>
      <c r="M127" s="21">
        <v>0</v>
      </c>
      <c r="N127" s="21">
        <v>0</v>
      </c>
      <c r="O127" s="21">
        <v>0</v>
      </c>
      <c r="P127" s="21">
        <v>0</v>
      </c>
      <c r="Q127" s="21">
        <v>0</v>
      </c>
      <c r="R127" s="21">
        <v>0</v>
      </c>
      <c r="S127" s="21">
        <v>0</v>
      </c>
      <c r="T127" s="21">
        <v>0</v>
      </c>
      <c r="U127" s="21">
        <v>0</v>
      </c>
      <c r="V127" s="21">
        <v>0</v>
      </c>
      <c r="W127" s="21">
        <v>0</v>
      </c>
      <c r="X127" s="21">
        <v>0</v>
      </c>
      <c r="Y127" s="21">
        <v>0</v>
      </c>
      <c r="Z127" s="21">
        <v>0</v>
      </c>
      <c r="AA127" s="21">
        <v>0</v>
      </c>
      <c r="AB127" s="21">
        <v>0</v>
      </c>
      <c r="AC127" s="21">
        <v>0</v>
      </c>
      <c r="AD127" s="21">
        <v>0</v>
      </c>
      <c r="AE127" s="21">
        <v>0</v>
      </c>
      <c r="AF127" s="21">
        <v>0</v>
      </c>
      <c r="AG127" s="21">
        <v>0</v>
      </c>
      <c r="AH127" s="21">
        <v>0</v>
      </c>
      <c r="AI127" s="21">
        <v>0</v>
      </c>
      <c r="AJ127" s="21">
        <v>0</v>
      </c>
      <c r="AK127" s="21">
        <v>0</v>
      </c>
      <c r="AL127" s="21">
        <v>0</v>
      </c>
      <c r="AM127" s="68"/>
      <c r="AQ127" s="81"/>
      <c r="AR127"/>
    </row>
    <row r="128" spans="1:44" ht="15.95">
      <c r="A128" s="24" t="s">
        <v>426</v>
      </c>
      <c r="B128" s="25"/>
      <c r="C128" s="25"/>
      <c r="D128" s="16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28"/>
      <c r="AI128" s="28"/>
      <c r="AJ128" s="28"/>
      <c r="AK128" s="28"/>
      <c r="AL128" s="28"/>
      <c r="AM128" s="67"/>
      <c r="AQ128" s="81"/>
      <c r="AR128"/>
    </row>
    <row r="129" spans="1:44" ht="15.95">
      <c r="A129" s="23"/>
      <c r="B129" s="19" t="s">
        <v>427</v>
      </c>
      <c r="C129" s="19" t="s">
        <v>428</v>
      </c>
      <c r="D129" s="20">
        <f t="shared" ref="D129:D132" si="5">SUM(E129:AL129)</f>
        <v>635278.14</v>
      </c>
      <c r="E129" s="55">
        <v>29932.78</v>
      </c>
      <c r="F129" s="55">
        <v>60207.64</v>
      </c>
      <c r="G129" s="55">
        <v>69564.03</v>
      </c>
      <c r="H129" s="55">
        <v>37335.35</v>
      </c>
      <c r="I129" s="55">
        <v>29592.55</v>
      </c>
      <c r="J129" s="55">
        <v>31179.4</v>
      </c>
      <c r="K129" s="55">
        <v>22807.14</v>
      </c>
      <c r="L129" s="55">
        <v>29155.43</v>
      </c>
      <c r="M129" s="55">
        <v>26168.82</v>
      </c>
      <c r="N129" s="55">
        <v>7769</v>
      </c>
      <c r="O129" s="55">
        <v>10035.200000000001</v>
      </c>
      <c r="P129" s="55">
        <v>7863.36</v>
      </c>
      <c r="Q129" s="55">
        <v>18401.990000000002</v>
      </c>
      <c r="R129" s="55">
        <v>3755.57</v>
      </c>
      <c r="S129" s="55">
        <v>5439.36</v>
      </c>
      <c r="T129" s="55">
        <v>219.47</v>
      </c>
      <c r="U129" s="55">
        <v>111.34</v>
      </c>
      <c r="V129" s="55">
        <v>332.4</v>
      </c>
      <c r="W129" s="55">
        <v>147.72999999999999</v>
      </c>
      <c r="X129" s="55">
        <v>720.18</v>
      </c>
      <c r="Y129" s="55">
        <v>2981.47</v>
      </c>
      <c r="Z129" s="55">
        <v>1457.37</v>
      </c>
      <c r="AA129" s="55">
        <v>115.1</v>
      </c>
      <c r="AB129" s="55">
        <v>144.01</v>
      </c>
      <c r="AC129" s="55">
        <v>1526.42</v>
      </c>
      <c r="AD129" s="55">
        <v>1836.97</v>
      </c>
      <c r="AE129" s="55">
        <v>145.68</v>
      </c>
      <c r="AF129" s="55">
        <v>194.83</v>
      </c>
      <c r="AG129" s="55">
        <v>527.95000000000005</v>
      </c>
      <c r="AH129" s="55">
        <v>403.5</v>
      </c>
      <c r="AI129" s="55">
        <v>1584.84</v>
      </c>
      <c r="AJ129" s="55">
        <v>884.33</v>
      </c>
      <c r="AK129" s="55">
        <v>20458.77</v>
      </c>
      <c r="AL129" s="55">
        <v>212278.16</v>
      </c>
      <c r="AM129" s="67"/>
      <c r="AQ129" s="81"/>
      <c r="AR129"/>
    </row>
    <row r="130" spans="1:44" ht="15.95">
      <c r="A130" s="23"/>
      <c r="B130" s="19" t="s">
        <v>429</v>
      </c>
      <c r="C130" s="19" t="s">
        <v>428</v>
      </c>
      <c r="D130" s="20">
        <f t="shared" si="5"/>
        <v>635278.14</v>
      </c>
      <c r="E130" s="55">
        <v>29932.78</v>
      </c>
      <c r="F130" s="55">
        <v>60207.64</v>
      </c>
      <c r="G130" s="55">
        <v>69564.03</v>
      </c>
      <c r="H130" s="55">
        <v>37335.35</v>
      </c>
      <c r="I130" s="55">
        <v>29592.55</v>
      </c>
      <c r="J130" s="55">
        <v>31179.4</v>
      </c>
      <c r="K130" s="55">
        <v>22807.14</v>
      </c>
      <c r="L130" s="55">
        <v>29155.43</v>
      </c>
      <c r="M130" s="55">
        <v>26168.82</v>
      </c>
      <c r="N130" s="55">
        <v>7769</v>
      </c>
      <c r="O130" s="55">
        <v>10035.200000000001</v>
      </c>
      <c r="P130" s="55">
        <v>7863.36</v>
      </c>
      <c r="Q130" s="55">
        <v>18401.990000000002</v>
      </c>
      <c r="R130" s="55">
        <v>3755.57</v>
      </c>
      <c r="S130" s="55">
        <v>5439.36</v>
      </c>
      <c r="T130" s="55">
        <v>219.47</v>
      </c>
      <c r="U130" s="55">
        <v>111.34</v>
      </c>
      <c r="V130" s="55">
        <v>332.4</v>
      </c>
      <c r="W130" s="55">
        <v>147.72999999999999</v>
      </c>
      <c r="X130" s="55">
        <v>720.18</v>
      </c>
      <c r="Y130" s="55">
        <v>2981.47</v>
      </c>
      <c r="Z130" s="55">
        <v>1457.37</v>
      </c>
      <c r="AA130" s="55">
        <v>115.1</v>
      </c>
      <c r="AB130" s="55">
        <v>144.01</v>
      </c>
      <c r="AC130" s="55">
        <v>1526.42</v>
      </c>
      <c r="AD130" s="55">
        <v>1836.97</v>
      </c>
      <c r="AE130" s="55">
        <v>145.68</v>
      </c>
      <c r="AF130" s="55">
        <v>194.83</v>
      </c>
      <c r="AG130" s="55">
        <v>527.95000000000005</v>
      </c>
      <c r="AH130" s="55">
        <v>403.5</v>
      </c>
      <c r="AI130" s="55">
        <v>1584.84</v>
      </c>
      <c r="AJ130" s="55">
        <v>884.33</v>
      </c>
      <c r="AK130" s="55">
        <v>20458.77</v>
      </c>
      <c r="AL130" s="55">
        <v>212278.16</v>
      </c>
      <c r="AM130" s="67"/>
      <c r="AQ130" s="81"/>
      <c r="AR130"/>
    </row>
    <row r="131" spans="1:44" ht="15.95">
      <c r="A131" s="23"/>
      <c r="B131" s="19" t="s">
        <v>430</v>
      </c>
      <c r="C131" s="19" t="s">
        <v>428</v>
      </c>
      <c r="D131" s="20">
        <f t="shared" si="5"/>
        <v>635278.14</v>
      </c>
      <c r="E131" s="55">
        <v>29932.78</v>
      </c>
      <c r="F131" s="55">
        <v>60207.64</v>
      </c>
      <c r="G131" s="55">
        <v>69564.03</v>
      </c>
      <c r="H131" s="55">
        <v>37335.35</v>
      </c>
      <c r="I131" s="55">
        <v>29592.55</v>
      </c>
      <c r="J131" s="55">
        <v>31179.4</v>
      </c>
      <c r="K131" s="55">
        <v>22807.14</v>
      </c>
      <c r="L131" s="55">
        <v>29155.43</v>
      </c>
      <c r="M131" s="55">
        <v>26168.82</v>
      </c>
      <c r="N131" s="55">
        <v>7769</v>
      </c>
      <c r="O131" s="55">
        <v>10035.200000000001</v>
      </c>
      <c r="P131" s="55">
        <v>7863.36</v>
      </c>
      <c r="Q131" s="55">
        <v>18401.990000000002</v>
      </c>
      <c r="R131" s="55">
        <v>3755.57</v>
      </c>
      <c r="S131" s="55">
        <v>5439.36</v>
      </c>
      <c r="T131" s="55">
        <v>219.47</v>
      </c>
      <c r="U131" s="55">
        <v>111.34</v>
      </c>
      <c r="V131" s="55">
        <v>332.4</v>
      </c>
      <c r="W131" s="55">
        <v>147.72999999999999</v>
      </c>
      <c r="X131" s="55">
        <v>720.18</v>
      </c>
      <c r="Y131" s="55">
        <v>2981.47</v>
      </c>
      <c r="Z131" s="55">
        <v>1457.37</v>
      </c>
      <c r="AA131" s="55">
        <v>115.1</v>
      </c>
      <c r="AB131" s="55">
        <v>144.01</v>
      </c>
      <c r="AC131" s="55">
        <v>1526.42</v>
      </c>
      <c r="AD131" s="55">
        <v>1836.97</v>
      </c>
      <c r="AE131" s="55">
        <v>145.68</v>
      </c>
      <c r="AF131" s="55">
        <v>194.83</v>
      </c>
      <c r="AG131" s="55">
        <v>527.95000000000005</v>
      </c>
      <c r="AH131" s="55">
        <v>403.5</v>
      </c>
      <c r="AI131" s="55">
        <v>1584.84</v>
      </c>
      <c r="AJ131" s="55">
        <v>884.33</v>
      </c>
      <c r="AK131" s="55">
        <v>20458.77</v>
      </c>
      <c r="AL131" s="55">
        <v>212278.16</v>
      </c>
      <c r="AM131" s="67"/>
      <c r="AQ131" s="81"/>
      <c r="AR131"/>
    </row>
    <row r="132" spans="1:44" ht="15.95">
      <c r="A132" s="23"/>
      <c r="B132" s="19" t="s">
        <v>431</v>
      </c>
      <c r="C132" s="19" t="s">
        <v>428</v>
      </c>
      <c r="D132" s="20">
        <f t="shared" si="5"/>
        <v>635278.14</v>
      </c>
      <c r="E132" s="55">
        <v>29932.78</v>
      </c>
      <c r="F132" s="55">
        <v>60207.64</v>
      </c>
      <c r="G132" s="55">
        <v>69564.03</v>
      </c>
      <c r="H132" s="55">
        <v>37335.35</v>
      </c>
      <c r="I132" s="55">
        <v>29592.55</v>
      </c>
      <c r="J132" s="55">
        <v>31179.4</v>
      </c>
      <c r="K132" s="55">
        <v>22807.14</v>
      </c>
      <c r="L132" s="55">
        <v>29155.43</v>
      </c>
      <c r="M132" s="55">
        <v>26168.82</v>
      </c>
      <c r="N132" s="55">
        <v>7769</v>
      </c>
      <c r="O132" s="55">
        <v>10035.200000000001</v>
      </c>
      <c r="P132" s="55">
        <v>7863.36</v>
      </c>
      <c r="Q132" s="55">
        <v>18401.990000000002</v>
      </c>
      <c r="R132" s="55">
        <v>3755.57</v>
      </c>
      <c r="S132" s="55">
        <v>5439.36</v>
      </c>
      <c r="T132" s="55">
        <v>219.47</v>
      </c>
      <c r="U132" s="55">
        <v>111.34</v>
      </c>
      <c r="V132" s="55">
        <v>332.4</v>
      </c>
      <c r="W132" s="55">
        <v>147.72999999999999</v>
      </c>
      <c r="X132" s="55">
        <v>720.18</v>
      </c>
      <c r="Y132" s="55">
        <v>2981.47</v>
      </c>
      <c r="Z132" s="55">
        <v>1457.37</v>
      </c>
      <c r="AA132" s="55">
        <v>115.1</v>
      </c>
      <c r="AB132" s="55">
        <v>144.01</v>
      </c>
      <c r="AC132" s="55">
        <v>1526.42</v>
      </c>
      <c r="AD132" s="55">
        <v>1836.97</v>
      </c>
      <c r="AE132" s="55">
        <v>145.68</v>
      </c>
      <c r="AF132" s="55">
        <v>194.83</v>
      </c>
      <c r="AG132" s="55">
        <v>527.95000000000005</v>
      </c>
      <c r="AH132" s="55">
        <v>403.5</v>
      </c>
      <c r="AI132" s="55">
        <v>1584.84</v>
      </c>
      <c r="AJ132" s="55">
        <v>884.33</v>
      </c>
      <c r="AK132" s="55">
        <v>20458.77</v>
      </c>
      <c r="AL132" s="55">
        <v>212278.16</v>
      </c>
      <c r="AM132" s="67"/>
      <c r="AQ132" s="81"/>
      <c r="AR132"/>
    </row>
    <row r="133" spans="1:44" ht="15.95">
      <c r="A133" s="24" t="s">
        <v>432</v>
      </c>
      <c r="B133" s="25"/>
      <c r="C133" s="25"/>
      <c r="D133" s="16"/>
      <c r="E133" s="57"/>
      <c r="F133" s="57"/>
      <c r="G133" s="57"/>
      <c r="H133" s="57"/>
      <c r="I133" s="57"/>
      <c r="J133" s="57"/>
      <c r="K133" s="57"/>
      <c r="L133" s="57"/>
      <c r="M133" s="57"/>
      <c r="N133" s="57"/>
      <c r="O133" s="57"/>
      <c r="P133" s="57"/>
      <c r="Q133" s="57"/>
      <c r="R133" s="57"/>
      <c r="S133" s="57"/>
      <c r="T133" s="57"/>
      <c r="U133" s="57"/>
      <c r="V133" s="57"/>
      <c r="W133" s="57"/>
      <c r="X133" s="57"/>
      <c r="Y133" s="57"/>
      <c r="Z133" s="57"/>
      <c r="AA133" s="57"/>
      <c r="AB133" s="57"/>
      <c r="AC133" s="57"/>
      <c r="AD133" s="57"/>
      <c r="AE133" s="57"/>
      <c r="AF133" s="57"/>
      <c r="AG133" s="57"/>
      <c r="AH133" s="57"/>
      <c r="AI133" s="57"/>
      <c r="AJ133" s="57"/>
      <c r="AK133" s="57"/>
      <c r="AL133" s="57"/>
      <c r="AR133"/>
    </row>
    <row r="134" spans="1:44" ht="15.95">
      <c r="A134" s="23"/>
      <c r="B134" s="19" t="s">
        <v>433</v>
      </c>
      <c r="C134" s="19" t="s">
        <v>434</v>
      </c>
      <c r="D134" s="20">
        <f t="shared" ref="D134:D136" si="6">SUM(E134:AL134)</f>
        <v>181835</v>
      </c>
      <c r="E134" s="55">
        <v>2973</v>
      </c>
      <c r="F134" s="55">
        <v>30793</v>
      </c>
      <c r="G134" s="55">
        <v>17620</v>
      </c>
      <c r="H134" s="55">
        <v>9402</v>
      </c>
      <c r="I134" s="55">
        <v>20467</v>
      </c>
      <c r="J134" s="55">
        <v>2151</v>
      </c>
      <c r="K134" s="55">
        <v>14251</v>
      </c>
      <c r="L134" s="55">
        <v>8229</v>
      </c>
      <c r="M134" s="55">
        <v>16153</v>
      </c>
      <c r="N134" s="55">
        <v>3581</v>
      </c>
      <c r="O134" s="55">
        <v>1850</v>
      </c>
      <c r="P134" s="55">
        <v>871</v>
      </c>
      <c r="Q134" s="55">
        <v>1384</v>
      </c>
      <c r="R134" s="55">
        <v>1003</v>
      </c>
      <c r="S134" s="55">
        <v>1754</v>
      </c>
      <c r="T134" s="55">
        <v>0</v>
      </c>
      <c r="U134" s="55">
        <v>0</v>
      </c>
      <c r="V134" s="55">
        <v>3</v>
      </c>
      <c r="W134" s="55">
        <v>27</v>
      </c>
      <c r="X134" s="55">
        <v>0</v>
      </c>
      <c r="Y134" s="55">
        <v>345</v>
      </c>
      <c r="Z134" s="55">
        <v>318</v>
      </c>
      <c r="AA134" s="55">
        <v>0</v>
      </c>
      <c r="AB134" s="55">
        <v>43</v>
      </c>
      <c r="AC134" s="55">
        <v>809</v>
      </c>
      <c r="AD134" s="55">
        <v>61</v>
      </c>
      <c r="AE134" s="55">
        <v>54</v>
      </c>
      <c r="AF134" s="55">
        <v>0</v>
      </c>
      <c r="AG134" s="55">
        <v>0</v>
      </c>
      <c r="AH134" s="55">
        <v>0</v>
      </c>
      <c r="AI134" s="55">
        <v>0</v>
      </c>
      <c r="AJ134" s="55">
        <v>0</v>
      </c>
      <c r="AK134" s="55">
        <v>5610</v>
      </c>
      <c r="AL134" s="55">
        <v>42083</v>
      </c>
      <c r="AR134"/>
    </row>
    <row r="135" spans="1:44" ht="15.95">
      <c r="A135" s="23"/>
      <c r="B135" s="19" t="s">
        <v>435</v>
      </c>
      <c r="C135" s="19" t="s">
        <v>434</v>
      </c>
      <c r="D135" s="20">
        <f t="shared" si="6"/>
        <v>176154</v>
      </c>
      <c r="E135" s="55">
        <v>4765</v>
      </c>
      <c r="F135" s="55">
        <v>16718</v>
      </c>
      <c r="G135" s="55">
        <v>15845</v>
      </c>
      <c r="H135" s="55">
        <v>9078</v>
      </c>
      <c r="I135" s="55">
        <v>15726</v>
      </c>
      <c r="J135" s="55">
        <v>1299</v>
      </c>
      <c r="K135" s="55">
        <v>13743</v>
      </c>
      <c r="L135" s="55">
        <v>10658</v>
      </c>
      <c r="M135" s="55">
        <v>24666</v>
      </c>
      <c r="N135" s="55">
        <v>4775</v>
      </c>
      <c r="O135" s="55">
        <v>1194</v>
      </c>
      <c r="P135" s="55">
        <v>1653</v>
      </c>
      <c r="Q135" s="55">
        <v>1374</v>
      </c>
      <c r="R135" s="55">
        <v>1172</v>
      </c>
      <c r="S135" s="55">
        <v>3283</v>
      </c>
      <c r="T135" s="55">
        <v>0</v>
      </c>
      <c r="U135" s="55">
        <v>0</v>
      </c>
      <c r="V135" s="55">
        <v>48</v>
      </c>
      <c r="W135" s="55">
        <v>20</v>
      </c>
      <c r="X135" s="55">
        <v>0</v>
      </c>
      <c r="Y135" s="55">
        <v>475</v>
      </c>
      <c r="Z135" s="55">
        <v>357</v>
      </c>
      <c r="AA135" s="55">
        <v>0</v>
      </c>
      <c r="AB135" s="55">
        <v>60</v>
      </c>
      <c r="AC135" s="55">
        <v>245</v>
      </c>
      <c r="AD135" s="55">
        <v>67</v>
      </c>
      <c r="AE135" s="55">
        <v>53</v>
      </c>
      <c r="AF135" s="55">
        <v>0</v>
      </c>
      <c r="AG135" s="55">
        <v>0</v>
      </c>
      <c r="AH135" s="55">
        <v>0</v>
      </c>
      <c r="AI135" s="55">
        <v>0</v>
      </c>
      <c r="AJ135" s="55">
        <v>0</v>
      </c>
      <c r="AK135" s="55">
        <v>5509</v>
      </c>
      <c r="AL135" s="55">
        <v>43371</v>
      </c>
      <c r="AR135"/>
    </row>
    <row r="136" spans="1:44" ht="15.95">
      <c r="A136" s="23"/>
      <c r="B136" s="19" t="s">
        <v>436</v>
      </c>
      <c r="C136" s="19" t="s">
        <v>434</v>
      </c>
      <c r="D136" s="20">
        <f t="shared" si="6"/>
        <v>199950</v>
      </c>
      <c r="E136" s="55">
        <v>2598</v>
      </c>
      <c r="F136" s="55">
        <v>16789</v>
      </c>
      <c r="G136" s="55">
        <v>27050</v>
      </c>
      <c r="H136" s="55">
        <v>8822</v>
      </c>
      <c r="I136" s="55">
        <v>25537</v>
      </c>
      <c r="J136" s="55">
        <v>3756</v>
      </c>
      <c r="K136" s="55">
        <v>13756</v>
      </c>
      <c r="L136" s="55">
        <v>10966</v>
      </c>
      <c r="M136" s="55">
        <v>18248</v>
      </c>
      <c r="N136" s="55">
        <v>4232</v>
      </c>
      <c r="O136" s="55">
        <v>942</v>
      </c>
      <c r="P136" s="55">
        <v>2148</v>
      </c>
      <c r="Q136" s="55">
        <v>1298</v>
      </c>
      <c r="R136" s="55">
        <v>1118</v>
      </c>
      <c r="S136" s="55">
        <v>2214</v>
      </c>
      <c r="T136" s="55">
        <v>0</v>
      </c>
      <c r="U136" s="55">
        <v>0</v>
      </c>
      <c r="V136" s="55">
        <v>99</v>
      </c>
      <c r="W136" s="55">
        <v>26</v>
      </c>
      <c r="X136" s="55">
        <v>0</v>
      </c>
      <c r="Y136" s="55">
        <v>840</v>
      </c>
      <c r="Z136" s="55">
        <v>315</v>
      </c>
      <c r="AA136" s="55">
        <v>0</v>
      </c>
      <c r="AB136" s="55">
        <v>29</v>
      </c>
      <c r="AC136" s="55">
        <v>198</v>
      </c>
      <c r="AD136" s="55">
        <v>86</v>
      </c>
      <c r="AE136" s="55">
        <v>51</v>
      </c>
      <c r="AF136" s="55">
        <v>0</v>
      </c>
      <c r="AG136" s="55">
        <v>0</v>
      </c>
      <c r="AH136" s="55">
        <v>0</v>
      </c>
      <c r="AI136" s="55">
        <v>0</v>
      </c>
      <c r="AJ136" s="55">
        <v>0</v>
      </c>
      <c r="AK136" s="55">
        <v>5850</v>
      </c>
      <c r="AL136" s="55">
        <v>52982</v>
      </c>
      <c r="AR136"/>
    </row>
    <row r="137" spans="1:44" ht="12.75" customHeight="1">
      <c r="A137"/>
      <c r="B137"/>
      <c r="C137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N137" s="70"/>
    </row>
    <row r="138" spans="1:44" ht="12.75" customHeight="1">
      <c r="A138"/>
      <c r="B138"/>
      <c r="D138" s="47"/>
      <c r="AR138"/>
    </row>
    <row r="139" spans="1:44" ht="12.75" customHeight="1">
      <c r="D139" s="47"/>
    </row>
    <row r="140" spans="1:44" ht="12.75" customHeight="1"/>
    <row r="141" spans="1:44" ht="12.75" customHeight="1"/>
    <row r="142" spans="1:44" ht="12.75" customHeight="1"/>
    <row r="143" spans="1:44" ht="12.75" customHeight="1"/>
    <row r="144" spans="1: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spans="43:44" ht="12.75" customHeight="1"/>
    <row r="162" spans="43:44" ht="12.75" customHeight="1"/>
    <row r="163" spans="43:44" ht="12.75" customHeight="1"/>
    <row r="164" spans="43:44" ht="12.75" customHeight="1"/>
    <row r="165" spans="43:44" ht="12.75" customHeight="1"/>
    <row r="166" spans="43:44" ht="12.75" customHeight="1"/>
    <row r="167" spans="43:44" ht="12.75" customHeight="1"/>
    <row r="168" spans="43:44" ht="12.75" customHeight="1"/>
    <row r="169" spans="43:44" ht="12.75" customHeight="1"/>
    <row r="170" spans="43:44" ht="12.75" customHeight="1"/>
    <row r="171" spans="43:44" ht="12.75" customHeight="1"/>
    <row r="172" spans="43:44" ht="12.75" customHeight="1"/>
    <row r="173" spans="43:44" ht="12.75" customHeight="1"/>
    <row r="174" spans="43:44" ht="12.75" customHeight="1"/>
    <row r="175" spans="43:44" ht="12.75" customHeight="1"/>
    <row r="176" spans="43:44" ht="12.75" customHeight="1">
      <c r="AQ176" s="44"/>
      <c r="AR176" s="44"/>
    </row>
    <row r="177" spans="43:44" ht="12.75" customHeight="1">
      <c r="AQ177" s="44"/>
      <c r="AR177" s="44"/>
    </row>
    <row r="178" spans="43:44" ht="12.75" customHeight="1">
      <c r="AQ178" s="44"/>
      <c r="AR178" s="44"/>
    </row>
    <row r="179" spans="43:44" ht="12.75" customHeight="1">
      <c r="AQ179" s="44"/>
      <c r="AR179" s="44"/>
    </row>
    <row r="180" spans="43:44" ht="12.75" customHeight="1">
      <c r="AQ180" s="44"/>
      <c r="AR180" s="44"/>
    </row>
    <row r="181" spans="43:44" ht="12.75" customHeight="1">
      <c r="AQ181" s="44"/>
      <c r="AR181" s="44"/>
    </row>
    <row r="182" spans="43:44" ht="12.75" customHeight="1">
      <c r="AQ182" s="44"/>
      <c r="AR182" s="44"/>
    </row>
    <row r="183" spans="43:44" ht="12.75" customHeight="1">
      <c r="AQ183" s="44"/>
      <c r="AR183" s="44"/>
    </row>
    <row r="184" spans="43:44" ht="12.75" customHeight="1">
      <c r="AQ184" s="44"/>
      <c r="AR184" s="44"/>
    </row>
    <row r="185" spans="43:44" ht="12.75" customHeight="1">
      <c r="AQ185" s="44"/>
      <c r="AR185" s="44"/>
    </row>
    <row r="186" spans="43:44" ht="12.75" customHeight="1">
      <c r="AQ186" s="44"/>
      <c r="AR186" s="44"/>
    </row>
    <row r="187" spans="43:44" ht="12.75" customHeight="1">
      <c r="AQ187" s="44"/>
      <c r="AR187" s="44"/>
    </row>
    <row r="188" spans="43:44" ht="12.75" customHeight="1">
      <c r="AQ188" s="44"/>
      <c r="AR188" s="44"/>
    </row>
    <row r="189" spans="43:44" ht="12.75" customHeight="1">
      <c r="AQ189" s="44"/>
      <c r="AR189" s="44"/>
    </row>
    <row r="190" spans="43:44" ht="12.75" customHeight="1">
      <c r="AQ190" s="44"/>
      <c r="AR190" s="44"/>
    </row>
    <row r="191" spans="43:44" ht="12.75" customHeight="1">
      <c r="AQ191" s="44"/>
      <c r="AR191" s="44"/>
    </row>
    <row r="192" spans="43:44" ht="12.75" customHeight="1">
      <c r="AQ192" s="44"/>
      <c r="AR192" s="44"/>
    </row>
    <row r="193" spans="43:44" ht="12.75" customHeight="1">
      <c r="AQ193" s="44"/>
      <c r="AR193" s="44"/>
    </row>
    <row r="194" spans="43:44" ht="12.75" customHeight="1">
      <c r="AQ194" s="44"/>
      <c r="AR194" s="44"/>
    </row>
    <row r="195" spans="43:44" ht="12.75" customHeight="1">
      <c r="AQ195" s="44"/>
      <c r="AR195" s="44"/>
    </row>
    <row r="196" spans="43:44" ht="12.75" customHeight="1">
      <c r="AQ196" s="44"/>
      <c r="AR196" s="44"/>
    </row>
    <row r="197" spans="43:44" ht="12.75" customHeight="1">
      <c r="AQ197" s="44"/>
      <c r="AR197" s="44"/>
    </row>
    <row r="198" spans="43:44" ht="12.75" customHeight="1">
      <c r="AQ198" s="44"/>
      <c r="AR198" s="44"/>
    </row>
    <row r="199" spans="43:44" ht="12.75" customHeight="1">
      <c r="AQ199" s="44"/>
      <c r="AR199" s="44"/>
    </row>
    <row r="200" spans="43:44" ht="12.75" customHeight="1">
      <c r="AQ200" s="44"/>
      <c r="AR200" s="44"/>
    </row>
    <row r="201" spans="43:44" ht="12.75" customHeight="1">
      <c r="AQ201" s="44"/>
      <c r="AR201" s="44"/>
    </row>
    <row r="202" spans="43:44" ht="12.75" customHeight="1">
      <c r="AQ202" s="44"/>
      <c r="AR202" s="44"/>
    </row>
    <row r="203" spans="43:44" ht="12.75" customHeight="1">
      <c r="AQ203" s="44"/>
      <c r="AR203" s="44"/>
    </row>
    <row r="204" spans="43:44" ht="12.75" customHeight="1">
      <c r="AQ204" s="44"/>
      <c r="AR204" s="44"/>
    </row>
    <row r="205" spans="43:44" ht="12.75" customHeight="1">
      <c r="AQ205" s="44"/>
      <c r="AR205" s="44"/>
    </row>
    <row r="206" spans="43:44" ht="12.75" customHeight="1">
      <c r="AQ206" s="44"/>
      <c r="AR206" s="44"/>
    </row>
    <row r="207" spans="43:44" ht="12.75" customHeight="1">
      <c r="AQ207" s="44"/>
      <c r="AR207" s="44"/>
    </row>
    <row r="208" spans="43:44" ht="12.75" customHeight="1">
      <c r="AQ208" s="44"/>
      <c r="AR208" s="44"/>
    </row>
    <row r="209" spans="43:44" ht="12.75" customHeight="1">
      <c r="AQ209" s="44"/>
      <c r="AR209" s="44"/>
    </row>
    <row r="210" spans="43:44" ht="12.75" customHeight="1">
      <c r="AQ210" s="44"/>
      <c r="AR210" s="44"/>
    </row>
    <row r="211" spans="43:44" ht="12.75" customHeight="1">
      <c r="AQ211" s="44"/>
      <c r="AR211" s="44"/>
    </row>
    <row r="212" spans="43:44" ht="12.75" customHeight="1">
      <c r="AQ212" s="44"/>
      <c r="AR212" s="44"/>
    </row>
    <row r="213" spans="43:44" ht="12.75" customHeight="1">
      <c r="AQ213" s="44"/>
      <c r="AR213" s="44"/>
    </row>
    <row r="214" spans="43:44" ht="12.75" customHeight="1">
      <c r="AQ214" s="44"/>
      <c r="AR214" s="44"/>
    </row>
    <row r="215" spans="43:44" ht="12.75" customHeight="1">
      <c r="AQ215" s="44"/>
      <c r="AR215" s="44"/>
    </row>
    <row r="216" spans="43:44" ht="12.75" customHeight="1"/>
    <row r="217" spans="43:44" ht="12.75" customHeight="1">
      <c r="AQ217" s="44"/>
      <c r="AR217" s="44"/>
    </row>
    <row r="218" spans="43:44" ht="12.75" customHeight="1"/>
    <row r="219" spans="43:44" ht="12.75" customHeight="1"/>
    <row r="220" spans="43:44" ht="12.75" customHeight="1"/>
    <row r="221" spans="43:44" ht="12.75" customHeight="1"/>
    <row r="222" spans="43:44" ht="12.75" customHeight="1"/>
    <row r="223" spans="43:44" ht="12.75" customHeight="1"/>
    <row r="224" spans="43:4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</sheetData>
  <mergeCells count="3">
    <mergeCell ref="A1:C7"/>
    <mergeCell ref="E71:AL71"/>
    <mergeCell ref="E72:AL72"/>
  </mergeCells>
  <pageMargins left="0.70866141732283472" right="0.70866141732283472" top="0.74803149606299213" bottom="0.74803149606299213" header="0.31496062992125984" footer="0.31496062992125984"/>
  <pageSetup paperSize="8" scale="15" fitToHeight="5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12CEE-97F4-4C55-8779-E8DD4A972FB4}">
  <sheetPr codeName="Sheet7">
    <pageSetUpPr fitToPage="1"/>
  </sheetPr>
  <dimension ref="A1:AU217"/>
  <sheetViews>
    <sheetView showGridLines="0" topLeftCell="A106" zoomScale="70" zoomScaleNormal="70" workbookViewId="0">
      <selection activeCell="B43" sqref="B43"/>
    </sheetView>
  </sheetViews>
  <sheetFormatPr defaultColWidth="9.140625" defaultRowHeight="15.95"/>
  <cols>
    <col min="1" max="1" width="27.7109375" style="4" customWidth="1"/>
    <col min="2" max="2" width="57.42578125" style="30" customWidth="1"/>
    <col min="3" max="3" width="29.5703125" style="30" bestFit="1" customWidth="1"/>
    <col min="4" max="4" width="26.42578125" style="31" bestFit="1" customWidth="1"/>
    <col min="5" max="5" width="27.28515625" style="32" bestFit="1" customWidth="1"/>
    <col min="6" max="6" width="19.85546875" style="32" bestFit="1" customWidth="1"/>
    <col min="7" max="7" width="13.85546875" style="32" bestFit="1" customWidth="1"/>
    <col min="8" max="8" width="17.42578125" style="32" bestFit="1" customWidth="1"/>
    <col min="9" max="9" width="23.42578125" style="32" bestFit="1" customWidth="1"/>
    <col min="10" max="10" width="18" style="32" bestFit="1" customWidth="1"/>
    <col min="11" max="11" width="19.140625" style="32" bestFit="1" customWidth="1"/>
    <col min="12" max="12" width="20" style="32" bestFit="1" customWidth="1"/>
    <col min="13" max="13" width="13.140625" style="32" bestFit="1" customWidth="1"/>
    <col min="14" max="14" width="22" style="32" bestFit="1" customWidth="1"/>
    <col min="15" max="15" width="23.7109375" style="32" bestFit="1" customWidth="1"/>
    <col min="16" max="16" width="17.140625" style="32" bestFit="1" customWidth="1"/>
    <col min="17" max="17" width="14.140625" style="32" bestFit="1" customWidth="1"/>
    <col min="18" max="18" width="20.42578125" style="32" bestFit="1" customWidth="1"/>
    <col min="19" max="19" width="18.140625" style="32" bestFit="1" customWidth="1"/>
    <col min="20" max="20" width="19.7109375" style="32" bestFit="1" customWidth="1"/>
    <col min="21" max="21" width="17.7109375" style="32" bestFit="1" customWidth="1"/>
    <col min="22" max="22" width="20.85546875" style="32" bestFit="1" customWidth="1"/>
    <col min="23" max="23" width="19.140625" style="32" bestFit="1" customWidth="1"/>
    <col min="24" max="24" width="18.5703125" style="32" bestFit="1" customWidth="1"/>
    <col min="25" max="25" width="27.42578125" style="32" bestFit="1" customWidth="1"/>
    <col min="26" max="26" width="19.140625" style="32" bestFit="1" customWidth="1"/>
    <col min="27" max="27" width="19.42578125" style="32" bestFit="1" customWidth="1"/>
    <col min="28" max="28" width="15.140625" style="32" bestFit="1" customWidth="1"/>
    <col min="29" max="29" width="17.140625" style="32" bestFit="1" customWidth="1"/>
    <col min="30" max="30" width="21.140625" style="32" bestFit="1" customWidth="1"/>
    <col min="31" max="31" width="21.5703125" style="32" bestFit="1" customWidth="1"/>
    <col min="32" max="32" width="17.28515625" style="32" bestFit="1" customWidth="1"/>
    <col min="33" max="33" width="23.42578125" style="32" bestFit="1" customWidth="1"/>
    <col min="34" max="34" width="18.5703125" style="32" bestFit="1" customWidth="1"/>
    <col min="35" max="35" width="18.85546875" style="32" bestFit="1" customWidth="1"/>
    <col min="36" max="36" width="15.85546875" style="32" bestFit="1" customWidth="1"/>
    <col min="37" max="37" width="21.42578125" style="32" bestFit="1" customWidth="1"/>
    <col min="38" max="38" width="31.140625" style="32" bestFit="1" customWidth="1"/>
    <col min="39" max="39" width="23.5703125" style="32" bestFit="1" customWidth="1"/>
    <col min="40" max="40" width="17.28515625" style="32" bestFit="1" customWidth="1"/>
    <col min="41" max="41" width="18.5703125" style="32" bestFit="1" customWidth="1"/>
    <col min="42" max="42" width="11.5703125" style="50" bestFit="1" customWidth="1"/>
    <col min="43" max="43" width="15.85546875" style="67" bestFit="1" customWidth="1"/>
    <col min="44" max="44" width="18.5703125" style="76" bestFit="1" customWidth="1"/>
    <col min="46" max="47" width="25.7109375" style="33" customWidth="1"/>
    <col min="146" max="146" width="24.5703125" customWidth="1"/>
    <col min="147" max="147" width="59.5703125" customWidth="1"/>
    <col min="148" max="148" width="23.140625" customWidth="1"/>
    <col min="149" max="149" width="14.85546875" bestFit="1" customWidth="1"/>
    <col min="150" max="151" width="20.42578125" customWidth="1"/>
    <col min="152" max="152" width="17.42578125" customWidth="1"/>
    <col min="153" max="153" width="11.5703125" bestFit="1" customWidth="1"/>
    <col min="154" max="154" width="16.140625" customWidth="1"/>
    <col min="156" max="156" width="14.140625" bestFit="1" customWidth="1"/>
    <col min="402" max="402" width="24.5703125" customWidth="1"/>
    <col min="403" max="403" width="59.5703125" customWidth="1"/>
    <col min="404" max="404" width="23.140625" customWidth="1"/>
    <col min="405" max="405" width="14.85546875" bestFit="1" customWidth="1"/>
    <col min="406" max="407" width="20.42578125" customWidth="1"/>
    <col min="408" max="408" width="17.42578125" customWidth="1"/>
    <col min="409" max="409" width="11.5703125" bestFit="1" customWidth="1"/>
    <col min="410" max="410" width="16.140625" customWidth="1"/>
    <col min="412" max="412" width="14.140625" bestFit="1" customWidth="1"/>
    <col min="658" max="658" width="24.5703125" customWidth="1"/>
    <col min="659" max="659" width="59.5703125" customWidth="1"/>
    <col min="660" max="660" width="23.140625" customWidth="1"/>
    <col min="661" max="661" width="14.85546875" bestFit="1" customWidth="1"/>
    <col min="662" max="663" width="20.42578125" customWidth="1"/>
    <col min="664" max="664" width="17.42578125" customWidth="1"/>
    <col min="665" max="665" width="11.5703125" bestFit="1" customWidth="1"/>
    <col min="666" max="666" width="16.140625" customWidth="1"/>
    <col min="668" max="668" width="14.140625" bestFit="1" customWidth="1"/>
    <col min="914" max="914" width="24.5703125" customWidth="1"/>
    <col min="915" max="915" width="59.5703125" customWidth="1"/>
    <col min="916" max="916" width="23.140625" customWidth="1"/>
    <col min="917" max="917" width="14.85546875" bestFit="1" customWidth="1"/>
    <col min="918" max="919" width="20.42578125" customWidth="1"/>
    <col min="920" max="920" width="17.42578125" customWidth="1"/>
    <col min="921" max="921" width="11.5703125" bestFit="1" customWidth="1"/>
    <col min="922" max="922" width="16.140625" customWidth="1"/>
    <col min="924" max="924" width="14.140625" bestFit="1" customWidth="1"/>
    <col min="1170" max="1170" width="24.5703125" customWidth="1"/>
    <col min="1171" max="1171" width="59.5703125" customWidth="1"/>
    <col min="1172" max="1172" width="23.140625" customWidth="1"/>
    <col min="1173" max="1173" width="14.85546875" bestFit="1" customWidth="1"/>
    <col min="1174" max="1175" width="20.42578125" customWidth="1"/>
    <col min="1176" max="1176" width="17.42578125" customWidth="1"/>
    <col min="1177" max="1177" width="11.5703125" bestFit="1" customWidth="1"/>
    <col min="1178" max="1178" width="16.140625" customWidth="1"/>
    <col min="1180" max="1180" width="14.140625" bestFit="1" customWidth="1"/>
    <col min="1426" max="1426" width="24.5703125" customWidth="1"/>
    <col min="1427" max="1427" width="59.5703125" customWidth="1"/>
    <col min="1428" max="1428" width="23.140625" customWidth="1"/>
    <col min="1429" max="1429" width="14.85546875" bestFit="1" customWidth="1"/>
    <col min="1430" max="1431" width="20.42578125" customWidth="1"/>
    <col min="1432" max="1432" width="17.42578125" customWidth="1"/>
    <col min="1433" max="1433" width="11.5703125" bestFit="1" customWidth="1"/>
    <col min="1434" max="1434" width="16.140625" customWidth="1"/>
    <col min="1436" max="1436" width="14.140625" bestFit="1" customWidth="1"/>
    <col min="1682" max="1682" width="24.5703125" customWidth="1"/>
    <col min="1683" max="1683" width="59.5703125" customWidth="1"/>
    <col min="1684" max="1684" width="23.140625" customWidth="1"/>
    <col min="1685" max="1685" width="14.85546875" bestFit="1" customWidth="1"/>
    <col min="1686" max="1687" width="20.42578125" customWidth="1"/>
    <col min="1688" max="1688" width="17.42578125" customWidth="1"/>
    <col min="1689" max="1689" width="11.5703125" bestFit="1" customWidth="1"/>
    <col min="1690" max="1690" width="16.140625" customWidth="1"/>
    <col min="1692" max="1692" width="14.140625" bestFit="1" customWidth="1"/>
    <col min="1938" max="1938" width="24.5703125" customWidth="1"/>
    <col min="1939" max="1939" width="59.5703125" customWidth="1"/>
    <col min="1940" max="1940" width="23.140625" customWidth="1"/>
    <col min="1941" max="1941" width="14.85546875" bestFit="1" customWidth="1"/>
    <col min="1942" max="1943" width="20.42578125" customWidth="1"/>
    <col min="1944" max="1944" width="17.42578125" customWidth="1"/>
    <col min="1945" max="1945" width="11.5703125" bestFit="1" customWidth="1"/>
    <col min="1946" max="1946" width="16.140625" customWidth="1"/>
    <col min="1948" max="1948" width="14.140625" bestFit="1" customWidth="1"/>
    <col min="2194" max="2194" width="24.5703125" customWidth="1"/>
    <col min="2195" max="2195" width="59.5703125" customWidth="1"/>
    <col min="2196" max="2196" width="23.140625" customWidth="1"/>
    <col min="2197" max="2197" width="14.85546875" bestFit="1" customWidth="1"/>
    <col min="2198" max="2199" width="20.42578125" customWidth="1"/>
    <col min="2200" max="2200" width="17.42578125" customWidth="1"/>
    <col min="2201" max="2201" width="11.5703125" bestFit="1" customWidth="1"/>
    <col min="2202" max="2202" width="16.140625" customWidth="1"/>
    <col min="2204" max="2204" width="14.140625" bestFit="1" customWidth="1"/>
    <col min="2450" max="2450" width="24.5703125" customWidth="1"/>
    <col min="2451" max="2451" width="59.5703125" customWidth="1"/>
    <col min="2452" max="2452" width="23.140625" customWidth="1"/>
    <col min="2453" max="2453" width="14.85546875" bestFit="1" customWidth="1"/>
    <col min="2454" max="2455" width="20.42578125" customWidth="1"/>
    <col min="2456" max="2456" width="17.42578125" customWidth="1"/>
    <col min="2457" max="2457" width="11.5703125" bestFit="1" customWidth="1"/>
    <col min="2458" max="2458" width="16.140625" customWidth="1"/>
    <col min="2460" max="2460" width="14.140625" bestFit="1" customWidth="1"/>
    <col min="2706" max="2706" width="24.5703125" customWidth="1"/>
    <col min="2707" max="2707" width="59.5703125" customWidth="1"/>
    <col min="2708" max="2708" width="23.140625" customWidth="1"/>
    <col min="2709" max="2709" width="14.85546875" bestFit="1" customWidth="1"/>
    <col min="2710" max="2711" width="20.42578125" customWidth="1"/>
    <col min="2712" max="2712" width="17.42578125" customWidth="1"/>
    <col min="2713" max="2713" width="11.5703125" bestFit="1" customWidth="1"/>
    <col min="2714" max="2714" width="16.140625" customWidth="1"/>
    <col min="2716" max="2716" width="14.140625" bestFit="1" customWidth="1"/>
    <col min="2962" max="2962" width="24.5703125" customWidth="1"/>
    <col min="2963" max="2963" width="59.5703125" customWidth="1"/>
    <col min="2964" max="2964" width="23.140625" customWidth="1"/>
    <col min="2965" max="2965" width="14.85546875" bestFit="1" customWidth="1"/>
    <col min="2966" max="2967" width="20.42578125" customWidth="1"/>
    <col min="2968" max="2968" width="17.42578125" customWidth="1"/>
    <col min="2969" max="2969" width="11.5703125" bestFit="1" customWidth="1"/>
    <col min="2970" max="2970" width="16.140625" customWidth="1"/>
    <col min="2972" max="2972" width="14.140625" bestFit="1" customWidth="1"/>
    <col min="3218" max="3218" width="24.5703125" customWidth="1"/>
    <col min="3219" max="3219" width="59.5703125" customWidth="1"/>
    <col min="3220" max="3220" width="23.140625" customWidth="1"/>
    <col min="3221" max="3221" width="14.85546875" bestFit="1" customWidth="1"/>
    <col min="3222" max="3223" width="20.42578125" customWidth="1"/>
    <col min="3224" max="3224" width="17.42578125" customWidth="1"/>
    <col min="3225" max="3225" width="11.5703125" bestFit="1" customWidth="1"/>
    <col min="3226" max="3226" width="16.140625" customWidth="1"/>
    <col min="3228" max="3228" width="14.140625" bestFit="1" customWidth="1"/>
    <col min="3474" max="3474" width="24.5703125" customWidth="1"/>
    <col min="3475" max="3475" width="59.5703125" customWidth="1"/>
    <col min="3476" max="3476" width="23.140625" customWidth="1"/>
    <col min="3477" max="3477" width="14.85546875" bestFit="1" customWidth="1"/>
    <col min="3478" max="3479" width="20.42578125" customWidth="1"/>
    <col min="3480" max="3480" width="17.42578125" customWidth="1"/>
    <col min="3481" max="3481" width="11.5703125" bestFit="1" customWidth="1"/>
    <col min="3482" max="3482" width="16.140625" customWidth="1"/>
    <col min="3484" max="3484" width="14.140625" bestFit="1" customWidth="1"/>
    <col min="3730" max="3730" width="24.5703125" customWidth="1"/>
    <col min="3731" max="3731" width="59.5703125" customWidth="1"/>
    <col min="3732" max="3732" width="23.140625" customWidth="1"/>
    <col min="3733" max="3733" width="14.85546875" bestFit="1" customWidth="1"/>
    <col min="3734" max="3735" width="20.42578125" customWidth="1"/>
    <col min="3736" max="3736" width="17.42578125" customWidth="1"/>
    <col min="3737" max="3737" width="11.5703125" bestFit="1" customWidth="1"/>
    <col min="3738" max="3738" width="16.140625" customWidth="1"/>
    <col min="3740" max="3740" width="14.140625" bestFit="1" customWidth="1"/>
    <col min="3986" max="3986" width="24.5703125" customWidth="1"/>
    <col min="3987" max="3987" width="59.5703125" customWidth="1"/>
    <col min="3988" max="3988" width="23.140625" customWidth="1"/>
    <col min="3989" max="3989" width="14.85546875" bestFit="1" customWidth="1"/>
    <col min="3990" max="3991" width="20.42578125" customWidth="1"/>
    <col min="3992" max="3992" width="17.42578125" customWidth="1"/>
    <col min="3993" max="3993" width="11.5703125" bestFit="1" customWidth="1"/>
    <col min="3994" max="3994" width="16.140625" customWidth="1"/>
    <col min="3996" max="3996" width="14.140625" bestFit="1" customWidth="1"/>
    <col min="4242" max="4242" width="24.5703125" customWidth="1"/>
    <col min="4243" max="4243" width="59.5703125" customWidth="1"/>
    <col min="4244" max="4244" width="23.140625" customWidth="1"/>
    <col min="4245" max="4245" width="14.85546875" bestFit="1" customWidth="1"/>
    <col min="4246" max="4247" width="20.42578125" customWidth="1"/>
    <col min="4248" max="4248" width="17.42578125" customWidth="1"/>
    <col min="4249" max="4249" width="11.5703125" bestFit="1" customWidth="1"/>
    <col min="4250" max="4250" width="16.140625" customWidth="1"/>
    <col min="4252" max="4252" width="14.140625" bestFit="1" customWidth="1"/>
    <col min="4498" max="4498" width="24.5703125" customWidth="1"/>
    <col min="4499" max="4499" width="59.5703125" customWidth="1"/>
    <col min="4500" max="4500" width="23.140625" customWidth="1"/>
    <col min="4501" max="4501" width="14.85546875" bestFit="1" customWidth="1"/>
    <col min="4502" max="4503" width="20.42578125" customWidth="1"/>
    <col min="4504" max="4504" width="17.42578125" customWidth="1"/>
    <col min="4505" max="4505" width="11.5703125" bestFit="1" customWidth="1"/>
    <col min="4506" max="4506" width="16.140625" customWidth="1"/>
    <col min="4508" max="4508" width="14.140625" bestFit="1" customWidth="1"/>
    <col min="4754" max="4754" width="24.5703125" customWidth="1"/>
    <col min="4755" max="4755" width="59.5703125" customWidth="1"/>
    <col min="4756" max="4756" width="23.140625" customWidth="1"/>
    <col min="4757" max="4757" width="14.85546875" bestFit="1" customWidth="1"/>
    <col min="4758" max="4759" width="20.42578125" customWidth="1"/>
    <col min="4760" max="4760" width="17.42578125" customWidth="1"/>
    <col min="4761" max="4761" width="11.5703125" bestFit="1" customWidth="1"/>
    <col min="4762" max="4762" width="16.140625" customWidth="1"/>
    <col min="4764" max="4764" width="14.140625" bestFit="1" customWidth="1"/>
    <col min="5010" max="5010" width="24.5703125" customWidth="1"/>
    <col min="5011" max="5011" width="59.5703125" customWidth="1"/>
    <col min="5012" max="5012" width="23.140625" customWidth="1"/>
    <col min="5013" max="5013" width="14.85546875" bestFit="1" customWidth="1"/>
    <col min="5014" max="5015" width="20.42578125" customWidth="1"/>
    <col min="5016" max="5016" width="17.42578125" customWidth="1"/>
    <col min="5017" max="5017" width="11.5703125" bestFit="1" customWidth="1"/>
    <col min="5018" max="5018" width="16.140625" customWidth="1"/>
    <col min="5020" max="5020" width="14.140625" bestFit="1" customWidth="1"/>
    <col min="5266" max="5266" width="24.5703125" customWidth="1"/>
    <col min="5267" max="5267" width="59.5703125" customWidth="1"/>
    <col min="5268" max="5268" width="23.140625" customWidth="1"/>
    <col min="5269" max="5269" width="14.85546875" bestFit="1" customWidth="1"/>
    <col min="5270" max="5271" width="20.42578125" customWidth="1"/>
    <col min="5272" max="5272" width="17.42578125" customWidth="1"/>
    <col min="5273" max="5273" width="11.5703125" bestFit="1" customWidth="1"/>
    <col min="5274" max="5274" width="16.140625" customWidth="1"/>
    <col min="5276" max="5276" width="14.140625" bestFit="1" customWidth="1"/>
    <col min="5522" max="5522" width="24.5703125" customWidth="1"/>
    <col min="5523" max="5523" width="59.5703125" customWidth="1"/>
    <col min="5524" max="5524" width="23.140625" customWidth="1"/>
    <col min="5525" max="5525" width="14.85546875" bestFit="1" customWidth="1"/>
    <col min="5526" max="5527" width="20.42578125" customWidth="1"/>
    <col min="5528" max="5528" width="17.42578125" customWidth="1"/>
    <col min="5529" max="5529" width="11.5703125" bestFit="1" customWidth="1"/>
    <col min="5530" max="5530" width="16.140625" customWidth="1"/>
    <col min="5532" max="5532" width="14.140625" bestFit="1" customWidth="1"/>
    <col min="5778" max="5778" width="24.5703125" customWidth="1"/>
    <col min="5779" max="5779" width="59.5703125" customWidth="1"/>
    <col min="5780" max="5780" width="23.140625" customWidth="1"/>
    <col min="5781" max="5781" width="14.85546875" bestFit="1" customWidth="1"/>
    <col min="5782" max="5783" width="20.42578125" customWidth="1"/>
    <col min="5784" max="5784" width="17.42578125" customWidth="1"/>
    <col min="5785" max="5785" width="11.5703125" bestFit="1" customWidth="1"/>
    <col min="5786" max="5786" width="16.140625" customWidth="1"/>
    <col min="5788" max="5788" width="14.140625" bestFit="1" customWidth="1"/>
    <col min="6034" max="6034" width="24.5703125" customWidth="1"/>
    <col min="6035" max="6035" width="59.5703125" customWidth="1"/>
    <col min="6036" max="6036" width="23.140625" customWidth="1"/>
    <col min="6037" max="6037" width="14.85546875" bestFit="1" customWidth="1"/>
    <col min="6038" max="6039" width="20.42578125" customWidth="1"/>
    <col min="6040" max="6040" width="17.42578125" customWidth="1"/>
    <col min="6041" max="6041" width="11.5703125" bestFit="1" customWidth="1"/>
    <col min="6042" max="6042" width="16.140625" customWidth="1"/>
    <col min="6044" max="6044" width="14.140625" bestFit="1" customWidth="1"/>
    <col min="6290" max="6290" width="24.5703125" customWidth="1"/>
    <col min="6291" max="6291" width="59.5703125" customWidth="1"/>
    <col min="6292" max="6292" width="23.140625" customWidth="1"/>
    <col min="6293" max="6293" width="14.85546875" bestFit="1" customWidth="1"/>
    <col min="6294" max="6295" width="20.42578125" customWidth="1"/>
    <col min="6296" max="6296" width="17.42578125" customWidth="1"/>
    <col min="6297" max="6297" width="11.5703125" bestFit="1" customWidth="1"/>
    <col min="6298" max="6298" width="16.140625" customWidth="1"/>
    <col min="6300" max="6300" width="14.140625" bestFit="1" customWidth="1"/>
    <col min="6546" max="6546" width="24.5703125" customWidth="1"/>
    <col min="6547" max="6547" width="59.5703125" customWidth="1"/>
    <col min="6548" max="6548" width="23.140625" customWidth="1"/>
    <col min="6549" max="6549" width="14.85546875" bestFit="1" customWidth="1"/>
    <col min="6550" max="6551" width="20.42578125" customWidth="1"/>
    <col min="6552" max="6552" width="17.42578125" customWidth="1"/>
    <col min="6553" max="6553" width="11.5703125" bestFit="1" customWidth="1"/>
    <col min="6554" max="6554" width="16.140625" customWidth="1"/>
    <col min="6556" max="6556" width="14.140625" bestFit="1" customWidth="1"/>
    <col min="6802" max="6802" width="24.5703125" customWidth="1"/>
    <col min="6803" max="6803" width="59.5703125" customWidth="1"/>
    <col min="6804" max="6804" width="23.140625" customWidth="1"/>
    <col min="6805" max="6805" width="14.85546875" bestFit="1" customWidth="1"/>
    <col min="6806" max="6807" width="20.42578125" customWidth="1"/>
    <col min="6808" max="6808" width="17.42578125" customWidth="1"/>
    <col min="6809" max="6809" width="11.5703125" bestFit="1" customWidth="1"/>
    <col min="6810" max="6810" width="16.140625" customWidth="1"/>
    <col min="6812" max="6812" width="14.140625" bestFit="1" customWidth="1"/>
    <col min="7058" max="7058" width="24.5703125" customWidth="1"/>
    <col min="7059" max="7059" width="59.5703125" customWidth="1"/>
    <col min="7060" max="7060" width="23.140625" customWidth="1"/>
    <col min="7061" max="7061" width="14.85546875" bestFit="1" customWidth="1"/>
    <col min="7062" max="7063" width="20.42578125" customWidth="1"/>
    <col min="7064" max="7064" width="17.42578125" customWidth="1"/>
    <col min="7065" max="7065" width="11.5703125" bestFit="1" customWidth="1"/>
    <col min="7066" max="7066" width="16.140625" customWidth="1"/>
    <col min="7068" max="7068" width="14.140625" bestFit="1" customWidth="1"/>
    <col min="7314" max="7314" width="24.5703125" customWidth="1"/>
    <col min="7315" max="7315" width="59.5703125" customWidth="1"/>
    <col min="7316" max="7316" width="23.140625" customWidth="1"/>
    <col min="7317" max="7317" width="14.85546875" bestFit="1" customWidth="1"/>
    <col min="7318" max="7319" width="20.42578125" customWidth="1"/>
    <col min="7320" max="7320" width="17.42578125" customWidth="1"/>
    <col min="7321" max="7321" width="11.5703125" bestFit="1" customWidth="1"/>
    <col min="7322" max="7322" width="16.140625" customWidth="1"/>
    <col min="7324" max="7324" width="14.140625" bestFit="1" customWidth="1"/>
    <col min="7570" max="7570" width="24.5703125" customWidth="1"/>
    <col min="7571" max="7571" width="59.5703125" customWidth="1"/>
    <col min="7572" max="7572" width="23.140625" customWidth="1"/>
    <col min="7573" max="7573" width="14.85546875" bestFit="1" customWidth="1"/>
    <col min="7574" max="7575" width="20.42578125" customWidth="1"/>
    <col min="7576" max="7576" width="17.42578125" customWidth="1"/>
    <col min="7577" max="7577" width="11.5703125" bestFit="1" customWidth="1"/>
    <col min="7578" max="7578" width="16.140625" customWidth="1"/>
    <col min="7580" max="7580" width="14.140625" bestFit="1" customWidth="1"/>
    <col min="7826" max="7826" width="24.5703125" customWidth="1"/>
    <col min="7827" max="7827" width="59.5703125" customWidth="1"/>
    <col min="7828" max="7828" width="23.140625" customWidth="1"/>
    <col min="7829" max="7829" width="14.85546875" bestFit="1" customWidth="1"/>
    <col min="7830" max="7831" width="20.42578125" customWidth="1"/>
    <col min="7832" max="7832" width="17.42578125" customWidth="1"/>
    <col min="7833" max="7833" width="11.5703125" bestFit="1" customWidth="1"/>
    <col min="7834" max="7834" width="16.140625" customWidth="1"/>
    <col min="7836" max="7836" width="14.140625" bestFit="1" customWidth="1"/>
    <col min="8082" max="8082" width="24.5703125" customWidth="1"/>
    <col min="8083" max="8083" width="59.5703125" customWidth="1"/>
    <col min="8084" max="8084" width="23.140625" customWidth="1"/>
    <col min="8085" max="8085" width="14.85546875" bestFit="1" customWidth="1"/>
    <col min="8086" max="8087" width="20.42578125" customWidth="1"/>
    <col min="8088" max="8088" width="17.42578125" customWidth="1"/>
    <col min="8089" max="8089" width="11.5703125" bestFit="1" customWidth="1"/>
    <col min="8090" max="8090" width="16.140625" customWidth="1"/>
    <col min="8092" max="8092" width="14.140625" bestFit="1" customWidth="1"/>
    <col min="8338" max="8338" width="24.5703125" customWidth="1"/>
    <col min="8339" max="8339" width="59.5703125" customWidth="1"/>
    <col min="8340" max="8340" width="23.140625" customWidth="1"/>
    <col min="8341" max="8341" width="14.85546875" bestFit="1" customWidth="1"/>
    <col min="8342" max="8343" width="20.42578125" customWidth="1"/>
    <col min="8344" max="8344" width="17.42578125" customWidth="1"/>
    <col min="8345" max="8345" width="11.5703125" bestFit="1" customWidth="1"/>
    <col min="8346" max="8346" width="16.140625" customWidth="1"/>
    <col min="8348" max="8348" width="14.140625" bestFit="1" customWidth="1"/>
    <col min="8594" max="8594" width="24.5703125" customWidth="1"/>
    <col min="8595" max="8595" width="59.5703125" customWidth="1"/>
    <col min="8596" max="8596" width="23.140625" customWidth="1"/>
    <col min="8597" max="8597" width="14.85546875" bestFit="1" customWidth="1"/>
    <col min="8598" max="8599" width="20.42578125" customWidth="1"/>
    <col min="8600" max="8600" width="17.42578125" customWidth="1"/>
    <col min="8601" max="8601" width="11.5703125" bestFit="1" customWidth="1"/>
    <col min="8602" max="8602" width="16.140625" customWidth="1"/>
    <col min="8604" max="8604" width="14.140625" bestFit="1" customWidth="1"/>
    <col min="8850" max="8850" width="24.5703125" customWidth="1"/>
    <col min="8851" max="8851" width="59.5703125" customWidth="1"/>
    <col min="8852" max="8852" width="23.140625" customWidth="1"/>
    <col min="8853" max="8853" width="14.85546875" bestFit="1" customWidth="1"/>
    <col min="8854" max="8855" width="20.42578125" customWidth="1"/>
    <col min="8856" max="8856" width="17.42578125" customWidth="1"/>
    <col min="8857" max="8857" width="11.5703125" bestFit="1" customWidth="1"/>
    <col min="8858" max="8858" width="16.140625" customWidth="1"/>
    <col min="8860" max="8860" width="14.140625" bestFit="1" customWidth="1"/>
    <col min="9106" max="9106" width="24.5703125" customWidth="1"/>
    <col min="9107" max="9107" width="59.5703125" customWidth="1"/>
    <col min="9108" max="9108" width="23.140625" customWidth="1"/>
    <col min="9109" max="9109" width="14.85546875" bestFit="1" customWidth="1"/>
    <col min="9110" max="9111" width="20.42578125" customWidth="1"/>
    <col min="9112" max="9112" width="17.42578125" customWidth="1"/>
    <col min="9113" max="9113" width="11.5703125" bestFit="1" customWidth="1"/>
    <col min="9114" max="9114" width="16.140625" customWidth="1"/>
    <col min="9116" max="9116" width="14.140625" bestFit="1" customWidth="1"/>
    <col min="9362" max="9362" width="24.5703125" customWidth="1"/>
    <col min="9363" max="9363" width="59.5703125" customWidth="1"/>
    <col min="9364" max="9364" width="23.140625" customWidth="1"/>
    <col min="9365" max="9365" width="14.85546875" bestFit="1" customWidth="1"/>
    <col min="9366" max="9367" width="20.42578125" customWidth="1"/>
    <col min="9368" max="9368" width="17.42578125" customWidth="1"/>
    <col min="9369" max="9369" width="11.5703125" bestFit="1" customWidth="1"/>
    <col min="9370" max="9370" width="16.140625" customWidth="1"/>
    <col min="9372" max="9372" width="14.140625" bestFit="1" customWidth="1"/>
    <col min="9618" max="9618" width="24.5703125" customWidth="1"/>
    <col min="9619" max="9619" width="59.5703125" customWidth="1"/>
    <col min="9620" max="9620" width="23.140625" customWidth="1"/>
    <col min="9621" max="9621" width="14.85546875" bestFit="1" customWidth="1"/>
    <col min="9622" max="9623" width="20.42578125" customWidth="1"/>
    <col min="9624" max="9624" width="17.42578125" customWidth="1"/>
    <col min="9625" max="9625" width="11.5703125" bestFit="1" customWidth="1"/>
    <col min="9626" max="9626" width="16.140625" customWidth="1"/>
    <col min="9628" max="9628" width="14.140625" bestFit="1" customWidth="1"/>
    <col min="9874" max="9874" width="24.5703125" customWidth="1"/>
    <col min="9875" max="9875" width="59.5703125" customWidth="1"/>
    <col min="9876" max="9876" width="23.140625" customWidth="1"/>
    <col min="9877" max="9877" width="14.85546875" bestFit="1" customWidth="1"/>
    <col min="9878" max="9879" width="20.42578125" customWidth="1"/>
    <col min="9880" max="9880" width="17.42578125" customWidth="1"/>
    <col min="9881" max="9881" width="11.5703125" bestFit="1" customWidth="1"/>
    <col min="9882" max="9882" width="16.140625" customWidth="1"/>
    <col min="9884" max="9884" width="14.140625" bestFit="1" customWidth="1"/>
    <col min="10130" max="10130" width="24.5703125" customWidth="1"/>
    <col min="10131" max="10131" width="59.5703125" customWidth="1"/>
    <col min="10132" max="10132" width="23.140625" customWidth="1"/>
    <col min="10133" max="10133" width="14.85546875" bestFit="1" customWidth="1"/>
    <col min="10134" max="10135" width="20.42578125" customWidth="1"/>
    <col min="10136" max="10136" width="17.42578125" customWidth="1"/>
    <col min="10137" max="10137" width="11.5703125" bestFit="1" customWidth="1"/>
    <col min="10138" max="10138" width="16.140625" customWidth="1"/>
    <col min="10140" max="10140" width="14.140625" bestFit="1" customWidth="1"/>
    <col min="10386" max="10386" width="24.5703125" customWidth="1"/>
    <col min="10387" max="10387" width="59.5703125" customWidth="1"/>
    <col min="10388" max="10388" width="23.140625" customWidth="1"/>
    <col min="10389" max="10389" width="14.85546875" bestFit="1" customWidth="1"/>
    <col min="10390" max="10391" width="20.42578125" customWidth="1"/>
    <col min="10392" max="10392" width="17.42578125" customWidth="1"/>
    <col min="10393" max="10393" width="11.5703125" bestFit="1" customWidth="1"/>
    <col min="10394" max="10394" width="16.140625" customWidth="1"/>
    <col min="10396" max="10396" width="14.140625" bestFit="1" customWidth="1"/>
    <col min="10642" max="10642" width="24.5703125" customWidth="1"/>
    <col min="10643" max="10643" width="59.5703125" customWidth="1"/>
    <col min="10644" max="10644" width="23.140625" customWidth="1"/>
    <col min="10645" max="10645" width="14.85546875" bestFit="1" customWidth="1"/>
    <col min="10646" max="10647" width="20.42578125" customWidth="1"/>
    <col min="10648" max="10648" width="17.42578125" customWidth="1"/>
    <col min="10649" max="10649" width="11.5703125" bestFit="1" customWidth="1"/>
    <col min="10650" max="10650" width="16.140625" customWidth="1"/>
    <col min="10652" max="10652" width="14.140625" bestFit="1" customWidth="1"/>
    <col min="10898" max="10898" width="24.5703125" customWidth="1"/>
    <col min="10899" max="10899" width="59.5703125" customWidth="1"/>
    <col min="10900" max="10900" width="23.140625" customWidth="1"/>
    <col min="10901" max="10901" width="14.85546875" bestFit="1" customWidth="1"/>
    <col min="10902" max="10903" width="20.42578125" customWidth="1"/>
    <col min="10904" max="10904" width="17.42578125" customWidth="1"/>
    <col min="10905" max="10905" width="11.5703125" bestFit="1" customWidth="1"/>
    <col min="10906" max="10906" width="16.140625" customWidth="1"/>
    <col min="10908" max="10908" width="14.140625" bestFit="1" customWidth="1"/>
    <col min="11154" max="11154" width="24.5703125" customWidth="1"/>
    <col min="11155" max="11155" width="59.5703125" customWidth="1"/>
    <col min="11156" max="11156" width="23.140625" customWidth="1"/>
    <col min="11157" max="11157" width="14.85546875" bestFit="1" customWidth="1"/>
    <col min="11158" max="11159" width="20.42578125" customWidth="1"/>
    <col min="11160" max="11160" width="17.42578125" customWidth="1"/>
    <col min="11161" max="11161" width="11.5703125" bestFit="1" customWidth="1"/>
    <col min="11162" max="11162" width="16.140625" customWidth="1"/>
    <col min="11164" max="11164" width="14.140625" bestFit="1" customWidth="1"/>
    <col min="11410" max="11410" width="24.5703125" customWidth="1"/>
    <col min="11411" max="11411" width="59.5703125" customWidth="1"/>
    <col min="11412" max="11412" width="23.140625" customWidth="1"/>
    <col min="11413" max="11413" width="14.85546875" bestFit="1" customWidth="1"/>
    <col min="11414" max="11415" width="20.42578125" customWidth="1"/>
    <col min="11416" max="11416" width="17.42578125" customWidth="1"/>
    <col min="11417" max="11417" width="11.5703125" bestFit="1" customWidth="1"/>
    <col min="11418" max="11418" width="16.140625" customWidth="1"/>
    <col min="11420" max="11420" width="14.140625" bestFit="1" customWidth="1"/>
    <col min="11666" max="11666" width="24.5703125" customWidth="1"/>
    <col min="11667" max="11667" width="59.5703125" customWidth="1"/>
    <col min="11668" max="11668" width="23.140625" customWidth="1"/>
    <col min="11669" max="11669" width="14.85546875" bestFit="1" customWidth="1"/>
    <col min="11670" max="11671" width="20.42578125" customWidth="1"/>
    <col min="11672" max="11672" width="17.42578125" customWidth="1"/>
    <col min="11673" max="11673" width="11.5703125" bestFit="1" customWidth="1"/>
    <col min="11674" max="11674" width="16.140625" customWidth="1"/>
    <col min="11676" max="11676" width="14.140625" bestFit="1" customWidth="1"/>
    <col min="11922" max="11922" width="24.5703125" customWidth="1"/>
    <col min="11923" max="11923" width="59.5703125" customWidth="1"/>
    <col min="11924" max="11924" width="23.140625" customWidth="1"/>
    <col min="11925" max="11925" width="14.85546875" bestFit="1" customWidth="1"/>
    <col min="11926" max="11927" width="20.42578125" customWidth="1"/>
    <col min="11928" max="11928" width="17.42578125" customWidth="1"/>
    <col min="11929" max="11929" width="11.5703125" bestFit="1" customWidth="1"/>
    <col min="11930" max="11930" width="16.140625" customWidth="1"/>
    <col min="11932" max="11932" width="14.140625" bestFit="1" customWidth="1"/>
    <col min="12178" max="12178" width="24.5703125" customWidth="1"/>
    <col min="12179" max="12179" width="59.5703125" customWidth="1"/>
    <col min="12180" max="12180" width="23.140625" customWidth="1"/>
    <col min="12181" max="12181" width="14.85546875" bestFit="1" customWidth="1"/>
    <col min="12182" max="12183" width="20.42578125" customWidth="1"/>
    <col min="12184" max="12184" width="17.42578125" customWidth="1"/>
    <col min="12185" max="12185" width="11.5703125" bestFit="1" customWidth="1"/>
    <col min="12186" max="12186" width="16.140625" customWidth="1"/>
    <col min="12188" max="12188" width="14.140625" bestFit="1" customWidth="1"/>
    <col min="12434" max="12434" width="24.5703125" customWidth="1"/>
    <col min="12435" max="12435" width="59.5703125" customWidth="1"/>
    <col min="12436" max="12436" width="23.140625" customWidth="1"/>
    <col min="12437" max="12437" width="14.85546875" bestFit="1" customWidth="1"/>
    <col min="12438" max="12439" width="20.42578125" customWidth="1"/>
    <col min="12440" max="12440" width="17.42578125" customWidth="1"/>
    <col min="12441" max="12441" width="11.5703125" bestFit="1" customWidth="1"/>
    <col min="12442" max="12442" width="16.140625" customWidth="1"/>
    <col min="12444" max="12444" width="14.140625" bestFit="1" customWidth="1"/>
    <col min="12690" max="12690" width="24.5703125" customWidth="1"/>
    <col min="12691" max="12691" width="59.5703125" customWidth="1"/>
    <col min="12692" max="12692" width="23.140625" customWidth="1"/>
    <col min="12693" max="12693" width="14.85546875" bestFit="1" customWidth="1"/>
    <col min="12694" max="12695" width="20.42578125" customWidth="1"/>
    <col min="12696" max="12696" width="17.42578125" customWidth="1"/>
    <col min="12697" max="12697" width="11.5703125" bestFit="1" customWidth="1"/>
    <col min="12698" max="12698" width="16.140625" customWidth="1"/>
    <col min="12700" max="12700" width="14.140625" bestFit="1" customWidth="1"/>
    <col min="12946" max="12946" width="24.5703125" customWidth="1"/>
    <col min="12947" max="12947" width="59.5703125" customWidth="1"/>
    <col min="12948" max="12948" width="23.140625" customWidth="1"/>
    <col min="12949" max="12949" width="14.85546875" bestFit="1" customWidth="1"/>
    <col min="12950" max="12951" width="20.42578125" customWidth="1"/>
    <col min="12952" max="12952" width="17.42578125" customWidth="1"/>
    <col min="12953" max="12953" width="11.5703125" bestFit="1" customWidth="1"/>
    <col min="12954" max="12954" width="16.140625" customWidth="1"/>
    <col min="12956" max="12956" width="14.140625" bestFit="1" customWidth="1"/>
    <col min="13202" max="13202" width="24.5703125" customWidth="1"/>
    <col min="13203" max="13203" width="59.5703125" customWidth="1"/>
    <col min="13204" max="13204" width="23.140625" customWidth="1"/>
    <col min="13205" max="13205" width="14.85546875" bestFit="1" customWidth="1"/>
    <col min="13206" max="13207" width="20.42578125" customWidth="1"/>
    <col min="13208" max="13208" width="17.42578125" customWidth="1"/>
    <col min="13209" max="13209" width="11.5703125" bestFit="1" customWidth="1"/>
    <col min="13210" max="13210" width="16.140625" customWidth="1"/>
    <col min="13212" max="13212" width="14.140625" bestFit="1" customWidth="1"/>
    <col min="13458" max="13458" width="24.5703125" customWidth="1"/>
    <col min="13459" max="13459" width="59.5703125" customWidth="1"/>
    <col min="13460" max="13460" width="23.140625" customWidth="1"/>
    <col min="13461" max="13461" width="14.85546875" bestFit="1" customWidth="1"/>
    <col min="13462" max="13463" width="20.42578125" customWidth="1"/>
    <col min="13464" max="13464" width="17.42578125" customWidth="1"/>
    <col min="13465" max="13465" width="11.5703125" bestFit="1" customWidth="1"/>
    <col min="13466" max="13466" width="16.140625" customWidth="1"/>
    <col min="13468" max="13468" width="14.140625" bestFit="1" customWidth="1"/>
    <col min="13714" max="13714" width="24.5703125" customWidth="1"/>
    <col min="13715" max="13715" width="59.5703125" customWidth="1"/>
    <col min="13716" max="13716" width="23.140625" customWidth="1"/>
    <col min="13717" max="13717" width="14.85546875" bestFit="1" customWidth="1"/>
    <col min="13718" max="13719" width="20.42578125" customWidth="1"/>
    <col min="13720" max="13720" width="17.42578125" customWidth="1"/>
    <col min="13721" max="13721" width="11.5703125" bestFit="1" customWidth="1"/>
    <col min="13722" max="13722" width="16.140625" customWidth="1"/>
    <col min="13724" max="13724" width="14.140625" bestFit="1" customWidth="1"/>
    <col min="13970" max="13970" width="24.5703125" customWidth="1"/>
    <col min="13971" max="13971" width="59.5703125" customWidth="1"/>
    <col min="13972" max="13972" width="23.140625" customWidth="1"/>
    <col min="13973" max="13973" width="14.85546875" bestFit="1" customWidth="1"/>
    <col min="13974" max="13975" width="20.42578125" customWidth="1"/>
    <col min="13976" max="13976" width="17.42578125" customWidth="1"/>
    <col min="13977" max="13977" width="11.5703125" bestFit="1" customWidth="1"/>
    <col min="13978" max="13978" width="16.140625" customWidth="1"/>
    <col min="13980" max="13980" width="14.140625" bestFit="1" customWidth="1"/>
    <col min="14226" max="14226" width="24.5703125" customWidth="1"/>
    <col min="14227" max="14227" width="59.5703125" customWidth="1"/>
    <col min="14228" max="14228" width="23.140625" customWidth="1"/>
    <col min="14229" max="14229" width="14.85546875" bestFit="1" customWidth="1"/>
    <col min="14230" max="14231" width="20.42578125" customWidth="1"/>
    <col min="14232" max="14232" width="17.42578125" customWidth="1"/>
    <col min="14233" max="14233" width="11.5703125" bestFit="1" customWidth="1"/>
    <col min="14234" max="14234" width="16.140625" customWidth="1"/>
    <col min="14236" max="14236" width="14.140625" bestFit="1" customWidth="1"/>
    <col min="14482" max="14482" width="24.5703125" customWidth="1"/>
    <col min="14483" max="14483" width="59.5703125" customWidth="1"/>
    <col min="14484" max="14484" width="23.140625" customWidth="1"/>
    <col min="14485" max="14485" width="14.85546875" bestFit="1" customWidth="1"/>
    <col min="14486" max="14487" width="20.42578125" customWidth="1"/>
    <col min="14488" max="14488" width="17.42578125" customWidth="1"/>
    <col min="14489" max="14489" width="11.5703125" bestFit="1" customWidth="1"/>
    <col min="14490" max="14490" width="16.140625" customWidth="1"/>
    <col min="14492" max="14492" width="14.140625" bestFit="1" customWidth="1"/>
    <col min="14738" max="14738" width="24.5703125" customWidth="1"/>
    <col min="14739" max="14739" width="59.5703125" customWidth="1"/>
    <col min="14740" max="14740" width="23.140625" customWidth="1"/>
    <col min="14741" max="14741" width="14.85546875" bestFit="1" customWidth="1"/>
    <col min="14742" max="14743" width="20.42578125" customWidth="1"/>
    <col min="14744" max="14744" width="17.42578125" customWidth="1"/>
    <col min="14745" max="14745" width="11.5703125" bestFit="1" customWidth="1"/>
    <col min="14746" max="14746" width="16.140625" customWidth="1"/>
    <col min="14748" max="14748" width="14.140625" bestFit="1" customWidth="1"/>
    <col min="14994" max="14994" width="24.5703125" customWidth="1"/>
    <col min="14995" max="14995" width="59.5703125" customWidth="1"/>
    <col min="14996" max="14996" width="23.140625" customWidth="1"/>
    <col min="14997" max="14997" width="14.85546875" bestFit="1" customWidth="1"/>
    <col min="14998" max="14999" width="20.42578125" customWidth="1"/>
    <col min="15000" max="15000" width="17.42578125" customWidth="1"/>
    <col min="15001" max="15001" width="11.5703125" bestFit="1" customWidth="1"/>
    <col min="15002" max="15002" width="16.140625" customWidth="1"/>
    <col min="15004" max="15004" width="14.140625" bestFit="1" customWidth="1"/>
    <col min="15250" max="15250" width="24.5703125" customWidth="1"/>
    <col min="15251" max="15251" width="59.5703125" customWidth="1"/>
    <col min="15252" max="15252" width="23.140625" customWidth="1"/>
    <col min="15253" max="15253" width="14.85546875" bestFit="1" customWidth="1"/>
    <col min="15254" max="15255" width="20.42578125" customWidth="1"/>
    <col min="15256" max="15256" width="17.42578125" customWidth="1"/>
    <col min="15257" max="15257" width="11.5703125" bestFit="1" customWidth="1"/>
    <col min="15258" max="15258" width="16.140625" customWidth="1"/>
    <col min="15260" max="15260" width="14.140625" bestFit="1" customWidth="1"/>
    <col min="15506" max="15506" width="24.5703125" customWidth="1"/>
    <col min="15507" max="15507" width="59.5703125" customWidth="1"/>
    <col min="15508" max="15508" width="23.140625" customWidth="1"/>
    <col min="15509" max="15509" width="14.85546875" bestFit="1" customWidth="1"/>
    <col min="15510" max="15511" width="20.42578125" customWidth="1"/>
    <col min="15512" max="15512" width="17.42578125" customWidth="1"/>
    <col min="15513" max="15513" width="11.5703125" bestFit="1" customWidth="1"/>
    <col min="15514" max="15514" width="16.140625" customWidth="1"/>
    <col min="15516" max="15516" width="14.140625" bestFit="1" customWidth="1"/>
    <col min="15762" max="15762" width="24.5703125" customWidth="1"/>
    <col min="15763" max="15763" width="59.5703125" customWidth="1"/>
    <col min="15764" max="15764" width="23.140625" customWidth="1"/>
    <col min="15765" max="15765" width="14.85546875" bestFit="1" customWidth="1"/>
    <col min="15766" max="15767" width="20.42578125" customWidth="1"/>
    <col min="15768" max="15768" width="17.42578125" customWidth="1"/>
    <col min="15769" max="15769" width="11.5703125" bestFit="1" customWidth="1"/>
    <col min="15770" max="15770" width="16.140625" customWidth="1"/>
    <col min="15772" max="15772" width="14.140625" bestFit="1" customWidth="1"/>
    <col min="16018" max="16018" width="24.5703125" customWidth="1"/>
    <col min="16019" max="16019" width="59.5703125" customWidth="1"/>
    <col min="16020" max="16020" width="23.140625" customWidth="1"/>
    <col min="16021" max="16021" width="14.85546875" bestFit="1" customWidth="1"/>
    <col min="16022" max="16023" width="20.42578125" customWidth="1"/>
    <col min="16024" max="16024" width="17.42578125" customWidth="1"/>
    <col min="16025" max="16025" width="11.5703125" bestFit="1" customWidth="1"/>
    <col min="16026" max="16026" width="16.140625" customWidth="1"/>
    <col min="16028" max="16028" width="14.140625" bestFit="1" customWidth="1"/>
  </cols>
  <sheetData>
    <row r="1" spans="1:47" ht="15.95" customHeight="1">
      <c r="A1" s="85" t="s">
        <v>1151</v>
      </c>
      <c r="B1" s="86"/>
      <c r="C1" s="87"/>
      <c r="D1" s="40" t="s">
        <v>1</v>
      </c>
      <c r="E1" s="2">
        <v>1</v>
      </c>
      <c r="F1" s="2">
        <v>2</v>
      </c>
      <c r="G1" s="2">
        <v>3</v>
      </c>
      <c r="H1" s="2">
        <v>4</v>
      </c>
      <c r="I1" s="2">
        <v>5</v>
      </c>
      <c r="J1" s="2">
        <v>6</v>
      </c>
      <c r="K1" s="2">
        <v>7</v>
      </c>
      <c r="L1" s="2">
        <v>8</v>
      </c>
      <c r="M1" s="2">
        <v>9</v>
      </c>
      <c r="N1" s="2">
        <v>10</v>
      </c>
      <c r="O1" s="2">
        <v>11</v>
      </c>
      <c r="P1" s="2">
        <v>12</v>
      </c>
      <c r="Q1" s="2">
        <v>13</v>
      </c>
      <c r="R1" s="2">
        <v>14</v>
      </c>
      <c r="S1" s="2">
        <v>15</v>
      </c>
      <c r="T1" s="2">
        <v>16</v>
      </c>
      <c r="U1" s="2">
        <v>17</v>
      </c>
      <c r="V1" s="2">
        <v>18</v>
      </c>
      <c r="W1" s="2">
        <v>19</v>
      </c>
      <c r="X1" s="2">
        <v>20</v>
      </c>
      <c r="Y1" s="2">
        <v>21</v>
      </c>
      <c r="Z1" s="2">
        <v>22</v>
      </c>
      <c r="AA1" s="2">
        <v>23</v>
      </c>
      <c r="AB1" s="2">
        <v>24</v>
      </c>
      <c r="AC1" s="2">
        <v>25</v>
      </c>
      <c r="AD1" s="2">
        <v>26</v>
      </c>
      <c r="AE1" s="2">
        <v>27</v>
      </c>
      <c r="AF1" s="2">
        <v>28</v>
      </c>
      <c r="AG1" s="2">
        <v>29</v>
      </c>
      <c r="AH1" s="2">
        <v>30</v>
      </c>
      <c r="AI1" s="2">
        <v>31</v>
      </c>
      <c r="AJ1" s="2">
        <v>32</v>
      </c>
      <c r="AK1" s="2">
        <v>33</v>
      </c>
      <c r="AL1" s="2">
        <v>34</v>
      </c>
      <c r="AM1" s="2">
        <v>35</v>
      </c>
      <c r="AN1" s="2">
        <v>36</v>
      </c>
      <c r="AO1" s="2">
        <v>37</v>
      </c>
    </row>
    <row r="2" spans="1:47" ht="15.95" customHeight="1">
      <c r="A2" s="88"/>
      <c r="B2" s="89"/>
      <c r="C2" s="90"/>
      <c r="D2" s="40" t="s">
        <v>2</v>
      </c>
      <c r="E2" s="5" t="s">
        <v>1152</v>
      </c>
      <c r="F2" s="5" t="s">
        <v>1153</v>
      </c>
      <c r="G2" s="5" t="s">
        <v>1154</v>
      </c>
      <c r="H2" s="5" t="s">
        <v>1155</v>
      </c>
      <c r="I2" s="5" t="s">
        <v>1156</v>
      </c>
      <c r="J2" s="5" t="s">
        <v>1157</v>
      </c>
      <c r="K2" s="5" t="s">
        <v>1158</v>
      </c>
      <c r="L2" s="5" t="s">
        <v>1159</v>
      </c>
      <c r="M2" s="5" t="s">
        <v>1160</v>
      </c>
      <c r="N2" s="5" t="s">
        <v>1161</v>
      </c>
      <c r="O2" s="5" t="s">
        <v>1162</v>
      </c>
      <c r="P2" s="5" t="s">
        <v>1163</v>
      </c>
      <c r="Q2" s="5" t="s">
        <v>1164</v>
      </c>
      <c r="R2" s="5" t="s">
        <v>1165</v>
      </c>
      <c r="S2" s="5" t="s">
        <v>1166</v>
      </c>
      <c r="T2" s="5" t="s">
        <v>1167</v>
      </c>
      <c r="U2" s="5" t="s">
        <v>1168</v>
      </c>
      <c r="V2" s="5" t="s">
        <v>1169</v>
      </c>
      <c r="W2" s="5" t="s">
        <v>1170</v>
      </c>
      <c r="X2" s="5" t="s">
        <v>1171</v>
      </c>
      <c r="Y2" s="5" t="s">
        <v>1172</v>
      </c>
      <c r="Z2" s="5" t="s">
        <v>1173</v>
      </c>
      <c r="AA2" s="5" t="s">
        <v>1174</v>
      </c>
      <c r="AB2" s="5" t="s">
        <v>1175</v>
      </c>
      <c r="AC2" s="5" t="s">
        <v>1176</v>
      </c>
      <c r="AD2" s="5" t="s">
        <v>1177</v>
      </c>
      <c r="AE2" s="5" t="s">
        <v>1178</v>
      </c>
      <c r="AF2" s="5" t="s">
        <v>1179</v>
      </c>
      <c r="AG2" s="5" t="s">
        <v>1180</v>
      </c>
      <c r="AH2" s="5" t="s">
        <v>1181</v>
      </c>
      <c r="AI2" s="5" t="s">
        <v>1182</v>
      </c>
      <c r="AJ2" s="5" t="s">
        <v>1183</v>
      </c>
      <c r="AK2" s="5" t="s">
        <v>1184</v>
      </c>
      <c r="AL2" s="5" t="s">
        <v>1185</v>
      </c>
      <c r="AM2" s="5" t="s">
        <v>1186</v>
      </c>
      <c r="AN2" s="5" t="s">
        <v>1187</v>
      </c>
      <c r="AO2" s="5" t="s">
        <v>1188</v>
      </c>
      <c r="AT2" s="35"/>
      <c r="AU2" s="35"/>
    </row>
    <row r="3" spans="1:47" ht="15.95" customHeight="1">
      <c r="A3" s="88"/>
      <c r="B3" s="89"/>
      <c r="C3" s="90"/>
      <c r="D3" s="40" t="s">
        <v>11</v>
      </c>
      <c r="E3" s="6" t="s">
        <v>1189</v>
      </c>
      <c r="F3" s="6" t="s">
        <v>1189</v>
      </c>
      <c r="G3" s="6" t="s">
        <v>1189</v>
      </c>
      <c r="H3" s="6" t="s">
        <v>1189</v>
      </c>
      <c r="I3" s="6" t="s">
        <v>1189</v>
      </c>
      <c r="J3" s="6" t="s">
        <v>1189</v>
      </c>
      <c r="K3" s="6" t="s">
        <v>1189</v>
      </c>
      <c r="L3" s="6" t="s">
        <v>1189</v>
      </c>
      <c r="M3" s="6" t="s">
        <v>1189</v>
      </c>
      <c r="N3" s="6" t="s">
        <v>1189</v>
      </c>
      <c r="O3" s="6" t="s">
        <v>1189</v>
      </c>
      <c r="P3" s="6" t="s">
        <v>1190</v>
      </c>
      <c r="Q3" s="6" t="s">
        <v>1189</v>
      </c>
      <c r="R3" s="6" t="s">
        <v>1189</v>
      </c>
      <c r="S3" s="6" t="s">
        <v>1189</v>
      </c>
      <c r="T3" s="6" t="s">
        <v>1189</v>
      </c>
      <c r="U3" s="6" t="s">
        <v>1189</v>
      </c>
      <c r="V3" s="6" t="s">
        <v>1189</v>
      </c>
      <c r="W3" s="6" t="s">
        <v>1189</v>
      </c>
      <c r="X3" s="6" t="s">
        <v>1189</v>
      </c>
      <c r="Y3" s="6" t="s">
        <v>1189</v>
      </c>
      <c r="Z3" s="6" t="s">
        <v>1189</v>
      </c>
      <c r="AA3" s="6" t="s">
        <v>1189</v>
      </c>
      <c r="AB3" s="6" t="s">
        <v>1190</v>
      </c>
      <c r="AC3" s="6" t="s">
        <v>1190</v>
      </c>
      <c r="AD3" s="6" t="s">
        <v>1189</v>
      </c>
      <c r="AE3" s="6" t="s">
        <v>1189</v>
      </c>
      <c r="AF3" s="6" t="s">
        <v>1189</v>
      </c>
      <c r="AG3" s="6" t="s">
        <v>1190</v>
      </c>
      <c r="AH3" s="6" t="s">
        <v>1189</v>
      </c>
      <c r="AI3" s="6" t="s">
        <v>1189</v>
      </c>
      <c r="AJ3" s="6" t="s">
        <v>1189</v>
      </c>
      <c r="AK3" s="6" t="s">
        <v>1189</v>
      </c>
      <c r="AL3" s="6" t="s">
        <v>1189</v>
      </c>
      <c r="AM3" s="6" t="s">
        <v>1189</v>
      </c>
      <c r="AN3" s="6" t="s">
        <v>1189</v>
      </c>
      <c r="AO3" s="6" t="s">
        <v>1189</v>
      </c>
    </row>
    <row r="4" spans="1:47" ht="15.95" customHeight="1">
      <c r="A4" s="88"/>
      <c r="B4" s="89"/>
      <c r="C4" s="90"/>
      <c r="D4" s="40" t="s">
        <v>14</v>
      </c>
      <c r="E4" s="6" t="s">
        <v>1191</v>
      </c>
      <c r="F4" s="6" t="s">
        <v>1192</v>
      </c>
      <c r="G4" s="6" t="s">
        <v>1193</v>
      </c>
      <c r="H4" s="6" t="s">
        <v>1194</v>
      </c>
      <c r="I4" s="6" t="s">
        <v>1195</v>
      </c>
      <c r="J4" s="6" t="s">
        <v>1196</v>
      </c>
      <c r="K4" s="6" t="s">
        <v>1197</v>
      </c>
      <c r="L4" s="6" t="s">
        <v>1198</v>
      </c>
      <c r="M4" s="6" t="s">
        <v>1199</v>
      </c>
      <c r="N4" s="6" t="s">
        <v>1200</v>
      </c>
      <c r="O4" s="6" t="s">
        <v>1201</v>
      </c>
      <c r="P4" s="6" t="s">
        <v>1202</v>
      </c>
      <c r="Q4" s="6" t="s">
        <v>1203</v>
      </c>
      <c r="R4" s="6" t="s">
        <v>1204</v>
      </c>
      <c r="S4" s="6" t="s">
        <v>1205</v>
      </c>
      <c r="T4" s="6" t="s">
        <v>1206</v>
      </c>
      <c r="U4" s="6" t="s">
        <v>1207</v>
      </c>
      <c r="V4" s="6" t="s">
        <v>1208</v>
      </c>
      <c r="W4" s="6" t="s">
        <v>1209</v>
      </c>
      <c r="X4" s="6" t="s">
        <v>1210</v>
      </c>
      <c r="Y4" s="6" t="s">
        <v>1211</v>
      </c>
      <c r="Z4" s="6" t="s">
        <v>1209</v>
      </c>
      <c r="AA4" s="6" t="s">
        <v>1212</v>
      </c>
      <c r="AB4" s="6" t="s">
        <v>1213</v>
      </c>
      <c r="AC4" s="6" t="s">
        <v>1214</v>
      </c>
      <c r="AD4" s="6" t="s">
        <v>1215</v>
      </c>
      <c r="AE4" s="6" t="s">
        <v>1216</v>
      </c>
      <c r="AF4" s="6" t="s">
        <v>1217</v>
      </c>
      <c r="AG4" s="6" t="s">
        <v>1218</v>
      </c>
      <c r="AH4" s="6" t="s">
        <v>1219</v>
      </c>
      <c r="AI4" s="6" t="s">
        <v>1220</v>
      </c>
      <c r="AJ4" s="6" t="s">
        <v>1221</v>
      </c>
      <c r="AK4" s="6" t="s">
        <v>1222</v>
      </c>
      <c r="AL4" s="6" t="s">
        <v>1223</v>
      </c>
      <c r="AM4" s="6" t="s">
        <v>1224</v>
      </c>
      <c r="AN4" s="6" t="s">
        <v>1217</v>
      </c>
      <c r="AO4" s="6" t="s">
        <v>1225</v>
      </c>
    </row>
    <row r="5" spans="1:47" ht="15.95" customHeight="1">
      <c r="A5" s="88"/>
      <c r="B5" s="89"/>
      <c r="C5" s="90"/>
      <c r="D5" s="40" t="s">
        <v>122</v>
      </c>
      <c r="E5" s="7" t="s">
        <v>123</v>
      </c>
      <c r="F5" s="7" t="s">
        <v>126</v>
      </c>
      <c r="G5" s="7" t="s">
        <v>130</v>
      </c>
      <c r="H5" s="7" t="s">
        <v>123</v>
      </c>
      <c r="I5" s="7" t="s">
        <v>123</v>
      </c>
      <c r="J5" s="7" t="s">
        <v>130</v>
      </c>
      <c r="K5" s="7" t="s">
        <v>123</v>
      </c>
      <c r="L5" s="7" t="s">
        <v>125</v>
      </c>
      <c r="M5" s="7" t="s">
        <v>123</v>
      </c>
      <c r="N5" s="7" t="s">
        <v>123</v>
      </c>
      <c r="O5" s="7" t="s">
        <v>126</v>
      </c>
      <c r="P5" s="7" t="s">
        <v>123</v>
      </c>
      <c r="Q5" s="7" t="s">
        <v>126</v>
      </c>
      <c r="R5" s="7" t="s">
        <v>123</v>
      </c>
      <c r="S5" s="7" t="s">
        <v>125</v>
      </c>
      <c r="T5" s="7" t="s">
        <v>123</v>
      </c>
      <c r="U5" s="7" t="s">
        <v>123</v>
      </c>
      <c r="V5" s="7" t="s">
        <v>130</v>
      </c>
      <c r="W5" s="7" t="s">
        <v>128</v>
      </c>
      <c r="X5" s="7" t="s">
        <v>126</v>
      </c>
      <c r="Y5" s="7" t="s">
        <v>130</v>
      </c>
      <c r="Z5" s="7" t="s">
        <v>123</v>
      </c>
      <c r="AA5" s="7" t="s">
        <v>125</v>
      </c>
      <c r="AB5" s="7" t="s">
        <v>126</v>
      </c>
      <c r="AC5" s="7" t="s">
        <v>123</v>
      </c>
      <c r="AD5" s="7" t="s">
        <v>130</v>
      </c>
      <c r="AE5" s="7" t="s">
        <v>128</v>
      </c>
      <c r="AF5" s="7" t="s">
        <v>125</v>
      </c>
      <c r="AG5" s="7" t="s">
        <v>123</v>
      </c>
      <c r="AH5" s="7" t="s">
        <v>123</v>
      </c>
      <c r="AI5" s="7" t="s">
        <v>130</v>
      </c>
      <c r="AJ5" s="7" t="s">
        <v>125</v>
      </c>
      <c r="AK5" s="7" t="s">
        <v>125</v>
      </c>
      <c r="AL5" s="7" t="s">
        <v>125</v>
      </c>
      <c r="AM5" s="7" t="s">
        <v>125</v>
      </c>
      <c r="AN5" s="7" t="s">
        <v>128</v>
      </c>
      <c r="AO5" s="7" t="s">
        <v>130</v>
      </c>
    </row>
    <row r="6" spans="1:47" ht="32.1">
      <c r="A6" s="88"/>
      <c r="B6" s="89"/>
      <c r="C6" s="90"/>
      <c r="D6" s="40" t="s">
        <v>134</v>
      </c>
      <c r="E6" s="9" t="s">
        <v>679</v>
      </c>
      <c r="F6" s="9" t="s">
        <v>668</v>
      </c>
      <c r="G6" s="9" t="s">
        <v>135</v>
      </c>
      <c r="H6" s="9" t="s">
        <v>135</v>
      </c>
      <c r="I6" s="9" t="s">
        <v>668</v>
      </c>
      <c r="J6" s="9" t="s">
        <v>679</v>
      </c>
      <c r="K6" s="9" t="s">
        <v>679</v>
      </c>
      <c r="L6" s="9" t="s">
        <v>135</v>
      </c>
      <c r="M6" s="9" t="s">
        <v>135</v>
      </c>
      <c r="N6" s="9" t="s">
        <v>679</v>
      </c>
      <c r="O6" s="9" t="s">
        <v>668</v>
      </c>
      <c r="P6" s="9" t="s">
        <v>135</v>
      </c>
      <c r="Q6" s="9" t="s">
        <v>135</v>
      </c>
      <c r="R6" s="9" t="s">
        <v>679</v>
      </c>
      <c r="S6" s="9" t="s">
        <v>679</v>
      </c>
      <c r="T6" s="9" t="s">
        <v>668</v>
      </c>
      <c r="U6" s="9" t="s">
        <v>668</v>
      </c>
      <c r="V6" s="9" t="s">
        <v>679</v>
      </c>
      <c r="W6" s="9" t="s">
        <v>135</v>
      </c>
      <c r="X6" s="9" t="s">
        <v>679</v>
      </c>
      <c r="Y6" s="9" t="s">
        <v>135</v>
      </c>
      <c r="Z6" s="9" t="s">
        <v>135</v>
      </c>
      <c r="AA6" s="9" t="s">
        <v>135</v>
      </c>
      <c r="AB6" s="9" t="s">
        <v>135</v>
      </c>
      <c r="AC6" s="9" t="s">
        <v>135</v>
      </c>
      <c r="AD6" s="9" t="s">
        <v>135</v>
      </c>
      <c r="AE6" s="9" t="s">
        <v>135</v>
      </c>
      <c r="AF6" s="9" t="s">
        <v>679</v>
      </c>
      <c r="AG6" s="9" t="s">
        <v>135</v>
      </c>
      <c r="AH6" s="9" t="s">
        <v>135</v>
      </c>
      <c r="AI6" s="9" t="s">
        <v>135</v>
      </c>
      <c r="AJ6" s="9" t="s">
        <v>135</v>
      </c>
      <c r="AK6" s="9" t="s">
        <v>679</v>
      </c>
      <c r="AL6" s="9" t="s">
        <v>135</v>
      </c>
      <c r="AM6" s="9" t="s">
        <v>135</v>
      </c>
      <c r="AN6" s="9" t="s">
        <v>679</v>
      </c>
      <c r="AO6" s="9" t="s">
        <v>668</v>
      </c>
    </row>
    <row r="7" spans="1:47" ht="32.1">
      <c r="A7" s="91"/>
      <c r="B7" s="92"/>
      <c r="C7" s="93"/>
      <c r="D7" s="40" t="s">
        <v>147</v>
      </c>
      <c r="E7" s="9" t="s">
        <v>681</v>
      </c>
      <c r="F7" s="9" t="s">
        <v>681</v>
      </c>
      <c r="G7" s="9" t="s">
        <v>681</v>
      </c>
      <c r="H7" s="9" t="s">
        <v>681</v>
      </c>
      <c r="I7" s="9" t="s">
        <v>681</v>
      </c>
      <c r="J7" s="9" t="s">
        <v>681</v>
      </c>
      <c r="K7" s="9" t="s">
        <v>681</v>
      </c>
      <c r="L7" s="9" t="s">
        <v>681</v>
      </c>
      <c r="M7" s="9" t="s">
        <v>681</v>
      </c>
      <c r="N7" s="9" t="s">
        <v>681</v>
      </c>
      <c r="O7" s="9" t="s">
        <v>681</v>
      </c>
      <c r="P7" s="9" t="s">
        <v>681</v>
      </c>
      <c r="Q7" s="9" t="s">
        <v>681</v>
      </c>
      <c r="R7" s="9" t="s">
        <v>681</v>
      </c>
      <c r="S7" s="9" t="s">
        <v>681</v>
      </c>
      <c r="T7" s="9" t="s">
        <v>681</v>
      </c>
      <c r="U7" s="9" t="s">
        <v>681</v>
      </c>
      <c r="V7" s="9" t="s">
        <v>681</v>
      </c>
      <c r="W7" s="9" t="s">
        <v>681</v>
      </c>
      <c r="X7" s="9" t="s">
        <v>681</v>
      </c>
      <c r="Y7" s="9" t="s">
        <v>681</v>
      </c>
      <c r="Z7" s="9" t="s">
        <v>681</v>
      </c>
      <c r="AA7" s="9" t="s">
        <v>681</v>
      </c>
      <c r="AB7" s="9" t="s">
        <v>681</v>
      </c>
      <c r="AC7" s="9" t="s">
        <v>681</v>
      </c>
      <c r="AD7" s="9" t="s">
        <v>681</v>
      </c>
      <c r="AE7" s="9" t="s">
        <v>681</v>
      </c>
      <c r="AF7" s="9" t="s">
        <v>681</v>
      </c>
      <c r="AG7" s="9" t="s">
        <v>681</v>
      </c>
      <c r="AH7" s="9" t="s">
        <v>681</v>
      </c>
      <c r="AI7" s="9" t="s">
        <v>681</v>
      </c>
      <c r="AJ7" s="9" t="s">
        <v>681</v>
      </c>
      <c r="AK7" s="9" t="s">
        <v>681</v>
      </c>
      <c r="AL7" s="9" t="s">
        <v>681</v>
      </c>
      <c r="AM7" s="9" t="s">
        <v>681</v>
      </c>
      <c r="AN7" s="9" t="s">
        <v>681</v>
      </c>
      <c r="AO7" s="9" t="s">
        <v>681</v>
      </c>
      <c r="AS7" s="58"/>
    </row>
    <row r="8" spans="1:47">
      <c r="A8" s="10" t="s">
        <v>151</v>
      </c>
      <c r="B8" s="11" t="s">
        <v>152</v>
      </c>
      <c r="C8" s="11" t="s">
        <v>153</v>
      </c>
      <c r="D8" s="12" t="s">
        <v>154</v>
      </c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</row>
    <row r="9" spans="1:47">
      <c r="A9" s="14" t="s">
        <v>155</v>
      </c>
      <c r="B9" s="15"/>
      <c r="C9" s="15"/>
      <c r="D9" s="16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51"/>
      <c r="AQ9" s="69"/>
    </row>
    <row r="10" spans="1:47">
      <c r="A10" s="19" t="s">
        <v>156</v>
      </c>
      <c r="B10" s="19" t="s">
        <v>157</v>
      </c>
      <c r="C10" s="19" t="s">
        <v>158</v>
      </c>
      <c r="D10" s="20">
        <f>SUM(E10:AO10)</f>
        <v>33</v>
      </c>
      <c r="E10" s="21">
        <v>0</v>
      </c>
      <c r="F10" s="21">
        <v>1</v>
      </c>
      <c r="G10" s="21">
        <v>0</v>
      </c>
      <c r="H10" s="21">
        <v>4</v>
      </c>
      <c r="I10" s="21">
        <v>6</v>
      </c>
      <c r="J10" s="21">
        <v>0</v>
      </c>
      <c r="K10" s="21">
        <v>3</v>
      </c>
      <c r="L10" s="21">
        <v>1</v>
      </c>
      <c r="M10" s="21">
        <v>1</v>
      </c>
      <c r="N10" s="21">
        <v>0</v>
      </c>
      <c r="O10" s="21">
        <v>0</v>
      </c>
      <c r="P10" s="21">
        <v>0</v>
      </c>
      <c r="Q10" s="21">
        <v>0</v>
      </c>
      <c r="R10" s="21">
        <v>3</v>
      </c>
      <c r="S10" s="21">
        <v>0</v>
      </c>
      <c r="T10" s="21">
        <v>0</v>
      </c>
      <c r="U10" s="21">
        <v>0</v>
      </c>
      <c r="V10" s="21">
        <v>0</v>
      </c>
      <c r="W10" s="21">
        <v>1</v>
      </c>
      <c r="X10" s="21">
        <v>1</v>
      </c>
      <c r="Y10" s="21">
        <v>6</v>
      </c>
      <c r="Z10" s="21">
        <v>0</v>
      </c>
      <c r="AA10" s="21">
        <v>1</v>
      </c>
      <c r="AB10" s="21">
        <v>0</v>
      </c>
      <c r="AC10" s="21">
        <v>0</v>
      </c>
      <c r="AD10" s="21">
        <v>0</v>
      </c>
      <c r="AE10" s="21">
        <v>2</v>
      </c>
      <c r="AF10" s="21">
        <v>1</v>
      </c>
      <c r="AG10" s="21">
        <v>0</v>
      </c>
      <c r="AH10" s="21">
        <v>0</v>
      </c>
      <c r="AI10" s="21">
        <v>1</v>
      </c>
      <c r="AJ10" s="21">
        <v>0</v>
      </c>
      <c r="AK10" s="21">
        <v>0</v>
      </c>
      <c r="AL10" s="21">
        <v>0</v>
      </c>
      <c r="AM10" s="21">
        <v>0</v>
      </c>
      <c r="AN10" s="21">
        <v>1</v>
      </c>
      <c r="AO10" s="21">
        <v>0</v>
      </c>
      <c r="AP10" s="67"/>
      <c r="AT10" s="80"/>
      <c r="AU10"/>
    </row>
    <row r="11" spans="1:47">
      <c r="A11" s="19" t="s">
        <v>156</v>
      </c>
      <c r="B11" s="19" t="s">
        <v>159</v>
      </c>
      <c r="C11" s="19" t="s">
        <v>158</v>
      </c>
      <c r="D11" s="20">
        <f t="shared" ref="D11:D76" si="0">SUM(E11:AO11)</f>
        <v>18</v>
      </c>
      <c r="E11" s="21">
        <v>2</v>
      </c>
      <c r="F11" s="21">
        <v>0</v>
      </c>
      <c r="G11" s="21">
        <v>1</v>
      </c>
      <c r="H11" s="21">
        <v>0</v>
      </c>
      <c r="I11" s="21">
        <v>0</v>
      </c>
      <c r="J11" s="21">
        <v>0</v>
      </c>
      <c r="K11" s="21">
        <v>0</v>
      </c>
      <c r="L11" s="21">
        <v>2</v>
      </c>
      <c r="M11" s="21">
        <v>0</v>
      </c>
      <c r="N11" s="21">
        <v>1</v>
      </c>
      <c r="O11" s="21">
        <v>0</v>
      </c>
      <c r="P11" s="21">
        <v>1</v>
      </c>
      <c r="Q11" s="21">
        <v>2</v>
      </c>
      <c r="R11" s="21">
        <v>0</v>
      </c>
      <c r="S11" s="21">
        <v>2</v>
      </c>
      <c r="T11" s="21">
        <v>0</v>
      </c>
      <c r="U11" s="21">
        <v>0</v>
      </c>
      <c r="V11" s="21">
        <v>1</v>
      </c>
      <c r="W11" s="21">
        <v>0</v>
      </c>
      <c r="X11" s="21">
        <v>0</v>
      </c>
      <c r="Y11" s="21">
        <v>1</v>
      </c>
      <c r="Z11" s="21">
        <v>1</v>
      </c>
      <c r="AA11" s="22">
        <v>0</v>
      </c>
      <c r="AB11" s="22">
        <v>0</v>
      </c>
      <c r="AC11" s="22">
        <v>0</v>
      </c>
      <c r="AD11" s="21">
        <v>1</v>
      </c>
      <c r="AE11" s="21">
        <v>0</v>
      </c>
      <c r="AF11" s="21">
        <v>0</v>
      </c>
      <c r="AG11" s="21">
        <v>0</v>
      </c>
      <c r="AH11" s="21">
        <v>1</v>
      </c>
      <c r="AI11" s="21">
        <v>0</v>
      </c>
      <c r="AJ11" s="21">
        <v>0</v>
      </c>
      <c r="AK11" s="21">
        <v>1</v>
      </c>
      <c r="AL11" s="21">
        <v>1</v>
      </c>
      <c r="AM11" s="21">
        <v>0</v>
      </c>
      <c r="AN11" s="21">
        <v>0</v>
      </c>
      <c r="AO11" s="21">
        <v>0</v>
      </c>
      <c r="AP11" s="67"/>
      <c r="AT11" s="81"/>
      <c r="AU11"/>
    </row>
    <row r="12" spans="1:47">
      <c r="A12" s="19" t="s">
        <v>156</v>
      </c>
      <c r="B12" s="19" t="s">
        <v>160</v>
      </c>
      <c r="C12" s="19" t="s">
        <v>158</v>
      </c>
      <c r="D12" s="20">
        <f t="shared" si="0"/>
        <v>10</v>
      </c>
      <c r="E12" s="21">
        <v>0</v>
      </c>
      <c r="F12" s="21">
        <v>0</v>
      </c>
      <c r="G12" s="21">
        <v>1</v>
      </c>
      <c r="H12" s="21">
        <v>0</v>
      </c>
      <c r="I12" s="21">
        <v>0</v>
      </c>
      <c r="J12" s="21">
        <v>0</v>
      </c>
      <c r="K12" s="21">
        <v>0</v>
      </c>
      <c r="L12" s="21">
        <v>0</v>
      </c>
      <c r="M12" s="21">
        <v>0</v>
      </c>
      <c r="N12" s="21">
        <v>0</v>
      </c>
      <c r="O12" s="21">
        <v>0</v>
      </c>
      <c r="P12" s="21">
        <v>0</v>
      </c>
      <c r="Q12" s="21">
        <v>0</v>
      </c>
      <c r="R12" s="21">
        <v>0</v>
      </c>
      <c r="S12" s="21">
        <v>0</v>
      </c>
      <c r="T12" s="21">
        <v>0</v>
      </c>
      <c r="U12" s="21">
        <v>0</v>
      </c>
      <c r="V12" s="21">
        <v>0</v>
      </c>
      <c r="W12" s="21">
        <v>0</v>
      </c>
      <c r="X12" s="21">
        <v>0</v>
      </c>
      <c r="Y12" s="21">
        <v>0</v>
      </c>
      <c r="Z12" s="21">
        <v>2</v>
      </c>
      <c r="AA12" s="22">
        <v>0</v>
      </c>
      <c r="AB12" s="22">
        <v>0</v>
      </c>
      <c r="AC12" s="21">
        <v>2</v>
      </c>
      <c r="AD12" s="21">
        <v>0</v>
      </c>
      <c r="AE12" s="21">
        <v>0</v>
      </c>
      <c r="AF12" s="21">
        <v>0</v>
      </c>
      <c r="AG12" s="21">
        <v>2</v>
      </c>
      <c r="AH12" s="21">
        <v>1</v>
      </c>
      <c r="AI12" s="21">
        <v>0</v>
      </c>
      <c r="AJ12" s="21">
        <v>0</v>
      </c>
      <c r="AK12" s="21">
        <v>0</v>
      </c>
      <c r="AL12" s="21">
        <v>0</v>
      </c>
      <c r="AM12" s="21">
        <v>2</v>
      </c>
      <c r="AN12" s="21">
        <v>0</v>
      </c>
      <c r="AO12" s="21">
        <v>0</v>
      </c>
      <c r="AP12" s="67"/>
      <c r="AT12" s="81"/>
      <c r="AU12"/>
    </row>
    <row r="13" spans="1:47">
      <c r="A13" s="19" t="s">
        <v>156</v>
      </c>
      <c r="B13" s="19" t="s">
        <v>161</v>
      </c>
      <c r="C13" s="19" t="s">
        <v>158</v>
      </c>
      <c r="D13" s="20">
        <f t="shared" si="0"/>
        <v>4</v>
      </c>
      <c r="E13" s="21">
        <v>0</v>
      </c>
      <c r="F13" s="21">
        <v>0</v>
      </c>
      <c r="G13" s="21">
        <v>0</v>
      </c>
      <c r="H13" s="21">
        <v>0</v>
      </c>
      <c r="I13" s="21">
        <v>0</v>
      </c>
      <c r="J13" s="21">
        <v>0</v>
      </c>
      <c r="K13" s="21">
        <v>0</v>
      </c>
      <c r="L13" s="21">
        <v>0</v>
      </c>
      <c r="M13" s="21">
        <v>0</v>
      </c>
      <c r="N13" s="21">
        <v>0</v>
      </c>
      <c r="O13" s="21">
        <v>0</v>
      </c>
      <c r="P13" s="21">
        <v>2</v>
      </c>
      <c r="Q13" s="21">
        <v>0</v>
      </c>
      <c r="R13" s="21">
        <v>0</v>
      </c>
      <c r="S13" s="21">
        <v>0</v>
      </c>
      <c r="T13" s="21">
        <v>0</v>
      </c>
      <c r="U13" s="21">
        <v>0</v>
      </c>
      <c r="V13" s="21">
        <v>0</v>
      </c>
      <c r="W13" s="21">
        <v>0</v>
      </c>
      <c r="X13" s="21">
        <v>0</v>
      </c>
      <c r="Y13" s="21">
        <v>0</v>
      </c>
      <c r="Z13" s="22">
        <v>0</v>
      </c>
      <c r="AA13" s="22">
        <v>0</v>
      </c>
      <c r="AB13" s="21">
        <v>2</v>
      </c>
      <c r="AC13" s="22">
        <v>0</v>
      </c>
      <c r="AD13" s="21">
        <v>0</v>
      </c>
      <c r="AE13" s="21">
        <v>0</v>
      </c>
      <c r="AF13" s="21">
        <v>0</v>
      </c>
      <c r="AG13" s="21">
        <v>0</v>
      </c>
      <c r="AH13" s="21">
        <v>0</v>
      </c>
      <c r="AI13" s="21">
        <v>0</v>
      </c>
      <c r="AJ13" s="21">
        <v>0</v>
      </c>
      <c r="AK13" s="21">
        <v>0</v>
      </c>
      <c r="AL13" s="21">
        <v>0</v>
      </c>
      <c r="AM13" s="21">
        <v>0</v>
      </c>
      <c r="AN13" s="21">
        <v>0</v>
      </c>
      <c r="AO13" s="21">
        <v>0</v>
      </c>
      <c r="AP13" s="67"/>
      <c r="AT13" s="81"/>
      <c r="AU13"/>
    </row>
    <row r="14" spans="1:47">
      <c r="A14" s="19" t="s">
        <v>162</v>
      </c>
      <c r="B14" s="19" t="s">
        <v>163</v>
      </c>
      <c r="C14" s="19" t="s">
        <v>164</v>
      </c>
      <c r="D14" s="20">
        <f t="shared" si="0"/>
        <v>0</v>
      </c>
      <c r="E14" s="21">
        <v>0</v>
      </c>
      <c r="F14" s="21">
        <v>0</v>
      </c>
      <c r="G14" s="21">
        <v>0</v>
      </c>
      <c r="H14" s="21">
        <v>0</v>
      </c>
      <c r="I14" s="21">
        <v>0</v>
      </c>
      <c r="J14" s="21">
        <v>0</v>
      </c>
      <c r="K14" s="21">
        <v>0</v>
      </c>
      <c r="L14" s="21">
        <v>0</v>
      </c>
      <c r="M14" s="21">
        <v>0</v>
      </c>
      <c r="N14" s="21">
        <v>0</v>
      </c>
      <c r="O14" s="21">
        <v>0</v>
      </c>
      <c r="P14" s="21">
        <v>0</v>
      </c>
      <c r="Q14" s="21">
        <v>0</v>
      </c>
      <c r="R14" s="21">
        <v>0</v>
      </c>
      <c r="S14" s="21">
        <v>0</v>
      </c>
      <c r="T14" s="21">
        <v>0</v>
      </c>
      <c r="U14" s="21">
        <v>0</v>
      </c>
      <c r="V14" s="21">
        <v>0</v>
      </c>
      <c r="W14" s="21">
        <v>0</v>
      </c>
      <c r="X14" s="21">
        <v>0</v>
      </c>
      <c r="Y14" s="21">
        <v>0</v>
      </c>
      <c r="Z14" s="22">
        <v>0</v>
      </c>
      <c r="AA14" s="22">
        <v>0</v>
      </c>
      <c r="AB14" s="22">
        <v>0</v>
      </c>
      <c r="AC14" s="22">
        <v>0</v>
      </c>
      <c r="AD14" s="21">
        <v>0</v>
      </c>
      <c r="AE14" s="21">
        <v>0</v>
      </c>
      <c r="AF14" s="21">
        <v>0</v>
      </c>
      <c r="AG14" s="21">
        <v>0</v>
      </c>
      <c r="AH14" s="21">
        <v>0</v>
      </c>
      <c r="AI14" s="21">
        <v>0</v>
      </c>
      <c r="AJ14" s="21">
        <v>0</v>
      </c>
      <c r="AK14" s="21">
        <v>0</v>
      </c>
      <c r="AL14" s="21">
        <v>0</v>
      </c>
      <c r="AM14" s="21">
        <v>0</v>
      </c>
      <c r="AN14" s="21">
        <v>0</v>
      </c>
      <c r="AO14" s="21">
        <v>0</v>
      </c>
      <c r="AP14" s="67"/>
      <c r="AT14" s="81"/>
      <c r="AU14"/>
    </row>
    <row r="15" spans="1:47">
      <c r="A15" s="19" t="s">
        <v>165</v>
      </c>
      <c r="B15" s="19" t="s">
        <v>166</v>
      </c>
      <c r="C15" s="19" t="s">
        <v>167</v>
      </c>
      <c r="D15" s="20">
        <f t="shared" si="0"/>
        <v>7</v>
      </c>
      <c r="E15" s="21">
        <v>0</v>
      </c>
      <c r="F15" s="21">
        <v>0</v>
      </c>
      <c r="G15" s="21">
        <v>0</v>
      </c>
      <c r="H15" s="21">
        <v>1</v>
      </c>
      <c r="I15" s="21">
        <v>0</v>
      </c>
      <c r="J15" s="21">
        <v>0</v>
      </c>
      <c r="K15" s="21">
        <v>0</v>
      </c>
      <c r="L15" s="21">
        <v>0</v>
      </c>
      <c r="M15" s="21">
        <v>0</v>
      </c>
      <c r="N15" s="21">
        <v>0</v>
      </c>
      <c r="O15" s="21">
        <v>0</v>
      </c>
      <c r="P15" s="21">
        <v>2</v>
      </c>
      <c r="Q15" s="21">
        <v>1</v>
      </c>
      <c r="R15" s="21">
        <v>0</v>
      </c>
      <c r="S15" s="21">
        <v>0</v>
      </c>
      <c r="T15" s="21">
        <v>0</v>
      </c>
      <c r="U15" s="21">
        <v>0</v>
      </c>
      <c r="V15" s="21">
        <v>0</v>
      </c>
      <c r="W15" s="21">
        <v>0</v>
      </c>
      <c r="X15" s="21">
        <v>0</v>
      </c>
      <c r="Y15" s="21">
        <v>0</v>
      </c>
      <c r="Z15" s="21">
        <v>1</v>
      </c>
      <c r="AA15" s="22">
        <v>0</v>
      </c>
      <c r="AB15" s="22">
        <v>0</v>
      </c>
      <c r="AC15" s="22">
        <v>0</v>
      </c>
      <c r="AD15" s="21">
        <v>0</v>
      </c>
      <c r="AE15" s="21">
        <v>0</v>
      </c>
      <c r="AF15" s="21">
        <v>0</v>
      </c>
      <c r="AG15" s="21">
        <v>1</v>
      </c>
      <c r="AH15" s="21">
        <v>0</v>
      </c>
      <c r="AI15" s="21">
        <v>0</v>
      </c>
      <c r="AJ15" s="21">
        <v>1</v>
      </c>
      <c r="AK15" s="21">
        <v>0</v>
      </c>
      <c r="AL15" s="21">
        <v>0</v>
      </c>
      <c r="AM15" s="21">
        <v>0</v>
      </c>
      <c r="AN15" s="21">
        <v>0</v>
      </c>
      <c r="AO15" s="21">
        <v>0</v>
      </c>
      <c r="AP15" s="67"/>
      <c r="AT15" s="81"/>
      <c r="AU15"/>
    </row>
    <row r="16" spans="1:47">
      <c r="A16" s="19" t="s">
        <v>168</v>
      </c>
      <c r="B16" s="19" t="s">
        <v>169</v>
      </c>
      <c r="C16" s="19" t="s">
        <v>170</v>
      </c>
      <c r="D16" s="20">
        <f t="shared" si="0"/>
        <v>0</v>
      </c>
      <c r="E16" s="21">
        <v>0</v>
      </c>
      <c r="F16" s="21">
        <v>0</v>
      </c>
      <c r="G16" s="21">
        <v>0</v>
      </c>
      <c r="H16" s="21">
        <v>0</v>
      </c>
      <c r="I16" s="21">
        <v>0</v>
      </c>
      <c r="J16" s="21">
        <v>0</v>
      </c>
      <c r="K16" s="21">
        <v>0</v>
      </c>
      <c r="L16" s="21">
        <v>0</v>
      </c>
      <c r="M16" s="21">
        <v>0</v>
      </c>
      <c r="N16" s="21">
        <v>0</v>
      </c>
      <c r="O16" s="21">
        <v>0</v>
      </c>
      <c r="P16" s="21">
        <v>0</v>
      </c>
      <c r="Q16" s="21">
        <v>0</v>
      </c>
      <c r="R16" s="21">
        <v>0</v>
      </c>
      <c r="S16" s="21">
        <v>0</v>
      </c>
      <c r="T16" s="22">
        <v>0</v>
      </c>
      <c r="U16" s="22">
        <v>0</v>
      </c>
      <c r="V16" s="22">
        <v>0</v>
      </c>
      <c r="W16" s="22">
        <v>0</v>
      </c>
      <c r="X16" s="22">
        <v>0</v>
      </c>
      <c r="Y16" s="22">
        <v>0</v>
      </c>
      <c r="Z16" s="22">
        <v>0</v>
      </c>
      <c r="AA16" s="22">
        <v>0</v>
      </c>
      <c r="AB16" s="22">
        <v>0</v>
      </c>
      <c r="AC16" s="22">
        <v>0</v>
      </c>
      <c r="AD16" s="21">
        <v>0</v>
      </c>
      <c r="AE16" s="21">
        <v>0</v>
      </c>
      <c r="AF16" s="21">
        <v>0</v>
      </c>
      <c r="AG16" s="21">
        <v>0</v>
      </c>
      <c r="AH16" s="21">
        <v>0</v>
      </c>
      <c r="AI16" s="21">
        <v>0</v>
      </c>
      <c r="AJ16" s="21">
        <v>0</v>
      </c>
      <c r="AK16" s="21">
        <v>0</v>
      </c>
      <c r="AL16" s="21">
        <v>0</v>
      </c>
      <c r="AM16" s="21">
        <v>0</v>
      </c>
      <c r="AN16" s="21">
        <v>0</v>
      </c>
      <c r="AO16" s="21">
        <v>0</v>
      </c>
      <c r="AP16" s="67"/>
      <c r="AT16" s="81"/>
      <c r="AU16"/>
    </row>
    <row r="17" spans="1:47">
      <c r="A17" s="19" t="s">
        <v>168</v>
      </c>
      <c r="B17" s="19" t="s">
        <v>171</v>
      </c>
      <c r="C17" s="19" t="s">
        <v>170</v>
      </c>
      <c r="D17" s="20">
        <f t="shared" si="0"/>
        <v>52</v>
      </c>
      <c r="E17" s="21">
        <v>1</v>
      </c>
      <c r="F17" s="21">
        <v>0</v>
      </c>
      <c r="G17" s="21">
        <v>1</v>
      </c>
      <c r="H17" s="21">
        <v>2</v>
      </c>
      <c r="I17" s="21">
        <v>0</v>
      </c>
      <c r="J17" s="21">
        <v>0</v>
      </c>
      <c r="K17" s="21">
        <v>2</v>
      </c>
      <c r="L17" s="21">
        <v>0</v>
      </c>
      <c r="M17" s="21">
        <v>0</v>
      </c>
      <c r="N17" s="21">
        <v>2</v>
      </c>
      <c r="O17" s="21">
        <v>0</v>
      </c>
      <c r="P17" s="21">
        <v>16</v>
      </c>
      <c r="Q17" s="21">
        <v>0</v>
      </c>
      <c r="R17" s="21">
        <v>0</v>
      </c>
      <c r="S17" s="21">
        <v>1</v>
      </c>
      <c r="T17" s="22">
        <v>0</v>
      </c>
      <c r="U17" s="22">
        <v>0</v>
      </c>
      <c r="V17" s="22">
        <v>0</v>
      </c>
      <c r="W17" s="22">
        <v>0</v>
      </c>
      <c r="X17" s="22">
        <v>0</v>
      </c>
      <c r="Y17" s="22">
        <v>0</v>
      </c>
      <c r="Z17" s="21">
        <v>3</v>
      </c>
      <c r="AA17" s="22">
        <v>0</v>
      </c>
      <c r="AB17" s="21">
        <v>6</v>
      </c>
      <c r="AC17" s="21">
        <v>5</v>
      </c>
      <c r="AD17" s="21">
        <v>0</v>
      </c>
      <c r="AE17" s="21">
        <v>0</v>
      </c>
      <c r="AF17" s="21">
        <v>0</v>
      </c>
      <c r="AG17" s="21">
        <v>7</v>
      </c>
      <c r="AH17" s="21">
        <v>3</v>
      </c>
      <c r="AI17" s="21">
        <v>0</v>
      </c>
      <c r="AJ17" s="21">
        <v>0</v>
      </c>
      <c r="AK17" s="21">
        <v>0</v>
      </c>
      <c r="AL17" s="21">
        <v>1</v>
      </c>
      <c r="AM17" s="21">
        <v>2</v>
      </c>
      <c r="AN17" s="21">
        <v>0</v>
      </c>
      <c r="AO17" s="21">
        <v>0</v>
      </c>
      <c r="AP17" s="67"/>
      <c r="AT17" s="81"/>
      <c r="AU17"/>
    </row>
    <row r="18" spans="1:47">
      <c r="A18" s="19" t="s">
        <v>168</v>
      </c>
      <c r="B18" s="19" t="s">
        <v>172</v>
      </c>
      <c r="C18" s="19" t="s">
        <v>170</v>
      </c>
      <c r="D18" s="20">
        <f t="shared" si="0"/>
        <v>0</v>
      </c>
      <c r="E18" s="21">
        <v>0</v>
      </c>
      <c r="F18" s="21">
        <v>0</v>
      </c>
      <c r="G18" s="21">
        <v>0</v>
      </c>
      <c r="H18" s="21">
        <v>0</v>
      </c>
      <c r="I18" s="21">
        <v>0</v>
      </c>
      <c r="J18" s="21">
        <v>0</v>
      </c>
      <c r="K18" s="21">
        <v>0</v>
      </c>
      <c r="L18" s="21">
        <v>0</v>
      </c>
      <c r="M18" s="21">
        <v>0</v>
      </c>
      <c r="N18" s="21">
        <v>0</v>
      </c>
      <c r="O18" s="21">
        <v>0</v>
      </c>
      <c r="P18" s="21">
        <v>0</v>
      </c>
      <c r="Q18" s="21">
        <v>0</v>
      </c>
      <c r="R18" s="21">
        <v>0</v>
      </c>
      <c r="S18" s="21">
        <v>0</v>
      </c>
      <c r="T18" s="22">
        <v>0</v>
      </c>
      <c r="U18" s="22">
        <v>0</v>
      </c>
      <c r="V18" s="22">
        <v>0</v>
      </c>
      <c r="W18" s="22">
        <v>0</v>
      </c>
      <c r="X18" s="22">
        <v>0</v>
      </c>
      <c r="Y18" s="22">
        <v>0</v>
      </c>
      <c r="Z18" s="22">
        <v>0</v>
      </c>
      <c r="AA18" s="22">
        <v>0</v>
      </c>
      <c r="AB18" s="22">
        <v>0</v>
      </c>
      <c r="AC18" s="22">
        <v>0</v>
      </c>
      <c r="AD18" s="21">
        <v>0</v>
      </c>
      <c r="AE18" s="21">
        <v>0</v>
      </c>
      <c r="AF18" s="21">
        <v>0</v>
      </c>
      <c r="AG18" s="21">
        <v>0</v>
      </c>
      <c r="AH18" s="21">
        <v>0</v>
      </c>
      <c r="AI18" s="21">
        <v>0</v>
      </c>
      <c r="AJ18" s="21">
        <v>0</v>
      </c>
      <c r="AK18" s="21">
        <v>0</v>
      </c>
      <c r="AL18" s="21">
        <v>0</v>
      </c>
      <c r="AM18" s="21">
        <v>0</v>
      </c>
      <c r="AN18" s="21">
        <v>0</v>
      </c>
      <c r="AO18" s="21">
        <v>0</v>
      </c>
      <c r="AP18" s="67"/>
      <c r="AT18" s="81"/>
      <c r="AU18"/>
    </row>
    <row r="19" spans="1:47">
      <c r="A19" s="19" t="s">
        <v>173</v>
      </c>
      <c r="B19" s="19" t="s">
        <v>174</v>
      </c>
      <c r="C19" s="19" t="s">
        <v>175</v>
      </c>
      <c r="D19" s="20">
        <f t="shared" si="0"/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2">
        <v>0</v>
      </c>
      <c r="U19" s="22">
        <v>0</v>
      </c>
      <c r="V19" s="22">
        <v>0</v>
      </c>
      <c r="W19" s="22">
        <v>0</v>
      </c>
      <c r="X19" s="22">
        <v>0</v>
      </c>
      <c r="Y19" s="22">
        <v>0</v>
      </c>
      <c r="Z19" s="22">
        <v>0</v>
      </c>
      <c r="AA19" s="22">
        <v>0</v>
      </c>
      <c r="AB19" s="22">
        <v>0</v>
      </c>
      <c r="AC19" s="22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67"/>
      <c r="AT19" s="81"/>
      <c r="AU19"/>
    </row>
    <row r="20" spans="1:47">
      <c r="A20" s="19" t="s">
        <v>176</v>
      </c>
      <c r="B20" s="19" t="s">
        <v>177</v>
      </c>
      <c r="C20" s="19" t="s">
        <v>178</v>
      </c>
      <c r="D20" s="20">
        <f t="shared" si="0"/>
        <v>0</v>
      </c>
      <c r="E20" s="21">
        <v>0</v>
      </c>
      <c r="F20" s="21">
        <v>0</v>
      </c>
      <c r="G20" s="21">
        <v>0</v>
      </c>
      <c r="H20" s="21">
        <v>0</v>
      </c>
      <c r="I20" s="21">
        <v>0</v>
      </c>
      <c r="J20" s="21">
        <v>0</v>
      </c>
      <c r="K20" s="21">
        <v>0</v>
      </c>
      <c r="L20" s="21">
        <v>0</v>
      </c>
      <c r="M20" s="21">
        <v>0</v>
      </c>
      <c r="N20" s="21">
        <v>0</v>
      </c>
      <c r="O20" s="21">
        <v>0</v>
      </c>
      <c r="P20" s="21">
        <v>0</v>
      </c>
      <c r="Q20" s="21">
        <v>0</v>
      </c>
      <c r="R20" s="21">
        <v>0</v>
      </c>
      <c r="S20" s="21">
        <v>0</v>
      </c>
      <c r="T20" s="22">
        <v>0</v>
      </c>
      <c r="U20" s="22">
        <v>0</v>
      </c>
      <c r="V20" s="22">
        <v>0</v>
      </c>
      <c r="W20" s="22">
        <v>0</v>
      </c>
      <c r="X20" s="22">
        <v>0</v>
      </c>
      <c r="Y20" s="22">
        <v>0</v>
      </c>
      <c r="Z20" s="22">
        <v>0</v>
      </c>
      <c r="AA20" s="22">
        <v>0</v>
      </c>
      <c r="AB20" s="22">
        <v>0</v>
      </c>
      <c r="AC20" s="22">
        <v>0</v>
      </c>
      <c r="AD20" s="21">
        <v>0</v>
      </c>
      <c r="AE20" s="21">
        <v>0</v>
      </c>
      <c r="AF20" s="21">
        <v>0</v>
      </c>
      <c r="AG20" s="21">
        <v>0</v>
      </c>
      <c r="AH20" s="21">
        <v>0</v>
      </c>
      <c r="AI20" s="21">
        <v>0</v>
      </c>
      <c r="AJ20" s="21">
        <v>0</v>
      </c>
      <c r="AK20" s="21">
        <v>0</v>
      </c>
      <c r="AL20" s="21">
        <v>0</v>
      </c>
      <c r="AM20" s="21">
        <v>0</v>
      </c>
      <c r="AN20" s="21">
        <v>0</v>
      </c>
      <c r="AO20" s="21">
        <v>0</v>
      </c>
      <c r="AP20" s="67"/>
      <c r="AT20" s="81"/>
      <c r="AU20"/>
    </row>
    <row r="21" spans="1:47">
      <c r="A21" s="19" t="s">
        <v>179</v>
      </c>
      <c r="B21" s="19" t="s">
        <v>180</v>
      </c>
      <c r="C21" s="19" t="s">
        <v>181</v>
      </c>
      <c r="D21" s="20">
        <f t="shared" si="0"/>
        <v>35040</v>
      </c>
      <c r="E21" s="21">
        <v>0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1">
        <v>0</v>
      </c>
      <c r="N21" s="21">
        <v>0</v>
      </c>
      <c r="O21" s="21">
        <v>0</v>
      </c>
      <c r="P21" s="22">
        <v>8760</v>
      </c>
      <c r="Q21" s="21">
        <v>0</v>
      </c>
      <c r="R21" s="21">
        <v>0</v>
      </c>
      <c r="S21" s="21">
        <v>0</v>
      </c>
      <c r="T21" s="22">
        <v>0</v>
      </c>
      <c r="U21" s="22">
        <v>0</v>
      </c>
      <c r="V21" s="22">
        <v>0</v>
      </c>
      <c r="W21" s="22">
        <v>0</v>
      </c>
      <c r="X21" s="22">
        <v>0</v>
      </c>
      <c r="Y21" s="22">
        <v>0</v>
      </c>
      <c r="Z21" s="22">
        <v>0</v>
      </c>
      <c r="AA21" s="22">
        <v>0</v>
      </c>
      <c r="AB21" s="22">
        <v>8760</v>
      </c>
      <c r="AC21" s="22">
        <v>8760</v>
      </c>
      <c r="AD21" s="21">
        <v>0</v>
      </c>
      <c r="AE21" s="21">
        <v>0</v>
      </c>
      <c r="AF21" s="21">
        <v>0</v>
      </c>
      <c r="AG21" s="22">
        <v>8760</v>
      </c>
      <c r="AH21" s="21">
        <v>0</v>
      </c>
      <c r="AI21" s="21">
        <v>0</v>
      </c>
      <c r="AJ21" s="21">
        <v>0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67"/>
      <c r="AT21" s="81"/>
      <c r="AU21"/>
    </row>
    <row r="22" spans="1:47" ht="71.25" customHeight="1">
      <c r="A22" s="19" t="s">
        <v>182</v>
      </c>
      <c r="B22" s="19" t="s">
        <v>183</v>
      </c>
      <c r="C22" s="19" t="s">
        <v>181</v>
      </c>
      <c r="D22" s="20">
        <f t="shared" si="0"/>
        <v>0</v>
      </c>
      <c r="E22" s="21">
        <v>0</v>
      </c>
      <c r="F22" s="21">
        <v>0</v>
      </c>
      <c r="G22" s="21">
        <v>0</v>
      </c>
      <c r="H22" s="21">
        <v>0</v>
      </c>
      <c r="I22" s="21">
        <v>0</v>
      </c>
      <c r="J22" s="21">
        <v>0</v>
      </c>
      <c r="K22" s="21">
        <v>0</v>
      </c>
      <c r="L22" s="21">
        <v>0</v>
      </c>
      <c r="M22" s="21">
        <v>0</v>
      </c>
      <c r="N22" s="21">
        <v>0</v>
      </c>
      <c r="O22" s="21">
        <v>0</v>
      </c>
      <c r="P22" s="21">
        <v>0</v>
      </c>
      <c r="Q22" s="21">
        <v>0</v>
      </c>
      <c r="R22" s="21">
        <v>0</v>
      </c>
      <c r="S22" s="21">
        <v>0</v>
      </c>
      <c r="T22" s="21">
        <v>0</v>
      </c>
      <c r="U22" s="21">
        <v>0</v>
      </c>
      <c r="V22" s="21">
        <v>0</v>
      </c>
      <c r="W22" s="21">
        <v>0</v>
      </c>
      <c r="X22" s="21">
        <v>0</v>
      </c>
      <c r="Y22" s="21">
        <v>0</v>
      </c>
      <c r="Z22" s="21">
        <v>0</v>
      </c>
      <c r="AA22" s="21">
        <v>0</v>
      </c>
      <c r="AB22" s="21">
        <v>0</v>
      </c>
      <c r="AC22" s="21">
        <v>0</v>
      </c>
      <c r="AD22" s="21">
        <v>0</v>
      </c>
      <c r="AE22" s="21">
        <v>0</v>
      </c>
      <c r="AF22" s="21">
        <v>0</v>
      </c>
      <c r="AG22" s="21">
        <v>0</v>
      </c>
      <c r="AH22" s="21">
        <v>0</v>
      </c>
      <c r="AI22" s="21">
        <v>0</v>
      </c>
      <c r="AJ22" s="21">
        <v>0</v>
      </c>
      <c r="AK22" s="21">
        <v>0</v>
      </c>
      <c r="AL22" s="21">
        <v>0</v>
      </c>
      <c r="AM22" s="21">
        <v>0</v>
      </c>
      <c r="AN22" s="21">
        <v>0</v>
      </c>
      <c r="AO22" s="21">
        <v>0</v>
      </c>
      <c r="AP22" s="68"/>
      <c r="AT22" s="81"/>
      <c r="AU22"/>
    </row>
    <row r="23" spans="1:47">
      <c r="A23" s="19" t="s">
        <v>182</v>
      </c>
      <c r="B23" s="19" t="s">
        <v>184</v>
      </c>
      <c r="C23" s="19" t="s">
        <v>181</v>
      </c>
      <c r="D23" s="20">
        <f t="shared" si="0"/>
        <v>35040</v>
      </c>
      <c r="E23" s="21">
        <v>0</v>
      </c>
      <c r="F23" s="21">
        <v>0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  <c r="M23" s="21">
        <v>0</v>
      </c>
      <c r="N23" s="21">
        <v>0</v>
      </c>
      <c r="O23" s="21">
        <v>0</v>
      </c>
      <c r="P23" s="22">
        <v>8760</v>
      </c>
      <c r="Q23" s="21">
        <v>0</v>
      </c>
      <c r="R23" s="21">
        <v>0</v>
      </c>
      <c r="S23" s="21">
        <v>0</v>
      </c>
      <c r="T23" s="22">
        <v>0</v>
      </c>
      <c r="U23" s="22">
        <v>0</v>
      </c>
      <c r="V23" s="22">
        <v>0</v>
      </c>
      <c r="W23" s="22">
        <v>0</v>
      </c>
      <c r="X23" s="22">
        <v>0</v>
      </c>
      <c r="Y23" s="22">
        <v>0</v>
      </c>
      <c r="Z23" s="22">
        <v>0</v>
      </c>
      <c r="AA23" s="22">
        <v>0</v>
      </c>
      <c r="AB23" s="22">
        <v>8760</v>
      </c>
      <c r="AC23" s="22">
        <v>8760</v>
      </c>
      <c r="AD23" s="22">
        <v>0</v>
      </c>
      <c r="AE23" s="22">
        <v>0</v>
      </c>
      <c r="AF23" s="22">
        <v>0</v>
      </c>
      <c r="AG23" s="22">
        <v>8760</v>
      </c>
      <c r="AH23" s="22"/>
      <c r="AI23" s="21">
        <v>0</v>
      </c>
      <c r="AJ23" s="21">
        <v>0</v>
      </c>
      <c r="AK23" s="21">
        <v>0</v>
      </c>
      <c r="AL23" s="21">
        <v>0</v>
      </c>
      <c r="AM23" s="21">
        <v>0</v>
      </c>
      <c r="AN23" s="21">
        <v>0</v>
      </c>
      <c r="AO23" s="21">
        <v>0</v>
      </c>
      <c r="AP23" s="67"/>
      <c r="AT23" s="81"/>
      <c r="AU23"/>
    </row>
    <row r="24" spans="1:47">
      <c r="A24" s="19" t="s">
        <v>185</v>
      </c>
      <c r="B24" s="19" t="s">
        <v>186</v>
      </c>
      <c r="C24" s="19" t="s">
        <v>187</v>
      </c>
      <c r="D24" s="20">
        <f t="shared" si="0"/>
        <v>100</v>
      </c>
      <c r="E24" s="21">
        <v>0</v>
      </c>
      <c r="F24" s="21">
        <v>0</v>
      </c>
      <c r="G24" s="21">
        <v>0</v>
      </c>
      <c r="H24" s="21">
        <v>1</v>
      </c>
      <c r="I24" s="21">
        <v>0</v>
      </c>
      <c r="J24" s="21">
        <v>1</v>
      </c>
      <c r="K24" s="21">
        <v>1</v>
      </c>
      <c r="L24" s="21">
        <v>2</v>
      </c>
      <c r="M24" s="21">
        <v>0</v>
      </c>
      <c r="N24" s="21">
        <v>1</v>
      </c>
      <c r="O24" s="21">
        <v>1</v>
      </c>
      <c r="P24" s="21">
        <v>48</v>
      </c>
      <c r="Q24" s="21">
        <v>0</v>
      </c>
      <c r="R24" s="21">
        <v>0</v>
      </c>
      <c r="S24" s="21">
        <v>0</v>
      </c>
      <c r="T24" s="21">
        <v>12</v>
      </c>
      <c r="U24" s="21">
        <v>2</v>
      </c>
      <c r="V24" s="21">
        <v>2</v>
      </c>
      <c r="W24" s="22">
        <v>0</v>
      </c>
      <c r="X24" s="22">
        <v>0</v>
      </c>
      <c r="Y24" s="21">
        <v>2</v>
      </c>
      <c r="Z24" s="21">
        <v>2</v>
      </c>
      <c r="AA24" s="21">
        <v>1</v>
      </c>
      <c r="AB24" s="21">
        <v>8</v>
      </c>
      <c r="AC24" s="21">
        <v>2</v>
      </c>
      <c r="AD24" s="21">
        <v>1</v>
      </c>
      <c r="AE24" s="22">
        <v>0</v>
      </c>
      <c r="AF24" s="22">
        <v>0</v>
      </c>
      <c r="AG24" s="21">
        <v>5</v>
      </c>
      <c r="AH24" s="21">
        <v>5</v>
      </c>
      <c r="AI24" s="21">
        <v>0</v>
      </c>
      <c r="AJ24" s="21">
        <v>0</v>
      </c>
      <c r="AK24" s="21">
        <v>0</v>
      </c>
      <c r="AL24" s="21">
        <v>0</v>
      </c>
      <c r="AM24" s="21">
        <v>3</v>
      </c>
      <c r="AN24" s="21">
        <v>0</v>
      </c>
      <c r="AO24" s="21">
        <v>0</v>
      </c>
      <c r="AP24" s="67"/>
      <c r="AT24" s="81"/>
      <c r="AU24"/>
    </row>
    <row r="25" spans="1:47">
      <c r="A25" s="19" t="s">
        <v>185</v>
      </c>
      <c r="B25" s="19" t="s">
        <v>188</v>
      </c>
      <c r="C25" s="19" t="s">
        <v>187</v>
      </c>
      <c r="D25" s="20">
        <f t="shared" si="0"/>
        <v>8</v>
      </c>
      <c r="E25" s="21">
        <v>0</v>
      </c>
      <c r="F25" s="21">
        <v>0</v>
      </c>
      <c r="G25" s="21">
        <v>0</v>
      </c>
      <c r="H25" s="21">
        <v>1</v>
      </c>
      <c r="I25" s="21">
        <v>0</v>
      </c>
      <c r="J25" s="21">
        <v>0</v>
      </c>
      <c r="K25" s="21">
        <v>0</v>
      </c>
      <c r="L25" s="21">
        <v>0</v>
      </c>
      <c r="M25" s="21">
        <v>0</v>
      </c>
      <c r="N25" s="21">
        <v>0</v>
      </c>
      <c r="O25" s="21">
        <v>0</v>
      </c>
      <c r="P25" s="21">
        <v>3</v>
      </c>
      <c r="Q25" s="21">
        <v>0</v>
      </c>
      <c r="R25" s="21">
        <v>0</v>
      </c>
      <c r="S25" s="21">
        <v>0</v>
      </c>
      <c r="T25" s="22">
        <v>0</v>
      </c>
      <c r="U25" s="22">
        <v>0</v>
      </c>
      <c r="V25" s="22">
        <v>0</v>
      </c>
      <c r="W25" s="22">
        <v>0</v>
      </c>
      <c r="X25" s="22">
        <v>0</v>
      </c>
      <c r="Y25" s="22">
        <v>0</v>
      </c>
      <c r="Z25" s="22">
        <v>0</v>
      </c>
      <c r="AA25" s="22">
        <v>0</v>
      </c>
      <c r="AB25" s="22">
        <v>0</v>
      </c>
      <c r="AC25" s="21">
        <v>2</v>
      </c>
      <c r="AD25" s="22">
        <v>0</v>
      </c>
      <c r="AE25" s="22">
        <v>0</v>
      </c>
      <c r="AF25" s="22">
        <v>0</v>
      </c>
      <c r="AG25" s="21">
        <v>2</v>
      </c>
      <c r="AH25" s="21">
        <v>0</v>
      </c>
      <c r="AI25" s="21">
        <v>0</v>
      </c>
      <c r="AJ25" s="21">
        <v>0</v>
      </c>
      <c r="AK25" s="21">
        <v>0</v>
      </c>
      <c r="AL25" s="21">
        <v>0</v>
      </c>
      <c r="AM25" s="21">
        <v>0</v>
      </c>
      <c r="AN25" s="21">
        <v>0</v>
      </c>
      <c r="AO25" s="21">
        <v>0</v>
      </c>
      <c r="AP25" s="67"/>
      <c r="AT25" s="81"/>
      <c r="AU25"/>
    </row>
    <row r="26" spans="1:47">
      <c r="A26" s="19" t="s">
        <v>185</v>
      </c>
      <c r="B26" s="19" t="s">
        <v>189</v>
      </c>
      <c r="C26" s="19" t="s">
        <v>187</v>
      </c>
      <c r="D26" s="20">
        <f t="shared" si="0"/>
        <v>0</v>
      </c>
      <c r="E26" s="21">
        <v>0</v>
      </c>
      <c r="F26" s="21">
        <v>0</v>
      </c>
      <c r="G26" s="21">
        <v>0</v>
      </c>
      <c r="H26" s="21">
        <v>0</v>
      </c>
      <c r="I26" s="21">
        <v>0</v>
      </c>
      <c r="J26" s="21">
        <v>0</v>
      </c>
      <c r="K26" s="21">
        <v>0</v>
      </c>
      <c r="L26" s="21">
        <v>0</v>
      </c>
      <c r="M26" s="21">
        <v>0</v>
      </c>
      <c r="N26" s="21">
        <v>0</v>
      </c>
      <c r="O26" s="21">
        <v>0</v>
      </c>
      <c r="P26" s="21">
        <v>0</v>
      </c>
      <c r="Q26" s="21">
        <v>0</v>
      </c>
      <c r="R26" s="21">
        <v>0</v>
      </c>
      <c r="S26" s="21">
        <v>0</v>
      </c>
      <c r="T26" s="22">
        <v>0</v>
      </c>
      <c r="U26" s="22">
        <v>0</v>
      </c>
      <c r="V26" s="22">
        <v>0</v>
      </c>
      <c r="W26" s="22">
        <v>0</v>
      </c>
      <c r="X26" s="22">
        <v>0</v>
      </c>
      <c r="Y26" s="22">
        <v>0</v>
      </c>
      <c r="Z26" s="22">
        <v>0</v>
      </c>
      <c r="AA26" s="22">
        <v>0</v>
      </c>
      <c r="AB26" s="22">
        <v>0</v>
      </c>
      <c r="AC26" s="22">
        <v>0</v>
      </c>
      <c r="AD26" s="22">
        <v>0</v>
      </c>
      <c r="AE26" s="22">
        <v>0</v>
      </c>
      <c r="AF26" s="22">
        <v>0</v>
      </c>
      <c r="AG26" s="22">
        <v>0</v>
      </c>
      <c r="AH26" s="21">
        <v>0</v>
      </c>
      <c r="AI26" s="21">
        <v>0</v>
      </c>
      <c r="AJ26" s="21">
        <v>0</v>
      </c>
      <c r="AK26" s="21">
        <v>0</v>
      </c>
      <c r="AL26" s="21">
        <v>0</v>
      </c>
      <c r="AM26" s="21">
        <v>0</v>
      </c>
      <c r="AN26" s="21">
        <v>0</v>
      </c>
      <c r="AO26" s="21">
        <v>0</v>
      </c>
      <c r="AP26" s="67"/>
      <c r="AT26" s="81"/>
      <c r="AU26"/>
    </row>
    <row r="27" spans="1:47">
      <c r="A27" s="19" t="s">
        <v>185</v>
      </c>
      <c r="B27" s="19" t="s">
        <v>190</v>
      </c>
      <c r="C27" s="19" t="s">
        <v>187</v>
      </c>
      <c r="D27" s="20">
        <f t="shared" si="0"/>
        <v>0</v>
      </c>
      <c r="E27" s="21">
        <v>0</v>
      </c>
      <c r="F27" s="21">
        <v>0</v>
      </c>
      <c r="G27" s="21">
        <v>0</v>
      </c>
      <c r="H27" s="21">
        <v>0</v>
      </c>
      <c r="I27" s="21">
        <v>0</v>
      </c>
      <c r="J27" s="21">
        <v>0</v>
      </c>
      <c r="K27" s="21">
        <v>0</v>
      </c>
      <c r="L27" s="21">
        <v>0</v>
      </c>
      <c r="M27" s="21">
        <v>0</v>
      </c>
      <c r="N27" s="21">
        <v>0</v>
      </c>
      <c r="O27" s="21">
        <v>0</v>
      </c>
      <c r="P27" s="21">
        <v>0</v>
      </c>
      <c r="Q27" s="21">
        <v>0</v>
      </c>
      <c r="R27" s="21">
        <v>0</v>
      </c>
      <c r="S27" s="21">
        <v>0</v>
      </c>
      <c r="T27" s="22">
        <v>0</v>
      </c>
      <c r="U27" s="22">
        <v>0</v>
      </c>
      <c r="V27" s="22">
        <v>0</v>
      </c>
      <c r="W27" s="22">
        <v>0</v>
      </c>
      <c r="X27" s="22">
        <v>0</v>
      </c>
      <c r="Y27" s="22">
        <v>0</v>
      </c>
      <c r="Z27" s="22">
        <v>0</v>
      </c>
      <c r="AA27" s="22">
        <v>0</v>
      </c>
      <c r="AB27" s="22">
        <v>0</v>
      </c>
      <c r="AC27" s="22">
        <v>0</v>
      </c>
      <c r="AD27" s="22">
        <v>0</v>
      </c>
      <c r="AE27" s="22">
        <v>0</v>
      </c>
      <c r="AF27" s="22">
        <v>0</v>
      </c>
      <c r="AG27" s="22">
        <v>0</v>
      </c>
      <c r="AH27" s="21">
        <v>0</v>
      </c>
      <c r="AI27" s="21">
        <v>0</v>
      </c>
      <c r="AJ27" s="21">
        <v>0</v>
      </c>
      <c r="AK27" s="21">
        <v>0</v>
      </c>
      <c r="AL27" s="21">
        <v>0</v>
      </c>
      <c r="AM27" s="21">
        <v>0</v>
      </c>
      <c r="AN27" s="21">
        <v>0</v>
      </c>
      <c r="AO27" s="21">
        <v>0</v>
      </c>
      <c r="AP27" s="67"/>
      <c r="AT27" s="81"/>
      <c r="AU27"/>
    </row>
    <row r="28" spans="1:47">
      <c r="A28" s="19" t="s">
        <v>191</v>
      </c>
      <c r="B28" s="19" t="s">
        <v>192</v>
      </c>
      <c r="C28" s="19" t="s">
        <v>193</v>
      </c>
      <c r="D28" s="20">
        <f t="shared" si="0"/>
        <v>4</v>
      </c>
      <c r="E28" s="21">
        <v>0</v>
      </c>
      <c r="F28" s="21">
        <v>0</v>
      </c>
      <c r="G28" s="21">
        <v>0</v>
      </c>
      <c r="H28" s="21">
        <v>0</v>
      </c>
      <c r="I28" s="21">
        <v>0</v>
      </c>
      <c r="J28" s="21">
        <v>0</v>
      </c>
      <c r="K28" s="21">
        <v>0</v>
      </c>
      <c r="L28" s="21">
        <v>0</v>
      </c>
      <c r="M28" s="21">
        <v>0</v>
      </c>
      <c r="N28" s="21">
        <v>0</v>
      </c>
      <c r="O28" s="21">
        <v>0</v>
      </c>
      <c r="P28" s="21">
        <v>1</v>
      </c>
      <c r="Q28" s="21">
        <v>0</v>
      </c>
      <c r="R28" s="21">
        <v>0</v>
      </c>
      <c r="S28" s="21">
        <v>0</v>
      </c>
      <c r="T28" s="22">
        <v>0</v>
      </c>
      <c r="U28" s="22">
        <v>0</v>
      </c>
      <c r="V28" s="22">
        <v>0</v>
      </c>
      <c r="W28" s="22">
        <v>0</v>
      </c>
      <c r="X28" s="22">
        <v>0</v>
      </c>
      <c r="Y28" s="22">
        <v>0</v>
      </c>
      <c r="Z28" s="22">
        <v>0</v>
      </c>
      <c r="AA28" s="22">
        <v>0</v>
      </c>
      <c r="AB28" s="21">
        <v>1</v>
      </c>
      <c r="AC28" s="21">
        <v>1</v>
      </c>
      <c r="AD28" s="22">
        <v>0</v>
      </c>
      <c r="AE28" s="22">
        <v>0</v>
      </c>
      <c r="AF28" s="22">
        <v>0</v>
      </c>
      <c r="AG28" s="21">
        <v>1</v>
      </c>
      <c r="AH28" s="21">
        <v>0</v>
      </c>
      <c r="AI28" s="21">
        <v>0</v>
      </c>
      <c r="AJ28" s="21">
        <v>0</v>
      </c>
      <c r="AK28" s="21">
        <v>0</v>
      </c>
      <c r="AL28" s="21">
        <v>0</v>
      </c>
      <c r="AM28" s="21">
        <v>0</v>
      </c>
      <c r="AN28" s="21">
        <v>0</v>
      </c>
      <c r="AO28" s="21">
        <v>0</v>
      </c>
      <c r="AP28" s="67"/>
      <c r="AT28" s="81"/>
      <c r="AU28"/>
    </row>
    <row r="29" spans="1:47" ht="32.1">
      <c r="A29" s="19" t="s">
        <v>194</v>
      </c>
      <c r="B29" s="19" t="s">
        <v>195</v>
      </c>
      <c r="C29" s="19" t="s">
        <v>196</v>
      </c>
      <c r="D29" s="20">
        <f t="shared" si="0"/>
        <v>93207.48000000001</v>
      </c>
      <c r="E29" s="21">
        <v>1064.8699999999999</v>
      </c>
      <c r="F29" s="21">
        <v>486.48</v>
      </c>
      <c r="G29" s="21">
        <v>3203.66</v>
      </c>
      <c r="H29" s="21">
        <v>280.45999999999998</v>
      </c>
      <c r="I29" s="21">
        <v>1503.12</v>
      </c>
      <c r="J29" s="21">
        <v>219.07</v>
      </c>
      <c r="K29" s="21">
        <v>1092.6400000000001</v>
      </c>
      <c r="L29" s="21">
        <v>801.15</v>
      </c>
      <c r="M29" s="21">
        <v>102.72</v>
      </c>
      <c r="N29" s="21">
        <v>458.94</v>
      </c>
      <c r="O29" s="21">
        <v>140.96</v>
      </c>
      <c r="P29" s="21">
        <v>17856.150000000001</v>
      </c>
      <c r="Q29" s="21">
        <v>4482.09</v>
      </c>
      <c r="R29" s="21">
        <v>323.56</v>
      </c>
      <c r="S29" s="21">
        <v>462.95</v>
      </c>
      <c r="T29" s="21">
        <v>4564.17</v>
      </c>
      <c r="U29" s="21">
        <v>1787.98</v>
      </c>
      <c r="V29" s="21">
        <v>404.78</v>
      </c>
      <c r="W29" s="22">
        <v>0</v>
      </c>
      <c r="X29" s="21">
        <v>172.73</v>
      </c>
      <c r="Y29" s="21">
        <v>1135.3699999999999</v>
      </c>
      <c r="Z29" s="21">
        <v>3757.51</v>
      </c>
      <c r="AA29" s="21">
        <v>148.28</v>
      </c>
      <c r="AB29" s="21">
        <v>10470.15</v>
      </c>
      <c r="AC29" s="21">
        <v>12284.8</v>
      </c>
      <c r="AD29" s="21">
        <v>1361.17</v>
      </c>
      <c r="AE29" s="21">
        <v>202.06</v>
      </c>
      <c r="AF29" s="21">
        <v>144.13999999999999</v>
      </c>
      <c r="AG29" s="21">
        <v>11615.59</v>
      </c>
      <c r="AH29" s="21">
        <v>7844.5</v>
      </c>
      <c r="AI29" s="21">
        <v>598.82000000000005</v>
      </c>
      <c r="AJ29" s="21">
        <v>815.55</v>
      </c>
      <c r="AK29" s="21">
        <v>236.14</v>
      </c>
      <c r="AL29" s="21">
        <v>1243.08</v>
      </c>
      <c r="AM29" s="21">
        <v>1312.78</v>
      </c>
      <c r="AN29" s="21">
        <v>117.02</v>
      </c>
      <c r="AO29" s="21">
        <v>512.04</v>
      </c>
      <c r="AP29" s="67"/>
      <c r="AT29" s="81"/>
      <c r="AU29"/>
    </row>
    <row r="30" spans="1:47">
      <c r="A30" s="19" t="s">
        <v>197</v>
      </c>
      <c r="B30" s="19" t="s">
        <v>198</v>
      </c>
      <c r="C30" s="19" t="s">
        <v>199</v>
      </c>
      <c r="D30" s="20">
        <f t="shared" si="0"/>
        <v>991</v>
      </c>
      <c r="E30" s="21">
        <v>0</v>
      </c>
      <c r="F30" s="21">
        <v>0</v>
      </c>
      <c r="G30" s="21">
        <v>0</v>
      </c>
      <c r="H30" s="21">
        <v>151</v>
      </c>
      <c r="I30" s="21">
        <v>0</v>
      </c>
      <c r="J30" s="21">
        <v>0</v>
      </c>
      <c r="K30" s="21">
        <v>0</v>
      </c>
      <c r="L30" s="21">
        <v>26</v>
      </c>
      <c r="M30" s="21"/>
      <c r="N30" s="21">
        <v>10</v>
      </c>
      <c r="O30" s="21">
        <v>8</v>
      </c>
      <c r="P30" s="21">
        <v>232</v>
      </c>
      <c r="Q30" s="21">
        <v>0</v>
      </c>
      <c r="R30" s="21">
        <v>2</v>
      </c>
      <c r="S30" s="21">
        <v>2</v>
      </c>
      <c r="T30" s="22">
        <v>0</v>
      </c>
      <c r="U30" s="21">
        <v>66</v>
      </c>
      <c r="V30" s="21">
        <v>23</v>
      </c>
      <c r="W30" s="22">
        <v>0</v>
      </c>
      <c r="X30" s="22">
        <v>0</v>
      </c>
      <c r="Y30" s="21">
        <v>60</v>
      </c>
      <c r="Z30" s="21">
        <v>25</v>
      </c>
      <c r="AA30" s="22">
        <v>0</v>
      </c>
      <c r="AB30" s="21">
        <v>11</v>
      </c>
      <c r="AC30" s="21">
        <v>206</v>
      </c>
      <c r="AD30" s="21">
        <v>12</v>
      </c>
      <c r="AE30" s="22">
        <v>0</v>
      </c>
      <c r="AF30" s="22">
        <v>0</v>
      </c>
      <c r="AG30" s="21">
        <v>26</v>
      </c>
      <c r="AH30" s="21">
        <v>121</v>
      </c>
      <c r="AI30" s="22">
        <v>0</v>
      </c>
      <c r="AJ30" s="22">
        <v>0</v>
      </c>
      <c r="AK30" s="22">
        <v>0</v>
      </c>
      <c r="AL30" s="22">
        <v>0</v>
      </c>
      <c r="AM30" s="21">
        <v>10</v>
      </c>
      <c r="AN30" s="22">
        <v>0</v>
      </c>
      <c r="AO30" s="22">
        <v>0</v>
      </c>
      <c r="AP30" s="67"/>
      <c r="AT30" s="81"/>
      <c r="AU30"/>
    </row>
    <row r="31" spans="1:47">
      <c r="A31" s="19" t="s">
        <v>200</v>
      </c>
      <c r="B31" s="19" t="s">
        <v>201</v>
      </c>
      <c r="C31" s="19" t="s">
        <v>202</v>
      </c>
      <c r="D31" s="20">
        <f t="shared" si="0"/>
        <v>0</v>
      </c>
      <c r="E31" s="21">
        <v>0</v>
      </c>
      <c r="F31" s="21">
        <v>0</v>
      </c>
      <c r="G31" s="21">
        <v>0</v>
      </c>
      <c r="H31" s="21">
        <v>0</v>
      </c>
      <c r="I31" s="21">
        <v>0</v>
      </c>
      <c r="J31" s="21">
        <v>0</v>
      </c>
      <c r="K31" s="21">
        <v>0</v>
      </c>
      <c r="L31" s="21">
        <v>0</v>
      </c>
      <c r="M31" s="21">
        <v>0</v>
      </c>
      <c r="N31" s="21">
        <v>0</v>
      </c>
      <c r="O31" s="21">
        <v>0</v>
      </c>
      <c r="P31" s="21">
        <v>0</v>
      </c>
      <c r="Q31" s="21">
        <v>0</v>
      </c>
      <c r="R31" s="21">
        <v>0</v>
      </c>
      <c r="S31" s="21">
        <v>0</v>
      </c>
      <c r="T31" s="22">
        <v>0</v>
      </c>
      <c r="U31" s="22">
        <v>0</v>
      </c>
      <c r="V31" s="22">
        <v>0</v>
      </c>
      <c r="W31" s="22">
        <v>0</v>
      </c>
      <c r="X31" s="22">
        <v>0</v>
      </c>
      <c r="Y31" s="22">
        <v>0</v>
      </c>
      <c r="Z31" s="22">
        <v>0</v>
      </c>
      <c r="AA31" s="22">
        <v>0</v>
      </c>
      <c r="AB31" s="21"/>
      <c r="AC31" s="21"/>
      <c r="AD31" s="22">
        <v>0</v>
      </c>
      <c r="AE31" s="22">
        <v>0</v>
      </c>
      <c r="AF31" s="22">
        <v>0</v>
      </c>
      <c r="AG31" s="21"/>
      <c r="AH31" s="21"/>
      <c r="AI31" s="22">
        <v>0</v>
      </c>
      <c r="AJ31" s="22">
        <v>0</v>
      </c>
      <c r="AK31" s="22">
        <v>0</v>
      </c>
      <c r="AL31" s="22">
        <v>0</v>
      </c>
      <c r="AM31" s="22">
        <v>0</v>
      </c>
      <c r="AN31" s="22">
        <v>0</v>
      </c>
      <c r="AO31" s="22">
        <v>0</v>
      </c>
      <c r="AP31" s="67"/>
      <c r="AT31" s="81"/>
      <c r="AU31"/>
    </row>
    <row r="32" spans="1:47">
      <c r="A32" s="19" t="s">
        <v>203</v>
      </c>
      <c r="B32" s="19" t="s">
        <v>204</v>
      </c>
      <c r="C32" s="19" t="s">
        <v>205</v>
      </c>
      <c r="D32" s="20">
        <f t="shared" si="0"/>
        <v>1185</v>
      </c>
      <c r="E32" s="21">
        <v>26</v>
      </c>
      <c r="F32" s="21">
        <v>10</v>
      </c>
      <c r="G32" s="21">
        <v>10</v>
      </c>
      <c r="H32" s="21">
        <v>12</v>
      </c>
      <c r="I32" s="21">
        <v>31</v>
      </c>
      <c r="J32" s="21">
        <v>1</v>
      </c>
      <c r="K32" s="21">
        <v>42</v>
      </c>
      <c r="L32" s="21">
        <v>6</v>
      </c>
      <c r="M32" s="21">
        <v>5</v>
      </c>
      <c r="N32" s="21">
        <v>0</v>
      </c>
      <c r="O32" s="21">
        <v>0</v>
      </c>
      <c r="P32" s="21">
        <v>319</v>
      </c>
      <c r="Q32" s="21">
        <v>98</v>
      </c>
      <c r="R32" s="21">
        <v>9</v>
      </c>
      <c r="S32" s="21">
        <v>8</v>
      </c>
      <c r="T32" s="21">
        <v>5</v>
      </c>
      <c r="U32" s="21">
        <v>1</v>
      </c>
      <c r="V32" s="22">
        <v>0</v>
      </c>
      <c r="W32" s="22">
        <v>0</v>
      </c>
      <c r="X32" s="21">
        <v>8</v>
      </c>
      <c r="Y32" s="21">
        <v>2</v>
      </c>
      <c r="Z32" s="21">
        <v>52</v>
      </c>
      <c r="AA32" s="22">
        <v>0</v>
      </c>
      <c r="AB32" s="21">
        <v>126</v>
      </c>
      <c r="AC32" s="21">
        <v>68</v>
      </c>
      <c r="AD32" s="22">
        <v>0</v>
      </c>
      <c r="AE32" s="21">
        <v>5</v>
      </c>
      <c r="AF32" s="21">
        <v>1</v>
      </c>
      <c r="AG32" s="21">
        <v>214</v>
      </c>
      <c r="AH32" s="21">
        <v>56</v>
      </c>
      <c r="AI32" s="21">
        <v>24</v>
      </c>
      <c r="AJ32" s="21">
        <v>22</v>
      </c>
      <c r="AK32" s="21">
        <v>7</v>
      </c>
      <c r="AL32" s="21">
        <v>16</v>
      </c>
      <c r="AM32" s="22">
        <v>0</v>
      </c>
      <c r="AN32" s="22">
        <v>0</v>
      </c>
      <c r="AO32" s="21">
        <v>1</v>
      </c>
      <c r="AP32" s="67"/>
      <c r="AT32" s="81"/>
      <c r="AU32"/>
    </row>
    <row r="33" spans="1:47">
      <c r="A33" s="19" t="s">
        <v>206</v>
      </c>
      <c r="B33" s="19" t="s">
        <v>207</v>
      </c>
      <c r="C33" s="19" t="s">
        <v>208</v>
      </c>
      <c r="D33" s="20">
        <f t="shared" si="0"/>
        <v>92</v>
      </c>
      <c r="E33" s="21">
        <v>0</v>
      </c>
      <c r="F33" s="21">
        <v>0</v>
      </c>
      <c r="G33" s="21">
        <v>0</v>
      </c>
      <c r="H33" s="21">
        <v>2</v>
      </c>
      <c r="I33" s="21">
        <v>0</v>
      </c>
      <c r="J33" s="21">
        <v>2</v>
      </c>
      <c r="K33" s="21">
        <v>0</v>
      </c>
      <c r="L33" s="21">
        <v>0</v>
      </c>
      <c r="M33" s="21">
        <v>0</v>
      </c>
      <c r="N33" s="21">
        <v>0</v>
      </c>
      <c r="O33" s="21">
        <v>0</v>
      </c>
      <c r="P33" s="21">
        <v>34</v>
      </c>
      <c r="Q33" s="21">
        <v>0</v>
      </c>
      <c r="R33" s="21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21">
        <v>2</v>
      </c>
      <c r="Z33" s="21">
        <v>3</v>
      </c>
      <c r="AA33" s="22">
        <v>0</v>
      </c>
      <c r="AB33" s="21">
        <v>11</v>
      </c>
      <c r="AC33" s="21">
        <v>11</v>
      </c>
      <c r="AD33" s="22">
        <v>0</v>
      </c>
      <c r="AE33" s="22">
        <v>0</v>
      </c>
      <c r="AF33" s="22">
        <v>0</v>
      </c>
      <c r="AG33" s="21">
        <v>19</v>
      </c>
      <c r="AH33" s="21">
        <v>6</v>
      </c>
      <c r="AI33" s="22">
        <v>0</v>
      </c>
      <c r="AJ33" s="22">
        <v>0</v>
      </c>
      <c r="AK33" s="22">
        <v>0</v>
      </c>
      <c r="AL33" s="22">
        <v>0</v>
      </c>
      <c r="AM33" s="21">
        <v>2</v>
      </c>
      <c r="AN33" s="22">
        <v>0</v>
      </c>
      <c r="AO33" s="22">
        <v>0</v>
      </c>
      <c r="AP33" s="67"/>
      <c r="AT33" s="81"/>
      <c r="AU33"/>
    </row>
    <row r="34" spans="1:47">
      <c r="A34" s="19" t="s">
        <v>206</v>
      </c>
      <c r="B34" s="19" t="s">
        <v>209</v>
      </c>
      <c r="C34" s="19" t="s">
        <v>208</v>
      </c>
      <c r="D34" s="20">
        <f t="shared" si="0"/>
        <v>27</v>
      </c>
      <c r="E34" s="21">
        <v>0</v>
      </c>
      <c r="F34" s="21">
        <v>0</v>
      </c>
      <c r="G34" s="21">
        <v>0</v>
      </c>
      <c r="H34" s="21">
        <v>0</v>
      </c>
      <c r="I34" s="21">
        <v>0</v>
      </c>
      <c r="J34" s="21">
        <v>0</v>
      </c>
      <c r="K34" s="21">
        <v>0</v>
      </c>
      <c r="L34" s="21">
        <v>0</v>
      </c>
      <c r="M34" s="21">
        <v>0</v>
      </c>
      <c r="N34" s="21">
        <v>0</v>
      </c>
      <c r="O34" s="21">
        <v>0</v>
      </c>
      <c r="P34" s="21">
        <v>19</v>
      </c>
      <c r="Q34" s="21">
        <v>0</v>
      </c>
      <c r="R34" s="21">
        <v>0</v>
      </c>
      <c r="S34" s="22">
        <v>0</v>
      </c>
      <c r="T34" s="22">
        <v>0</v>
      </c>
      <c r="U34" s="22">
        <v>0</v>
      </c>
      <c r="V34" s="22">
        <v>0</v>
      </c>
      <c r="W34" s="22">
        <v>0</v>
      </c>
      <c r="X34" s="22">
        <v>0</v>
      </c>
      <c r="Y34" s="22">
        <v>0</v>
      </c>
      <c r="Z34" s="21">
        <v>1</v>
      </c>
      <c r="AA34" s="22">
        <v>0</v>
      </c>
      <c r="AB34" s="21">
        <v>2</v>
      </c>
      <c r="AC34" s="21">
        <v>2</v>
      </c>
      <c r="AD34" s="22">
        <v>0</v>
      </c>
      <c r="AE34" s="22">
        <v>0</v>
      </c>
      <c r="AF34" s="22">
        <v>0</v>
      </c>
      <c r="AG34" s="22">
        <v>0</v>
      </c>
      <c r="AH34" s="22">
        <v>0</v>
      </c>
      <c r="AI34" s="22">
        <v>0</v>
      </c>
      <c r="AJ34" s="22">
        <v>0</v>
      </c>
      <c r="AK34" s="22">
        <v>0</v>
      </c>
      <c r="AL34" s="22">
        <v>0</v>
      </c>
      <c r="AM34" s="21">
        <v>3</v>
      </c>
      <c r="AN34" s="22">
        <v>0</v>
      </c>
      <c r="AO34" s="22">
        <v>0</v>
      </c>
      <c r="AP34" s="67"/>
      <c r="AT34" s="81"/>
      <c r="AU34"/>
    </row>
    <row r="35" spans="1:47">
      <c r="A35" s="19" t="s">
        <v>210</v>
      </c>
      <c r="B35" s="19" t="s">
        <v>211</v>
      </c>
      <c r="C35" s="19" t="s">
        <v>212</v>
      </c>
      <c r="D35" s="20">
        <f t="shared" si="0"/>
        <v>0</v>
      </c>
      <c r="E35" s="21">
        <v>0</v>
      </c>
      <c r="F35" s="21">
        <v>0</v>
      </c>
      <c r="G35" s="21">
        <v>0</v>
      </c>
      <c r="H35" s="21">
        <v>0</v>
      </c>
      <c r="I35" s="21">
        <v>0</v>
      </c>
      <c r="J35" s="21">
        <v>0</v>
      </c>
      <c r="K35" s="21">
        <v>0</v>
      </c>
      <c r="L35" s="21">
        <v>0</v>
      </c>
      <c r="M35" s="21">
        <v>0</v>
      </c>
      <c r="N35" s="21">
        <v>0</v>
      </c>
      <c r="O35" s="21">
        <v>0</v>
      </c>
      <c r="P35" s="21"/>
      <c r="Q35" s="21">
        <v>0</v>
      </c>
      <c r="R35" s="21">
        <v>0</v>
      </c>
      <c r="S35" s="22">
        <v>0</v>
      </c>
      <c r="T35" s="22">
        <v>0</v>
      </c>
      <c r="U35" s="22">
        <v>0</v>
      </c>
      <c r="V35" s="22">
        <v>0</v>
      </c>
      <c r="W35" s="22">
        <v>0</v>
      </c>
      <c r="X35" s="22">
        <v>0</v>
      </c>
      <c r="Y35" s="22">
        <v>0</v>
      </c>
      <c r="Z35" s="22">
        <v>0</v>
      </c>
      <c r="AA35" s="22">
        <v>0</v>
      </c>
      <c r="AB35" s="21"/>
      <c r="AC35" s="21"/>
      <c r="AD35" s="22">
        <v>0</v>
      </c>
      <c r="AE35" s="22">
        <v>0</v>
      </c>
      <c r="AF35" s="22">
        <v>0</v>
      </c>
      <c r="AG35" s="22">
        <v>0</v>
      </c>
      <c r="AH35" s="22">
        <v>0</v>
      </c>
      <c r="AI35" s="22">
        <v>0</v>
      </c>
      <c r="AJ35" s="22">
        <v>0</v>
      </c>
      <c r="AK35" s="22">
        <v>0</v>
      </c>
      <c r="AL35" s="22">
        <v>0</v>
      </c>
      <c r="AM35" s="22">
        <v>0</v>
      </c>
      <c r="AN35" s="22">
        <v>0</v>
      </c>
      <c r="AO35" s="22">
        <v>0</v>
      </c>
      <c r="AP35" s="68"/>
      <c r="AT35" s="81"/>
      <c r="AU35"/>
    </row>
    <row r="36" spans="1:47" ht="32.1">
      <c r="A36" s="19" t="s">
        <v>213</v>
      </c>
      <c r="B36" s="19" t="s">
        <v>214</v>
      </c>
      <c r="C36" s="19" t="s">
        <v>215</v>
      </c>
      <c r="D36" s="20">
        <f t="shared" si="0"/>
        <v>42009.409999999967</v>
      </c>
      <c r="E36" s="21">
        <v>0</v>
      </c>
      <c r="F36" s="21">
        <v>0</v>
      </c>
      <c r="G36" s="21">
        <v>0</v>
      </c>
      <c r="H36" s="22">
        <v>3202.0000000000018</v>
      </c>
      <c r="I36" s="21">
        <v>0</v>
      </c>
      <c r="J36" s="22">
        <v>504.2</v>
      </c>
      <c r="K36" s="21">
        <v>0</v>
      </c>
      <c r="L36" s="22">
        <v>1439.6099999999992</v>
      </c>
      <c r="M36" s="21">
        <v>0</v>
      </c>
      <c r="N36" s="21">
        <v>0</v>
      </c>
      <c r="O36" s="21">
        <v>0</v>
      </c>
      <c r="P36" s="22">
        <v>19071.39999999998</v>
      </c>
      <c r="Q36" s="21">
        <v>0</v>
      </c>
      <c r="R36" s="21">
        <v>0</v>
      </c>
      <c r="S36" s="22">
        <v>0</v>
      </c>
      <c r="T36" s="22">
        <v>0</v>
      </c>
      <c r="U36" s="22">
        <v>0</v>
      </c>
      <c r="V36" s="22">
        <v>0</v>
      </c>
      <c r="W36" s="22">
        <v>0</v>
      </c>
      <c r="X36" s="22">
        <v>0</v>
      </c>
      <c r="Y36" s="22">
        <v>1318.6199999999997</v>
      </c>
      <c r="Z36" s="22">
        <v>714.6700000000003</v>
      </c>
      <c r="AA36" s="22">
        <v>0</v>
      </c>
      <c r="AB36" s="22">
        <v>4961.2999999999929</v>
      </c>
      <c r="AC36" s="22">
        <v>4335.5299999999979</v>
      </c>
      <c r="AD36" s="22">
        <v>0</v>
      </c>
      <c r="AE36" s="22">
        <v>0</v>
      </c>
      <c r="AF36" s="22">
        <v>0</v>
      </c>
      <c r="AG36" s="22">
        <v>3101.2299999999977</v>
      </c>
      <c r="AH36" s="22">
        <v>1101.3599999999999</v>
      </c>
      <c r="AI36" s="22">
        <v>0</v>
      </c>
      <c r="AJ36" s="22">
        <v>0</v>
      </c>
      <c r="AK36" s="22">
        <v>0</v>
      </c>
      <c r="AL36" s="22">
        <v>0</v>
      </c>
      <c r="AM36" s="22">
        <v>2259.4900000000011</v>
      </c>
      <c r="AN36" s="22">
        <v>0</v>
      </c>
      <c r="AO36" s="22">
        <v>0</v>
      </c>
      <c r="AP36" s="67"/>
      <c r="AT36" s="81"/>
      <c r="AU36"/>
    </row>
    <row r="37" spans="1:47" ht="32.1">
      <c r="A37" s="19" t="s">
        <v>216</v>
      </c>
      <c r="B37" s="19" t="s">
        <v>217</v>
      </c>
      <c r="C37" s="19" t="s">
        <v>218</v>
      </c>
      <c r="D37" s="20">
        <f t="shared" si="0"/>
        <v>504</v>
      </c>
      <c r="E37" s="21">
        <v>0</v>
      </c>
      <c r="F37" s="21">
        <v>0</v>
      </c>
      <c r="G37" s="21">
        <v>0</v>
      </c>
      <c r="H37" s="21">
        <v>0</v>
      </c>
      <c r="I37" s="21">
        <v>0</v>
      </c>
      <c r="J37" s="21">
        <v>0</v>
      </c>
      <c r="K37" s="21">
        <v>0</v>
      </c>
      <c r="L37" s="21">
        <v>0</v>
      </c>
      <c r="M37" s="21">
        <v>0</v>
      </c>
      <c r="N37" s="21">
        <v>0</v>
      </c>
      <c r="O37" s="21">
        <v>0</v>
      </c>
      <c r="P37" s="22">
        <v>264</v>
      </c>
      <c r="Q37" s="21">
        <v>0</v>
      </c>
      <c r="R37" s="21">
        <v>0</v>
      </c>
      <c r="S37" s="22">
        <v>0</v>
      </c>
      <c r="T37" s="22">
        <v>0</v>
      </c>
      <c r="U37" s="22">
        <v>0</v>
      </c>
      <c r="V37" s="22">
        <v>0</v>
      </c>
      <c r="W37" s="22">
        <v>0</v>
      </c>
      <c r="X37" s="22">
        <v>0</v>
      </c>
      <c r="Y37" s="22">
        <v>0</v>
      </c>
      <c r="Z37" s="22">
        <v>0</v>
      </c>
      <c r="AA37" s="22">
        <v>0</v>
      </c>
      <c r="AB37" s="22">
        <v>60</v>
      </c>
      <c r="AC37" s="22">
        <v>60</v>
      </c>
      <c r="AD37" s="22">
        <v>0</v>
      </c>
      <c r="AE37" s="22">
        <v>0</v>
      </c>
      <c r="AF37" s="22">
        <v>0</v>
      </c>
      <c r="AG37" s="22">
        <v>120</v>
      </c>
      <c r="AH37" s="22">
        <v>0</v>
      </c>
      <c r="AI37" s="22">
        <v>0</v>
      </c>
      <c r="AJ37" s="22">
        <v>0</v>
      </c>
      <c r="AK37" s="22">
        <v>0</v>
      </c>
      <c r="AL37" s="22">
        <v>0</v>
      </c>
      <c r="AM37" s="22">
        <v>0</v>
      </c>
      <c r="AN37" s="22">
        <v>0</v>
      </c>
      <c r="AO37" s="22">
        <v>0</v>
      </c>
      <c r="AP37" s="68"/>
      <c r="AT37" s="81"/>
      <c r="AU37"/>
    </row>
    <row r="38" spans="1:47" ht="48">
      <c r="A38" s="23" t="s">
        <v>216</v>
      </c>
      <c r="B38" s="19" t="s">
        <v>219</v>
      </c>
      <c r="C38" s="19" t="s">
        <v>218</v>
      </c>
      <c r="D38" s="20">
        <f t="shared" si="0"/>
        <v>238</v>
      </c>
      <c r="E38" s="21">
        <v>0</v>
      </c>
      <c r="F38" s="21">
        <v>0</v>
      </c>
      <c r="G38" s="21">
        <v>0</v>
      </c>
      <c r="H38" s="21">
        <v>0</v>
      </c>
      <c r="I38" s="21">
        <v>0</v>
      </c>
      <c r="J38" s="21">
        <v>0</v>
      </c>
      <c r="K38" s="21">
        <v>0</v>
      </c>
      <c r="L38" s="21">
        <v>0</v>
      </c>
      <c r="M38" s="21">
        <v>0</v>
      </c>
      <c r="N38" s="21">
        <v>0</v>
      </c>
      <c r="O38" s="21">
        <v>0</v>
      </c>
      <c r="P38" s="22">
        <v>154</v>
      </c>
      <c r="Q38" s="21">
        <v>0</v>
      </c>
      <c r="R38" s="21">
        <v>0</v>
      </c>
      <c r="S38" s="22">
        <v>0</v>
      </c>
      <c r="T38" s="22">
        <v>0</v>
      </c>
      <c r="U38" s="22">
        <v>0</v>
      </c>
      <c r="V38" s="22">
        <v>0</v>
      </c>
      <c r="W38" s="22">
        <v>0</v>
      </c>
      <c r="X38" s="22">
        <v>0</v>
      </c>
      <c r="Y38" s="22">
        <v>0</v>
      </c>
      <c r="Z38" s="22">
        <v>0</v>
      </c>
      <c r="AA38" s="22">
        <v>0</v>
      </c>
      <c r="AB38" s="22">
        <v>21</v>
      </c>
      <c r="AC38" s="22">
        <v>21</v>
      </c>
      <c r="AD38" s="22">
        <v>0</v>
      </c>
      <c r="AE38" s="22">
        <v>0</v>
      </c>
      <c r="AF38" s="22">
        <v>0</v>
      </c>
      <c r="AG38" s="22">
        <v>42</v>
      </c>
      <c r="AH38" s="22">
        <v>0</v>
      </c>
      <c r="AI38" s="22">
        <v>0</v>
      </c>
      <c r="AJ38" s="22">
        <v>0</v>
      </c>
      <c r="AK38" s="22">
        <v>0</v>
      </c>
      <c r="AL38" s="22">
        <v>0</v>
      </c>
      <c r="AM38" s="22">
        <v>0</v>
      </c>
      <c r="AN38" s="22">
        <v>0</v>
      </c>
      <c r="AO38" s="22">
        <v>0</v>
      </c>
      <c r="AP38" s="68"/>
      <c r="AT38" s="81"/>
      <c r="AU38"/>
    </row>
    <row r="39" spans="1:47" ht="48">
      <c r="A39" s="23" t="s">
        <v>216</v>
      </c>
      <c r="B39" s="19" t="s">
        <v>220</v>
      </c>
      <c r="C39" s="19" t="s">
        <v>218</v>
      </c>
      <c r="D39" s="20">
        <f t="shared" si="0"/>
        <v>105</v>
      </c>
      <c r="E39" s="21">
        <v>0</v>
      </c>
      <c r="F39" s="21">
        <v>0</v>
      </c>
      <c r="G39" s="21">
        <v>0</v>
      </c>
      <c r="H39" s="21">
        <v>0</v>
      </c>
      <c r="I39" s="21">
        <v>0</v>
      </c>
      <c r="J39" s="21">
        <v>0</v>
      </c>
      <c r="K39" s="21">
        <v>0</v>
      </c>
      <c r="L39" s="21">
        <v>0</v>
      </c>
      <c r="M39" s="21">
        <v>0</v>
      </c>
      <c r="N39" s="21">
        <v>0</v>
      </c>
      <c r="O39" s="21">
        <v>0</v>
      </c>
      <c r="P39" s="22">
        <v>77</v>
      </c>
      <c r="Q39" s="21">
        <v>0</v>
      </c>
      <c r="R39" s="21">
        <v>0</v>
      </c>
      <c r="S39" s="22">
        <v>0</v>
      </c>
      <c r="T39" s="22">
        <v>0</v>
      </c>
      <c r="U39" s="22">
        <v>0</v>
      </c>
      <c r="V39" s="22">
        <v>0</v>
      </c>
      <c r="W39" s="22">
        <v>0</v>
      </c>
      <c r="X39" s="22">
        <v>0</v>
      </c>
      <c r="Y39" s="22">
        <v>0</v>
      </c>
      <c r="Z39" s="22">
        <v>0</v>
      </c>
      <c r="AA39" s="22">
        <v>0</v>
      </c>
      <c r="AB39" s="22">
        <v>7</v>
      </c>
      <c r="AC39" s="22">
        <v>7</v>
      </c>
      <c r="AD39" s="22">
        <v>0</v>
      </c>
      <c r="AE39" s="22">
        <v>0</v>
      </c>
      <c r="AF39" s="22">
        <v>0</v>
      </c>
      <c r="AG39" s="22">
        <v>14</v>
      </c>
      <c r="AH39" s="22">
        <v>0</v>
      </c>
      <c r="AI39" s="22">
        <v>0</v>
      </c>
      <c r="AJ39" s="22">
        <v>0</v>
      </c>
      <c r="AK39" s="22">
        <v>0</v>
      </c>
      <c r="AL39" s="22">
        <v>0</v>
      </c>
      <c r="AM39" s="22">
        <v>0</v>
      </c>
      <c r="AN39" s="22">
        <v>0</v>
      </c>
      <c r="AO39" s="22">
        <v>0</v>
      </c>
      <c r="AP39" s="68"/>
      <c r="AT39" s="81"/>
      <c r="AU39"/>
    </row>
    <row r="40" spans="1:47" ht="32.1">
      <c r="A40" s="23"/>
      <c r="B40" s="19" t="s">
        <v>221</v>
      </c>
      <c r="C40" s="19" t="s">
        <v>222</v>
      </c>
      <c r="D40" s="20">
        <f t="shared" si="0"/>
        <v>1</v>
      </c>
      <c r="E40" s="21">
        <v>0</v>
      </c>
      <c r="F40" s="21">
        <v>0</v>
      </c>
      <c r="G40" s="21">
        <v>0</v>
      </c>
      <c r="H40" s="21">
        <v>0</v>
      </c>
      <c r="I40" s="21">
        <v>0</v>
      </c>
      <c r="J40" s="21">
        <v>0</v>
      </c>
      <c r="K40" s="21">
        <v>0</v>
      </c>
      <c r="L40" s="21">
        <v>0</v>
      </c>
      <c r="M40" s="21">
        <v>0</v>
      </c>
      <c r="N40" s="21">
        <v>0</v>
      </c>
      <c r="O40" s="21">
        <v>0</v>
      </c>
      <c r="P40" s="22">
        <v>1</v>
      </c>
      <c r="Q40" s="21">
        <v>0</v>
      </c>
      <c r="R40" s="21">
        <v>0</v>
      </c>
      <c r="S40" s="22">
        <v>0</v>
      </c>
      <c r="T40" s="22">
        <v>0</v>
      </c>
      <c r="U40" s="22">
        <v>0</v>
      </c>
      <c r="V40" s="22">
        <v>0</v>
      </c>
      <c r="W40" s="22">
        <v>0</v>
      </c>
      <c r="X40" s="22">
        <v>0</v>
      </c>
      <c r="Y40" s="22">
        <v>0</v>
      </c>
      <c r="Z40" s="22">
        <v>0</v>
      </c>
      <c r="AA40" s="22">
        <v>0</v>
      </c>
      <c r="AB40" s="22">
        <v>0</v>
      </c>
      <c r="AC40" s="22">
        <v>0</v>
      </c>
      <c r="AD40" s="22">
        <v>0</v>
      </c>
      <c r="AE40" s="22">
        <v>0</v>
      </c>
      <c r="AF40" s="22">
        <v>0</v>
      </c>
      <c r="AG40" s="22">
        <v>0</v>
      </c>
      <c r="AH40" s="22">
        <v>0</v>
      </c>
      <c r="AI40" s="22">
        <v>0</v>
      </c>
      <c r="AJ40" s="22">
        <v>0</v>
      </c>
      <c r="AK40" s="22">
        <v>0</v>
      </c>
      <c r="AL40" s="22">
        <v>0</v>
      </c>
      <c r="AM40" s="22">
        <v>0</v>
      </c>
      <c r="AN40" s="22">
        <v>0</v>
      </c>
      <c r="AO40" s="22">
        <v>0</v>
      </c>
      <c r="AP40" s="68"/>
      <c r="AT40" s="81"/>
      <c r="AU40"/>
    </row>
    <row r="41" spans="1:47">
      <c r="A41" s="23" t="s">
        <v>223</v>
      </c>
      <c r="B41" s="19" t="s">
        <v>224</v>
      </c>
      <c r="C41" s="19" t="s">
        <v>225</v>
      </c>
      <c r="D41" s="20">
        <f t="shared" si="0"/>
        <v>2</v>
      </c>
      <c r="E41" s="21">
        <v>0</v>
      </c>
      <c r="F41" s="21">
        <v>0</v>
      </c>
      <c r="G41" s="21">
        <v>0</v>
      </c>
      <c r="H41" s="21">
        <v>0</v>
      </c>
      <c r="I41" s="21">
        <v>0</v>
      </c>
      <c r="J41" s="21">
        <v>0</v>
      </c>
      <c r="K41" s="21">
        <v>0</v>
      </c>
      <c r="L41" s="21">
        <v>0</v>
      </c>
      <c r="M41" s="21">
        <v>0</v>
      </c>
      <c r="N41" s="21">
        <v>0</v>
      </c>
      <c r="O41" s="21">
        <v>0</v>
      </c>
      <c r="P41" s="22">
        <v>2</v>
      </c>
      <c r="Q41" s="21">
        <v>0</v>
      </c>
      <c r="R41" s="21">
        <v>0</v>
      </c>
      <c r="S41" s="22">
        <v>0</v>
      </c>
      <c r="T41" s="22">
        <v>0</v>
      </c>
      <c r="U41" s="22">
        <v>0</v>
      </c>
      <c r="V41" s="22">
        <v>0</v>
      </c>
      <c r="W41" s="22">
        <v>0</v>
      </c>
      <c r="X41" s="22">
        <v>0</v>
      </c>
      <c r="Y41" s="22">
        <v>0</v>
      </c>
      <c r="Z41" s="22">
        <v>0</v>
      </c>
      <c r="AA41" s="22">
        <v>0</v>
      </c>
      <c r="AB41" s="22">
        <v>0</v>
      </c>
      <c r="AC41" s="22">
        <v>0</v>
      </c>
      <c r="AD41" s="22">
        <v>0</v>
      </c>
      <c r="AE41" s="22">
        <v>0</v>
      </c>
      <c r="AF41" s="22">
        <v>0</v>
      </c>
      <c r="AG41" s="22">
        <v>0</v>
      </c>
      <c r="AH41" s="22">
        <v>0</v>
      </c>
      <c r="AI41" s="22">
        <v>0</v>
      </c>
      <c r="AJ41" s="22">
        <v>0</v>
      </c>
      <c r="AK41" s="22">
        <v>0</v>
      </c>
      <c r="AL41" s="22">
        <v>0</v>
      </c>
      <c r="AM41" s="22">
        <v>0</v>
      </c>
      <c r="AN41" s="22">
        <v>0</v>
      </c>
      <c r="AO41" s="22">
        <v>0</v>
      </c>
      <c r="AP41" s="68"/>
      <c r="AT41" s="81"/>
      <c r="AU41"/>
    </row>
    <row r="42" spans="1:47" ht="32.1">
      <c r="A42" s="23"/>
      <c r="B42" s="19" t="s">
        <v>226</v>
      </c>
      <c r="C42" s="27" t="s">
        <v>227</v>
      </c>
      <c r="D42" s="20">
        <f t="shared" si="0"/>
        <v>1</v>
      </c>
      <c r="E42" s="21">
        <v>0</v>
      </c>
      <c r="F42" s="21">
        <v>0</v>
      </c>
      <c r="G42" s="21">
        <v>0</v>
      </c>
      <c r="H42" s="21">
        <v>0</v>
      </c>
      <c r="I42" s="21">
        <v>0</v>
      </c>
      <c r="J42" s="21">
        <v>0</v>
      </c>
      <c r="K42" s="21">
        <v>0</v>
      </c>
      <c r="L42" s="21">
        <v>0</v>
      </c>
      <c r="M42" s="21">
        <v>0</v>
      </c>
      <c r="N42" s="21">
        <v>0</v>
      </c>
      <c r="O42" s="21">
        <v>0</v>
      </c>
      <c r="P42" s="22">
        <v>1</v>
      </c>
      <c r="Q42" s="21">
        <v>0</v>
      </c>
      <c r="R42" s="21">
        <v>0</v>
      </c>
      <c r="S42" s="22">
        <v>0</v>
      </c>
      <c r="T42" s="22">
        <v>0</v>
      </c>
      <c r="U42" s="22">
        <v>0</v>
      </c>
      <c r="V42" s="22">
        <v>0</v>
      </c>
      <c r="W42" s="22">
        <v>0</v>
      </c>
      <c r="X42" s="22">
        <v>0</v>
      </c>
      <c r="Y42" s="22">
        <v>0</v>
      </c>
      <c r="Z42" s="22">
        <v>0</v>
      </c>
      <c r="AA42" s="22">
        <v>0</v>
      </c>
      <c r="AB42" s="22">
        <v>0</v>
      </c>
      <c r="AC42" s="22">
        <v>0</v>
      </c>
      <c r="AD42" s="22">
        <v>0</v>
      </c>
      <c r="AE42" s="22">
        <v>0</v>
      </c>
      <c r="AF42" s="22">
        <v>0</v>
      </c>
      <c r="AG42" s="22">
        <v>0</v>
      </c>
      <c r="AH42" s="22">
        <v>0</v>
      </c>
      <c r="AI42" s="22">
        <v>0</v>
      </c>
      <c r="AJ42" s="22">
        <v>0</v>
      </c>
      <c r="AK42" s="22">
        <v>0</v>
      </c>
      <c r="AL42" s="22">
        <v>0</v>
      </c>
      <c r="AM42" s="22">
        <v>0</v>
      </c>
      <c r="AN42" s="22">
        <v>0</v>
      </c>
      <c r="AO42" s="22">
        <v>0</v>
      </c>
      <c r="AP42" s="68"/>
      <c r="AT42" s="81"/>
      <c r="AU42"/>
    </row>
    <row r="43" spans="1:47">
      <c r="A43" s="23" t="s">
        <v>228</v>
      </c>
      <c r="B43" s="19" t="s">
        <v>229</v>
      </c>
      <c r="C43" s="19" t="s">
        <v>230</v>
      </c>
      <c r="D43" s="20">
        <f t="shared" si="0"/>
        <v>8</v>
      </c>
      <c r="E43" s="21">
        <v>0</v>
      </c>
      <c r="F43" s="21">
        <v>0</v>
      </c>
      <c r="G43" s="21">
        <v>0</v>
      </c>
      <c r="H43" s="21">
        <v>0</v>
      </c>
      <c r="I43" s="21">
        <v>0</v>
      </c>
      <c r="J43" s="21">
        <v>0</v>
      </c>
      <c r="K43" s="21">
        <v>0</v>
      </c>
      <c r="L43" s="21">
        <v>0</v>
      </c>
      <c r="M43" s="21">
        <v>0</v>
      </c>
      <c r="N43" s="21">
        <v>0</v>
      </c>
      <c r="O43" s="21">
        <v>0</v>
      </c>
      <c r="P43" s="22">
        <v>1</v>
      </c>
      <c r="Q43" s="21">
        <v>0</v>
      </c>
      <c r="R43" s="21">
        <v>0</v>
      </c>
      <c r="S43" s="22">
        <v>0</v>
      </c>
      <c r="T43" s="22">
        <v>0</v>
      </c>
      <c r="U43" s="22">
        <v>0</v>
      </c>
      <c r="V43" s="22">
        <v>0</v>
      </c>
      <c r="W43" s="22">
        <v>0</v>
      </c>
      <c r="X43" s="22">
        <v>0</v>
      </c>
      <c r="Y43" s="22">
        <v>0</v>
      </c>
      <c r="Z43" s="22">
        <v>0</v>
      </c>
      <c r="AA43" s="22">
        <v>0</v>
      </c>
      <c r="AB43" s="22">
        <v>1</v>
      </c>
      <c r="AC43" s="22">
        <v>5</v>
      </c>
      <c r="AD43" s="22">
        <v>0</v>
      </c>
      <c r="AE43" s="22">
        <v>0</v>
      </c>
      <c r="AF43" s="22">
        <v>0</v>
      </c>
      <c r="AG43" s="22">
        <v>1</v>
      </c>
      <c r="AH43" s="22">
        <v>0</v>
      </c>
      <c r="AI43" s="22">
        <v>0</v>
      </c>
      <c r="AJ43" s="22">
        <v>0</v>
      </c>
      <c r="AK43" s="22">
        <v>0</v>
      </c>
      <c r="AL43" s="22">
        <v>0</v>
      </c>
      <c r="AM43" s="22">
        <v>0</v>
      </c>
      <c r="AN43" s="22">
        <v>0</v>
      </c>
      <c r="AO43" s="22">
        <v>0</v>
      </c>
      <c r="AP43" s="67"/>
      <c r="AT43" s="81"/>
      <c r="AU43"/>
    </row>
    <row r="44" spans="1:47">
      <c r="A44" s="24" t="s">
        <v>231</v>
      </c>
      <c r="B44" s="25"/>
      <c r="C44" s="25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67"/>
      <c r="AT44" s="81"/>
      <c r="AU44"/>
    </row>
    <row r="45" spans="1:47">
      <c r="A45" s="23" t="s">
        <v>232</v>
      </c>
      <c r="B45" s="19" t="s">
        <v>233</v>
      </c>
      <c r="C45" s="19" t="s">
        <v>196</v>
      </c>
      <c r="D45" s="20">
        <f t="shared" si="0"/>
        <v>219692.91</v>
      </c>
      <c r="E45" s="21">
        <v>1685.61</v>
      </c>
      <c r="F45" s="21">
        <v>252.11</v>
      </c>
      <c r="G45" s="21">
        <v>4400.29</v>
      </c>
      <c r="H45" s="21">
        <v>6834.02</v>
      </c>
      <c r="I45" s="21">
        <v>1524.62</v>
      </c>
      <c r="J45" s="21">
        <v>1132.2</v>
      </c>
      <c r="K45" s="21">
        <v>1180.6600000000001</v>
      </c>
      <c r="L45" s="21">
        <v>3292.05</v>
      </c>
      <c r="M45" s="21">
        <v>129.33000000000001</v>
      </c>
      <c r="N45" s="21">
        <v>519.38</v>
      </c>
      <c r="O45" s="21">
        <v>174.58</v>
      </c>
      <c r="P45" s="21">
        <v>53059.54</v>
      </c>
      <c r="Q45" s="21">
        <v>4870.3599999999997</v>
      </c>
      <c r="R45" s="21">
        <v>535.38</v>
      </c>
      <c r="S45" s="21">
        <v>506.87</v>
      </c>
      <c r="T45" s="21">
        <v>5856.19</v>
      </c>
      <c r="U45" s="21">
        <v>2857.08</v>
      </c>
      <c r="V45" s="21">
        <v>644.85</v>
      </c>
      <c r="W45" s="21">
        <v>198.41</v>
      </c>
      <c r="X45" s="21">
        <v>179.53</v>
      </c>
      <c r="Y45" s="21">
        <v>3594.51</v>
      </c>
      <c r="Z45" s="21">
        <v>14938.68</v>
      </c>
      <c r="AA45" s="21">
        <v>221.91</v>
      </c>
      <c r="AB45" s="21">
        <v>20967.28</v>
      </c>
      <c r="AC45" s="21">
        <v>33805.53</v>
      </c>
      <c r="AD45" s="21">
        <v>1883.69</v>
      </c>
      <c r="AE45" s="21">
        <v>455.46</v>
      </c>
      <c r="AF45" s="21">
        <v>144.13999999999999</v>
      </c>
      <c r="AG45" s="21">
        <v>22433.8</v>
      </c>
      <c r="AH45" s="21">
        <v>17318.990000000002</v>
      </c>
      <c r="AI45" s="21">
        <v>4028.65</v>
      </c>
      <c r="AJ45" s="21">
        <v>2889.12</v>
      </c>
      <c r="AK45" s="21">
        <v>264.43</v>
      </c>
      <c r="AL45" s="21">
        <v>1314.2</v>
      </c>
      <c r="AM45" s="21">
        <v>4872.2299999999996</v>
      </c>
      <c r="AN45" s="21">
        <v>120.8</v>
      </c>
      <c r="AO45" s="21">
        <v>606.42999999999995</v>
      </c>
      <c r="AP45" s="67"/>
      <c r="AT45" s="81"/>
      <c r="AU45"/>
    </row>
    <row r="46" spans="1:47">
      <c r="A46" s="23" t="s">
        <v>234</v>
      </c>
      <c r="B46" s="19" t="s">
        <v>235</v>
      </c>
      <c r="C46" s="19" t="s">
        <v>236</v>
      </c>
      <c r="D46" s="20">
        <f t="shared" si="0"/>
        <v>1071</v>
      </c>
      <c r="E46" s="21">
        <v>9</v>
      </c>
      <c r="F46" s="21">
        <v>2</v>
      </c>
      <c r="G46" s="21">
        <v>16</v>
      </c>
      <c r="H46" s="21">
        <v>36</v>
      </c>
      <c r="I46" s="21">
        <v>3</v>
      </c>
      <c r="J46" s="21">
        <v>17</v>
      </c>
      <c r="K46" s="21">
        <v>25</v>
      </c>
      <c r="L46" s="21">
        <v>34</v>
      </c>
      <c r="M46" s="21">
        <v>1</v>
      </c>
      <c r="N46" s="21">
        <v>14</v>
      </c>
      <c r="O46" s="22">
        <v>0</v>
      </c>
      <c r="P46" s="21">
        <v>185</v>
      </c>
      <c r="Q46" s="21">
        <v>15</v>
      </c>
      <c r="R46" s="21">
        <v>15</v>
      </c>
      <c r="S46" s="21">
        <v>3</v>
      </c>
      <c r="T46" s="22">
        <v>0</v>
      </c>
      <c r="U46" s="22">
        <v>0</v>
      </c>
      <c r="V46" s="21">
        <v>6</v>
      </c>
      <c r="W46" s="22">
        <v>0</v>
      </c>
      <c r="X46" s="21">
        <v>15</v>
      </c>
      <c r="Y46" s="21">
        <v>53</v>
      </c>
      <c r="Z46" s="21">
        <v>65</v>
      </c>
      <c r="AA46" s="21">
        <v>2</v>
      </c>
      <c r="AB46" s="21">
        <v>92</v>
      </c>
      <c r="AC46" s="21">
        <v>196</v>
      </c>
      <c r="AD46" s="21">
        <v>1</v>
      </c>
      <c r="AE46" s="21">
        <v>5</v>
      </c>
      <c r="AF46" s="21">
        <v>1</v>
      </c>
      <c r="AG46" s="21">
        <v>102</v>
      </c>
      <c r="AH46" s="21">
        <v>61</v>
      </c>
      <c r="AI46" s="21">
        <v>8</v>
      </c>
      <c r="AJ46" s="21">
        <v>20</v>
      </c>
      <c r="AK46" s="21">
        <v>9</v>
      </c>
      <c r="AL46" s="21">
        <v>2</v>
      </c>
      <c r="AM46" s="21">
        <v>54</v>
      </c>
      <c r="AN46" s="21">
        <v>1</v>
      </c>
      <c r="AO46" s="21">
        <v>3</v>
      </c>
      <c r="AP46" s="67"/>
      <c r="AT46" s="81"/>
      <c r="AU46"/>
    </row>
    <row r="47" spans="1:47">
      <c r="A47" s="23" t="s">
        <v>237</v>
      </c>
      <c r="B47" s="19" t="s">
        <v>238</v>
      </c>
      <c r="C47" s="19" t="s">
        <v>239</v>
      </c>
      <c r="D47" s="20">
        <f t="shared" si="0"/>
        <v>943</v>
      </c>
      <c r="E47" s="22">
        <v>0</v>
      </c>
      <c r="F47" s="22">
        <v>0</v>
      </c>
      <c r="G47" s="22">
        <v>0</v>
      </c>
      <c r="H47" s="22">
        <v>0</v>
      </c>
      <c r="I47" s="22">
        <v>0</v>
      </c>
      <c r="J47" s="22">
        <v>0</v>
      </c>
      <c r="K47" s="22">
        <v>0</v>
      </c>
      <c r="L47" s="22">
        <v>0</v>
      </c>
      <c r="M47" s="22">
        <v>0</v>
      </c>
      <c r="N47" s="22">
        <v>8</v>
      </c>
      <c r="O47" s="22">
        <v>0</v>
      </c>
      <c r="P47" s="22">
        <v>394</v>
      </c>
      <c r="Q47" s="22">
        <v>0</v>
      </c>
      <c r="R47" s="22">
        <v>0</v>
      </c>
      <c r="S47" s="22">
        <v>0</v>
      </c>
      <c r="T47" s="22">
        <v>0</v>
      </c>
      <c r="U47" s="22">
        <v>0</v>
      </c>
      <c r="V47" s="22">
        <v>0</v>
      </c>
      <c r="W47" s="22">
        <v>0</v>
      </c>
      <c r="X47" s="22">
        <v>0</v>
      </c>
      <c r="Y47" s="22">
        <v>157</v>
      </c>
      <c r="Z47" s="22">
        <v>0</v>
      </c>
      <c r="AA47" s="22">
        <v>0</v>
      </c>
      <c r="AB47" s="22">
        <v>77</v>
      </c>
      <c r="AC47" s="22">
        <v>87</v>
      </c>
      <c r="AD47" s="22">
        <v>0</v>
      </c>
      <c r="AE47" s="22">
        <v>0</v>
      </c>
      <c r="AF47" s="22">
        <v>0</v>
      </c>
      <c r="AG47" s="22">
        <v>153</v>
      </c>
      <c r="AH47" s="22">
        <v>22</v>
      </c>
      <c r="AI47" s="22">
        <v>0</v>
      </c>
      <c r="AJ47" s="22">
        <v>0</v>
      </c>
      <c r="AK47" s="22">
        <v>0</v>
      </c>
      <c r="AL47" s="22">
        <v>0</v>
      </c>
      <c r="AM47" s="22">
        <v>45</v>
      </c>
      <c r="AN47" s="22">
        <v>0</v>
      </c>
      <c r="AO47" s="22">
        <v>0</v>
      </c>
      <c r="AP47" s="67"/>
      <c r="AT47" s="81"/>
      <c r="AU47"/>
    </row>
    <row r="48" spans="1:47">
      <c r="A48" s="23" t="s">
        <v>240</v>
      </c>
      <c r="B48" s="19" t="s">
        <v>241</v>
      </c>
      <c r="C48" s="19" t="s">
        <v>242</v>
      </c>
      <c r="D48" s="20">
        <f t="shared" si="0"/>
        <v>38</v>
      </c>
      <c r="E48" s="21">
        <v>2</v>
      </c>
      <c r="F48" s="22">
        <v>0</v>
      </c>
      <c r="G48" s="22">
        <v>0</v>
      </c>
      <c r="H48" s="22">
        <v>0</v>
      </c>
      <c r="I48" s="22">
        <v>0</v>
      </c>
      <c r="J48" s="22">
        <v>0</v>
      </c>
      <c r="K48" s="22">
        <v>0</v>
      </c>
      <c r="L48" s="21">
        <v>1</v>
      </c>
      <c r="M48" s="22">
        <v>0</v>
      </c>
      <c r="N48" s="22">
        <v>0</v>
      </c>
      <c r="O48" s="22">
        <v>0</v>
      </c>
      <c r="P48" s="21">
        <v>19</v>
      </c>
      <c r="Q48" s="21">
        <v>2</v>
      </c>
      <c r="R48" s="22">
        <v>0</v>
      </c>
      <c r="S48" s="22">
        <v>0</v>
      </c>
      <c r="T48" s="22">
        <v>0</v>
      </c>
      <c r="U48" s="22">
        <v>0</v>
      </c>
      <c r="V48" s="22">
        <v>0</v>
      </c>
      <c r="W48" s="22">
        <v>0</v>
      </c>
      <c r="X48" s="22">
        <v>0</v>
      </c>
      <c r="Y48" s="21">
        <v>1</v>
      </c>
      <c r="Z48" s="22">
        <v>0</v>
      </c>
      <c r="AA48" s="22">
        <v>0</v>
      </c>
      <c r="AB48" s="21">
        <v>3</v>
      </c>
      <c r="AC48" s="21">
        <v>3</v>
      </c>
      <c r="AD48" s="22">
        <v>0</v>
      </c>
      <c r="AE48" s="22">
        <v>0</v>
      </c>
      <c r="AF48" s="22">
        <v>0</v>
      </c>
      <c r="AG48" s="21">
        <v>5</v>
      </c>
      <c r="AH48" s="21">
        <v>2</v>
      </c>
      <c r="AI48" s="22">
        <v>0</v>
      </c>
      <c r="AJ48" s="22">
        <v>0</v>
      </c>
      <c r="AK48" s="22">
        <v>0</v>
      </c>
      <c r="AL48" s="22">
        <v>0</v>
      </c>
      <c r="AM48" s="22">
        <v>0</v>
      </c>
      <c r="AN48" s="22">
        <v>0</v>
      </c>
      <c r="AO48" s="22">
        <v>0</v>
      </c>
      <c r="AP48" s="68"/>
      <c r="AT48" s="81"/>
      <c r="AU48"/>
    </row>
    <row r="49" spans="1:47">
      <c r="A49" s="23" t="s">
        <v>243</v>
      </c>
      <c r="B49" s="19" t="s">
        <v>244</v>
      </c>
      <c r="C49" s="19" t="s">
        <v>245</v>
      </c>
      <c r="D49" s="20">
        <f t="shared" si="0"/>
        <v>1918</v>
      </c>
      <c r="E49" s="22">
        <v>60</v>
      </c>
      <c r="F49" s="22">
        <v>0</v>
      </c>
      <c r="G49" s="22">
        <v>0</v>
      </c>
      <c r="H49" s="22">
        <v>150</v>
      </c>
      <c r="I49" s="22">
        <v>180</v>
      </c>
      <c r="J49" s="22">
        <v>0</v>
      </c>
      <c r="K49" s="22">
        <v>0</v>
      </c>
      <c r="L49" s="22">
        <v>0</v>
      </c>
      <c r="M49" s="22">
        <v>0</v>
      </c>
      <c r="N49" s="22">
        <v>0</v>
      </c>
      <c r="O49" s="22">
        <v>0</v>
      </c>
      <c r="P49" s="22">
        <v>280</v>
      </c>
      <c r="Q49" s="22">
        <v>180</v>
      </c>
      <c r="R49" s="22">
        <v>0</v>
      </c>
      <c r="S49" s="22">
        <v>8</v>
      </c>
      <c r="T49" s="22">
        <v>220</v>
      </c>
      <c r="U49" s="22">
        <v>150</v>
      </c>
      <c r="V49" s="22">
        <v>0</v>
      </c>
      <c r="W49" s="22">
        <v>0</v>
      </c>
      <c r="X49" s="22">
        <v>0</v>
      </c>
      <c r="Y49" s="22">
        <v>130</v>
      </c>
      <c r="Z49" s="22">
        <v>0</v>
      </c>
      <c r="AA49" s="22">
        <v>0</v>
      </c>
      <c r="AB49" s="22">
        <v>120</v>
      </c>
      <c r="AC49" s="22">
        <v>140</v>
      </c>
      <c r="AD49" s="22">
        <v>0</v>
      </c>
      <c r="AE49" s="22">
        <v>0</v>
      </c>
      <c r="AF49" s="22">
        <v>0</v>
      </c>
      <c r="AG49" s="22">
        <v>80</v>
      </c>
      <c r="AH49" s="22">
        <v>40</v>
      </c>
      <c r="AI49" s="22">
        <v>180</v>
      </c>
      <c r="AJ49" s="22">
        <v>0</v>
      </c>
      <c r="AK49" s="22">
        <v>0</v>
      </c>
      <c r="AL49" s="22">
        <v>0</v>
      </c>
      <c r="AM49" s="22">
        <v>0</v>
      </c>
      <c r="AN49" s="22">
        <v>0</v>
      </c>
      <c r="AO49" s="22">
        <v>0</v>
      </c>
      <c r="AP49" s="68"/>
      <c r="AT49" s="81"/>
      <c r="AU49"/>
    </row>
    <row r="50" spans="1:47">
      <c r="A50" s="23" t="s">
        <v>246</v>
      </c>
      <c r="B50" s="19" t="s">
        <v>247</v>
      </c>
      <c r="C50" s="19" t="s">
        <v>248</v>
      </c>
      <c r="D50" s="20">
        <f t="shared" si="0"/>
        <v>6</v>
      </c>
      <c r="E50" s="22">
        <v>0</v>
      </c>
      <c r="F50" s="22">
        <v>0</v>
      </c>
      <c r="G50" s="22">
        <v>0</v>
      </c>
      <c r="H50" s="22">
        <v>0</v>
      </c>
      <c r="I50" s="22">
        <v>0</v>
      </c>
      <c r="J50" s="22">
        <v>0</v>
      </c>
      <c r="K50" s="22">
        <v>0</v>
      </c>
      <c r="L50" s="22">
        <v>0</v>
      </c>
      <c r="M50" s="22">
        <v>0</v>
      </c>
      <c r="N50" s="22">
        <v>0</v>
      </c>
      <c r="O50" s="22">
        <v>0</v>
      </c>
      <c r="P50" s="22">
        <v>1</v>
      </c>
      <c r="Q50" s="22">
        <v>0</v>
      </c>
      <c r="R50" s="22">
        <v>0</v>
      </c>
      <c r="S50" s="22">
        <v>0</v>
      </c>
      <c r="T50" s="22">
        <v>0</v>
      </c>
      <c r="U50" s="22">
        <v>0</v>
      </c>
      <c r="V50" s="22">
        <v>0</v>
      </c>
      <c r="W50" s="22">
        <v>0</v>
      </c>
      <c r="X50" s="22">
        <v>0</v>
      </c>
      <c r="Y50" s="22">
        <v>0</v>
      </c>
      <c r="Z50" s="22">
        <v>1</v>
      </c>
      <c r="AA50" s="22">
        <v>0</v>
      </c>
      <c r="AB50" s="22">
        <v>1</v>
      </c>
      <c r="AC50" s="22">
        <v>1</v>
      </c>
      <c r="AD50" s="22">
        <v>0</v>
      </c>
      <c r="AE50" s="22">
        <v>0</v>
      </c>
      <c r="AF50" s="22">
        <v>0</v>
      </c>
      <c r="AG50" s="22">
        <v>1</v>
      </c>
      <c r="AH50" s="22">
        <v>0</v>
      </c>
      <c r="AI50" s="22">
        <v>0</v>
      </c>
      <c r="AJ50" s="22">
        <v>0</v>
      </c>
      <c r="AK50" s="22">
        <v>0</v>
      </c>
      <c r="AL50" s="22">
        <v>0</v>
      </c>
      <c r="AM50" s="22">
        <v>1</v>
      </c>
      <c r="AN50" s="22">
        <v>0</v>
      </c>
      <c r="AO50" s="22">
        <v>0</v>
      </c>
      <c r="AP50" s="68"/>
      <c r="AT50" s="81"/>
      <c r="AU50"/>
    </row>
    <row r="51" spans="1:47">
      <c r="A51" s="23" t="s">
        <v>249</v>
      </c>
      <c r="B51" s="19" t="s">
        <v>250</v>
      </c>
      <c r="C51" s="19" t="s">
        <v>236</v>
      </c>
      <c r="D51" s="20">
        <f t="shared" si="0"/>
        <v>0</v>
      </c>
      <c r="E51" s="22">
        <v>0</v>
      </c>
      <c r="F51" s="22">
        <v>0</v>
      </c>
      <c r="G51" s="22">
        <v>0</v>
      </c>
      <c r="H51" s="22">
        <v>0</v>
      </c>
      <c r="I51" s="22">
        <v>0</v>
      </c>
      <c r="J51" s="22">
        <v>0</v>
      </c>
      <c r="K51" s="22">
        <v>0</v>
      </c>
      <c r="L51" s="22">
        <v>0</v>
      </c>
      <c r="M51" s="22">
        <v>0</v>
      </c>
      <c r="N51" s="22">
        <v>0</v>
      </c>
      <c r="O51" s="22">
        <v>0</v>
      </c>
      <c r="P51" s="22">
        <v>0</v>
      </c>
      <c r="Q51" s="22">
        <v>0</v>
      </c>
      <c r="R51" s="22">
        <v>0</v>
      </c>
      <c r="S51" s="22">
        <v>0</v>
      </c>
      <c r="T51" s="22">
        <v>0</v>
      </c>
      <c r="U51" s="22">
        <v>0</v>
      </c>
      <c r="V51" s="22">
        <v>0</v>
      </c>
      <c r="W51" s="22">
        <v>0</v>
      </c>
      <c r="X51" s="22">
        <v>0</v>
      </c>
      <c r="Y51" s="22">
        <v>0</v>
      </c>
      <c r="Z51" s="22">
        <v>0</v>
      </c>
      <c r="AA51" s="22">
        <v>0</v>
      </c>
      <c r="AB51" s="22">
        <v>0</v>
      </c>
      <c r="AC51" s="22">
        <v>0</v>
      </c>
      <c r="AD51" s="22">
        <v>0</v>
      </c>
      <c r="AE51" s="22">
        <v>0</v>
      </c>
      <c r="AF51" s="22">
        <v>0</v>
      </c>
      <c r="AG51" s="22">
        <v>0</v>
      </c>
      <c r="AH51" s="22">
        <v>0</v>
      </c>
      <c r="AI51" s="22">
        <v>0</v>
      </c>
      <c r="AJ51" s="22">
        <v>0</v>
      </c>
      <c r="AK51" s="22">
        <v>0</v>
      </c>
      <c r="AL51" s="22">
        <v>0</v>
      </c>
      <c r="AM51" s="22">
        <v>0</v>
      </c>
      <c r="AN51" s="22">
        <v>0</v>
      </c>
      <c r="AO51" s="22">
        <v>0</v>
      </c>
      <c r="AP51" s="68"/>
      <c r="AT51" s="81"/>
      <c r="AU51"/>
    </row>
    <row r="52" spans="1:47">
      <c r="A52" s="23" t="s">
        <v>251</v>
      </c>
      <c r="B52" s="19" t="s">
        <v>252</v>
      </c>
      <c r="C52" s="19" t="s">
        <v>253</v>
      </c>
      <c r="D52" s="20">
        <f t="shared" si="0"/>
        <v>21</v>
      </c>
      <c r="E52" s="22">
        <v>0</v>
      </c>
      <c r="F52" s="22">
        <v>0</v>
      </c>
      <c r="G52" s="21">
        <v>2</v>
      </c>
      <c r="H52" s="21">
        <v>2</v>
      </c>
      <c r="I52" s="22">
        <v>0</v>
      </c>
      <c r="J52" s="22">
        <v>0</v>
      </c>
      <c r="K52" s="22">
        <v>0</v>
      </c>
      <c r="L52" s="22">
        <v>0</v>
      </c>
      <c r="M52" s="22">
        <v>0</v>
      </c>
      <c r="N52" s="22">
        <v>0</v>
      </c>
      <c r="O52" s="22">
        <v>0</v>
      </c>
      <c r="P52" s="21">
        <v>4</v>
      </c>
      <c r="Q52" s="22">
        <v>0</v>
      </c>
      <c r="R52" s="22">
        <v>0</v>
      </c>
      <c r="S52" s="22">
        <v>0</v>
      </c>
      <c r="T52" s="22">
        <v>0</v>
      </c>
      <c r="U52" s="22">
        <v>0</v>
      </c>
      <c r="V52" s="22">
        <v>0</v>
      </c>
      <c r="W52" s="22">
        <v>0</v>
      </c>
      <c r="X52" s="22">
        <v>0</v>
      </c>
      <c r="Y52" s="22">
        <v>0</v>
      </c>
      <c r="Z52" s="21">
        <v>2</v>
      </c>
      <c r="AA52" s="22">
        <v>0</v>
      </c>
      <c r="AB52" s="21">
        <v>3</v>
      </c>
      <c r="AC52" s="21">
        <v>2</v>
      </c>
      <c r="AD52" s="22">
        <v>0</v>
      </c>
      <c r="AE52" s="22">
        <v>0</v>
      </c>
      <c r="AF52" s="22">
        <v>0</v>
      </c>
      <c r="AG52" s="21">
        <v>2</v>
      </c>
      <c r="AH52" s="21">
        <v>2</v>
      </c>
      <c r="AI52" s="22">
        <v>0</v>
      </c>
      <c r="AJ52" s="22">
        <v>0</v>
      </c>
      <c r="AK52" s="22">
        <v>0</v>
      </c>
      <c r="AL52" s="22">
        <v>0</v>
      </c>
      <c r="AM52" s="21">
        <v>2</v>
      </c>
      <c r="AN52" s="22">
        <v>0</v>
      </c>
      <c r="AO52" s="22">
        <v>0</v>
      </c>
      <c r="AP52" s="68"/>
      <c r="AT52" s="81"/>
      <c r="AU52"/>
    </row>
    <row r="53" spans="1:47">
      <c r="A53" s="23" t="s">
        <v>254</v>
      </c>
      <c r="B53" s="19" t="s">
        <v>255</v>
      </c>
      <c r="C53" s="19" t="s">
        <v>256</v>
      </c>
      <c r="D53" s="20">
        <f t="shared" si="0"/>
        <v>23</v>
      </c>
      <c r="E53" s="22">
        <v>0</v>
      </c>
      <c r="F53" s="22">
        <v>0</v>
      </c>
      <c r="G53" s="22">
        <v>0</v>
      </c>
      <c r="H53" s="22">
        <v>0</v>
      </c>
      <c r="I53" s="22">
        <v>0</v>
      </c>
      <c r="J53" s="22">
        <v>0</v>
      </c>
      <c r="K53" s="22">
        <v>0</v>
      </c>
      <c r="L53" s="22">
        <v>0</v>
      </c>
      <c r="M53" s="22">
        <v>0</v>
      </c>
      <c r="N53" s="22">
        <v>0</v>
      </c>
      <c r="O53" s="22">
        <v>0</v>
      </c>
      <c r="P53" s="21">
        <v>17</v>
      </c>
      <c r="Q53" s="22">
        <v>0</v>
      </c>
      <c r="R53" s="22">
        <v>0</v>
      </c>
      <c r="S53" s="22">
        <v>0</v>
      </c>
      <c r="T53" s="22">
        <v>0</v>
      </c>
      <c r="U53" s="22">
        <v>0</v>
      </c>
      <c r="V53" s="22">
        <v>0</v>
      </c>
      <c r="W53" s="22">
        <v>0</v>
      </c>
      <c r="X53" s="22">
        <v>0</v>
      </c>
      <c r="Y53" s="21">
        <v>2</v>
      </c>
      <c r="Z53" s="22">
        <v>0</v>
      </c>
      <c r="AA53" s="22">
        <v>0</v>
      </c>
      <c r="AB53" s="21">
        <v>1</v>
      </c>
      <c r="AC53" s="21">
        <v>1</v>
      </c>
      <c r="AD53" s="22">
        <v>0</v>
      </c>
      <c r="AE53" s="22">
        <v>0</v>
      </c>
      <c r="AF53" s="22">
        <v>0</v>
      </c>
      <c r="AG53" s="21">
        <v>1</v>
      </c>
      <c r="AH53" s="21">
        <v>1</v>
      </c>
      <c r="AI53" s="22">
        <v>0</v>
      </c>
      <c r="AJ53" s="22">
        <v>0</v>
      </c>
      <c r="AK53" s="22">
        <v>0</v>
      </c>
      <c r="AL53" s="22">
        <v>0</v>
      </c>
      <c r="AM53" s="22">
        <v>0</v>
      </c>
      <c r="AN53" s="22">
        <v>0</v>
      </c>
      <c r="AO53" s="22">
        <v>0</v>
      </c>
      <c r="AP53" s="68"/>
      <c r="AT53" s="81"/>
      <c r="AU53"/>
    </row>
    <row r="54" spans="1:47">
      <c r="A54" s="23" t="s">
        <v>257</v>
      </c>
      <c r="B54" s="19" t="s">
        <v>258</v>
      </c>
      <c r="C54" s="19" t="s">
        <v>259</v>
      </c>
      <c r="D54" s="20">
        <f t="shared" si="0"/>
        <v>14</v>
      </c>
      <c r="E54" s="21">
        <v>1</v>
      </c>
      <c r="F54" s="22">
        <v>0</v>
      </c>
      <c r="G54" s="21">
        <v>1</v>
      </c>
      <c r="H54" s="21">
        <v>1</v>
      </c>
      <c r="I54" s="22">
        <v>0</v>
      </c>
      <c r="J54" s="22">
        <v>0</v>
      </c>
      <c r="K54" s="22">
        <v>0</v>
      </c>
      <c r="L54" s="21">
        <v>1</v>
      </c>
      <c r="M54" s="22">
        <v>0</v>
      </c>
      <c r="N54" s="22">
        <v>0</v>
      </c>
      <c r="O54" s="22">
        <v>0</v>
      </c>
      <c r="P54" s="22">
        <v>0</v>
      </c>
      <c r="Q54" s="21">
        <v>1</v>
      </c>
      <c r="R54" s="22">
        <v>0</v>
      </c>
      <c r="S54" s="22">
        <v>0</v>
      </c>
      <c r="T54" s="21">
        <v>1</v>
      </c>
      <c r="U54" s="22">
        <v>0</v>
      </c>
      <c r="V54" s="22">
        <v>0</v>
      </c>
      <c r="W54" s="22">
        <v>0</v>
      </c>
      <c r="X54" s="22">
        <v>0</v>
      </c>
      <c r="Y54" s="21">
        <v>1</v>
      </c>
      <c r="Z54" s="21">
        <v>1</v>
      </c>
      <c r="AA54" s="22">
        <v>0</v>
      </c>
      <c r="AB54" s="21">
        <v>1</v>
      </c>
      <c r="AC54" s="21">
        <v>1</v>
      </c>
      <c r="AD54" s="22">
        <v>0</v>
      </c>
      <c r="AE54" s="22">
        <v>0</v>
      </c>
      <c r="AF54" s="22">
        <v>0</v>
      </c>
      <c r="AG54" s="22">
        <v>0</v>
      </c>
      <c r="AH54" s="21">
        <v>1</v>
      </c>
      <c r="AI54" s="22">
        <v>0</v>
      </c>
      <c r="AJ54" s="21">
        <v>2</v>
      </c>
      <c r="AK54" s="22">
        <v>0</v>
      </c>
      <c r="AL54" s="22">
        <v>0</v>
      </c>
      <c r="AM54" s="21">
        <v>1</v>
      </c>
      <c r="AN54" s="22">
        <v>0</v>
      </c>
      <c r="AO54" s="22">
        <v>0</v>
      </c>
      <c r="AP54" s="67"/>
      <c r="AT54" s="81"/>
      <c r="AU54"/>
    </row>
    <row r="55" spans="1:47">
      <c r="A55" s="23" t="s">
        <v>257</v>
      </c>
      <c r="B55" s="19" t="s">
        <v>260</v>
      </c>
      <c r="C55" s="19" t="s">
        <v>259</v>
      </c>
      <c r="D55" s="20">
        <f t="shared" si="0"/>
        <v>4</v>
      </c>
      <c r="E55" s="22">
        <v>0</v>
      </c>
      <c r="F55" s="22">
        <v>0</v>
      </c>
      <c r="G55" s="22">
        <v>0</v>
      </c>
      <c r="H55" s="22">
        <v>0</v>
      </c>
      <c r="I55" s="22">
        <v>0</v>
      </c>
      <c r="J55" s="22">
        <v>0</v>
      </c>
      <c r="K55" s="22">
        <v>0</v>
      </c>
      <c r="L55" s="22">
        <v>0</v>
      </c>
      <c r="M55" s="22">
        <v>0</v>
      </c>
      <c r="N55" s="22">
        <v>0</v>
      </c>
      <c r="O55" s="22">
        <v>0</v>
      </c>
      <c r="P55" s="22">
        <v>2</v>
      </c>
      <c r="Q55" s="22">
        <v>0</v>
      </c>
      <c r="R55" s="22">
        <v>0</v>
      </c>
      <c r="S55" s="22">
        <v>0</v>
      </c>
      <c r="T55" s="22">
        <v>0</v>
      </c>
      <c r="U55" s="22">
        <v>0</v>
      </c>
      <c r="V55" s="22">
        <v>0</v>
      </c>
      <c r="W55" s="22">
        <v>0</v>
      </c>
      <c r="X55" s="22">
        <v>0</v>
      </c>
      <c r="Y55" s="22">
        <v>0</v>
      </c>
      <c r="Z55" s="22">
        <v>0</v>
      </c>
      <c r="AA55" s="22">
        <v>0</v>
      </c>
      <c r="AB55" s="22">
        <v>0</v>
      </c>
      <c r="AC55" s="22">
        <v>1</v>
      </c>
      <c r="AD55" s="22">
        <v>0</v>
      </c>
      <c r="AE55" s="22">
        <v>0</v>
      </c>
      <c r="AF55" s="22">
        <v>0</v>
      </c>
      <c r="AG55" s="22">
        <v>1</v>
      </c>
      <c r="AH55" s="22">
        <v>0</v>
      </c>
      <c r="AI55" s="22">
        <v>0</v>
      </c>
      <c r="AJ55" s="22">
        <v>0</v>
      </c>
      <c r="AK55" s="22">
        <v>0</v>
      </c>
      <c r="AL55" s="22">
        <v>0</v>
      </c>
      <c r="AM55" s="22">
        <v>0</v>
      </c>
      <c r="AN55" s="22">
        <v>0</v>
      </c>
      <c r="AO55" s="22">
        <v>0</v>
      </c>
      <c r="AP55" s="67"/>
      <c r="AT55" s="81"/>
      <c r="AU55"/>
    </row>
    <row r="56" spans="1:47">
      <c r="A56" s="23" t="s">
        <v>257</v>
      </c>
      <c r="B56" s="19" t="s">
        <v>261</v>
      </c>
      <c r="C56" s="19" t="s">
        <v>259</v>
      </c>
      <c r="D56" s="20">
        <f t="shared" si="0"/>
        <v>0</v>
      </c>
      <c r="E56" s="22">
        <v>0</v>
      </c>
      <c r="F56" s="22">
        <v>0</v>
      </c>
      <c r="G56" s="22">
        <v>0</v>
      </c>
      <c r="H56" s="22">
        <v>0</v>
      </c>
      <c r="I56" s="22">
        <v>0</v>
      </c>
      <c r="J56" s="22">
        <v>0</v>
      </c>
      <c r="K56" s="22">
        <v>0</v>
      </c>
      <c r="L56" s="22">
        <v>0</v>
      </c>
      <c r="M56" s="22">
        <v>0</v>
      </c>
      <c r="N56" s="22">
        <v>0</v>
      </c>
      <c r="O56" s="22">
        <v>0</v>
      </c>
      <c r="P56" s="22">
        <v>0</v>
      </c>
      <c r="Q56" s="22">
        <v>0</v>
      </c>
      <c r="R56" s="22">
        <v>0</v>
      </c>
      <c r="S56" s="22">
        <v>0</v>
      </c>
      <c r="T56" s="22">
        <v>0</v>
      </c>
      <c r="U56" s="22">
        <v>0</v>
      </c>
      <c r="V56" s="22">
        <v>0</v>
      </c>
      <c r="W56" s="22">
        <v>0</v>
      </c>
      <c r="X56" s="22">
        <v>0</v>
      </c>
      <c r="Y56" s="22">
        <v>0</v>
      </c>
      <c r="Z56" s="22">
        <v>0</v>
      </c>
      <c r="AA56" s="22">
        <v>0</v>
      </c>
      <c r="AB56" s="22">
        <v>0</v>
      </c>
      <c r="AC56" s="22">
        <v>0</v>
      </c>
      <c r="AD56" s="22">
        <v>0</v>
      </c>
      <c r="AE56" s="22">
        <v>0</v>
      </c>
      <c r="AF56" s="22">
        <v>0</v>
      </c>
      <c r="AG56" s="22">
        <v>0</v>
      </c>
      <c r="AH56" s="22">
        <v>0</v>
      </c>
      <c r="AI56" s="22">
        <v>0</v>
      </c>
      <c r="AJ56" s="22">
        <v>0</v>
      </c>
      <c r="AK56" s="22">
        <v>0</v>
      </c>
      <c r="AL56" s="22">
        <v>0</v>
      </c>
      <c r="AM56" s="22">
        <v>0</v>
      </c>
      <c r="AN56" s="22">
        <v>0</v>
      </c>
      <c r="AO56" s="22">
        <v>0</v>
      </c>
      <c r="AP56" s="67"/>
      <c r="AT56" s="81"/>
      <c r="AU56"/>
    </row>
    <row r="57" spans="1:47">
      <c r="A57" s="23" t="s">
        <v>262</v>
      </c>
      <c r="B57" s="19" t="s">
        <v>263</v>
      </c>
      <c r="C57" s="19" t="s">
        <v>259</v>
      </c>
      <c r="D57" s="20">
        <f t="shared" si="0"/>
        <v>2</v>
      </c>
      <c r="E57" s="22">
        <v>0</v>
      </c>
      <c r="F57" s="22">
        <v>0</v>
      </c>
      <c r="G57" s="22">
        <v>0</v>
      </c>
      <c r="H57" s="22">
        <v>0</v>
      </c>
      <c r="I57" s="22">
        <v>0</v>
      </c>
      <c r="J57" s="22">
        <v>0</v>
      </c>
      <c r="K57" s="22">
        <v>0</v>
      </c>
      <c r="L57" s="22">
        <v>0</v>
      </c>
      <c r="M57" s="22">
        <v>0</v>
      </c>
      <c r="N57" s="22">
        <v>0</v>
      </c>
      <c r="O57" s="22">
        <v>0</v>
      </c>
      <c r="P57" s="21">
        <v>1</v>
      </c>
      <c r="Q57" s="22">
        <v>0</v>
      </c>
      <c r="R57" s="22">
        <v>0</v>
      </c>
      <c r="S57" s="22">
        <v>0</v>
      </c>
      <c r="T57" s="22">
        <v>0</v>
      </c>
      <c r="U57" s="22">
        <v>0</v>
      </c>
      <c r="V57" s="22">
        <v>0</v>
      </c>
      <c r="W57" s="22">
        <v>0</v>
      </c>
      <c r="X57" s="22">
        <v>0</v>
      </c>
      <c r="Y57" s="22">
        <v>0</v>
      </c>
      <c r="Z57" s="22">
        <v>0</v>
      </c>
      <c r="AA57" s="22">
        <v>0</v>
      </c>
      <c r="AB57" s="22">
        <v>0</v>
      </c>
      <c r="AC57" s="22">
        <v>0</v>
      </c>
      <c r="AD57" s="22">
        <v>0</v>
      </c>
      <c r="AE57" s="22">
        <v>0</v>
      </c>
      <c r="AF57" s="22">
        <v>0</v>
      </c>
      <c r="AG57" s="21">
        <v>1</v>
      </c>
      <c r="AH57" s="22">
        <v>0</v>
      </c>
      <c r="AI57" s="22">
        <v>0</v>
      </c>
      <c r="AJ57" s="22">
        <v>0</v>
      </c>
      <c r="AK57" s="22">
        <v>0</v>
      </c>
      <c r="AL57" s="22">
        <v>0</v>
      </c>
      <c r="AM57" s="22">
        <v>0</v>
      </c>
      <c r="AN57" s="22">
        <v>0</v>
      </c>
      <c r="AO57" s="22">
        <v>0</v>
      </c>
      <c r="AP57" s="67"/>
      <c r="AT57" s="81"/>
      <c r="AU57"/>
    </row>
    <row r="58" spans="1:47">
      <c r="A58" s="23"/>
      <c r="B58" s="19" t="s">
        <v>264</v>
      </c>
      <c r="C58" s="19" t="s">
        <v>265</v>
      </c>
      <c r="D58" s="20">
        <f t="shared" si="0"/>
        <v>26</v>
      </c>
      <c r="E58" s="22">
        <v>0</v>
      </c>
      <c r="F58" s="22">
        <v>0</v>
      </c>
      <c r="G58" s="22">
        <v>0</v>
      </c>
      <c r="H58" s="21">
        <v>3</v>
      </c>
      <c r="I58" s="22">
        <v>0</v>
      </c>
      <c r="J58" s="22">
        <v>0</v>
      </c>
      <c r="K58" s="22">
        <v>0</v>
      </c>
      <c r="L58" s="21">
        <v>1</v>
      </c>
      <c r="M58" s="22">
        <v>0</v>
      </c>
      <c r="N58" s="22">
        <v>0</v>
      </c>
      <c r="O58" s="22">
        <v>0</v>
      </c>
      <c r="P58" s="21">
        <v>5</v>
      </c>
      <c r="Q58" s="21">
        <v>1</v>
      </c>
      <c r="R58" s="22">
        <v>0</v>
      </c>
      <c r="S58" s="22">
        <v>0</v>
      </c>
      <c r="T58" s="22">
        <v>0</v>
      </c>
      <c r="U58" s="22">
        <v>0</v>
      </c>
      <c r="V58" s="22">
        <v>0</v>
      </c>
      <c r="W58" s="21">
        <v>1</v>
      </c>
      <c r="X58" s="22">
        <v>0</v>
      </c>
      <c r="Y58" s="22">
        <v>0</v>
      </c>
      <c r="Z58" s="21">
        <v>3</v>
      </c>
      <c r="AA58" s="22">
        <v>0</v>
      </c>
      <c r="AB58" s="21">
        <v>4</v>
      </c>
      <c r="AC58" s="21">
        <v>3</v>
      </c>
      <c r="AD58" s="22">
        <v>0</v>
      </c>
      <c r="AE58" s="22">
        <v>0</v>
      </c>
      <c r="AF58" s="22">
        <v>0</v>
      </c>
      <c r="AG58" s="21">
        <v>3</v>
      </c>
      <c r="AH58" s="21">
        <v>2</v>
      </c>
      <c r="AI58" s="22">
        <v>0</v>
      </c>
      <c r="AJ58" s="22">
        <v>0</v>
      </c>
      <c r="AK58" s="22">
        <v>0</v>
      </c>
      <c r="AL58" s="22">
        <v>0</v>
      </c>
      <c r="AM58" s="22">
        <v>0</v>
      </c>
      <c r="AN58" s="22">
        <v>0</v>
      </c>
      <c r="AO58" s="22">
        <v>0</v>
      </c>
      <c r="AP58" s="67"/>
      <c r="AT58" s="81"/>
      <c r="AU58"/>
    </row>
    <row r="59" spans="1:47">
      <c r="A59" s="23" t="s">
        <v>262</v>
      </c>
      <c r="B59" s="19" t="s">
        <v>266</v>
      </c>
      <c r="C59" s="19" t="s">
        <v>265</v>
      </c>
      <c r="D59" s="20">
        <f t="shared" si="0"/>
        <v>26</v>
      </c>
      <c r="E59" s="21">
        <v>1</v>
      </c>
      <c r="F59" s="22">
        <v>0</v>
      </c>
      <c r="G59" s="22">
        <v>0</v>
      </c>
      <c r="H59" s="21">
        <v>1</v>
      </c>
      <c r="I59" s="22">
        <v>0</v>
      </c>
      <c r="J59" s="22">
        <v>0</v>
      </c>
      <c r="K59" s="22">
        <v>0</v>
      </c>
      <c r="L59" s="22">
        <v>0</v>
      </c>
      <c r="M59" s="22">
        <v>0</v>
      </c>
      <c r="N59" s="22">
        <v>0</v>
      </c>
      <c r="O59" s="22">
        <v>0</v>
      </c>
      <c r="P59" s="21">
        <v>9</v>
      </c>
      <c r="Q59" s="21">
        <v>1</v>
      </c>
      <c r="R59" s="22">
        <v>0</v>
      </c>
      <c r="S59" s="22">
        <v>0</v>
      </c>
      <c r="T59" s="22">
        <v>0</v>
      </c>
      <c r="U59" s="22">
        <v>0</v>
      </c>
      <c r="V59" s="22">
        <v>0</v>
      </c>
      <c r="W59" s="22">
        <v>0</v>
      </c>
      <c r="X59" s="22">
        <v>0</v>
      </c>
      <c r="Y59" s="22">
        <v>0</v>
      </c>
      <c r="Z59" s="21">
        <v>4</v>
      </c>
      <c r="AA59" s="22">
        <v>0</v>
      </c>
      <c r="AB59" s="21">
        <v>3</v>
      </c>
      <c r="AC59" s="21">
        <v>1</v>
      </c>
      <c r="AD59" s="22">
        <v>0</v>
      </c>
      <c r="AE59" s="22">
        <v>0</v>
      </c>
      <c r="AF59" s="22">
        <v>0</v>
      </c>
      <c r="AG59" s="21">
        <v>4</v>
      </c>
      <c r="AH59" s="22">
        <v>0</v>
      </c>
      <c r="AI59" s="21">
        <v>1</v>
      </c>
      <c r="AJ59" s="21">
        <v>1</v>
      </c>
      <c r="AK59" s="22">
        <v>0</v>
      </c>
      <c r="AL59" s="22">
        <v>0</v>
      </c>
      <c r="AM59" s="22">
        <v>0</v>
      </c>
      <c r="AN59" s="22">
        <v>0</v>
      </c>
      <c r="AO59" s="22">
        <v>0</v>
      </c>
      <c r="AP59" s="67"/>
      <c r="AT59" s="81"/>
      <c r="AU59"/>
    </row>
    <row r="60" spans="1:47">
      <c r="A60" s="23" t="s">
        <v>262</v>
      </c>
      <c r="B60" s="19" t="s">
        <v>267</v>
      </c>
      <c r="C60" s="19" t="s">
        <v>265</v>
      </c>
      <c r="D60" s="20">
        <f t="shared" si="0"/>
        <v>0</v>
      </c>
      <c r="E60" s="22">
        <v>0</v>
      </c>
      <c r="F60" s="22">
        <v>0</v>
      </c>
      <c r="G60" s="22">
        <v>0</v>
      </c>
      <c r="H60" s="22">
        <v>0</v>
      </c>
      <c r="I60" s="22">
        <v>0</v>
      </c>
      <c r="J60" s="22">
        <v>0</v>
      </c>
      <c r="K60" s="22">
        <v>0</v>
      </c>
      <c r="L60" s="22">
        <v>0</v>
      </c>
      <c r="M60" s="22">
        <v>0</v>
      </c>
      <c r="N60" s="22">
        <v>0</v>
      </c>
      <c r="O60" s="22">
        <v>0</v>
      </c>
      <c r="P60" s="22">
        <v>0</v>
      </c>
      <c r="Q60" s="22">
        <v>0</v>
      </c>
      <c r="R60" s="22">
        <v>0</v>
      </c>
      <c r="S60" s="22">
        <v>0</v>
      </c>
      <c r="T60" s="22">
        <v>0</v>
      </c>
      <c r="U60" s="22">
        <v>0</v>
      </c>
      <c r="V60" s="22">
        <v>0</v>
      </c>
      <c r="W60" s="22">
        <v>0</v>
      </c>
      <c r="X60" s="22">
        <v>0</v>
      </c>
      <c r="Y60" s="22">
        <v>0</v>
      </c>
      <c r="Z60" s="22">
        <v>0</v>
      </c>
      <c r="AA60" s="22">
        <v>0</v>
      </c>
      <c r="AB60" s="22">
        <v>0</v>
      </c>
      <c r="AC60" s="22">
        <v>0</v>
      </c>
      <c r="AD60" s="22">
        <v>0</v>
      </c>
      <c r="AE60" s="22">
        <v>0</v>
      </c>
      <c r="AF60" s="22">
        <v>0</v>
      </c>
      <c r="AG60" s="22">
        <v>0</v>
      </c>
      <c r="AH60" s="22">
        <v>0</v>
      </c>
      <c r="AI60" s="22">
        <v>0</v>
      </c>
      <c r="AJ60" s="22">
        <v>0</v>
      </c>
      <c r="AK60" s="22">
        <v>0</v>
      </c>
      <c r="AL60" s="22">
        <v>0</v>
      </c>
      <c r="AM60" s="22">
        <v>0</v>
      </c>
      <c r="AN60" s="22">
        <v>0</v>
      </c>
      <c r="AO60" s="22">
        <v>0</v>
      </c>
      <c r="AP60" s="67"/>
      <c r="AT60" s="81"/>
      <c r="AU60"/>
    </row>
    <row r="61" spans="1:47">
      <c r="A61" s="23" t="s">
        <v>262</v>
      </c>
      <c r="B61" s="19" t="s">
        <v>268</v>
      </c>
      <c r="C61" s="19" t="s">
        <v>265</v>
      </c>
      <c r="D61" s="20">
        <f t="shared" si="0"/>
        <v>9</v>
      </c>
      <c r="E61" s="22">
        <v>0</v>
      </c>
      <c r="F61" s="22">
        <v>0</v>
      </c>
      <c r="G61" s="22">
        <v>0</v>
      </c>
      <c r="H61" s="22">
        <v>0</v>
      </c>
      <c r="I61" s="22">
        <v>0</v>
      </c>
      <c r="J61" s="22">
        <v>0</v>
      </c>
      <c r="K61" s="22">
        <v>0</v>
      </c>
      <c r="L61" s="22">
        <v>0</v>
      </c>
      <c r="M61" s="22">
        <v>0</v>
      </c>
      <c r="N61" s="22">
        <v>0</v>
      </c>
      <c r="O61" s="22">
        <v>0</v>
      </c>
      <c r="P61" s="21">
        <v>5</v>
      </c>
      <c r="Q61" s="22">
        <v>0</v>
      </c>
      <c r="R61" s="22">
        <v>0</v>
      </c>
      <c r="S61" s="22">
        <v>0</v>
      </c>
      <c r="T61" s="21">
        <v>1</v>
      </c>
      <c r="U61" s="22">
        <v>0</v>
      </c>
      <c r="V61" s="22">
        <v>0</v>
      </c>
      <c r="W61" s="22">
        <v>0</v>
      </c>
      <c r="X61" s="22">
        <v>0</v>
      </c>
      <c r="Y61" s="21">
        <v>1</v>
      </c>
      <c r="Z61" s="22">
        <v>0</v>
      </c>
      <c r="AA61" s="22">
        <v>0</v>
      </c>
      <c r="AB61" s="22">
        <v>0</v>
      </c>
      <c r="AC61" s="22">
        <v>0</v>
      </c>
      <c r="AD61" s="22">
        <v>0</v>
      </c>
      <c r="AE61" s="22">
        <v>0</v>
      </c>
      <c r="AF61" s="22">
        <v>0</v>
      </c>
      <c r="AG61" s="21">
        <v>2</v>
      </c>
      <c r="AH61" s="22">
        <v>0</v>
      </c>
      <c r="AI61" s="22">
        <v>0</v>
      </c>
      <c r="AJ61" s="22">
        <v>0</v>
      </c>
      <c r="AK61" s="22">
        <v>0</v>
      </c>
      <c r="AL61" s="22">
        <v>0</v>
      </c>
      <c r="AM61" s="22">
        <v>0</v>
      </c>
      <c r="AN61" s="22">
        <v>0</v>
      </c>
      <c r="AO61" s="22">
        <v>0</v>
      </c>
      <c r="AP61" s="67"/>
      <c r="AT61" s="81"/>
      <c r="AU61"/>
    </row>
    <row r="62" spans="1:47" ht="12" customHeight="1">
      <c r="A62" s="23" t="s">
        <v>262</v>
      </c>
      <c r="B62" s="19" t="s">
        <v>269</v>
      </c>
      <c r="C62" s="19" t="s">
        <v>265</v>
      </c>
      <c r="D62" s="20">
        <f t="shared" si="0"/>
        <v>3</v>
      </c>
      <c r="E62" s="22">
        <v>0</v>
      </c>
      <c r="F62" s="22">
        <v>0</v>
      </c>
      <c r="G62" s="22">
        <v>0</v>
      </c>
      <c r="H62" s="22">
        <v>0</v>
      </c>
      <c r="I62" s="22">
        <v>0</v>
      </c>
      <c r="J62" s="22">
        <v>0</v>
      </c>
      <c r="K62" s="22">
        <v>0</v>
      </c>
      <c r="L62" s="22">
        <v>0</v>
      </c>
      <c r="M62" s="22">
        <v>0</v>
      </c>
      <c r="N62" s="22">
        <v>0</v>
      </c>
      <c r="O62" s="22">
        <v>0</v>
      </c>
      <c r="P62" s="21">
        <v>2</v>
      </c>
      <c r="Q62" s="22">
        <v>0</v>
      </c>
      <c r="R62" s="22">
        <v>0</v>
      </c>
      <c r="S62" s="22">
        <v>0</v>
      </c>
      <c r="T62" s="22">
        <v>0</v>
      </c>
      <c r="U62" s="22">
        <v>0</v>
      </c>
      <c r="V62" s="22">
        <v>0</v>
      </c>
      <c r="W62" s="22">
        <v>0</v>
      </c>
      <c r="X62" s="22">
        <v>0</v>
      </c>
      <c r="Y62" s="22">
        <v>0</v>
      </c>
      <c r="Z62" s="22">
        <v>0</v>
      </c>
      <c r="AA62" s="22">
        <v>0</v>
      </c>
      <c r="AB62" s="22">
        <v>0</v>
      </c>
      <c r="AC62" s="21">
        <v>1</v>
      </c>
      <c r="AD62" s="22">
        <v>0</v>
      </c>
      <c r="AE62" s="22">
        <v>0</v>
      </c>
      <c r="AF62" s="22">
        <v>0</v>
      </c>
      <c r="AG62" s="22">
        <v>0</v>
      </c>
      <c r="AH62" s="22">
        <v>0</v>
      </c>
      <c r="AI62" s="22">
        <v>0</v>
      </c>
      <c r="AJ62" s="22">
        <v>0</v>
      </c>
      <c r="AK62" s="22">
        <v>0</v>
      </c>
      <c r="AL62" s="22">
        <v>0</v>
      </c>
      <c r="AM62" s="22">
        <v>0</v>
      </c>
      <c r="AN62" s="22">
        <v>0</v>
      </c>
      <c r="AO62" s="22">
        <v>0</v>
      </c>
      <c r="AP62" s="67"/>
      <c r="AT62" s="81"/>
      <c r="AU62"/>
    </row>
    <row r="63" spans="1:47">
      <c r="A63" s="23" t="s">
        <v>270</v>
      </c>
      <c r="B63" s="19" t="s">
        <v>271</v>
      </c>
      <c r="C63" s="19" t="s">
        <v>272</v>
      </c>
      <c r="D63" s="20">
        <f t="shared" si="0"/>
        <v>94</v>
      </c>
      <c r="E63" s="22">
        <v>0</v>
      </c>
      <c r="F63" s="22">
        <v>0</v>
      </c>
      <c r="G63" s="22">
        <v>0</v>
      </c>
      <c r="H63" s="22">
        <v>0</v>
      </c>
      <c r="I63" s="22">
        <v>0</v>
      </c>
      <c r="J63" s="22">
        <v>0</v>
      </c>
      <c r="K63" s="22">
        <v>0</v>
      </c>
      <c r="L63" s="22">
        <v>0</v>
      </c>
      <c r="M63" s="22">
        <v>0</v>
      </c>
      <c r="N63" s="22">
        <v>0</v>
      </c>
      <c r="O63" s="22">
        <v>0</v>
      </c>
      <c r="P63" s="22">
        <v>70</v>
      </c>
      <c r="Q63" s="22">
        <v>0</v>
      </c>
      <c r="R63" s="22">
        <v>0</v>
      </c>
      <c r="S63" s="22">
        <v>0</v>
      </c>
      <c r="T63" s="22">
        <v>0</v>
      </c>
      <c r="U63" s="22">
        <v>0</v>
      </c>
      <c r="V63" s="22">
        <v>0</v>
      </c>
      <c r="W63" s="22">
        <v>0</v>
      </c>
      <c r="X63" s="22">
        <v>0</v>
      </c>
      <c r="Y63" s="22">
        <v>0</v>
      </c>
      <c r="Z63" s="22">
        <v>0</v>
      </c>
      <c r="AA63" s="22">
        <v>0</v>
      </c>
      <c r="AB63" s="22">
        <v>0</v>
      </c>
      <c r="AC63" s="22">
        <v>0</v>
      </c>
      <c r="AD63" s="22">
        <v>0</v>
      </c>
      <c r="AE63" s="22">
        <v>0</v>
      </c>
      <c r="AF63" s="22">
        <v>0</v>
      </c>
      <c r="AG63" s="22">
        <v>12</v>
      </c>
      <c r="AH63" s="22">
        <v>12</v>
      </c>
      <c r="AI63" s="22">
        <v>0</v>
      </c>
      <c r="AJ63" s="22">
        <v>0</v>
      </c>
      <c r="AK63" s="22">
        <v>0</v>
      </c>
      <c r="AL63" s="22">
        <v>0</v>
      </c>
      <c r="AM63" s="22">
        <v>0</v>
      </c>
      <c r="AN63" s="22">
        <v>0</v>
      </c>
      <c r="AO63" s="22">
        <v>0</v>
      </c>
      <c r="AP63" s="67"/>
      <c r="AT63" s="81"/>
      <c r="AU63"/>
    </row>
    <row r="64" spans="1:47">
      <c r="A64" s="23" t="s">
        <v>273</v>
      </c>
      <c r="B64" s="19" t="s">
        <v>274</v>
      </c>
      <c r="C64" s="19" t="s">
        <v>275</v>
      </c>
      <c r="D64" s="20">
        <f t="shared" si="0"/>
        <v>785</v>
      </c>
      <c r="E64" s="21">
        <v>17</v>
      </c>
      <c r="F64" s="22">
        <v>0</v>
      </c>
      <c r="G64" s="21">
        <v>11</v>
      </c>
      <c r="H64" s="21">
        <v>22</v>
      </c>
      <c r="I64" s="22">
        <v>0</v>
      </c>
      <c r="J64" s="21">
        <v>1</v>
      </c>
      <c r="K64" s="22">
        <v>0</v>
      </c>
      <c r="L64" s="21">
        <v>4</v>
      </c>
      <c r="M64" s="22">
        <v>0</v>
      </c>
      <c r="N64" s="22">
        <v>0</v>
      </c>
      <c r="O64" s="22">
        <v>0</v>
      </c>
      <c r="P64" s="21">
        <v>391</v>
      </c>
      <c r="Q64" s="21">
        <v>19</v>
      </c>
      <c r="R64" s="22">
        <v>0</v>
      </c>
      <c r="S64" s="22">
        <v>0</v>
      </c>
      <c r="T64" s="22">
        <v>0</v>
      </c>
      <c r="U64" s="22">
        <v>0</v>
      </c>
      <c r="V64" s="21">
        <v>2</v>
      </c>
      <c r="W64" s="22">
        <v>0</v>
      </c>
      <c r="X64" s="22">
        <v>0</v>
      </c>
      <c r="Y64" s="21">
        <v>7</v>
      </c>
      <c r="Z64" s="21">
        <v>14</v>
      </c>
      <c r="AA64" s="22">
        <v>0</v>
      </c>
      <c r="AB64" s="21">
        <v>63</v>
      </c>
      <c r="AC64" s="21">
        <v>95</v>
      </c>
      <c r="AD64" s="22">
        <v>0</v>
      </c>
      <c r="AE64" s="22">
        <v>0</v>
      </c>
      <c r="AF64" s="22">
        <v>0</v>
      </c>
      <c r="AG64" s="21">
        <v>88</v>
      </c>
      <c r="AH64" s="21">
        <v>24</v>
      </c>
      <c r="AI64" s="21">
        <v>2</v>
      </c>
      <c r="AJ64" s="21">
        <v>2</v>
      </c>
      <c r="AK64" s="22">
        <v>0</v>
      </c>
      <c r="AL64" s="21">
        <v>1</v>
      </c>
      <c r="AM64" s="21">
        <v>22</v>
      </c>
      <c r="AN64" s="22">
        <v>0</v>
      </c>
      <c r="AO64" s="22">
        <v>0</v>
      </c>
      <c r="AP64" s="67"/>
      <c r="AT64" s="81"/>
      <c r="AU64"/>
    </row>
    <row r="65" spans="1:47">
      <c r="A65" s="23" t="s">
        <v>273</v>
      </c>
      <c r="B65" s="19" t="s">
        <v>276</v>
      </c>
      <c r="C65" s="19" t="s">
        <v>196</v>
      </c>
      <c r="D65" s="20">
        <f t="shared" si="0"/>
        <v>219692.91</v>
      </c>
      <c r="E65" s="22">
        <v>1685.61</v>
      </c>
      <c r="F65" s="22">
        <v>252.11</v>
      </c>
      <c r="G65" s="22">
        <v>4400.29</v>
      </c>
      <c r="H65" s="22">
        <v>6834.02</v>
      </c>
      <c r="I65" s="22">
        <v>1524.62</v>
      </c>
      <c r="J65" s="22">
        <v>1132.2</v>
      </c>
      <c r="K65" s="22">
        <v>1180.6600000000001</v>
      </c>
      <c r="L65" s="22">
        <v>3292.05</v>
      </c>
      <c r="M65" s="22">
        <v>129.33000000000001</v>
      </c>
      <c r="N65" s="22">
        <v>519.38</v>
      </c>
      <c r="O65" s="22">
        <v>174.58</v>
      </c>
      <c r="P65" s="22">
        <v>53059.54</v>
      </c>
      <c r="Q65" s="22">
        <v>4870.3599999999997</v>
      </c>
      <c r="R65" s="22">
        <v>535.38</v>
      </c>
      <c r="S65" s="22">
        <v>506.87</v>
      </c>
      <c r="T65" s="22">
        <v>5856.19</v>
      </c>
      <c r="U65" s="22">
        <v>2857.08</v>
      </c>
      <c r="V65" s="22">
        <v>644.85</v>
      </c>
      <c r="W65" s="22">
        <v>198.41</v>
      </c>
      <c r="X65" s="22">
        <v>179.53</v>
      </c>
      <c r="Y65" s="22">
        <v>3594.51</v>
      </c>
      <c r="Z65" s="22">
        <v>14938.68</v>
      </c>
      <c r="AA65" s="22">
        <v>221.91</v>
      </c>
      <c r="AB65" s="22">
        <v>20967.28</v>
      </c>
      <c r="AC65" s="22">
        <v>33805.53</v>
      </c>
      <c r="AD65" s="22">
        <v>1883.69</v>
      </c>
      <c r="AE65" s="22">
        <v>455.46</v>
      </c>
      <c r="AF65" s="22">
        <v>144.13999999999999</v>
      </c>
      <c r="AG65" s="22">
        <v>22433.8</v>
      </c>
      <c r="AH65" s="22">
        <v>17318.990000000002</v>
      </c>
      <c r="AI65" s="22">
        <v>4028.65</v>
      </c>
      <c r="AJ65" s="22">
        <v>2889.12</v>
      </c>
      <c r="AK65" s="22">
        <v>264.43</v>
      </c>
      <c r="AL65" s="22">
        <v>1314.2</v>
      </c>
      <c r="AM65" s="22">
        <v>4872.2299999999996</v>
      </c>
      <c r="AN65" s="22">
        <v>120.8</v>
      </c>
      <c r="AO65" s="22">
        <v>606.42999999999995</v>
      </c>
      <c r="AP65" s="67"/>
      <c r="AT65" s="81"/>
      <c r="AU65"/>
    </row>
    <row r="66" spans="1:47">
      <c r="A66" s="23" t="s">
        <v>277</v>
      </c>
      <c r="B66" s="19" t="s">
        <v>278</v>
      </c>
      <c r="C66" s="19" t="s">
        <v>279</v>
      </c>
      <c r="D66" s="20">
        <f t="shared" si="0"/>
        <v>0</v>
      </c>
      <c r="E66" s="22">
        <v>0</v>
      </c>
      <c r="F66" s="22">
        <v>0</v>
      </c>
      <c r="G66" s="22">
        <v>0</v>
      </c>
      <c r="H66" s="22">
        <v>0</v>
      </c>
      <c r="I66" s="22">
        <v>0</v>
      </c>
      <c r="J66" s="22">
        <v>0</v>
      </c>
      <c r="K66" s="22">
        <v>0</v>
      </c>
      <c r="L66" s="22">
        <v>0</v>
      </c>
      <c r="M66" s="22">
        <v>0</v>
      </c>
      <c r="N66" s="22">
        <v>0</v>
      </c>
      <c r="O66" s="22">
        <v>0</v>
      </c>
      <c r="P66" s="22">
        <v>0</v>
      </c>
      <c r="Q66" s="22">
        <v>0</v>
      </c>
      <c r="R66" s="22">
        <v>0</v>
      </c>
      <c r="S66" s="22">
        <v>0</v>
      </c>
      <c r="T66" s="22">
        <v>0</v>
      </c>
      <c r="U66" s="22">
        <v>0</v>
      </c>
      <c r="V66" s="22">
        <v>0</v>
      </c>
      <c r="W66" s="22">
        <v>0</v>
      </c>
      <c r="X66" s="22">
        <v>0</v>
      </c>
      <c r="Y66" s="22">
        <v>0</v>
      </c>
      <c r="Z66" s="22">
        <v>0</v>
      </c>
      <c r="AA66" s="22">
        <v>0</v>
      </c>
      <c r="AB66" s="22">
        <v>0</v>
      </c>
      <c r="AC66" s="22">
        <v>0</v>
      </c>
      <c r="AD66" s="22">
        <v>0</v>
      </c>
      <c r="AE66" s="22">
        <v>0</v>
      </c>
      <c r="AF66" s="22">
        <v>0</v>
      </c>
      <c r="AG66" s="22">
        <v>0</v>
      </c>
      <c r="AH66" s="22">
        <v>0</v>
      </c>
      <c r="AI66" s="22">
        <v>0</v>
      </c>
      <c r="AJ66" s="22">
        <v>0</v>
      </c>
      <c r="AK66" s="22">
        <v>0</v>
      </c>
      <c r="AL66" s="22">
        <v>0</v>
      </c>
      <c r="AM66" s="22">
        <v>0</v>
      </c>
      <c r="AN66" s="22">
        <v>0</v>
      </c>
      <c r="AO66" s="22">
        <v>0</v>
      </c>
      <c r="AP66" s="67"/>
      <c r="AT66" s="81"/>
      <c r="AU66"/>
    </row>
    <row r="67" spans="1:47">
      <c r="A67" s="23" t="s">
        <v>280</v>
      </c>
      <c r="B67" s="19" t="s">
        <v>281</v>
      </c>
      <c r="C67" s="19" t="s">
        <v>282</v>
      </c>
      <c r="D67" s="20">
        <f t="shared" si="0"/>
        <v>24</v>
      </c>
      <c r="E67" s="21">
        <v>0</v>
      </c>
      <c r="F67" s="21">
        <v>0</v>
      </c>
      <c r="G67" s="21">
        <v>0</v>
      </c>
      <c r="H67" s="21">
        <v>1</v>
      </c>
      <c r="I67" s="21">
        <v>1</v>
      </c>
      <c r="J67" s="21">
        <v>0</v>
      </c>
      <c r="K67" s="21">
        <v>0</v>
      </c>
      <c r="L67" s="21">
        <v>1</v>
      </c>
      <c r="M67" s="21">
        <v>0</v>
      </c>
      <c r="N67" s="21">
        <v>0</v>
      </c>
      <c r="O67" s="21">
        <v>0</v>
      </c>
      <c r="P67" s="21">
        <v>5</v>
      </c>
      <c r="Q67" s="21">
        <v>1</v>
      </c>
      <c r="R67" s="21">
        <v>1</v>
      </c>
      <c r="S67" s="21">
        <v>1</v>
      </c>
      <c r="T67" s="21">
        <v>1</v>
      </c>
      <c r="U67" s="21">
        <v>1</v>
      </c>
      <c r="V67" s="21">
        <v>0</v>
      </c>
      <c r="W67" s="21">
        <v>1</v>
      </c>
      <c r="X67" s="21">
        <v>0</v>
      </c>
      <c r="Y67" s="21">
        <v>2</v>
      </c>
      <c r="Z67" s="21">
        <v>0</v>
      </c>
      <c r="AA67" s="21">
        <v>0</v>
      </c>
      <c r="AB67" s="21">
        <v>1</v>
      </c>
      <c r="AC67" s="21">
        <v>2</v>
      </c>
      <c r="AD67" s="21">
        <v>0</v>
      </c>
      <c r="AE67" s="21">
        <v>0</v>
      </c>
      <c r="AF67" s="21">
        <v>0</v>
      </c>
      <c r="AG67" s="21">
        <v>3</v>
      </c>
      <c r="AH67" s="21">
        <v>1</v>
      </c>
      <c r="AI67" s="21">
        <v>1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68"/>
      <c r="AT67" s="81"/>
      <c r="AU67"/>
    </row>
    <row r="68" spans="1:47">
      <c r="A68" s="23" t="s">
        <v>283</v>
      </c>
      <c r="B68" s="19" t="s">
        <v>284</v>
      </c>
      <c r="C68" s="19" t="s">
        <v>285</v>
      </c>
      <c r="D68" s="20">
        <f t="shared" si="0"/>
        <v>0</v>
      </c>
      <c r="E68" s="22">
        <v>0</v>
      </c>
      <c r="F68" s="22">
        <v>0</v>
      </c>
      <c r="G68" s="22">
        <v>0</v>
      </c>
      <c r="H68" s="22">
        <v>0</v>
      </c>
      <c r="I68" s="22">
        <v>0</v>
      </c>
      <c r="J68" s="22">
        <v>0</v>
      </c>
      <c r="K68" s="22">
        <v>0</v>
      </c>
      <c r="L68" s="22">
        <v>0</v>
      </c>
      <c r="M68" s="22">
        <v>0</v>
      </c>
      <c r="N68" s="22">
        <v>0</v>
      </c>
      <c r="O68" s="22">
        <v>0</v>
      </c>
      <c r="P68" s="22">
        <v>0</v>
      </c>
      <c r="Q68" s="22">
        <v>0</v>
      </c>
      <c r="R68" s="22">
        <v>0</v>
      </c>
      <c r="S68" s="22">
        <v>0</v>
      </c>
      <c r="T68" s="22">
        <v>0</v>
      </c>
      <c r="U68" s="22">
        <v>0</v>
      </c>
      <c r="V68" s="22">
        <v>0</v>
      </c>
      <c r="W68" s="22">
        <v>0</v>
      </c>
      <c r="X68" s="22">
        <v>0</v>
      </c>
      <c r="Y68" s="22">
        <v>0</v>
      </c>
      <c r="Z68" s="22">
        <v>0</v>
      </c>
      <c r="AA68" s="22">
        <v>0</v>
      </c>
      <c r="AB68" s="22">
        <v>0</v>
      </c>
      <c r="AC68" s="22">
        <v>0</v>
      </c>
      <c r="AD68" s="22">
        <v>0</v>
      </c>
      <c r="AE68" s="22">
        <v>0</v>
      </c>
      <c r="AF68" s="22">
        <v>0</v>
      </c>
      <c r="AG68" s="22">
        <v>0</v>
      </c>
      <c r="AH68" s="22">
        <v>0</v>
      </c>
      <c r="AI68" s="22">
        <v>0</v>
      </c>
      <c r="AJ68" s="22">
        <v>0</v>
      </c>
      <c r="AK68" s="22">
        <v>0</v>
      </c>
      <c r="AL68" s="22">
        <v>0</v>
      </c>
      <c r="AM68" s="22">
        <v>0</v>
      </c>
      <c r="AN68" s="22">
        <v>0</v>
      </c>
      <c r="AO68" s="22">
        <v>0</v>
      </c>
      <c r="AP68" s="67"/>
      <c r="AT68" s="81"/>
      <c r="AU68"/>
    </row>
    <row r="69" spans="1:47">
      <c r="A69" s="23"/>
      <c r="B69" s="19" t="s">
        <v>286</v>
      </c>
      <c r="C69" s="19" t="s">
        <v>287</v>
      </c>
      <c r="D69" s="20">
        <f t="shared" si="0"/>
        <v>1</v>
      </c>
      <c r="E69" s="22">
        <v>0</v>
      </c>
      <c r="F69" s="22">
        <v>0</v>
      </c>
      <c r="G69" s="22">
        <v>0</v>
      </c>
      <c r="H69" s="22">
        <v>0</v>
      </c>
      <c r="I69" s="22">
        <v>0</v>
      </c>
      <c r="J69" s="22">
        <v>0</v>
      </c>
      <c r="K69" s="22">
        <v>0</v>
      </c>
      <c r="L69" s="22">
        <v>0</v>
      </c>
      <c r="M69" s="22">
        <v>0</v>
      </c>
      <c r="N69" s="22">
        <v>0</v>
      </c>
      <c r="O69" s="22">
        <v>0</v>
      </c>
      <c r="P69" s="22">
        <v>1</v>
      </c>
      <c r="Q69" s="22">
        <v>0</v>
      </c>
      <c r="R69" s="22">
        <v>0</v>
      </c>
      <c r="S69" s="22">
        <v>0</v>
      </c>
      <c r="T69" s="22">
        <v>0</v>
      </c>
      <c r="U69" s="22">
        <v>0</v>
      </c>
      <c r="V69" s="22">
        <v>0</v>
      </c>
      <c r="W69" s="22">
        <v>0</v>
      </c>
      <c r="X69" s="22">
        <v>0</v>
      </c>
      <c r="Y69" s="22">
        <v>0</v>
      </c>
      <c r="Z69" s="22">
        <v>0</v>
      </c>
      <c r="AA69" s="22">
        <v>0</v>
      </c>
      <c r="AB69" s="22">
        <v>0</v>
      </c>
      <c r="AC69" s="22">
        <v>0</v>
      </c>
      <c r="AD69" s="22">
        <v>0</v>
      </c>
      <c r="AE69" s="22">
        <v>0</v>
      </c>
      <c r="AF69" s="22">
        <v>0</v>
      </c>
      <c r="AG69" s="22">
        <v>0</v>
      </c>
      <c r="AH69" s="22">
        <v>0</v>
      </c>
      <c r="AI69" s="22">
        <v>0</v>
      </c>
      <c r="AJ69" s="22">
        <v>0</v>
      </c>
      <c r="AK69" s="22">
        <v>0</v>
      </c>
      <c r="AL69" s="22">
        <v>0</v>
      </c>
      <c r="AM69" s="22">
        <v>0</v>
      </c>
      <c r="AN69" s="22">
        <v>0</v>
      </c>
      <c r="AO69" s="22">
        <v>0</v>
      </c>
      <c r="AP69" s="68"/>
      <c r="AT69" s="81"/>
      <c r="AU69"/>
    </row>
    <row r="70" spans="1:47" ht="32.1">
      <c r="A70" s="23"/>
      <c r="B70" s="19" t="s">
        <v>288</v>
      </c>
      <c r="C70" s="19" t="s">
        <v>227</v>
      </c>
      <c r="D70" s="20">
        <f t="shared" si="0"/>
        <v>1</v>
      </c>
      <c r="E70" s="22">
        <v>0</v>
      </c>
      <c r="F70" s="22">
        <v>0</v>
      </c>
      <c r="G70" s="22">
        <v>0</v>
      </c>
      <c r="H70" s="22">
        <v>0</v>
      </c>
      <c r="I70" s="22">
        <v>0</v>
      </c>
      <c r="J70" s="22">
        <v>0</v>
      </c>
      <c r="K70" s="22">
        <v>0</v>
      </c>
      <c r="L70" s="22">
        <v>0</v>
      </c>
      <c r="M70" s="22">
        <v>0</v>
      </c>
      <c r="N70" s="22">
        <v>0</v>
      </c>
      <c r="O70" s="22">
        <v>0</v>
      </c>
      <c r="P70" s="22">
        <v>1</v>
      </c>
      <c r="Q70" s="22">
        <v>0</v>
      </c>
      <c r="R70" s="22">
        <v>0</v>
      </c>
      <c r="S70" s="22">
        <v>0</v>
      </c>
      <c r="T70" s="22">
        <v>0</v>
      </c>
      <c r="U70" s="22">
        <v>0</v>
      </c>
      <c r="V70" s="22">
        <v>0</v>
      </c>
      <c r="W70" s="22">
        <v>0</v>
      </c>
      <c r="X70" s="22">
        <v>0</v>
      </c>
      <c r="Y70" s="22">
        <v>0</v>
      </c>
      <c r="Z70" s="22">
        <v>0</v>
      </c>
      <c r="AA70" s="22">
        <v>0</v>
      </c>
      <c r="AB70" s="22">
        <v>0</v>
      </c>
      <c r="AC70" s="22">
        <v>0</v>
      </c>
      <c r="AD70" s="22">
        <v>0</v>
      </c>
      <c r="AE70" s="22">
        <v>0</v>
      </c>
      <c r="AF70" s="22">
        <v>0</v>
      </c>
      <c r="AG70" s="22">
        <v>0</v>
      </c>
      <c r="AH70" s="22">
        <v>0</v>
      </c>
      <c r="AI70" s="22">
        <v>0</v>
      </c>
      <c r="AJ70" s="22">
        <v>0</v>
      </c>
      <c r="AK70" s="22">
        <v>0</v>
      </c>
      <c r="AL70" s="22">
        <v>0</v>
      </c>
      <c r="AM70" s="22">
        <v>0</v>
      </c>
      <c r="AN70" s="22">
        <v>0</v>
      </c>
      <c r="AO70" s="22">
        <v>0</v>
      </c>
      <c r="AP70" s="68"/>
      <c r="AT70" s="81"/>
      <c r="AU70"/>
    </row>
    <row r="71" spans="1:47">
      <c r="A71" s="23" t="s">
        <v>289</v>
      </c>
      <c r="B71" s="19" t="s">
        <v>290</v>
      </c>
      <c r="C71" s="27" t="s">
        <v>248</v>
      </c>
      <c r="D71" s="20">
        <f t="shared" si="0"/>
        <v>11</v>
      </c>
      <c r="E71" s="103">
        <v>11</v>
      </c>
      <c r="F71" s="104"/>
      <c r="G71" s="104"/>
      <c r="H71" s="104"/>
      <c r="I71" s="104"/>
      <c r="J71" s="104"/>
      <c r="K71" s="104"/>
      <c r="L71" s="104"/>
      <c r="M71" s="104"/>
      <c r="N71" s="104"/>
      <c r="O71" s="104"/>
      <c r="P71" s="104"/>
      <c r="Q71" s="104"/>
      <c r="R71" s="104"/>
      <c r="S71" s="104"/>
      <c r="T71" s="104"/>
      <c r="U71" s="104"/>
      <c r="V71" s="104"/>
      <c r="W71" s="104"/>
      <c r="X71" s="104"/>
      <c r="Y71" s="104"/>
      <c r="Z71" s="104"/>
      <c r="AA71" s="104"/>
      <c r="AB71" s="104"/>
      <c r="AC71" s="104"/>
      <c r="AD71" s="104"/>
      <c r="AE71" s="104"/>
      <c r="AF71" s="104"/>
      <c r="AG71" s="104"/>
      <c r="AH71" s="104"/>
      <c r="AI71" s="104"/>
      <c r="AJ71" s="104"/>
      <c r="AK71" s="104"/>
      <c r="AL71" s="104"/>
      <c r="AM71" s="104"/>
      <c r="AN71" s="104"/>
      <c r="AO71" s="105"/>
      <c r="AP71" s="68"/>
      <c r="AT71" s="81"/>
      <c r="AU71"/>
    </row>
    <row r="72" spans="1:47">
      <c r="A72" s="23" t="s">
        <v>289</v>
      </c>
      <c r="B72" s="19" t="s">
        <v>291</v>
      </c>
      <c r="C72" s="27" t="s">
        <v>248</v>
      </c>
      <c r="D72" s="20">
        <f t="shared" si="0"/>
        <v>10</v>
      </c>
      <c r="E72" s="103">
        <v>10</v>
      </c>
      <c r="F72" s="104"/>
      <c r="G72" s="104"/>
      <c r="H72" s="104"/>
      <c r="I72" s="104"/>
      <c r="J72" s="104"/>
      <c r="K72" s="104"/>
      <c r="L72" s="104"/>
      <c r="M72" s="104"/>
      <c r="N72" s="104"/>
      <c r="O72" s="104"/>
      <c r="P72" s="104"/>
      <c r="Q72" s="104"/>
      <c r="R72" s="104"/>
      <c r="S72" s="104"/>
      <c r="T72" s="104"/>
      <c r="U72" s="104"/>
      <c r="V72" s="104"/>
      <c r="W72" s="104"/>
      <c r="X72" s="104"/>
      <c r="Y72" s="104"/>
      <c r="Z72" s="104"/>
      <c r="AA72" s="104"/>
      <c r="AB72" s="104"/>
      <c r="AC72" s="104"/>
      <c r="AD72" s="104"/>
      <c r="AE72" s="104"/>
      <c r="AF72" s="104"/>
      <c r="AG72" s="104"/>
      <c r="AH72" s="104"/>
      <c r="AI72" s="104"/>
      <c r="AJ72" s="104"/>
      <c r="AK72" s="104"/>
      <c r="AL72" s="104"/>
      <c r="AM72" s="104"/>
      <c r="AN72" s="104"/>
      <c r="AO72" s="105"/>
      <c r="AP72" s="68"/>
      <c r="AT72" s="81"/>
      <c r="AU72"/>
    </row>
    <row r="73" spans="1:47">
      <c r="A73" s="26" t="s">
        <v>292</v>
      </c>
      <c r="B73" s="27" t="s">
        <v>293</v>
      </c>
      <c r="C73" s="27" t="s">
        <v>294</v>
      </c>
      <c r="D73" s="20">
        <f t="shared" si="0"/>
        <v>1</v>
      </c>
      <c r="E73" s="22">
        <v>0</v>
      </c>
      <c r="F73" s="22">
        <v>0</v>
      </c>
      <c r="G73" s="22">
        <v>0</v>
      </c>
      <c r="H73" s="22">
        <v>0</v>
      </c>
      <c r="I73" s="22">
        <v>0</v>
      </c>
      <c r="J73" s="22">
        <v>0</v>
      </c>
      <c r="K73" s="22">
        <v>0</v>
      </c>
      <c r="L73" s="22">
        <v>0</v>
      </c>
      <c r="M73" s="22">
        <v>0</v>
      </c>
      <c r="N73" s="22">
        <v>0</v>
      </c>
      <c r="O73" s="22">
        <v>0</v>
      </c>
      <c r="P73" s="22">
        <v>1</v>
      </c>
      <c r="Q73" s="22">
        <v>0</v>
      </c>
      <c r="R73" s="22">
        <v>0</v>
      </c>
      <c r="S73" s="22">
        <v>0</v>
      </c>
      <c r="T73" s="22">
        <v>0</v>
      </c>
      <c r="U73" s="22">
        <v>0</v>
      </c>
      <c r="V73" s="22">
        <v>0</v>
      </c>
      <c r="W73" s="22">
        <v>0</v>
      </c>
      <c r="X73" s="22">
        <v>0</v>
      </c>
      <c r="Y73" s="22">
        <v>0</v>
      </c>
      <c r="Z73" s="22">
        <v>0</v>
      </c>
      <c r="AA73" s="22">
        <v>0</v>
      </c>
      <c r="AB73" s="22">
        <v>0</v>
      </c>
      <c r="AC73" s="22">
        <v>0</v>
      </c>
      <c r="AD73" s="22">
        <v>0</v>
      </c>
      <c r="AE73" s="22">
        <v>0</v>
      </c>
      <c r="AF73" s="22">
        <v>0</v>
      </c>
      <c r="AG73" s="22">
        <v>0</v>
      </c>
      <c r="AH73" s="22">
        <v>0</v>
      </c>
      <c r="AI73" s="22">
        <v>0</v>
      </c>
      <c r="AJ73" s="22">
        <v>0</v>
      </c>
      <c r="AK73" s="22">
        <v>0</v>
      </c>
      <c r="AL73" s="22">
        <v>0</v>
      </c>
      <c r="AM73" s="22">
        <v>0</v>
      </c>
      <c r="AN73" s="22">
        <v>0</v>
      </c>
      <c r="AO73" s="22">
        <v>0</v>
      </c>
      <c r="AP73" s="68"/>
      <c r="AT73" s="81"/>
      <c r="AU73"/>
    </row>
    <row r="74" spans="1:47">
      <c r="A74" s="26" t="s">
        <v>295</v>
      </c>
      <c r="B74" s="27" t="s">
        <v>296</v>
      </c>
      <c r="C74" s="27" t="s">
        <v>297</v>
      </c>
      <c r="D74" s="20">
        <f t="shared" si="0"/>
        <v>1</v>
      </c>
      <c r="E74" s="22">
        <v>0</v>
      </c>
      <c r="F74" s="22">
        <v>0</v>
      </c>
      <c r="G74" s="22">
        <v>0</v>
      </c>
      <c r="H74" s="22">
        <v>0</v>
      </c>
      <c r="I74" s="22">
        <v>0</v>
      </c>
      <c r="J74" s="22">
        <v>0</v>
      </c>
      <c r="K74" s="22">
        <v>0</v>
      </c>
      <c r="L74" s="22">
        <v>0</v>
      </c>
      <c r="M74" s="22">
        <v>0</v>
      </c>
      <c r="N74" s="22">
        <v>0</v>
      </c>
      <c r="O74" s="22">
        <v>0</v>
      </c>
      <c r="P74" s="22">
        <v>1</v>
      </c>
      <c r="Q74" s="22">
        <v>0</v>
      </c>
      <c r="R74" s="22">
        <v>0</v>
      </c>
      <c r="S74" s="22">
        <v>0</v>
      </c>
      <c r="T74" s="22">
        <v>0</v>
      </c>
      <c r="U74" s="22">
        <v>0</v>
      </c>
      <c r="V74" s="22">
        <v>0</v>
      </c>
      <c r="W74" s="22">
        <v>0</v>
      </c>
      <c r="X74" s="22">
        <v>0</v>
      </c>
      <c r="Y74" s="22">
        <v>0</v>
      </c>
      <c r="Z74" s="22">
        <v>0</v>
      </c>
      <c r="AA74" s="22">
        <v>0</v>
      </c>
      <c r="AB74" s="22">
        <v>0</v>
      </c>
      <c r="AC74" s="22">
        <v>0</v>
      </c>
      <c r="AD74" s="22">
        <v>0</v>
      </c>
      <c r="AE74" s="22">
        <v>0</v>
      </c>
      <c r="AF74" s="22">
        <v>0</v>
      </c>
      <c r="AG74" s="22">
        <v>0</v>
      </c>
      <c r="AH74" s="22">
        <v>0</v>
      </c>
      <c r="AI74" s="22">
        <v>0</v>
      </c>
      <c r="AJ74" s="22">
        <v>0</v>
      </c>
      <c r="AK74" s="22">
        <v>0</v>
      </c>
      <c r="AL74" s="22">
        <v>0</v>
      </c>
      <c r="AM74" s="22">
        <v>0</v>
      </c>
      <c r="AN74" s="22">
        <v>0</v>
      </c>
      <c r="AO74" s="22">
        <v>0</v>
      </c>
      <c r="AP74" s="67"/>
      <c r="AT74" s="81"/>
      <c r="AU74"/>
    </row>
    <row r="75" spans="1:47">
      <c r="A75" s="24" t="s">
        <v>298</v>
      </c>
      <c r="B75" s="25"/>
      <c r="C75" s="25"/>
      <c r="D75" s="16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67"/>
      <c r="AT75" s="81"/>
      <c r="AU75"/>
    </row>
    <row r="76" spans="1:47">
      <c r="A76" s="23" t="s">
        <v>299</v>
      </c>
      <c r="B76" s="19" t="s">
        <v>300</v>
      </c>
      <c r="C76" s="19" t="s">
        <v>301</v>
      </c>
      <c r="D76" s="20">
        <f t="shared" si="0"/>
        <v>3</v>
      </c>
      <c r="E76" s="22">
        <v>0</v>
      </c>
      <c r="F76" s="22">
        <v>0</v>
      </c>
      <c r="G76" s="22">
        <v>0</v>
      </c>
      <c r="H76" s="22">
        <v>0</v>
      </c>
      <c r="I76" s="22">
        <v>0</v>
      </c>
      <c r="J76" s="22">
        <v>0</v>
      </c>
      <c r="K76" s="22">
        <v>0</v>
      </c>
      <c r="L76" s="22">
        <v>0</v>
      </c>
      <c r="M76" s="22">
        <v>0</v>
      </c>
      <c r="N76" s="22">
        <v>0</v>
      </c>
      <c r="O76" s="22">
        <v>0</v>
      </c>
      <c r="P76" s="22">
        <v>1</v>
      </c>
      <c r="Q76" s="22">
        <v>0</v>
      </c>
      <c r="R76" s="22">
        <v>0</v>
      </c>
      <c r="S76" s="22">
        <v>0</v>
      </c>
      <c r="T76" s="22">
        <v>0</v>
      </c>
      <c r="U76" s="22">
        <v>0</v>
      </c>
      <c r="V76" s="22">
        <v>0</v>
      </c>
      <c r="W76" s="22">
        <v>0</v>
      </c>
      <c r="X76" s="22">
        <v>0</v>
      </c>
      <c r="Y76" s="22">
        <v>0</v>
      </c>
      <c r="Z76" s="22">
        <v>0</v>
      </c>
      <c r="AA76" s="22">
        <v>0</v>
      </c>
      <c r="AB76" s="22">
        <v>0</v>
      </c>
      <c r="AC76" s="22">
        <v>0</v>
      </c>
      <c r="AD76" s="22">
        <v>0</v>
      </c>
      <c r="AE76" s="22">
        <v>0</v>
      </c>
      <c r="AF76" s="22">
        <v>0</v>
      </c>
      <c r="AG76" s="22">
        <v>2</v>
      </c>
      <c r="AH76" s="22">
        <v>0</v>
      </c>
      <c r="AI76" s="22">
        <v>0</v>
      </c>
      <c r="AJ76" s="22">
        <v>0</v>
      </c>
      <c r="AK76" s="22">
        <v>0</v>
      </c>
      <c r="AL76" s="22">
        <v>0</v>
      </c>
      <c r="AM76" s="22">
        <v>0</v>
      </c>
      <c r="AN76" s="22">
        <v>0</v>
      </c>
      <c r="AO76" s="22">
        <v>0</v>
      </c>
      <c r="AP76" s="67"/>
      <c r="AT76" s="81"/>
      <c r="AU76"/>
    </row>
    <row r="77" spans="1:47">
      <c r="A77" s="23" t="s">
        <v>302</v>
      </c>
      <c r="B77" s="19" t="s">
        <v>303</v>
      </c>
      <c r="C77" s="19" t="s">
        <v>304</v>
      </c>
      <c r="D77" s="20">
        <f t="shared" ref="D77:D87" si="1">SUM(E77:AO77)</f>
        <v>4</v>
      </c>
      <c r="E77" s="22">
        <v>0</v>
      </c>
      <c r="F77" s="22">
        <v>0</v>
      </c>
      <c r="G77" s="22">
        <v>0</v>
      </c>
      <c r="H77" s="22">
        <v>0</v>
      </c>
      <c r="I77" s="22">
        <v>0</v>
      </c>
      <c r="J77" s="22">
        <v>0</v>
      </c>
      <c r="K77" s="22">
        <v>0</v>
      </c>
      <c r="L77" s="22">
        <v>0</v>
      </c>
      <c r="M77" s="22">
        <v>0</v>
      </c>
      <c r="N77" s="22">
        <v>0</v>
      </c>
      <c r="O77" s="22">
        <v>0</v>
      </c>
      <c r="P77" s="22">
        <v>1</v>
      </c>
      <c r="Q77" s="22">
        <v>0</v>
      </c>
      <c r="R77" s="22">
        <v>0</v>
      </c>
      <c r="S77" s="22">
        <v>0</v>
      </c>
      <c r="T77" s="22">
        <v>0</v>
      </c>
      <c r="U77" s="22">
        <v>0</v>
      </c>
      <c r="V77" s="22">
        <v>0</v>
      </c>
      <c r="W77" s="22">
        <v>0</v>
      </c>
      <c r="X77" s="22">
        <v>0</v>
      </c>
      <c r="Y77" s="22">
        <v>0</v>
      </c>
      <c r="Z77" s="22">
        <v>0</v>
      </c>
      <c r="AA77" s="22">
        <v>0</v>
      </c>
      <c r="AB77" s="22">
        <v>1</v>
      </c>
      <c r="AC77" s="22">
        <v>1</v>
      </c>
      <c r="AD77" s="22">
        <v>0</v>
      </c>
      <c r="AE77" s="22">
        <v>0</v>
      </c>
      <c r="AF77" s="22">
        <v>0</v>
      </c>
      <c r="AG77" s="22">
        <v>1</v>
      </c>
      <c r="AH77" s="22">
        <v>0</v>
      </c>
      <c r="AI77" s="22">
        <v>0</v>
      </c>
      <c r="AJ77" s="22">
        <v>0</v>
      </c>
      <c r="AK77" s="22">
        <v>0</v>
      </c>
      <c r="AL77" s="22">
        <v>0</v>
      </c>
      <c r="AM77" s="22">
        <v>0</v>
      </c>
      <c r="AN77" s="22">
        <v>0</v>
      </c>
      <c r="AO77" s="22">
        <v>0</v>
      </c>
      <c r="AP77" s="68"/>
      <c r="AT77" s="81"/>
      <c r="AU77"/>
    </row>
    <row r="78" spans="1:47">
      <c r="A78" s="23" t="s">
        <v>305</v>
      </c>
      <c r="B78" s="19" t="s">
        <v>306</v>
      </c>
      <c r="C78" s="19" t="s">
        <v>307</v>
      </c>
      <c r="D78" s="20">
        <f t="shared" si="1"/>
        <v>17</v>
      </c>
      <c r="E78" s="22">
        <v>1</v>
      </c>
      <c r="F78" s="22">
        <v>0</v>
      </c>
      <c r="G78" s="22">
        <v>0</v>
      </c>
      <c r="H78" s="22">
        <v>1</v>
      </c>
      <c r="I78" s="22">
        <v>0</v>
      </c>
      <c r="J78" s="22">
        <v>0</v>
      </c>
      <c r="K78" s="22">
        <v>0</v>
      </c>
      <c r="L78" s="22">
        <v>0</v>
      </c>
      <c r="M78" s="22">
        <v>0</v>
      </c>
      <c r="N78" s="22">
        <v>1</v>
      </c>
      <c r="O78" s="22">
        <v>0</v>
      </c>
      <c r="P78" s="22">
        <v>1</v>
      </c>
      <c r="Q78" s="22">
        <v>0</v>
      </c>
      <c r="R78" s="22">
        <v>0</v>
      </c>
      <c r="S78" s="22">
        <v>0</v>
      </c>
      <c r="T78" s="22">
        <v>0</v>
      </c>
      <c r="U78" s="22">
        <v>0</v>
      </c>
      <c r="V78" s="22">
        <v>0</v>
      </c>
      <c r="W78" s="22">
        <v>0</v>
      </c>
      <c r="X78" s="22">
        <v>0</v>
      </c>
      <c r="Y78" s="22">
        <v>1</v>
      </c>
      <c r="Z78" s="22">
        <v>0</v>
      </c>
      <c r="AA78" s="22">
        <v>0</v>
      </c>
      <c r="AB78" s="22">
        <v>1</v>
      </c>
      <c r="AC78" s="22">
        <v>8</v>
      </c>
      <c r="AD78" s="22">
        <v>0</v>
      </c>
      <c r="AE78" s="22">
        <v>0</v>
      </c>
      <c r="AF78" s="22">
        <v>0</v>
      </c>
      <c r="AG78" s="22">
        <v>0</v>
      </c>
      <c r="AH78" s="22">
        <v>2</v>
      </c>
      <c r="AI78" s="22">
        <v>0</v>
      </c>
      <c r="AJ78" s="22">
        <v>0</v>
      </c>
      <c r="AK78" s="22">
        <v>0</v>
      </c>
      <c r="AL78" s="22">
        <v>0</v>
      </c>
      <c r="AM78" s="22">
        <v>1</v>
      </c>
      <c r="AN78" s="22">
        <v>0</v>
      </c>
      <c r="AO78" s="22">
        <v>0</v>
      </c>
      <c r="AP78" s="67"/>
      <c r="AT78" s="81"/>
      <c r="AU78"/>
    </row>
    <row r="79" spans="1:47">
      <c r="A79" s="23" t="s">
        <v>305</v>
      </c>
      <c r="B79" s="19" t="s">
        <v>308</v>
      </c>
      <c r="C79" s="19" t="s">
        <v>309</v>
      </c>
      <c r="D79" s="20">
        <f t="shared" si="1"/>
        <v>5</v>
      </c>
      <c r="E79" s="22">
        <v>0</v>
      </c>
      <c r="F79" s="22">
        <v>0</v>
      </c>
      <c r="G79" s="22">
        <v>0</v>
      </c>
      <c r="H79" s="22">
        <v>0</v>
      </c>
      <c r="I79" s="22">
        <v>0</v>
      </c>
      <c r="J79" s="22">
        <v>0</v>
      </c>
      <c r="K79" s="22">
        <v>0</v>
      </c>
      <c r="L79" s="22">
        <v>0</v>
      </c>
      <c r="M79" s="22">
        <v>0</v>
      </c>
      <c r="N79" s="22">
        <v>1</v>
      </c>
      <c r="O79" s="22">
        <v>0</v>
      </c>
      <c r="P79" s="22">
        <v>1</v>
      </c>
      <c r="Q79" s="22">
        <v>0</v>
      </c>
      <c r="R79" s="22">
        <v>0</v>
      </c>
      <c r="S79" s="22">
        <v>0</v>
      </c>
      <c r="T79" s="22">
        <v>0</v>
      </c>
      <c r="U79" s="22">
        <v>0</v>
      </c>
      <c r="V79" s="22">
        <v>0</v>
      </c>
      <c r="W79" s="22">
        <v>0</v>
      </c>
      <c r="X79" s="22">
        <v>0</v>
      </c>
      <c r="Y79" s="22">
        <v>1</v>
      </c>
      <c r="Z79" s="22">
        <v>0</v>
      </c>
      <c r="AA79" s="22">
        <v>0</v>
      </c>
      <c r="AB79" s="22">
        <v>0</v>
      </c>
      <c r="AC79" s="22">
        <v>1</v>
      </c>
      <c r="AD79" s="22">
        <v>0</v>
      </c>
      <c r="AE79" s="22">
        <v>0</v>
      </c>
      <c r="AF79" s="22">
        <v>0</v>
      </c>
      <c r="AG79" s="22">
        <v>0</v>
      </c>
      <c r="AH79" s="22">
        <v>1</v>
      </c>
      <c r="AI79" s="22">
        <v>0</v>
      </c>
      <c r="AJ79" s="22">
        <v>0</v>
      </c>
      <c r="AK79" s="22">
        <v>0</v>
      </c>
      <c r="AL79" s="22">
        <v>0</v>
      </c>
      <c r="AM79" s="22">
        <v>0</v>
      </c>
      <c r="AN79" s="22">
        <v>0</v>
      </c>
      <c r="AO79" s="22">
        <v>0</v>
      </c>
      <c r="AP79" s="67"/>
      <c r="AT79" s="81"/>
      <c r="AU79"/>
    </row>
    <row r="80" spans="1:47">
      <c r="A80" s="23" t="s">
        <v>310</v>
      </c>
      <c r="B80" s="19" t="s">
        <v>311</v>
      </c>
      <c r="C80" s="19" t="s">
        <v>312</v>
      </c>
      <c r="D80" s="20">
        <f t="shared" si="1"/>
        <v>12</v>
      </c>
      <c r="E80" s="22">
        <v>1</v>
      </c>
      <c r="F80" s="22">
        <v>0</v>
      </c>
      <c r="G80" s="22">
        <v>0</v>
      </c>
      <c r="H80" s="22">
        <v>1</v>
      </c>
      <c r="I80" s="22">
        <v>0</v>
      </c>
      <c r="J80" s="22">
        <v>0</v>
      </c>
      <c r="K80" s="22">
        <v>0</v>
      </c>
      <c r="L80" s="22">
        <v>0</v>
      </c>
      <c r="M80" s="22">
        <v>0</v>
      </c>
      <c r="N80" s="22">
        <v>0</v>
      </c>
      <c r="O80" s="22">
        <v>0</v>
      </c>
      <c r="P80" s="22">
        <v>0</v>
      </c>
      <c r="Q80" s="22">
        <v>0</v>
      </c>
      <c r="R80" s="22">
        <v>0</v>
      </c>
      <c r="S80" s="22">
        <v>0</v>
      </c>
      <c r="T80" s="22">
        <v>0</v>
      </c>
      <c r="U80" s="22">
        <v>0</v>
      </c>
      <c r="V80" s="22">
        <v>0</v>
      </c>
      <c r="W80" s="22">
        <v>0</v>
      </c>
      <c r="X80" s="22">
        <v>0</v>
      </c>
      <c r="Y80" s="22">
        <v>0</v>
      </c>
      <c r="Z80" s="22">
        <v>0</v>
      </c>
      <c r="AA80" s="22">
        <v>0</v>
      </c>
      <c r="AB80" s="22">
        <v>1</v>
      </c>
      <c r="AC80" s="22">
        <v>7</v>
      </c>
      <c r="AD80" s="22">
        <v>0</v>
      </c>
      <c r="AE80" s="22">
        <v>0</v>
      </c>
      <c r="AF80" s="22">
        <v>0</v>
      </c>
      <c r="AG80" s="22">
        <v>0</v>
      </c>
      <c r="AH80" s="22">
        <v>1</v>
      </c>
      <c r="AI80" s="22">
        <v>0</v>
      </c>
      <c r="AJ80" s="22">
        <v>0</v>
      </c>
      <c r="AK80" s="22">
        <v>0</v>
      </c>
      <c r="AL80" s="22">
        <v>0</v>
      </c>
      <c r="AM80" s="22">
        <v>1</v>
      </c>
      <c r="AN80" s="22">
        <v>0</v>
      </c>
      <c r="AO80" s="22">
        <v>0</v>
      </c>
      <c r="AP80" s="67"/>
      <c r="AT80" s="81"/>
      <c r="AU80"/>
    </row>
    <row r="81" spans="1:47">
      <c r="A81" s="23" t="s">
        <v>313</v>
      </c>
      <c r="B81" s="19" t="s">
        <v>314</v>
      </c>
      <c r="C81" s="19" t="s">
        <v>196</v>
      </c>
      <c r="D81" s="20">
        <f t="shared" si="1"/>
        <v>219692.91</v>
      </c>
      <c r="E81" s="21">
        <v>1685.61</v>
      </c>
      <c r="F81" s="21">
        <v>252.11</v>
      </c>
      <c r="G81" s="21">
        <v>4400.29</v>
      </c>
      <c r="H81" s="21">
        <v>6834.02</v>
      </c>
      <c r="I81" s="21">
        <v>1524.62</v>
      </c>
      <c r="J81" s="21">
        <v>1132.2</v>
      </c>
      <c r="K81" s="21">
        <v>1180.6600000000001</v>
      </c>
      <c r="L81" s="21">
        <v>3292.05</v>
      </c>
      <c r="M81" s="21">
        <v>129.33000000000001</v>
      </c>
      <c r="N81" s="21">
        <v>519.38</v>
      </c>
      <c r="O81" s="21">
        <v>174.58</v>
      </c>
      <c r="P81" s="21">
        <v>53059.54</v>
      </c>
      <c r="Q81" s="21">
        <v>4870.3599999999997</v>
      </c>
      <c r="R81" s="21">
        <v>535.38</v>
      </c>
      <c r="S81" s="21">
        <v>506.87</v>
      </c>
      <c r="T81" s="21">
        <v>5856.19</v>
      </c>
      <c r="U81" s="21">
        <v>2857.08</v>
      </c>
      <c r="V81" s="21">
        <v>644.85</v>
      </c>
      <c r="W81" s="21">
        <v>198.41</v>
      </c>
      <c r="X81" s="21">
        <v>179.53</v>
      </c>
      <c r="Y81" s="21">
        <v>3594.51</v>
      </c>
      <c r="Z81" s="21">
        <v>14938.68</v>
      </c>
      <c r="AA81" s="21">
        <v>221.91</v>
      </c>
      <c r="AB81" s="21">
        <v>20967.28</v>
      </c>
      <c r="AC81" s="21">
        <v>33805.53</v>
      </c>
      <c r="AD81" s="21">
        <v>1883.69</v>
      </c>
      <c r="AE81" s="21">
        <v>455.46</v>
      </c>
      <c r="AF81" s="21">
        <v>144.13999999999999</v>
      </c>
      <c r="AG81" s="21">
        <v>22433.8</v>
      </c>
      <c r="AH81" s="21">
        <v>17318.990000000002</v>
      </c>
      <c r="AI81" s="21">
        <v>4028.65</v>
      </c>
      <c r="AJ81" s="21">
        <v>2889.12</v>
      </c>
      <c r="AK81" s="21">
        <v>264.43</v>
      </c>
      <c r="AL81" s="21">
        <v>1314.2</v>
      </c>
      <c r="AM81" s="21">
        <v>4872.2299999999996</v>
      </c>
      <c r="AN81" s="21">
        <v>120.8</v>
      </c>
      <c r="AO81" s="21">
        <v>606.42999999999995</v>
      </c>
      <c r="AP81" s="67"/>
      <c r="AT81" s="81"/>
      <c r="AU81"/>
    </row>
    <row r="82" spans="1:47" ht="32.1">
      <c r="A82" s="23" t="s">
        <v>315</v>
      </c>
      <c r="B82" s="19" t="s">
        <v>316</v>
      </c>
      <c r="C82" s="19" t="s">
        <v>317</v>
      </c>
      <c r="D82" s="20">
        <f t="shared" si="1"/>
        <v>0</v>
      </c>
      <c r="E82" s="22">
        <v>0</v>
      </c>
      <c r="F82" s="22">
        <v>0</v>
      </c>
      <c r="G82" s="22">
        <v>0</v>
      </c>
      <c r="H82" s="22">
        <v>0</v>
      </c>
      <c r="I82" s="22">
        <v>0</v>
      </c>
      <c r="J82" s="22">
        <v>0</v>
      </c>
      <c r="K82" s="22">
        <v>0</v>
      </c>
      <c r="L82" s="22">
        <v>0</v>
      </c>
      <c r="M82" s="22">
        <v>0</v>
      </c>
      <c r="N82" s="22">
        <v>0</v>
      </c>
      <c r="O82" s="22">
        <v>0</v>
      </c>
      <c r="P82" s="22">
        <v>0</v>
      </c>
      <c r="Q82" s="22">
        <v>0</v>
      </c>
      <c r="R82" s="22">
        <v>0</v>
      </c>
      <c r="S82" s="22">
        <v>0</v>
      </c>
      <c r="T82" s="22">
        <v>0</v>
      </c>
      <c r="U82" s="22">
        <v>0</v>
      </c>
      <c r="V82" s="22">
        <v>0</v>
      </c>
      <c r="W82" s="22">
        <v>0</v>
      </c>
      <c r="X82" s="22">
        <v>0</v>
      </c>
      <c r="Y82" s="22">
        <v>0</v>
      </c>
      <c r="Z82" s="22">
        <v>0</v>
      </c>
      <c r="AA82" s="22">
        <v>0</v>
      </c>
      <c r="AB82" s="22">
        <v>0</v>
      </c>
      <c r="AC82" s="22">
        <v>0</v>
      </c>
      <c r="AD82" s="22">
        <v>0</v>
      </c>
      <c r="AE82" s="22">
        <v>0</v>
      </c>
      <c r="AF82" s="22">
        <v>0</v>
      </c>
      <c r="AG82" s="22">
        <v>0</v>
      </c>
      <c r="AH82" s="22">
        <v>0</v>
      </c>
      <c r="AI82" s="22">
        <v>0</v>
      </c>
      <c r="AJ82" s="22">
        <v>0</v>
      </c>
      <c r="AK82" s="22">
        <v>0</v>
      </c>
      <c r="AL82" s="22">
        <v>0</v>
      </c>
      <c r="AM82" s="22">
        <v>0</v>
      </c>
      <c r="AN82" s="22">
        <v>0</v>
      </c>
      <c r="AO82" s="22">
        <v>0</v>
      </c>
      <c r="AP82" s="68"/>
      <c r="AT82" s="81"/>
      <c r="AU82"/>
    </row>
    <row r="83" spans="1:47">
      <c r="A83" s="23" t="s">
        <v>318</v>
      </c>
      <c r="B83" s="19" t="s">
        <v>319</v>
      </c>
      <c r="C83" s="19" t="s">
        <v>320</v>
      </c>
      <c r="D83" s="20">
        <f t="shared" si="1"/>
        <v>204</v>
      </c>
      <c r="E83" s="22">
        <v>0</v>
      </c>
      <c r="F83" s="22">
        <v>0</v>
      </c>
      <c r="G83" s="22">
        <v>0</v>
      </c>
      <c r="H83" s="22">
        <v>0</v>
      </c>
      <c r="I83" s="22">
        <v>0</v>
      </c>
      <c r="J83" s="22">
        <v>0</v>
      </c>
      <c r="K83" s="22">
        <v>0</v>
      </c>
      <c r="L83" s="22">
        <v>0</v>
      </c>
      <c r="M83" s="22">
        <v>0</v>
      </c>
      <c r="N83" s="22">
        <v>0</v>
      </c>
      <c r="O83" s="22">
        <v>0</v>
      </c>
      <c r="P83" s="22">
        <v>96</v>
      </c>
      <c r="Q83" s="22">
        <v>0</v>
      </c>
      <c r="R83" s="22">
        <v>0</v>
      </c>
      <c r="S83" s="22">
        <v>0</v>
      </c>
      <c r="T83" s="22">
        <v>0</v>
      </c>
      <c r="U83" s="22">
        <v>0</v>
      </c>
      <c r="V83" s="22">
        <v>0</v>
      </c>
      <c r="W83" s="22">
        <v>0</v>
      </c>
      <c r="X83" s="22">
        <v>0</v>
      </c>
      <c r="Y83" s="22">
        <v>0</v>
      </c>
      <c r="Z83" s="22">
        <v>0</v>
      </c>
      <c r="AA83" s="22">
        <v>0</v>
      </c>
      <c r="AB83" s="22">
        <v>36</v>
      </c>
      <c r="AC83" s="22">
        <v>36</v>
      </c>
      <c r="AD83" s="22">
        <v>0</v>
      </c>
      <c r="AE83" s="22">
        <v>0</v>
      </c>
      <c r="AF83" s="22">
        <v>0</v>
      </c>
      <c r="AG83" s="22">
        <v>36</v>
      </c>
      <c r="AH83" s="22">
        <v>0</v>
      </c>
      <c r="AI83" s="22">
        <v>0</v>
      </c>
      <c r="AJ83" s="22">
        <v>0</v>
      </c>
      <c r="AK83" s="22">
        <v>0</v>
      </c>
      <c r="AL83" s="22">
        <v>0</v>
      </c>
      <c r="AM83" s="22">
        <v>0</v>
      </c>
      <c r="AN83" s="22">
        <v>0</v>
      </c>
      <c r="AO83" s="22">
        <v>0</v>
      </c>
      <c r="AP83" s="68"/>
      <c r="AT83" s="81"/>
      <c r="AU83"/>
    </row>
    <row r="84" spans="1:47" ht="32.1">
      <c r="A84" s="23" t="s">
        <v>321</v>
      </c>
      <c r="B84" s="19" t="s">
        <v>322</v>
      </c>
      <c r="C84" s="19" t="s">
        <v>323</v>
      </c>
      <c r="D84" s="20">
        <f t="shared" si="1"/>
        <v>6</v>
      </c>
      <c r="E84" s="22">
        <v>1</v>
      </c>
      <c r="F84" s="22">
        <v>0</v>
      </c>
      <c r="G84" s="22">
        <v>0</v>
      </c>
      <c r="H84" s="22">
        <v>0</v>
      </c>
      <c r="I84" s="22">
        <v>0</v>
      </c>
      <c r="J84" s="22">
        <v>0</v>
      </c>
      <c r="K84" s="22">
        <v>0</v>
      </c>
      <c r="L84" s="22">
        <v>0</v>
      </c>
      <c r="M84" s="22">
        <v>0</v>
      </c>
      <c r="N84" s="22">
        <v>0</v>
      </c>
      <c r="O84" s="22">
        <v>0</v>
      </c>
      <c r="P84" s="22">
        <v>1</v>
      </c>
      <c r="Q84" s="22">
        <v>0</v>
      </c>
      <c r="R84" s="22">
        <v>0</v>
      </c>
      <c r="S84" s="22">
        <v>0</v>
      </c>
      <c r="T84" s="22">
        <v>0</v>
      </c>
      <c r="U84" s="22">
        <v>0</v>
      </c>
      <c r="V84" s="22">
        <v>1</v>
      </c>
      <c r="W84" s="22">
        <v>0</v>
      </c>
      <c r="X84" s="22">
        <v>0</v>
      </c>
      <c r="Y84" s="22">
        <v>0</v>
      </c>
      <c r="Z84" s="22">
        <v>0</v>
      </c>
      <c r="AA84" s="22">
        <v>0</v>
      </c>
      <c r="AB84" s="22">
        <v>0</v>
      </c>
      <c r="AC84" s="22">
        <v>1</v>
      </c>
      <c r="AD84" s="22">
        <v>0</v>
      </c>
      <c r="AE84" s="22">
        <v>0</v>
      </c>
      <c r="AF84" s="22">
        <v>0</v>
      </c>
      <c r="AG84" s="22">
        <v>1</v>
      </c>
      <c r="AH84" s="22">
        <v>0</v>
      </c>
      <c r="AI84" s="22">
        <v>0</v>
      </c>
      <c r="AJ84" s="22">
        <v>1</v>
      </c>
      <c r="AK84" s="22">
        <v>0</v>
      </c>
      <c r="AL84" s="22">
        <v>0</v>
      </c>
      <c r="AM84" s="22">
        <v>0</v>
      </c>
      <c r="AN84" s="22">
        <v>0</v>
      </c>
      <c r="AO84" s="22">
        <v>0</v>
      </c>
      <c r="AP84" s="68"/>
      <c r="AT84" s="81"/>
      <c r="AU84"/>
    </row>
    <row r="85" spans="1:47">
      <c r="A85" s="23" t="s">
        <v>324</v>
      </c>
      <c r="B85" s="19" t="s">
        <v>325</v>
      </c>
      <c r="C85" s="19" t="s">
        <v>326</v>
      </c>
      <c r="D85" s="20">
        <f t="shared" si="1"/>
        <v>94</v>
      </c>
      <c r="E85" s="22">
        <v>7</v>
      </c>
      <c r="F85" s="22">
        <v>0</v>
      </c>
      <c r="G85" s="22">
        <v>0</v>
      </c>
      <c r="H85" s="22">
        <v>0</v>
      </c>
      <c r="I85" s="22">
        <v>0</v>
      </c>
      <c r="J85" s="22">
        <v>0</v>
      </c>
      <c r="K85" s="22">
        <v>0</v>
      </c>
      <c r="L85" s="22">
        <v>0</v>
      </c>
      <c r="M85" s="22">
        <v>0</v>
      </c>
      <c r="N85" s="22">
        <v>0</v>
      </c>
      <c r="O85" s="22">
        <v>0</v>
      </c>
      <c r="P85" s="22">
        <v>26</v>
      </c>
      <c r="Q85" s="22">
        <v>0</v>
      </c>
      <c r="R85" s="22">
        <v>0</v>
      </c>
      <c r="S85" s="22">
        <v>0</v>
      </c>
      <c r="T85" s="22">
        <v>0</v>
      </c>
      <c r="U85" s="22">
        <v>0</v>
      </c>
      <c r="V85" s="22">
        <v>0</v>
      </c>
      <c r="W85" s="22">
        <v>0</v>
      </c>
      <c r="X85" s="22">
        <v>0</v>
      </c>
      <c r="Y85" s="22">
        <v>13</v>
      </c>
      <c r="Z85" s="22">
        <v>0</v>
      </c>
      <c r="AA85" s="22">
        <v>0</v>
      </c>
      <c r="AB85" s="22">
        <v>0</v>
      </c>
      <c r="AC85" s="22">
        <v>12</v>
      </c>
      <c r="AD85" s="22">
        <v>0</v>
      </c>
      <c r="AE85" s="22">
        <v>0</v>
      </c>
      <c r="AF85" s="22">
        <v>0</v>
      </c>
      <c r="AG85" s="22">
        <v>29</v>
      </c>
      <c r="AH85" s="22">
        <v>0</v>
      </c>
      <c r="AI85" s="22">
        <v>0</v>
      </c>
      <c r="AJ85" s="22">
        <v>7</v>
      </c>
      <c r="AK85" s="22">
        <v>0</v>
      </c>
      <c r="AL85" s="22">
        <v>0</v>
      </c>
      <c r="AM85" s="22">
        <v>0</v>
      </c>
      <c r="AN85" s="22">
        <v>0</v>
      </c>
      <c r="AO85" s="22">
        <v>0</v>
      </c>
      <c r="AP85" s="68"/>
      <c r="AT85" s="81"/>
      <c r="AU85"/>
    </row>
    <row r="86" spans="1:47">
      <c r="A86" s="23" t="s">
        <v>327</v>
      </c>
      <c r="B86" s="19" t="s">
        <v>328</v>
      </c>
      <c r="C86" s="19" t="s">
        <v>329</v>
      </c>
      <c r="D86" s="20">
        <f t="shared" si="1"/>
        <v>0</v>
      </c>
      <c r="E86" s="22">
        <v>0</v>
      </c>
      <c r="F86" s="22">
        <v>0</v>
      </c>
      <c r="G86" s="22">
        <v>0</v>
      </c>
      <c r="H86" s="22">
        <v>0</v>
      </c>
      <c r="I86" s="22">
        <v>0</v>
      </c>
      <c r="J86" s="22">
        <v>0</v>
      </c>
      <c r="K86" s="22">
        <v>0</v>
      </c>
      <c r="L86" s="22">
        <v>0</v>
      </c>
      <c r="M86" s="22">
        <v>0</v>
      </c>
      <c r="N86" s="22">
        <v>0</v>
      </c>
      <c r="O86" s="22">
        <v>0</v>
      </c>
      <c r="P86" s="22">
        <v>0</v>
      </c>
      <c r="Q86" s="22">
        <v>0</v>
      </c>
      <c r="R86" s="22">
        <v>0</v>
      </c>
      <c r="S86" s="22">
        <v>0</v>
      </c>
      <c r="T86" s="22">
        <v>0</v>
      </c>
      <c r="U86" s="22">
        <v>0</v>
      </c>
      <c r="V86" s="22">
        <v>0</v>
      </c>
      <c r="W86" s="22">
        <v>0</v>
      </c>
      <c r="X86" s="22">
        <v>0</v>
      </c>
      <c r="Y86" s="22">
        <v>0</v>
      </c>
      <c r="Z86" s="22">
        <v>0</v>
      </c>
      <c r="AA86" s="22">
        <v>0</v>
      </c>
      <c r="AB86" s="22">
        <v>0</v>
      </c>
      <c r="AC86" s="22">
        <v>0</v>
      </c>
      <c r="AD86" s="22">
        <v>0</v>
      </c>
      <c r="AE86" s="22">
        <v>0</v>
      </c>
      <c r="AF86" s="22">
        <v>0</v>
      </c>
      <c r="AG86" s="22">
        <v>0</v>
      </c>
      <c r="AH86" s="22">
        <v>0</v>
      </c>
      <c r="AI86" s="22">
        <v>0</v>
      </c>
      <c r="AJ86" s="22">
        <v>0</v>
      </c>
      <c r="AK86" s="22">
        <v>0</v>
      </c>
      <c r="AL86" s="22">
        <v>0</v>
      </c>
      <c r="AM86" s="22">
        <v>0</v>
      </c>
      <c r="AN86" s="22">
        <v>0</v>
      </c>
      <c r="AO86" s="22">
        <v>0</v>
      </c>
      <c r="AP86" s="68"/>
      <c r="AT86" s="81"/>
      <c r="AU86"/>
    </row>
    <row r="87" spans="1:47">
      <c r="A87" s="23" t="s">
        <v>330</v>
      </c>
      <c r="B87" s="19" t="s">
        <v>331</v>
      </c>
      <c r="C87" s="19" t="s">
        <v>332</v>
      </c>
      <c r="D87" s="20">
        <f t="shared" si="1"/>
        <v>0</v>
      </c>
      <c r="E87" s="22">
        <v>0</v>
      </c>
      <c r="F87" s="22">
        <v>0</v>
      </c>
      <c r="G87" s="22">
        <v>0</v>
      </c>
      <c r="H87" s="22">
        <v>0</v>
      </c>
      <c r="I87" s="22">
        <v>0</v>
      </c>
      <c r="J87" s="22">
        <v>0</v>
      </c>
      <c r="K87" s="22">
        <v>0</v>
      </c>
      <c r="L87" s="22">
        <v>0</v>
      </c>
      <c r="M87" s="22">
        <v>0</v>
      </c>
      <c r="N87" s="22">
        <v>0</v>
      </c>
      <c r="O87" s="22">
        <v>0</v>
      </c>
      <c r="P87" s="22">
        <v>0</v>
      </c>
      <c r="Q87" s="22">
        <v>0</v>
      </c>
      <c r="R87" s="22">
        <v>0</v>
      </c>
      <c r="S87" s="22">
        <v>0</v>
      </c>
      <c r="T87" s="22">
        <v>0</v>
      </c>
      <c r="U87" s="22">
        <v>0</v>
      </c>
      <c r="V87" s="22">
        <v>0</v>
      </c>
      <c r="W87" s="22">
        <v>0</v>
      </c>
      <c r="X87" s="22">
        <v>0</v>
      </c>
      <c r="Y87" s="22">
        <v>0</v>
      </c>
      <c r="Z87" s="22">
        <v>0</v>
      </c>
      <c r="AA87" s="22">
        <v>0</v>
      </c>
      <c r="AB87" s="22">
        <v>0</v>
      </c>
      <c r="AC87" s="22">
        <v>0</v>
      </c>
      <c r="AD87" s="22">
        <v>0</v>
      </c>
      <c r="AE87" s="22">
        <v>0</v>
      </c>
      <c r="AF87" s="22">
        <v>0</v>
      </c>
      <c r="AG87" s="22">
        <v>0</v>
      </c>
      <c r="AH87" s="22">
        <v>0</v>
      </c>
      <c r="AI87" s="22">
        <v>0</v>
      </c>
      <c r="AJ87" s="22">
        <v>0</v>
      </c>
      <c r="AK87" s="22">
        <v>0</v>
      </c>
      <c r="AL87" s="22">
        <v>0</v>
      </c>
      <c r="AM87" s="22">
        <v>0</v>
      </c>
      <c r="AN87" s="22">
        <v>0</v>
      </c>
      <c r="AO87" s="22">
        <v>0</v>
      </c>
      <c r="AP87" s="68"/>
      <c r="AT87" s="81"/>
      <c r="AU87"/>
    </row>
    <row r="88" spans="1:47">
      <c r="A88" s="24" t="s">
        <v>333</v>
      </c>
      <c r="B88" s="25"/>
      <c r="C88" s="25"/>
      <c r="D88" s="16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67"/>
      <c r="AT88" s="81"/>
      <c r="AU88"/>
    </row>
    <row r="89" spans="1:47">
      <c r="A89" s="19" t="s">
        <v>334</v>
      </c>
      <c r="B89" s="19" t="s">
        <v>335</v>
      </c>
      <c r="C89" s="19" t="s">
        <v>336</v>
      </c>
      <c r="D89" s="20">
        <f t="shared" ref="D89:D102" si="2">SUM(E89:AO89)</f>
        <v>219692.91</v>
      </c>
      <c r="E89" s="22">
        <v>1685.61</v>
      </c>
      <c r="F89" s="22">
        <v>252.11</v>
      </c>
      <c r="G89" s="22">
        <v>4400.29</v>
      </c>
      <c r="H89" s="22">
        <v>6834.02</v>
      </c>
      <c r="I89" s="22">
        <v>1524.62</v>
      </c>
      <c r="J89" s="22">
        <v>1132.2</v>
      </c>
      <c r="K89" s="22">
        <v>1180.6600000000001</v>
      </c>
      <c r="L89" s="22">
        <v>3292.05</v>
      </c>
      <c r="M89" s="22">
        <v>129.33000000000001</v>
      </c>
      <c r="N89" s="22">
        <v>519.38</v>
      </c>
      <c r="O89" s="22">
        <v>174.58</v>
      </c>
      <c r="P89" s="22">
        <v>53059.54</v>
      </c>
      <c r="Q89" s="22">
        <v>4870.3599999999997</v>
      </c>
      <c r="R89" s="22">
        <v>535.38</v>
      </c>
      <c r="S89" s="22">
        <v>506.87</v>
      </c>
      <c r="T89" s="22">
        <v>5856.19</v>
      </c>
      <c r="U89" s="22">
        <v>2857.08</v>
      </c>
      <c r="V89" s="22">
        <v>644.85</v>
      </c>
      <c r="W89" s="22">
        <v>198.41</v>
      </c>
      <c r="X89" s="22">
        <v>179.53</v>
      </c>
      <c r="Y89" s="22">
        <v>3594.51</v>
      </c>
      <c r="Z89" s="22">
        <v>14938.68</v>
      </c>
      <c r="AA89" s="22">
        <v>221.91</v>
      </c>
      <c r="AB89" s="22">
        <v>20967.28</v>
      </c>
      <c r="AC89" s="22">
        <v>33805.53</v>
      </c>
      <c r="AD89" s="22">
        <v>1883.69</v>
      </c>
      <c r="AE89" s="22">
        <v>455.46</v>
      </c>
      <c r="AF89" s="22">
        <v>144.13999999999999</v>
      </c>
      <c r="AG89" s="22">
        <v>22433.8</v>
      </c>
      <c r="AH89" s="22">
        <v>17318.990000000002</v>
      </c>
      <c r="AI89" s="22">
        <v>4028.65</v>
      </c>
      <c r="AJ89" s="22">
        <v>2889.12</v>
      </c>
      <c r="AK89" s="22">
        <v>264.43</v>
      </c>
      <c r="AL89" s="22">
        <v>1314.2</v>
      </c>
      <c r="AM89" s="22">
        <v>4872.2299999999996</v>
      </c>
      <c r="AN89" s="22">
        <v>120.8</v>
      </c>
      <c r="AO89" s="22">
        <v>606.42999999999995</v>
      </c>
      <c r="AP89" s="67"/>
      <c r="AT89" s="81"/>
      <c r="AU89"/>
    </row>
    <row r="90" spans="1:47">
      <c r="A90" s="19" t="s">
        <v>337</v>
      </c>
      <c r="B90" s="19" t="s">
        <v>338</v>
      </c>
      <c r="C90" s="19" t="s">
        <v>336</v>
      </c>
      <c r="D90" s="20">
        <f t="shared" si="2"/>
        <v>219692.91</v>
      </c>
      <c r="E90" s="22">
        <v>1685.61</v>
      </c>
      <c r="F90" s="22">
        <v>252.11</v>
      </c>
      <c r="G90" s="22">
        <v>4400.29</v>
      </c>
      <c r="H90" s="22">
        <v>6834.02</v>
      </c>
      <c r="I90" s="22">
        <v>1524.62</v>
      </c>
      <c r="J90" s="22">
        <v>1132.2</v>
      </c>
      <c r="K90" s="22">
        <v>1180.6600000000001</v>
      </c>
      <c r="L90" s="22">
        <v>3292.05</v>
      </c>
      <c r="M90" s="22">
        <v>129.33000000000001</v>
      </c>
      <c r="N90" s="22">
        <v>519.38</v>
      </c>
      <c r="O90" s="22">
        <v>174.58</v>
      </c>
      <c r="P90" s="22">
        <v>53059.54</v>
      </c>
      <c r="Q90" s="22">
        <v>4870.3599999999997</v>
      </c>
      <c r="R90" s="22">
        <v>535.38</v>
      </c>
      <c r="S90" s="22">
        <v>506.87</v>
      </c>
      <c r="T90" s="22">
        <v>5856.19</v>
      </c>
      <c r="U90" s="22">
        <v>2857.08</v>
      </c>
      <c r="V90" s="22">
        <v>644.85</v>
      </c>
      <c r="W90" s="22">
        <v>198.41</v>
      </c>
      <c r="X90" s="22">
        <v>179.53</v>
      </c>
      <c r="Y90" s="22">
        <v>3594.51</v>
      </c>
      <c r="Z90" s="22">
        <v>14938.68</v>
      </c>
      <c r="AA90" s="22">
        <v>221.91</v>
      </c>
      <c r="AB90" s="22">
        <v>20967.28</v>
      </c>
      <c r="AC90" s="22">
        <v>33805.53</v>
      </c>
      <c r="AD90" s="22">
        <v>1883.69</v>
      </c>
      <c r="AE90" s="22">
        <v>455.46</v>
      </c>
      <c r="AF90" s="22">
        <v>144.13999999999999</v>
      </c>
      <c r="AG90" s="22">
        <v>22433.8</v>
      </c>
      <c r="AH90" s="22">
        <v>17318.990000000002</v>
      </c>
      <c r="AI90" s="22">
        <v>4028.65</v>
      </c>
      <c r="AJ90" s="22">
        <v>2889.12</v>
      </c>
      <c r="AK90" s="22">
        <v>264.43</v>
      </c>
      <c r="AL90" s="22">
        <v>1314.2</v>
      </c>
      <c r="AM90" s="22">
        <v>4872.2299999999996</v>
      </c>
      <c r="AN90" s="22">
        <v>120.8</v>
      </c>
      <c r="AO90" s="22">
        <v>606.42999999999995</v>
      </c>
      <c r="AP90" s="67"/>
      <c r="AT90" s="81"/>
      <c r="AU90"/>
    </row>
    <row r="91" spans="1:47">
      <c r="A91" s="23" t="s">
        <v>339</v>
      </c>
      <c r="B91" s="19" t="s">
        <v>340</v>
      </c>
      <c r="C91" s="19" t="s">
        <v>196</v>
      </c>
      <c r="D91" s="20">
        <f t="shared" si="2"/>
        <v>219692.91</v>
      </c>
      <c r="E91" s="22">
        <v>1685.61</v>
      </c>
      <c r="F91" s="22">
        <v>252.11</v>
      </c>
      <c r="G91" s="22">
        <v>4400.29</v>
      </c>
      <c r="H91" s="22">
        <v>6834.02</v>
      </c>
      <c r="I91" s="22">
        <v>1524.62</v>
      </c>
      <c r="J91" s="22">
        <v>1132.2</v>
      </c>
      <c r="K91" s="22">
        <v>1180.6600000000001</v>
      </c>
      <c r="L91" s="22">
        <v>3292.05</v>
      </c>
      <c r="M91" s="22">
        <v>129.33000000000001</v>
      </c>
      <c r="N91" s="22">
        <v>519.38</v>
      </c>
      <c r="O91" s="22">
        <v>174.58</v>
      </c>
      <c r="P91" s="22">
        <v>53059.54</v>
      </c>
      <c r="Q91" s="22">
        <v>4870.3599999999997</v>
      </c>
      <c r="R91" s="22">
        <v>535.38</v>
      </c>
      <c r="S91" s="22">
        <v>506.87</v>
      </c>
      <c r="T91" s="22">
        <v>5856.19</v>
      </c>
      <c r="U91" s="22">
        <v>2857.08</v>
      </c>
      <c r="V91" s="22">
        <v>644.85</v>
      </c>
      <c r="W91" s="22">
        <v>198.41</v>
      </c>
      <c r="X91" s="22">
        <v>179.53</v>
      </c>
      <c r="Y91" s="22">
        <v>3594.51</v>
      </c>
      <c r="Z91" s="22">
        <v>14938.68</v>
      </c>
      <c r="AA91" s="22">
        <v>221.91</v>
      </c>
      <c r="AB91" s="22">
        <v>20967.28</v>
      </c>
      <c r="AC91" s="22">
        <v>33805.53</v>
      </c>
      <c r="AD91" s="22">
        <v>1883.69</v>
      </c>
      <c r="AE91" s="22">
        <v>455.46</v>
      </c>
      <c r="AF91" s="22">
        <v>144.13999999999999</v>
      </c>
      <c r="AG91" s="22">
        <v>22433.8</v>
      </c>
      <c r="AH91" s="22">
        <v>17318.990000000002</v>
      </c>
      <c r="AI91" s="22">
        <v>4028.65</v>
      </c>
      <c r="AJ91" s="22">
        <v>2889.12</v>
      </c>
      <c r="AK91" s="22">
        <v>264.43</v>
      </c>
      <c r="AL91" s="22">
        <v>1314.2</v>
      </c>
      <c r="AM91" s="22">
        <v>4872.2299999999996</v>
      </c>
      <c r="AN91" s="22">
        <v>120.8</v>
      </c>
      <c r="AO91" s="22">
        <v>606.42999999999995</v>
      </c>
      <c r="AP91" s="67"/>
      <c r="AT91" s="81"/>
      <c r="AU91"/>
    </row>
    <row r="92" spans="1:47">
      <c r="A92" s="23" t="s">
        <v>341</v>
      </c>
      <c r="B92" s="19" t="s">
        <v>342</v>
      </c>
      <c r="C92" s="19" t="s">
        <v>196</v>
      </c>
      <c r="D92" s="20">
        <f t="shared" si="2"/>
        <v>219692.91</v>
      </c>
      <c r="E92" s="22">
        <v>1685.61</v>
      </c>
      <c r="F92" s="22">
        <v>252.11</v>
      </c>
      <c r="G92" s="22">
        <v>4400.29</v>
      </c>
      <c r="H92" s="22">
        <v>6834.02</v>
      </c>
      <c r="I92" s="22">
        <v>1524.62</v>
      </c>
      <c r="J92" s="22">
        <v>1132.2</v>
      </c>
      <c r="K92" s="22">
        <v>1180.6600000000001</v>
      </c>
      <c r="L92" s="22">
        <v>3292.05</v>
      </c>
      <c r="M92" s="22">
        <v>129.33000000000001</v>
      </c>
      <c r="N92" s="22">
        <v>519.38</v>
      </c>
      <c r="O92" s="22">
        <v>174.58</v>
      </c>
      <c r="P92" s="22">
        <v>53059.54</v>
      </c>
      <c r="Q92" s="22">
        <v>4870.3599999999997</v>
      </c>
      <c r="R92" s="22">
        <v>535.38</v>
      </c>
      <c r="S92" s="22">
        <v>506.87</v>
      </c>
      <c r="T92" s="22">
        <v>5856.19</v>
      </c>
      <c r="U92" s="22">
        <v>2857.08</v>
      </c>
      <c r="V92" s="22">
        <v>644.85</v>
      </c>
      <c r="W92" s="22">
        <v>198.41</v>
      </c>
      <c r="X92" s="22">
        <v>179.53</v>
      </c>
      <c r="Y92" s="22">
        <v>3594.51</v>
      </c>
      <c r="Z92" s="22">
        <v>14938.68</v>
      </c>
      <c r="AA92" s="22">
        <v>221.91</v>
      </c>
      <c r="AB92" s="22">
        <v>20967.28</v>
      </c>
      <c r="AC92" s="22">
        <v>33805.53</v>
      </c>
      <c r="AD92" s="22">
        <v>1883.69</v>
      </c>
      <c r="AE92" s="22">
        <v>455.46</v>
      </c>
      <c r="AF92" s="22">
        <v>144.13999999999999</v>
      </c>
      <c r="AG92" s="22">
        <v>22433.8</v>
      </c>
      <c r="AH92" s="22">
        <v>17318.990000000002</v>
      </c>
      <c r="AI92" s="22">
        <v>4028.65</v>
      </c>
      <c r="AJ92" s="22">
        <v>2889.12</v>
      </c>
      <c r="AK92" s="22">
        <v>264.43</v>
      </c>
      <c r="AL92" s="22">
        <v>1314.2</v>
      </c>
      <c r="AM92" s="22">
        <v>4872.2299999999996</v>
      </c>
      <c r="AN92" s="22">
        <v>120.8</v>
      </c>
      <c r="AO92" s="22">
        <v>606.42999999999995</v>
      </c>
      <c r="AP92" s="67"/>
      <c r="AT92" s="81"/>
      <c r="AU92"/>
    </row>
    <row r="93" spans="1:47">
      <c r="A93" s="23" t="s">
        <v>343</v>
      </c>
      <c r="B93" s="19" t="s">
        <v>344</v>
      </c>
      <c r="C93" s="19" t="s">
        <v>345</v>
      </c>
      <c r="D93" s="20">
        <f t="shared" si="2"/>
        <v>1031</v>
      </c>
      <c r="E93" s="22">
        <v>0</v>
      </c>
      <c r="F93" s="22">
        <v>0</v>
      </c>
      <c r="G93" s="22">
        <v>33</v>
      </c>
      <c r="H93" s="22">
        <v>41</v>
      </c>
      <c r="I93" s="22">
        <v>0</v>
      </c>
      <c r="J93" s="22">
        <v>0</v>
      </c>
      <c r="K93" s="22">
        <v>0</v>
      </c>
      <c r="L93" s="22">
        <v>0</v>
      </c>
      <c r="M93" s="22">
        <v>0</v>
      </c>
      <c r="N93" s="22">
        <v>4</v>
      </c>
      <c r="O93" s="22">
        <v>0</v>
      </c>
      <c r="P93" s="22">
        <v>428</v>
      </c>
      <c r="Q93" s="22">
        <v>26</v>
      </c>
      <c r="R93" s="22"/>
      <c r="S93" s="22"/>
      <c r="T93" s="22">
        <v>1</v>
      </c>
      <c r="U93" s="22">
        <v>0</v>
      </c>
      <c r="V93" s="22">
        <v>0</v>
      </c>
      <c r="W93" s="22">
        <v>0</v>
      </c>
      <c r="X93" s="22">
        <v>0</v>
      </c>
      <c r="Y93" s="22">
        <v>6</v>
      </c>
      <c r="Z93" s="22">
        <v>77</v>
      </c>
      <c r="AA93" s="22"/>
      <c r="AB93" s="22">
        <v>95</v>
      </c>
      <c r="AC93" s="22">
        <v>51</v>
      </c>
      <c r="AD93" s="22">
        <v>6</v>
      </c>
      <c r="AE93" s="22"/>
      <c r="AF93" s="22"/>
      <c r="AG93" s="22">
        <v>175</v>
      </c>
      <c r="AH93" s="22">
        <v>42</v>
      </c>
      <c r="AI93" s="22">
        <v>0</v>
      </c>
      <c r="AJ93" s="22">
        <v>0</v>
      </c>
      <c r="AK93" s="22">
        <v>0</v>
      </c>
      <c r="AL93" s="22">
        <v>0</v>
      </c>
      <c r="AM93" s="22">
        <v>46</v>
      </c>
      <c r="AN93" s="22"/>
      <c r="AO93" s="22"/>
      <c r="AP93" s="67"/>
      <c r="AT93" s="81"/>
      <c r="AU93"/>
    </row>
    <row r="94" spans="1:47">
      <c r="A94" s="23" t="s">
        <v>346</v>
      </c>
      <c r="B94" s="19" t="s">
        <v>347</v>
      </c>
      <c r="C94" s="19" t="s">
        <v>348</v>
      </c>
      <c r="D94" s="20">
        <f t="shared" si="2"/>
        <v>1487</v>
      </c>
      <c r="E94" s="22">
        <v>21</v>
      </c>
      <c r="F94" s="22">
        <v>6</v>
      </c>
      <c r="G94" s="22">
        <v>49</v>
      </c>
      <c r="H94" s="22">
        <v>52</v>
      </c>
      <c r="I94" s="22">
        <v>13</v>
      </c>
      <c r="J94" s="22">
        <v>17</v>
      </c>
      <c r="K94" s="22">
        <v>20</v>
      </c>
      <c r="L94" s="22">
        <v>29</v>
      </c>
      <c r="M94" s="22">
        <v>7</v>
      </c>
      <c r="N94" s="22">
        <v>9</v>
      </c>
      <c r="O94" s="22">
        <v>3</v>
      </c>
      <c r="P94" s="22">
        <v>384</v>
      </c>
      <c r="Q94" s="22">
        <v>65</v>
      </c>
      <c r="R94" s="22">
        <v>4</v>
      </c>
      <c r="S94" s="22">
        <v>5</v>
      </c>
      <c r="T94" s="22">
        <v>36</v>
      </c>
      <c r="U94" s="22">
        <v>21</v>
      </c>
      <c r="V94" s="22">
        <v>9</v>
      </c>
      <c r="W94" s="22">
        <v>4</v>
      </c>
      <c r="X94" s="22">
        <v>3</v>
      </c>
      <c r="Y94" s="22">
        <v>34</v>
      </c>
      <c r="Z94" s="22">
        <v>80</v>
      </c>
      <c r="AA94" s="22">
        <v>4</v>
      </c>
      <c r="AB94" s="22">
        <v>116</v>
      </c>
      <c r="AC94" s="22">
        <v>134</v>
      </c>
      <c r="AD94" s="22">
        <v>15</v>
      </c>
      <c r="AE94" s="22">
        <v>2</v>
      </c>
      <c r="AF94" s="22">
        <v>2</v>
      </c>
      <c r="AG94" s="22">
        <v>166</v>
      </c>
      <c r="AH94" s="22">
        <v>97</v>
      </c>
      <c r="AI94" s="22">
        <v>10</v>
      </c>
      <c r="AJ94" s="22">
        <v>20</v>
      </c>
      <c r="AK94" s="22">
        <v>4</v>
      </c>
      <c r="AL94" s="22">
        <v>11</v>
      </c>
      <c r="AM94" s="22">
        <v>27</v>
      </c>
      <c r="AN94" s="22">
        <v>2</v>
      </c>
      <c r="AO94" s="22">
        <v>6</v>
      </c>
      <c r="AP94" s="67"/>
      <c r="AT94" s="81"/>
      <c r="AU94"/>
    </row>
    <row r="95" spans="1:47" ht="26.25" customHeight="1">
      <c r="A95" s="23" t="s">
        <v>349</v>
      </c>
      <c r="B95" s="19" t="s">
        <v>350</v>
      </c>
      <c r="C95" s="19" t="s">
        <v>351</v>
      </c>
      <c r="D95" s="20">
        <f t="shared" si="2"/>
        <v>0</v>
      </c>
      <c r="E95" s="22">
        <v>0</v>
      </c>
      <c r="F95" s="22">
        <v>0</v>
      </c>
      <c r="G95" s="22">
        <v>0</v>
      </c>
      <c r="H95" s="22">
        <v>0</v>
      </c>
      <c r="I95" s="22">
        <v>0</v>
      </c>
      <c r="J95" s="22">
        <v>0</v>
      </c>
      <c r="K95" s="22">
        <v>0</v>
      </c>
      <c r="L95" s="22">
        <v>0</v>
      </c>
      <c r="M95" s="22">
        <v>0</v>
      </c>
      <c r="N95" s="22">
        <v>0</v>
      </c>
      <c r="O95" s="22">
        <v>0</v>
      </c>
      <c r="P95" s="22">
        <v>0</v>
      </c>
      <c r="Q95" s="22">
        <v>0</v>
      </c>
      <c r="R95" s="22">
        <v>0</v>
      </c>
      <c r="S95" s="22">
        <v>0</v>
      </c>
      <c r="T95" s="22">
        <v>0</v>
      </c>
      <c r="U95" s="22">
        <v>0</v>
      </c>
      <c r="V95" s="22">
        <v>0</v>
      </c>
      <c r="W95" s="22">
        <v>0</v>
      </c>
      <c r="X95" s="22">
        <v>0</v>
      </c>
      <c r="Y95" s="22">
        <v>0</v>
      </c>
      <c r="Z95" s="22">
        <v>0</v>
      </c>
      <c r="AA95" s="22">
        <v>0</v>
      </c>
      <c r="AB95" s="22">
        <v>0</v>
      </c>
      <c r="AC95" s="22">
        <v>0</v>
      </c>
      <c r="AD95" s="22">
        <v>0</v>
      </c>
      <c r="AE95" s="22">
        <v>0</v>
      </c>
      <c r="AF95" s="22">
        <v>0</v>
      </c>
      <c r="AG95" s="22">
        <v>0</v>
      </c>
      <c r="AH95" s="22">
        <v>0</v>
      </c>
      <c r="AI95" s="22">
        <v>0</v>
      </c>
      <c r="AJ95" s="22">
        <v>0</v>
      </c>
      <c r="AK95" s="22">
        <v>0</v>
      </c>
      <c r="AL95" s="22">
        <v>0</v>
      </c>
      <c r="AM95" s="22">
        <v>0</v>
      </c>
      <c r="AN95" s="22">
        <v>0</v>
      </c>
      <c r="AO95" s="22">
        <v>0</v>
      </c>
      <c r="AP95" s="67"/>
      <c r="AT95" s="81"/>
      <c r="AU95"/>
    </row>
    <row r="96" spans="1:47">
      <c r="A96" s="23" t="s">
        <v>352</v>
      </c>
      <c r="B96" s="19" t="s">
        <v>353</v>
      </c>
      <c r="C96" s="19" t="s">
        <v>242</v>
      </c>
      <c r="D96" s="20">
        <f t="shared" si="2"/>
        <v>10</v>
      </c>
      <c r="E96" s="22">
        <v>0</v>
      </c>
      <c r="F96" s="22">
        <v>0</v>
      </c>
      <c r="G96" s="22">
        <v>0</v>
      </c>
      <c r="H96" s="22">
        <v>1</v>
      </c>
      <c r="I96" s="22">
        <v>0</v>
      </c>
      <c r="J96" s="22">
        <v>0</v>
      </c>
      <c r="K96" s="22">
        <v>0</v>
      </c>
      <c r="L96" s="22">
        <v>0</v>
      </c>
      <c r="M96" s="22">
        <v>0</v>
      </c>
      <c r="N96" s="22">
        <v>0</v>
      </c>
      <c r="O96" s="22">
        <v>0</v>
      </c>
      <c r="P96" s="22">
        <v>1</v>
      </c>
      <c r="Q96" s="22">
        <v>0</v>
      </c>
      <c r="R96" s="22">
        <v>0</v>
      </c>
      <c r="S96" s="22">
        <v>0</v>
      </c>
      <c r="T96" s="22">
        <v>0</v>
      </c>
      <c r="U96" s="22">
        <v>0</v>
      </c>
      <c r="V96" s="22">
        <v>0</v>
      </c>
      <c r="W96" s="22">
        <v>0</v>
      </c>
      <c r="X96" s="22">
        <v>0</v>
      </c>
      <c r="Y96" s="22">
        <v>1</v>
      </c>
      <c r="Z96" s="22">
        <v>1</v>
      </c>
      <c r="AA96" s="22">
        <v>0</v>
      </c>
      <c r="AB96" s="22">
        <v>1</v>
      </c>
      <c r="AC96" s="22">
        <v>1</v>
      </c>
      <c r="AD96" s="22">
        <v>0</v>
      </c>
      <c r="AE96" s="22">
        <v>0</v>
      </c>
      <c r="AF96" s="22">
        <v>0</v>
      </c>
      <c r="AG96" s="22">
        <v>1</v>
      </c>
      <c r="AH96" s="22">
        <v>1</v>
      </c>
      <c r="AI96" s="22">
        <v>0</v>
      </c>
      <c r="AJ96" s="22">
        <v>0</v>
      </c>
      <c r="AK96" s="22">
        <v>0</v>
      </c>
      <c r="AL96" s="22">
        <v>0</v>
      </c>
      <c r="AM96" s="22">
        <v>2</v>
      </c>
      <c r="AN96" s="22">
        <v>0</v>
      </c>
      <c r="AO96" s="22">
        <v>0</v>
      </c>
      <c r="AP96" s="67"/>
      <c r="AT96" s="81"/>
      <c r="AU96"/>
    </row>
    <row r="97" spans="1:47">
      <c r="A97" s="23" t="s">
        <v>354</v>
      </c>
      <c r="B97" s="19" t="s">
        <v>355</v>
      </c>
      <c r="C97" s="19" t="s">
        <v>356</v>
      </c>
      <c r="D97" s="20">
        <f t="shared" si="2"/>
        <v>776</v>
      </c>
      <c r="E97" s="22">
        <v>0</v>
      </c>
      <c r="F97" s="22">
        <v>0</v>
      </c>
      <c r="G97" s="22">
        <v>43</v>
      </c>
      <c r="H97" s="22">
        <v>25</v>
      </c>
      <c r="I97" s="22">
        <v>0</v>
      </c>
      <c r="J97" s="22">
        <v>0</v>
      </c>
      <c r="K97" s="22">
        <v>0</v>
      </c>
      <c r="L97" s="22">
        <v>6</v>
      </c>
      <c r="M97" s="22">
        <v>0</v>
      </c>
      <c r="N97" s="22">
        <v>4</v>
      </c>
      <c r="O97" s="22"/>
      <c r="P97" s="22">
        <v>148</v>
      </c>
      <c r="Q97" s="22">
        <v>6</v>
      </c>
      <c r="R97" s="22">
        <v>2</v>
      </c>
      <c r="S97" s="22"/>
      <c r="T97" s="22">
        <v>18</v>
      </c>
      <c r="U97" s="22">
        <v>0</v>
      </c>
      <c r="V97" s="22">
        <v>0</v>
      </c>
      <c r="W97" s="22">
        <v>0</v>
      </c>
      <c r="X97" s="22">
        <v>0</v>
      </c>
      <c r="Y97" s="22">
        <v>20</v>
      </c>
      <c r="Z97" s="22">
        <v>46</v>
      </c>
      <c r="AA97" s="22">
        <v>0</v>
      </c>
      <c r="AB97" s="22">
        <v>109</v>
      </c>
      <c r="AC97" s="22">
        <v>105</v>
      </c>
      <c r="AD97" s="22">
        <v>0</v>
      </c>
      <c r="AE97" s="22">
        <v>0</v>
      </c>
      <c r="AF97" s="22">
        <v>0</v>
      </c>
      <c r="AG97" s="22">
        <v>138</v>
      </c>
      <c r="AH97" s="22">
        <v>46</v>
      </c>
      <c r="AI97" s="22">
        <v>4</v>
      </c>
      <c r="AJ97" s="22">
        <v>2</v>
      </c>
      <c r="AK97" s="22">
        <v>8</v>
      </c>
      <c r="AL97" s="22">
        <v>6</v>
      </c>
      <c r="AM97" s="22">
        <v>40</v>
      </c>
      <c r="AN97" s="22">
        <v>0</v>
      </c>
      <c r="AO97" s="22">
        <v>0</v>
      </c>
      <c r="AP97" s="67"/>
      <c r="AT97" s="81"/>
      <c r="AU97"/>
    </row>
    <row r="98" spans="1:47">
      <c r="A98" s="23" t="s">
        <v>357</v>
      </c>
      <c r="B98" s="19" t="s">
        <v>358</v>
      </c>
      <c r="C98" s="19" t="s">
        <v>359</v>
      </c>
      <c r="D98" s="20">
        <f t="shared" si="2"/>
        <v>6</v>
      </c>
      <c r="E98" s="22">
        <v>0</v>
      </c>
      <c r="F98" s="22">
        <v>0</v>
      </c>
      <c r="G98" s="22">
        <v>0</v>
      </c>
      <c r="H98" s="22">
        <v>0</v>
      </c>
      <c r="I98" s="22">
        <v>0</v>
      </c>
      <c r="J98" s="22">
        <v>0</v>
      </c>
      <c r="K98" s="22">
        <v>0</v>
      </c>
      <c r="L98" s="22">
        <v>0</v>
      </c>
      <c r="M98" s="22">
        <v>0</v>
      </c>
      <c r="N98" s="22">
        <v>0</v>
      </c>
      <c r="O98" s="22">
        <v>0</v>
      </c>
      <c r="P98" s="22">
        <v>0</v>
      </c>
      <c r="Q98" s="22">
        <v>0</v>
      </c>
      <c r="R98" s="22">
        <v>0</v>
      </c>
      <c r="S98" s="22">
        <v>0</v>
      </c>
      <c r="T98" s="22">
        <v>0</v>
      </c>
      <c r="U98" s="22">
        <v>0</v>
      </c>
      <c r="V98" s="22">
        <v>0</v>
      </c>
      <c r="W98" s="22">
        <v>0</v>
      </c>
      <c r="X98" s="22">
        <v>0</v>
      </c>
      <c r="Y98" s="22">
        <v>0</v>
      </c>
      <c r="Z98" s="22">
        <v>5</v>
      </c>
      <c r="AA98" s="22">
        <v>0</v>
      </c>
      <c r="AB98" s="22">
        <v>0</v>
      </c>
      <c r="AC98" s="22">
        <v>0</v>
      </c>
      <c r="AD98" s="22">
        <v>0</v>
      </c>
      <c r="AE98" s="22">
        <v>0</v>
      </c>
      <c r="AF98" s="22">
        <v>0</v>
      </c>
      <c r="AG98" s="22">
        <v>1</v>
      </c>
      <c r="AH98" s="22">
        <v>0</v>
      </c>
      <c r="AI98" s="22">
        <v>0</v>
      </c>
      <c r="AJ98" s="22">
        <v>0</v>
      </c>
      <c r="AK98" s="22">
        <v>0</v>
      </c>
      <c r="AL98" s="22">
        <v>0</v>
      </c>
      <c r="AM98" s="22">
        <v>0</v>
      </c>
      <c r="AN98" s="22">
        <v>0</v>
      </c>
      <c r="AO98" s="22">
        <v>0</v>
      </c>
      <c r="AP98" s="67"/>
      <c r="AT98" s="81"/>
      <c r="AU98"/>
    </row>
    <row r="99" spans="1:47" ht="48">
      <c r="A99" s="23" t="s">
        <v>360</v>
      </c>
      <c r="B99" s="19" t="s">
        <v>361</v>
      </c>
      <c r="C99" s="19" t="s">
        <v>362</v>
      </c>
      <c r="D99" s="20">
        <f t="shared" si="2"/>
        <v>3470.17</v>
      </c>
      <c r="E99" s="22">
        <v>0</v>
      </c>
      <c r="F99" s="22">
        <v>0</v>
      </c>
      <c r="G99" s="22">
        <v>0</v>
      </c>
      <c r="H99" s="22">
        <v>723.93</v>
      </c>
      <c r="I99" s="22">
        <v>0</v>
      </c>
      <c r="J99" s="22">
        <v>0</v>
      </c>
      <c r="K99" s="22">
        <v>0</v>
      </c>
      <c r="L99" s="22">
        <v>0</v>
      </c>
      <c r="M99" s="22">
        <v>0</v>
      </c>
      <c r="N99" s="22">
        <v>0</v>
      </c>
      <c r="O99" s="22">
        <v>0</v>
      </c>
      <c r="P99" s="22">
        <v>394.52</v>
      </c>
      <c r="Q99" s="22">
        <v>0</v>
      </c>
      <c r="R99" s="22">
        <v>0</v>
      </c>
      <c r="S99" s="22">
        <v>0</v>
      </c>
      <c r="T99" s="22">
        <v>27.12</v>
      </c>
      <c r="U99" s="22">
        <v>0</v>
      </c>
      <c r="V99" s="22">
        <v>0</v>
      </c>
      <c r="W99" s="22">
        <v>0</v>
      </c>
      <c r="X99" s="22">
        <v>0</v>
      </c>
      <c r="Y99" s="22">
        <v>35.340000000000003</v>
      </c>
      <c r="Z99" s="22">
        <v>280.73</v>
      </c>
      <c r="AA99" s="22">
        <v>0</v>
      </c>
      <c r="AB99" s="22">
        <v>0</v>
      </c>
      <c r="AC99" s="22">
        <v>11.89</v>
      </c>
      <c r="AD99" s="22">
        <v>0</v>
      </c>
      <c r="AE99" s="22">
        <v>0</v>
      </c>
      <c r="AF99" s="22">
        <v>0</v>
      </c>
      <c r="AG99" s="22">
        <v>1996.64</v>
      </c>
      <c r="AH99" s="22">
        <v>0</v>
      </c>
      <c r="AI99" s="22">
        <v>0</v>
      </c>
      <c r="AJ99" s="22">
        <v>0</v>
      </c>
      <c r="AK99" s="22">
        <v>0</v>
      </c>
      <c r="AL99" s="22">
        <v>0</v>
      </c>
      <c r="AM99" s="22">
        <v>0</v>
      </c>
      <c r="AN99" s="22">
        <v>0</v>
      </c>
      <c r="AO99" s="22">
        <v>0</v>
      </c>
      <c r="AP99" s="67"/>
      <c r="AT99" s="81"/>
      <c r="AU99"/>
    </row>
    <row r="100" spans="1:47">
      <c r="A100" s="23" t="s">
        <v>363</v>
      </c>
      <c r="B100" s="19" t="s">
        <v>364</v>
      </c>
      <c r="C100" s="19" t="s">
        <v>365</v>
      </c>
      <c r="D100" s="20">
        <f t="shared" si="2"/>
        <v>0</v>
      </c>
      <c r="E100" s="22">
        <v>0</v>
      </c>
      <c r="F100" s="22">
        <v>0</v>
      </c>
      <c r="G100" s="22">
        <v>0</v>
      </c>
      <c r="H100" s="22">
        <v>0</v>
      </c>
      <c r="I100" s="22">
        <v>0</v>
      </c>
      <c r="J100" s="22">
        <v>0</v>
      </c>
      <c r="K100" s="22">
        <v>0</v>
      </c>
      <c r="L100" s="22">
        <v>0</v>
      </c>
      <c r="M100" s="22">
        <v>0</v>
      </c>
      <c r="N100" s="22">
        <v>0</v>
      </c>
      <c r="O100" s="22">
        <v>0</v>
      </c>
      <c r="P100" s="22">
        <v>0</v>
      </c>
      <c r="Q100" s="22">
        <v>0</v>
      </c>
      <c r="R100" s="22">
        <v>0</v>
      </c>
      <c r="S100" s="22">
        <v>0</v>
      </c>
      <c r="T100" s="22">
        <v>0</v>
      </c>
      <c r="U100" s="22">
        <v>0</v>
      </c>
      <c r="V100" s="22">
        <v>0</v>
      </c>
      <c r="W100" s="22">
        <v>0</v>
      </c>
      <c r="X100" s="22">
        <v>0</v>
      </c>
      <c r="Y100" s="22">
        <v>0</v>
      </c>
      <c r="Z100" s="22">
        <v>0</v>
      </c>
      <c r="AA100" s="22">
        <v>0</v>
      </c>
      <c r="AB100" s="22">
        <v>0</v>
      </c>
      <c r="AC100" s="22">
        <v>0</v>
      </c>
      <c r="AD100" s="22">
        <v>0</v>
      </c>
      <c r="AE100" s="22">
        <v>0</v>
      </c>
      <c r="AF100" s="22">
        <v>0</v>
      </c>
      <c r="AG100" s="22">
        <v>0</v>
      </c>
      <c r="AH100" s="22">
        <v>0</v>
      </c>
      <c r="AI100" s="22">
        <v>0</v>
      </c>
      <c r="AJ100" s="22">
        <v>0</v>
      </c>
      <c r="AK100" s="22">
        <v>0</v>
      </c>
      <c r="AL100" s="22">
        <v>0</v>
      </c>
      <c r="AM100" s="22">
        <v>0</v>
      </c>
      <c r="AN100" s="22">
        <v>0</v>
      </c>
      <c r="AO100" s="22">
        <v>0</v>
      </c>
      <c r="AP100" s="67"/>
      <c r="AT100" s="81"/>
      <c r="AU100"/>
    </row>
    <row r="101" spans="1:47">
      <c r="A101" s="23" t="s">
        <v>366</v>
      </c>
      <c r="B101" s="19" t="s">
        <v>367</v>
      </c>
      <c r="C101" s="19" t="s">
        <v>368</v>
      </c>
      <c r="D101" s="20">
        <f t="shared" si="2"/>
        <v>0</v>
      </c>
      <c r="E101" s="22">
        <v>0</v>
      </c>
      <c r="F101" s="22">
        <v>0</v>
      </c>
      <c r="G101" s="22">
        <v>0</v>
      </c>
      <c r="H101" s="22">
        <v>0</v>
      </c>
      <c r="I101" s="22">
        <v>0</v>
      </c>
      <c r="J101" s="22">
        <v>0</v>
      </c>
      <c r="K101" s="22">
        <v>0</v>
      </c>
      <c r="L101" s="22">
        <v>0</v>
      </c>
      <c r="M101" s="22">
        <v>0</v>
      </c>
      <c r="N101" s="22">
        <v>0</v>
      </c>
      <c r="O101" s="22">
        <v>0</v>
      </c>
      <c r="P101" s="22">
        <v>0</v>
      </c>
      <c r="Q101" s="22">
        <v>0</v>
      </c>
      <c r="R101" s="22">
        <v>0</v>
      </c>
      <c r="S101" s="22">
        <v>0</v>
      </c>
      <c r="T101" s="22">
        <v>0</v>
      </c>
      <c r="U101" s="22">
        <v>0</v>
      </c>
      <c r="V101" s="22">
        <v>0</v>
      </c>
      <c r="W101" s="22">
        <v>0</v>
      </c>
      <c r="X101" s="22">
        <v>0</v>
      </c>
      <c r="Y101" s="22">
        <v>0</v>
      </c>
      <c r="Z101" s="22">
        <v>0</v>
      </c>
      <c r="AA101" s="22">
        <v>0</v>
      </c>
      <c r="AB101" s="22">
        <v>0</v>
      </c>
      <c r="AC101" s="22">
        <v>0</v>
      </c>
      <c r="AD101" s="22">
        <v>0</v>
      </c>
      <c r="AE101" s="22">
        <v>0</v>
      </c>
      <c r="AF101" s="22">
        <v>0</v>
      </c>
      <c r="AG101" s="22">
        <v>0</v>
      </c>
      <c r="AH101" s="22">
        <v>0</v>
      </c>
      <c r="AI101" s="22">
        <v>0</v>
      </c>
      <c r="AJ101" s="22">
        <v>0</v>
      </c>
      <c r="AK101" s="22">
        <v>0</v>
      </c>
      <c r="AL101" s="22">
        <v>0</v>
      </c>
      <c r="AM101" s="22">
        <v>0</v>
      </c>
      <c r="AN101" s="22">
        <v>0</v>
      </c>
      <c r="AO101" s="22">
        <v>0</v>
      </c>
      <c r="AP101" s="68"/>
      <c r="AT101" s="81"/>
      <c r="AU101"/>
    </row>
    <row r="102" spans="1:47" ht="32.1">
      <c r="A102" s="23" t="s">
        <v>357</v>
      </c>
      <c r="B102" s="19" t="s">
        <v>369</v>
      </c>
      <c r="C102" s="19" t="s">
        <v>370</v>
      </c>
      <c r="D102" s="20">
        <f t="shared" si="2"/>
        <v>0</v>
      </c>
      <c r="E102" s="22">
        <v>0</v>
      </c>
      <c r="F102" s="22">
        <v>0</v>
      </c>
      <c r="G102" s="22">
        <v>0</v>
      </c>
      <c r="H102" s="22">
        <v>0</v>
      </c>
      <c r="I102" s="22">
        <v>0</v>
      </c>
      <c r="J102" s="22">
        <v>0</v>
      </c>
      <c r="K102" s="22">
        <v>0</v>
      </c>
      <c r="L102" s="22">
        <v>0</v>
      </c>
      <c r="M102" s="22">
        <v>0</v>
      </c>
      <c r="N102" s="22">
        <v>0</v>
      </c>
      <c r="O102" s="22">
        <v>0</v>
      </c>
      <c r="P102" s="22">
        <v>0</v>
      </c>
      <c r="Q102" s="22">
        <v>0</v>
      </c>
      <c r="R102" s="22">
        <v>0</v>
      </c>
      <c r="S102" s="22">
        <v>0</v>
      </c>
      <c r="T102" s="22">
        <v>0</v>
      </c>
      <c r="U102" s="22">
        <v>0</v>
      </c>
      <c r="V102" s="22">
        <v>0</v>
      </c>
      <c r="W102" s="22">
        <v>0</v>
      </c>
      <c r="X102" s="22">
        <v>0</v>
      </c>
      <c r="Y102" s="22">
        <v>0</v>
      </c>
      <c r="Z102" s="22">
        <v>0</v>
      </c>
      <c r="AA102" s="22">
        <v>0</v>
      </c>
      <c r="AB102" s="22">
        <v>0</v>
      </c>
      <c r="AC102" s="22">
        <v>0</v>
      </c>
      <c r="AD102" s="22">
        <v>0</v>
      </c>
      <c r="AE102" s="22">
        <v>0</v>
      </c>
      <c r="AF102" s="22">
        <v>0</v>
      </c>
      <c r="AG102" s="22">
        <v>0</v>
      </c>
      <c r="AH102" s="22">
        <v>0</v>
      </c>
      <c r="AI102" s="22">
        <v>0</v>
      </c>
      <c r="AJ102" s="22">
        <v>0</v>
      </c>
      <c r="AK102" s="22">
        <v>0</v>
      </c>
      <c r="AL102" s="22">
        <v>0</v>
      </c>
      <c r="AM102" s="22">
        <v>0</v>
      </c>
      <c r="AN102" s="22">
        <v>0</v>
      </c>
      <c r="AO102" s="22">
        <v>0</v>
      </c>
      <c r="AP102" s="67"/>
      <c r="AT102" s="81"/>
      <c r="AU102"/>
    </row>
    <row r="103" spans="1:47">
      <c r="A103" s="24" t="s">
        <v>371</v>
      </c>
      <c r="B103" s="25"/>
      <c r="C103" s="25"/>
      <c r="D103" s="16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67"/>
      <c r="AT103" s="81"/>
      <c r="AU103"/>
    </row>
    <row r="104" spans="1:47">
      <c r="A104" s="23" t="s">
        <v>372</v>
      </c>
      <c r="B104" s="19" t="s">
        <v>373</v>
      </c>
      <c r="C104" s="19" t="s">
        <v>374</v>
      </c>
      <c r="D104" s="20">
        <f t="shared" ref="D104:D110" si="3">SUM(E104:AO104)</f>
        <v>56</v>
      </c>
      <c r="E104" s="22">
        <v>1</v>
      </c>
      <c r="F104" s="22">
        <v>0</v>
      </c>
      <c r="G104" s="22">
        <v>1</v>
      </c>
      <c r="H104" s="22">
        <v>3</v>
      </c>
      <c r="I104" s="22">
        <v>1</v>
      </c>
      <c r="J104" s="22">
        <v>0</v>
      </c>
      <c r="K104" s="22">
        <v>1</v>
      </c>
      <c r="L104" s="22">
        <v>1</v>
      </c>
      <c r="M104" s="22">
        <v>0</v>
      </c>
      <c r="N104" s="22">
        <v>1</v>
      </c>
      <c r="O104" s="22">
        <v>1</v>
      </c>
      <c r="P104" s="22">
        <v>11</v>
      </c>
      <c r="Q104" s="22">
        <v>2</v>
      </c>
      <c r="R104" s="22">
        <v>1</v>
      </c>
      <c r="S104" s="22">
        <v>0</v>
      </c>
      <c r="T104" s="22">
        <v>0</v>
      </c>
      <c r="U104" s="22">
        <v>0</v>
      </c>
      <c r="V104" s="22">
        <v>1</v>
      </c>
      <c r="W104" s="22">
        <v>0</v>
      </c>
      <c r="X104" s="22">
        <v>0</v>
      </c>
      <c r="Y104" s="22">
        <v>1</v>
      </c>
      <c r="Z104" s="22">
        <v>3</v>
      </c>
      <c r="AA104" s="22">
        <v>0</v>
      </c>
      <c r="AB104" s="22">
        <v>6</v>
      </c>
      <c r="AC104" s="22">
        <v>6</v>
      </c>
      <c r="AD104" s="22">
        <v>1</v>
      </c>
      <c r="AE104" s="22">
        <v>1</v>
      </c>
      <c r="AF104" s="22">
        <v>0</v>
      </c>
      <c r="AG104" s="22">
        <v>2</v>
      </c>
      <c r="AH104" s="22">
        <v>7</v>
      </c>
      <c r="AI104" s="22">
        <v>0</v>
      </c>
      <c r="AJ104" s="22">
        <v>0</v>
      </c>
      <c r="AK104" s="22">
        <v>0</v>
      </c>
      <c r="AL104" s="22">
        <v>1</v>
      </c>
      <c r="AM104" s="22">
        <v>3</v>
      </c>
      <c r="AN104" s="22">
        <v>0</v>
      </c>
      <c r="AO104" s="22">
        <v>0</v>
      </c>
      <c r="AP104" s="67"/>
      <c r="AT104" s="81"/>
      <c r="AU104"/>
    </row>
    <row r="105" spans="1:47">
      <c r="A105" s="23" t="s">
        <v>372</v>
      </c>
      <c r="B105" s="19" t="s">
        <v>375</v>
      </c>
      <c r="C105" s="19" t="s">
        <v>374</v>
      </c>
      <c r="D105" s="20">
        <f t="shared" si="3"/>
        <v>21</v>
      </c>
      <c r="E105" s="22">
        <v>0</v>
      </c>
      <c r="F105" s="22">
        <v>0</v>
      </c>
      <c r="G105" s="22">
        <v>1</v>
      </c>
      <c r="H105" s="22">
        <v>0</v>
      </c>
      <c r="I105" s="22">
        <v>0</v>
      </c>
      <c r="J105" s="22">
        <v>0</v>
      </c>
      <c r="K105" s="22">
        <v>0</v>
      </c>
      <c r="L105" s="22">
        <v>0</v>
      </c>
      <c r="M105" s="22">
        <v>0</v>
      </c>
      <c r="N105" s="22">
        <v>0</v>
      </c>
      <c r="O105" s="22">
        <v>0</v>
      </c>
      <c r="P105" s="22">
        <v>10</v>
      </c>
      <c r="Q105" s="22">
        <v>0</v>
      </c>
      <c r="R105" s="22">
        <v>0</v>
      </c>
      <c r="S105" s="22">
        <v>0</v>
      </c>
      <c r="T105" s="22">
        <v>2</v>
      </c>
      <c r="U105" s="22">
        <v>0</v>
      </c>
      <c r="V105" s="22">
        <v>0</v>
      </c>
      <c r="W105" s="22">
        <v>0</v>
      </c>
      <c r="X105" s="22">
        <v>0</v>
      </c>
      <c r="Y105" s="22">
        <v>0</v>
      </c>
      <c r="Z105" s="22">
        <v>0</v>
      </c>
      <c r="AA105" s="22">
        <v>0</v>
      </c>
      <c r="AB105" s="22">
        <v>4</v>
      </c>
      <c r="AC105" s="22">
        <v>0</v>
      </c>
      <c r="AD105" s="22">
        <v>0</v>
      </c>
      <c r="AE105" s="22">
        <v>0</v>
      </c>
      <c r="AF105" s="22">
        <v>0</v>
      </c>
      <c r="AG105" s="22">
        <v>4</v>
      </c>
      <c r="AH105" s="22">
        <v>0</v>
      </c>
      <c r="AI105" s="22">
        <v>0</v>
      </c>
      <c r="AJ105" s="22">
        <v>0</v>
      </c>
      <c r="AK105" s="22">
        <v>0</v>
      </c>
      <c r="AL105" s="22">
        <v>0</v>
      </c>
      <c r="AM105" s="22">
        <v>0</v>
      </c>
      <c r="AN105" s="22">
        <v>0</v>
      </c>
      <c r="AO105" s="22">
        <v>0</v>
      </c>
      <c r="AP105" s="67"/>
      <c r="AT105" s="81"/>
      <c r="AU105"/>
    </row>
    <row r="106" spans="1:47">
      <c r="A106" s="23" t="s">
        <v>372</v>
      </c>
      <c r="B106" s="19" t="s">
        <v>376</v>
      </c>
      <c r="C106" s="19" t="s">
        <v>374</v>
      </c>
      <c r="D106" s="20">
        <f t="shared" si="3"/>
        <v>0</v>
      </c>
      <c r="E106" s="22">
        <v>0</v>
      </c>
      <c r="F106" s="22">
        <v>0</v>
      </c>
      <c r="G106" s="22">
        <v>0</v>
      </c>
      <c r="H106" s="22">
        <v>0</v>
      </c>
      <c r="I106" s="22">
        <v>0</v>
      </c>
      <c r="J106" s="22">
        <v>0</v>
      </c>
      <c r="K106" s="22">
        <v>0</v>
      </c>
      <c r="L106" s="22">
        <v>0</v>
      </c>
      <c r="M106" s="22">
        <v>0</v>
      </c>
      <c r="N106" s="22">
        <v>0</v>
      </c>
      <c r="O106" s="22">
        <v>0</v>
      </c>
      <c r="P106" s="22">
        <v>0</v>
      </c>
      <c r="Q106" s="22">
        <v>0</v>
      </c>
      <c r="R106" s="22">
        <v>0</v>
      </c>
      <c r="S106" s="22">
        <v>0</v>
      </c>
      <c r="T106" s="22">
        <v>0</v>
      </c>
      <c r="U106" s="22">
        <v>0</v>
      </c>
      <c r="V106" s="22">
        <v>0</v>
      </c>
      <c r="W106" s="22">
        <v>0</v>
      </c>
      <c r="X106" s="22">
        <v>0</v>
      </c>
      <c r="Y106" s="22">
        <v>0</v>
      </c>
      <c r="Z106" s="22">
        <v>0</v>
      </c>
      <c r="AA106" s="22">
        <v>0</v>
      </c>
      <c r="AB106" s="22">
        <v>0</v>
      </c>
      <c r="AC106" s="22">
        <v>0</v>
      </c>
      <c r="AD106" s="22">
        <v>0</v>
      </c>
      <c r="AE106" s="22">
        <v>0</v>
      </c>
      <c r="AF106" s="22">
        <v>0</v>
      </c>
      <c r="AG106" s="22">
        <v>0</v>
      </c>
      <c r="AH106" s="22">
        <v>0</v>
      </c>
      <c r="AI106" s="22">
        <v>0</v>
      </c>
      <c r="AJ106" s="22">
        <v>0</v>
      </c>
      <c r="AK106" s="22">
        <v>0</v>
      </c>
      <c r="AL106" s="22">
        <v>0</v>
      </c>
      <c r="AM106" s="22">
        <v>0</v>
      </c>
      <c r="AN106" s="22">
        <v>0</v>
      </c>
      <c r="AO106" s="22">
        <v>0</v>
      </c>
      <c r="AP106" s="67"/>
      <c r="AT106" s="81"/>
      <c r="AU106"/>
    </row>
    <row r="107" spans="1:47">
      <c r="A107" s="23" t="s">
        <v>377</v>
      </c>
      <c r="B107" s="19" t="s">
        <v>378</v>
      </c>
      <c r="C107" s="19" t="s">
        <v>379</v>
      </c>
      <c r="D107" s="20">
        <f t="shared" si="3"/>
        <v>6</v>
      </c>
      <c r="E107" s="22">
        <v>0</v>
      </c>
      <c r="F107" s="22">
        <v>0</v>
      </c>
      <c r="G107" s="22">
        <v>0</v>
      </c>
      <c r="H107" s="22">
        <v>0</v>
      </c>
      <c r="I107" s="22">
        <v>1</v>
      </c>
      <c r="J107" s="22">
        <v>0</v>
      </c>
      <c r="K107" s="22">
        <v>0</v>
      </c>
      <c r="L107" s="22">
        <v>0</v>
      </c>
      <c r="M107" s="22">
        <v>0</v>
      </c>
      <c r="N107" s="22">
        <v>0</v>
      </c>
      <c r="O107" s="22">
        <v>0</v>
      </c>
      <c r="P107" s="22">
        <v>5</v>
      </c>
      <c r="Q107" s="22">
        <v>0</v>
      </c>
      <c r="R107" s="22">
        <v>0</v>
      </c>
      <c r="S107" s="22">
        <v>0</v>
      </c>
      <c r="T107" s="22">
        <v>0</v>
      </c>
      <c r="U107" s="22">
        <v>0</v>
      </c>
      <c r="V107" s="22">
        <v>0</v>
      </c>
      <c r="W107" s="22">
        <v>0</v>
      </c>
      <c r="X107" s="22">
        <v>0</v>
      </c>
      <c r="Y107" s="22">
        <v>0</v>
      </c>
      <c r="Z107" s="22">
        <v>0</v>
      </c>
      <c r="AA107" s="22">
        <v>0</v>
      </c>
      <c r="AB107" s="22">
        <v>0</v>
      </c>
      <c r="AC107" s="22">
        <v>0</v>
      </c>
      <c r="AD107" s="22">
        <v>0</v>
      </c>
      <c r="AE107" s="22">
        <v>0</v>
      </c>
      <c r="AF107" s="22">
        <v>0</v>
      </c>
      <c r="AG107" s="22">
        <v>0</v>
      </c>
      <c r="AH107" s="22">
        <v>0</v>
      </c>
      <c r="AI107" s="22">
        <v>0</v>
      </c>
      <c r="AJ107" s="22">
        <v>0</v>
      </c>
      <c r="AK107" s="22">
        <v>0</v>
      </c>
      <c r="AL107" s="22">
        <v>0</v>
      </c>
      <c r="AM107" s="22">
        <v>0</v>
      </c>
      <c r="AN107" s="22">
        <v>0</v>
      </c>
      <c r="AO107" s="22">
        <v>0</v>
      </c>
      <c r="AP107" s="67"/>
      <c r="AT107" s="81"/>
      <c r="AU107"/>
    </row>
    <row r="108" spans="1:47">
      <c r="A108" s="23" t="s">
        <v>380</v>
      </c>
      <c r="B108" s="19" t="s">
        <v>381</v>
      </c>
      <c r="C108" s="19" t="s">
        <v>382</v>
      </c>
      <c r="D108" s="20">
        <f t="shared" si="3"/>
        <v>0</v>
      </c>
      <c r="E108" s="22">
        <v>0</v>
      </c>
      <c r="F108" s="22">
        <v>0</v>
      </c>
      <c r="G108" s="22">
        <v>0</v>
      </c>
      <c r="H108" s="22">
        <v>0</v>
      </c>
      <c r="I108" s="22">
        <v>0</v>
      </c>
      <c r="J108" s="22">
        <v>0</v>
      </c>
      <c r="K108" s="22">
        <v>0</v>
      </c>
      <c r="L108" s="22">
        <v>0</v>
      </c>
      <c r="M108" s="22">
        <v>0</v>
      </c>
      <c r="N108" s="22">
        <v>0</v>
      </c>
      <c r="O108" s="22">
        <v>0</v>
      </c>
      <c r="P108" s="22">
        <v>0</v>
      </c>
      <c r="Q108" s="22">
        <v>0</v>
      </c>
      <c r="R108" s="22">
        <v>0</v>
      </c>
      <c r="S108" s="22">
        <v>0</v>
      </c>
      <c r="T108" s="22">
        <v>0</v>
      </c>
      <c r="U108" s="22">
        <v>0</v>
      </c>
      <c r="V108" s="22">
        <v>0</v>
      </c>
      <c r="W108" s="22">
        <v>0</v>
      </c>
      <c r="X108" s="22">
        <v>0</v>
      </c>
      <c r="Y108" s="22">
        <v>0</v>
      </c>
      <c r="Z108" s="22">
        <v>0</v>
      </c>
      <c r="AA108" s="22">
        <v>0</v>
      </c>
      <c r="AB108" s="22">
        <v>0</v>
      </c>
      <c r="AC108" s="22">
        <v>0</v>
      </c>
      <c r="AD108" s="22">
        <v>0</v>
      </c>
      <c r="AE108" s="22">
        <v>0</v>
      </c>
      <c r="AF108" s="22">
        <v>0</v>
      </c>
      <c r="AG108" s="22">
        <v>0</v>
      </c>
      <c r="AH108" s="22">
        <v>0</v>
      </c>
      <c r="AI108" s="22">
        <v>0</v>
      </c>
      <c r="AJ108" s="22">
        <v>0</v>
      </c>
      <c r="AK108" s="22">
        <v>0</v>
      </c>
      <c r="AL108" s="22">
        <v>0</v>
      </c>
      <c r="AM108" s="22">
        <v>0</v>
      </c>
      <c r="AN108" s="22">
        <v>0</v>
      </c>
      <c r="AO108" s="22">
        <v>0</v>
      </c>
      <c r="AP108" s="67"/>
      <c r="AT108" s="81"/>
      <c r="AU108"/>
    </row>
    <row r="109" spans="1:47">
      <c r="A109" s="23"/>
      <c r="B109" s="19" t="s">
        <v>383</v>
      </c>
      <c r="C109" s="19" t="s">
        <v>384</v>
      </c>
      <c r="D109" s="20">
        <f t="shared" si="3"/>
        <v>4</v>
      </c>
      <c r="E109" s="22">
        <v>0</v>
      </c>
      <c r="F109" s="22">
        <v>0</v>
      </c>
      <c r="G109" s="22">
        <v>0</v>
      </c>
      <c r="H109" s="22">
        <v>0</v>
      </c>
      <c r="I109" s="22">
        <v>0</v>
      </c>
      <c r="J109" s="22">
        <v>0</v>
      </c>
      <c r="K109" s="22">
        <v>0</v>
      </c>
      <c r="L109" s="22">
        <v>0</v>
      </c>
      <c r="M109" s="22">
        <v>0</v>
      </c>
      <c r="N109" s="22">
        <v>0</v>
      </c>
      <c r="O109" s="22">
        <v>0</v>
      </c>
      <c r="P109" s="22">
        <v>1</v>
      </c>
      <c r="Q109" s="22">
        <v>0</v>
      </c>
      <c r="R109" s="22">
        <v>0</v>
      </c>
      <c r="S109" s="22">
        <v>0</v>
      </c>
      <c r="T109" s="22">
        <v>0</v>
      </c>
      <c r="U109" s="22">
        <v>0</v>
      </c>
      <c r="V109" s="22">
        <v>0</v>
      </c>
      <c r="W109" s="22">
        <v>0</v>
      </c>
      <c r="X109" s="22">
        <v>0</v>
      </c>
      <c r="Y109" s="22">
        <v>0</v>
      </c>
      <c r="Z109" s="22">
        <v>0</v>
      </c>
      <c r="AA109" s="22">
        <v>0</v>
      </c>
      <c r="AB109" s="22">
        <v>1</v>
      </c>
      <c r="AC109" s="22">
        <v>1</v>
      </c>
      <c r="AD109" s="22">
        <v>0</v>
      </c>
      <c r="AE109" s="22">
        <v>0</v>
      </c>
      <c r="AF109" s="22">
        <v>0</v>
      </c>
      <c r="AG109" s="22">
        <v>1</v>
      </c>
      <c r="AH109" s="22">
        <v>0</v>
      </c>
      <c r="AI109" s="22">
        <v>0</v>
      </c>
      <c r="AJ109" s="22">
        <v>0</v>
      </c>
      <c r="AK109" s="22">
        <v>0</v>
      </c>
      <c r="AL109" s="22">
        <v>0</v>
      </c>
      <c r="AM109" s="22">
        <v>0</v>
      </c>
      <c r="AN109" s="22">
        <v>0</v>
      </c>
      <c r="AO109" s="22">
        <v>0</v>
      </c>
      <c r="AP109" s="68"/>
      <c r="AT109" s="81"/>
      <c r="AU109"/>
    </row>
    <row r="110" spans="1:47">
      <c r="A110" s="23"/>
      <c r="B110" s="19" t="s">
        <v>385</v>
      </c>
      <c r="C110" s="19" t="s">
        <v>287</v>
      </c>
      <c r="D110" s="20">
        <f t="shared" si="3"/>
        <v>0</v>
      </c>
      <c r="E110" s="22">
        <v>0</v>
      </c>
      <c r="F110" s="22">
        <v>0</v>
      </c>
      <c r="G110" s="22">
        <v>0</v>
      </c>
      <c r="H110" s="22">
        <v>0</v>
      </c>
      <c r="I110" s="22">
        <v>0</v>
      </c>
      <c r="J110" s="22">
        <v>0</v>
      </c>
      <c r="K110" s="22">
        <v>0</v>
      </c>
      <c r="L110" s="22">
        <v>0</v>
      </c>
      <c r="M110" s="22">
        <v>0</v>
      </c>
      <c r="N110" s="22">
        <v>0</v>
      </c>
      <c r="O110" s="22">
        <v>0</v>
      </c>
      <c r="P110" s="22">
        <v>0</v>
      </c>
      <c r="Q110" s="22">
        <v>0</v>
      </c>
      <c r="R110" s="22">
        <v>0</v>
      </c>
      <c r="S110" s="22">
        <v>0</v>
      </c>
      <c r="T110" s="22">
        <v>0</v>
      </c>
      <c r="U110" s="22">
        <v>0</v>
      </c>
      <c r="V110" s="22">
        <v>0</v>
      </c>
      <c r="W110" s="22">
        <v>0</v>
      </c>
      <c r="X110" s="22">
        <v>0</v>
      </c>
      <c r="Y110" s="22">
        <v>0</v>
      </c>
      <c r="Z110" s="22">
        <v>0</v>
      </c>
      <c r="AA110" s="22">
        <v>0</v>
      </c>
      <c r="AB110" s="22">
        <v>0</v>
      </c>
      <c r="AC110" s="22">
        <v>0</v>
      </c>
      <c r="AD110" s="22">
        <v>0</v>
      </c>
      <c r="AE110" s="22">
        <v>0</v>
      </c>
      <c r="AF110" s="22">
        <v>0</v>
      </c>
      <c r="AG110" s="22">
        <v>0</v>
      </c>
      <c r="AH110" s="22">
        <v>0</v>
      </c>
      <c r="AI110" s="22">
        <v>0</v>
      </c>
      <c r="AJ110" s="22">
        <v>0</v>
      </c>
      <c r="AK110" s="22">
        <v>0</v>
      </c>
      <c r="AL110" s="22">
        <v>0</v>
      </c>
      <c r="AM110" s="22">
        <v>0</v>
      </c>
      <c r="AN110" s="22">
        <v>0</v>
      </c>
      <c r="AO110" s="22">
        <v>0</v>
      </c>
      <c r="AP110" s="68"/>
      <c r="AT110" s="81"/>
      <c r="AU110"/>
    </row>
    <row r="111" spans="1:47">
      <c r="A111" s="24" t="s">
        <v>386</v>
      </c>
      <c r="B111" s="25"/>
      <c r="C111" s="25"/>
      <c r="D111" s="16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28"/>
      <c r="AJ111" s="28"/>
      <c r="AK111" s="28"/>
      <c r="AL111" s="28"/>
      <c r="AM111" s="28"/>
      <c r="AN111" s="28"/>
      <c r="AO111" s="28"/>
      <c r="AP111" s="67"/>
      <c r="AT111" s="81"/>
      <c r="AU111"/>
    </row>
    <row r="112" spans="1:47">
      <c r="A112" s="83" t="s">
        <v>387</v>
      </c>
      <c r="B112" s="19" t="s">
        <v>388</v>
      </c>
      <c r="C112" s="19" t="s">
        <v>389</v>
      </c>
      <c r="D112" s="20">
        <f t="shared" ref="D112:D127" si="4">SUM(E112:AO112)</f>
        <v>3</v>
      </c>
      <c r="E112" s="21">
        <v>0</v>
      </c>
      <c r="F112" s="21">
        <v>0</v>
      </c>
      <c r="G112" s="21">
        <v>0</v>
      </c>
      <c r="H112" s="21">
        <v>0</v>
      </c>
      <c r="I112" s="21">
        <v>0</v>
      </c>
      <c r="J112" s="21">
        <v>0</v>
      </c>
      <c r="K112" s="21">
        <v>0</v>
      </c>
      <c r="L112" s="21">
        <v>0</v>
      </c>
      <c r="M112" s="21">
        <v>0</v>
      </c>
      <c r="N112" s="21">
        <v>0</v>
      </c>
      <c r="O112" s="21">
        <v>0</v>
      </c>
      <c r="P112" s="22">
        <v>0</v>
      </c>
      <c r="Q112" s="22">
        <v>0</v>
      </c>
      <c r="R112" s="22">
        <v>0</v>
      </c>
      <c r="S112" s="22">
        <v>0</v>
      </c>
      <c r="T112" s="22">
        <v>0</v>
      </c>
      <c r="U112" s="22">
        <v>0</v>
      </c>
      <c r="V112" s="22">
        <v>0</v>
      </c>
      <c r="W112" s="22">
        <v>0</v>
      </c>
      <c r="X112" s="22"/>
      <c r="Y112" s="22">
        <v>0</v>
      </c>
      <c r="Z112" s="22">
        <v>0</v>
      </c>
      <c r="AA112" s="22">
        <v>0</v>
      </c>
      <c r="AB112" s="22">
        <v>0</v>
      </c>
      <c r="AC112" s="22">
        <v>0</v>
      </c>
      <c r="AD112" s="22">
        <v>0</v>
      </c>
      <c r="AE112" s="22">
        <v>0</v>
      </c>
      <c r="AF112" s="22">
        <v>0</v>
      </c>
      <c r="AG112" s="22">
        <v>1</v>
      </c>
      <c r="AH112" s="22">
        <v>1</v>
      </c>
      <c r="AI112" s="22">
        <v>0</v>
      </c>
      <c r="AJ112" s="22">
        <v>0</v>
      </c>
      <c r="AK112" s="22">
        <v>0</v>
      </c>
      <c r="AL112" s="22">
        <v>0</v>
      </c>
      <c r="AM112" s="22">
        <v>1</v>
      </c>
      <c r="AN112" s="22">
        <v>0</v>
      </c>
      <c r="AO112" s="22">
        <v>0</v>
      </c>
      <c r="AP112" s="67"/>
      <c r="AT112" s="81"/>
      <c r="AU112"/>
    </row>
    <row r="113" spans="1:47">
      <c r="A113" s="84" t="s">
        <v>390</v>
      </c>
      <c r="B113" s="19" t="s">
        <v>391</v>
      </c>
      <c r="C113" s="19" t="s">
        <v>392</v>
      </c>
      <c r="D113" s="20">
        <f>SUM(E113:AO113)</f>
        <v>4</v>
      </c>
      <c r="E113" s="22">
        <v>0</v>
      </c>
      <c r="F113" s="22">
        <v>0</v>
      </c>
      <c r="G113" s="22">
        <v>0</v>
      </c>
      <c r="H113" s="22">
        <v>0</v>
      </c>
      <c r="I113" s="22">
        <v>0</v>
      </c>
      <c r="J113" s="22">
        <v>0</v>
      </c>
      <c r="K113" s="22">
        <v>0</v>
      </c>
      <c r="L113" s="22">
        <v>0</v>
      </c>
      <c r="M113" s="22">
        <v>0</v>
      </c>
      <c r="N113" s="22">
        <v>0</v>
      </c>
      <c r="O113" s="22">
        <v>0</v>
      </c>
      <c r="P113" s="22">
        <v>0</v>
      </c>
      <c r="Q113" s="22">
        <v>1</v>
      </c>
      <c r="R113" s="22">
        <v>0</v>
      </c>
      <c r="S113" s="22">
        <v>0</v>
      </c>
      <c r="T113" s="22">
        <v>0</v>
      </c>
      <c r="U113" s="22">
        <v>0</v>
      </c>
      <c r="V113" s="22">
        <v>0</v>
      </c>
      <c r="W113" s="22">
        <v>0</v>
      </c>
      <c r="X113" s="22">
        <v>0</v>
      </c>
      <c r="Y113" s="22">
        <v>0</v>
      </c>
      <c r="Z113" s="22">
        <v>0</v>
      </c>
      <c r="AA113" s="22">
        <v>0</v>
      </c>
      <c r="AB113" s="22">
        <v>0</v>
      </c>
      <c r="AC113" s="22">
        <v>0</v>
      </c>
      <c r="AD113" s="22">
        <v>0</v>
      </c>
      <c r="AE113" s="22">
        <v>0</v>
      </c>
      <c r="AF113" s="22">
        <v>0</v>
      </c>
      <c r="AG113" s="22">
        <v>1</v>
      </c>
      <c r="AH113" s="22">
        <v>1</v>
      </c>
      <c r="AI113" s="22">
        <v>1</v>
      </c>
      <c r="AJ113" s="22">
        <v>0</v>
      </c>
      <c r="AK113" s="22">
        <v>0</v>
      </c>
      <c r="AL113" s="22">
        <v>0</v>
      </c>
      <c r="AM113" s="22">
        <v>0</v>
      </c>
      <c r="AN113" s="22">
        <v>0</v>
      </c>
      <c r="AO113" s="22">
        <v>0</v>
      </c>
      <c r="AP113" s="68"/>
      <c r="AT113" s="81"/>
      <c r="AU113"/>
    </row>
    <row r="114" spans="1:47">
      <c r="A114" s="23" t="s">
        <v>393</v>
      </c>
      <c r="B114" s="19" t="s">
        <v>394</v>
      </c>
      <c r="C114" s="19" t="s">
        <v>392</v>
      </c>
      <c r="D114" s="20">
        <f t="shared" si="4"/>
        <v>1</v>
      </c>
      <c r="E114" s="21">
        <v>0</v>
      </c>
      <c r="F114" s="21">
        <v>0</v>
      </c>
      <c r="G114" s="21">
        <v>0</v>
      </c>
      <c r="H114" s="21">
        <v>0</v>
      </c>
      <c r="I114" s="21">
        <v>0</v>
      </c>
      <c r="J114" s="21">
        <v>0</v>
      </c>
      <c r="K114" s="21">
        <v>0</v>
      </c>
      <c r="L114" s="21">
        <v>0</v>
      </c>
      <c r="M114" s="21">
        <v>0</v>
      </c>
      <c r="N114" s="21">
        <v>0</v>
      </c>
      <c r="O114" s="21">
        <v>0</v>
      </c>
      <c r="P114" s="22">
        <v>1</v>
      </c>
      <c r="Q114" s="22">
        <v>0</v>
      </c>
      <c r="R114" s="22">
        <v>0</v>
      </c>
      <c r="S114" s="22">
        <v>0</v>
      </c>
      <c r="T114" s="22">
        <v>0</v>
      </c>
      <c r="U114" s="22">
        <v>0</v>
      </c>
      <c r="V114" s="22">
        <v>0</v>
      </c>
      <c r="W114" s="22">
        <v>0</v>
      </c>
      <c r="X114" s="22"/>
      <c r="Y114" s="22">
        <v>0</v>
      </c>
      <c r="Z114" s="22">
        <v>0</v>
      </c>
      <c r="AA114" s="22">
        <v>0</v>
      </c>
      <c r="AB114" s="22">
        <v>0</v>
      </c>
      <c r="AC114" s="22">
        <v>0</v>
      </c>
      <c r="AD114" s="22">
        <v>0</v>
      </c>
      <c r="AE114" s="22">
        <v>0</v>
      </c>
      <c r="AF114" s="22">
        <v>0</v>
      </c>
      <c r="AG114" s="22">
        <v>0</v>
      </c>
      <c r="AH114" s="22">
        <v>0</v>
      </c>
      <c r="AI114" s="22">
        <v>0</v>
      </c>
      <c r="AJ114" s="22">
        <v>0</v>
      </c>
      <c r="AK114" s="22">
        <v>0</v>
      </c>
      <c r="AL114" s="22">
        <v>0</v>
      </c>
      <c r="AM114" s="22">
        <v>0</v>
      </c>
      <c r="AN114" s="22">
        <v>0</v>
      </c>
      <c r="AO114" s="22">
        <v>0</v>
      </c>
      <c r="AP114" s="68"/>
      <c r="AT114" s="81"/>
      <c r="AU114"/>
    </row>
    <row r="115" spans="1:47">
      <c r="A115" s="23" t="s">
        <v>395</v>
      </c>
      <c r="B115" s="19" t="s">
        <v>396</v>
      </c>
      <c r="C115" s="19" t="s">
        <v>392</v>
      </c>
      <c r="D115" s="20">
        <f t="shared" si="4"/>
        <v>0</v>
      </c>
      <c r="E115" s="21">
        <v>0</v>
      </c>
      <c r="F115" s="21">
        <v>0</v>
      </c>
      <c r="G115" s="21">
        <v>0</v>
      </c>
      <c r="H115" s="21">
        <v>0</v>
      </c>
      <c r="I115" s="21">
        <v>0</v>
      </c>
      <c r="J115" s="21">
        <v>0</v>
      </c>
      <c r="K115" s="21">
        <v>0</v>
      </c>
      <c r="L115" s="21">
        <v>0</v>
      </c>
      <c r="M115" s="21">
        <v>0</v>
      </c>
      <c r="N115" s="21">
        <v>0</v>
      </c>
      <c r="O115" s="21">
        <v>0</v>
      </c>
      <c r="P115" s="22">
        <v>0</v>
      </c>
      <c r="Q115" s="22">
        <v>0</v>
      </c>
      <c r="R115" s="22">
        <v>0</v>
      </c>
      <c r="S115" s="22">
        <v>0</v>
      </c>
      <c r="T115" s="22">
        <v>0</v>
      </c>
      <c r="U115" s="22">
        <v>0</v>
      </c>
      <c r="V115" s="22">
        <v>0</v>
      </c>
      <c r="W115" s="22">
        <v>0</v>
      </c>
      <c r="X115" s="22">
        <v>0</v>
      </c>
      <c r="Y115" s="22">
        <v>0</v>
      </c>
      <c r="Z115" s="22">
        <v>0</v>
      </c>
      <c r="AA115" s="22">
        <v>0</v>
      </c>
      <c r="AB115" s="22">
        <v>0</v>
      </c>
      <c r="AC115" s="22">
        <v>0</v>
      </c>
      <c r="AD115" s="22">
        <v>0</v>
      </c>
      <c r="AE115" s="22">
        <v>0</v>
      </c>
      <c r="AF115" s="22">
        <v>0</v>
      </c>
      <c r="AG115" s="22">
        <v>0</v>
      </c>
      <c r="AH115" s="22">
        <v>0</v>
      </c>
      <c r="AI115" s="22">
        <v>0</v>
      </c>
      <c r="AJ115" s="22">
        <v>0</v>
      </c>
      <c r="AK115" s="22">
        <v>0</v>
      </c>
      <c r="AL115" s="22">
        <v>0</v>
      </c>
      <c r="AM115" s="22">
        <v>0</v>
      </c>
      <c r="AN115" s="22">
        <v>0</v>
      </c>
      <c r="AO115" s="22">
        <v>0</v>
      </c>
      <c r="AP115" s="68"/>
      <c r="AT115" s="81"/>
      <c r="AU115"/>
    </row>
    <row r="116" spans="1:47" ht="32.1">
      <c r="A116" s="23" t="s">
        <v>397</v>
      </c>
      <c r="B116" s="19" t="s">
        <v>398</v>
      </c>
      <c r="C116" s="19" t="s">
        <v>399</v>
      </c>
      <c r="D116" s="20">
        <f t="shared" si="4"/>
        <v>8</v>
      </c>
      <c r="E116" s="21">
        <v>0</v>
      </c>
      <c r="F116" s="21">
        <v>0</v>
      </c>
      <c r="G116" s="21">
        <v>0</v>
      </c>
      <c r="H116" s="21">
        <v>0</v>
      </c>
      <c r="I116" s="21">
        <v>0</v>
      </c>
      <c r="J116" s="21">
        <v>0</v>
      </c>
      <c r="K116" s="21">
        <v>0</v>
      </c>
      <c r="L116" s="21">
        <v>0</v>
      </c>
      <c r="M116" s="21">
        <v>0</v>
      </c>
      <c r="N116" s="21">
        <v>0</v>
      </c>
      <c r="O116" s="21">
        <v>0</v>
      </c>
      <c r="P116" s="22">
        <v>0</v>
      </c>
      <c r="Q116" s="22">
        <v>0</v>
      </c>
      <c r="R116" s="22">
        <v>0</v>
      </c>
      <c r="S116" s="22">
        <v>0</v>
      </c>
      <c r="T116" s="22">
        <v>0</v>
      </c>
      <c r="U116" s="22">
        <v>0</v>
      </c>
      <c r="V116" s="22">
        <v>0</v>
      </c>
      <c r="W116" s="22">
        <v>0</v>
      </c>
      <c r="X116" s="22">
        <v>0</v>
      </c>
      <c r="Y116" s="22">
        <v>0</v>
      </c>
      <c r="Z116" s="22">
        <v>1</v>
      </c>
      <c r="AA116" s="22">
        <v>0</v>
      </c>
      <c r="AB116" s="22">
        <v>4</v>
      </c>
      <c r="AC116" s="22">
        <v>2</v>
      </c>
      <c r="AD116" s="22">
        <v>0</v>
      </c>
      <c r="AE116" s="22">
        <v>0</v>
      </c>
      <c r="AF116" s="22">
        <v>0</v>
      </c>
      <c r="AG116" s="22">
        <v>1</v>
      </c>
      <c r="AH116" s="22">
        <v>0</v>
      </c>
      <c r="AI116" s="22">
        <v>0</v>
      </c>
      <c r="AJ116" s="22">
        <v>0</v>
      </c>
      <c r="AK116" s="22">
        <v>0</v>
      </c>
      <c r="AL116" s="22">
        <v>0</v>
      </c>
      <c r="AM116" s="22">
        <v>0</v>
      </c>
      <c r="AN116" s="22">
        <v>0</v>
      </c>
      <c r="AO116" s="22">
        <v>0</v>
      </c>
      <c r="AP116" s="68"/>
      <c r="AT116" s="81"/>
      <c r="AU116"/>
    </row>
    <row r="117" spans="1:47">
      <c r="A117" s="23" t="s">
        <v>400</v>
      </c>
      <c r="B117" s="19" t="s">
        <v>401</v>
      </c>
      <c r="C117" s="19" t="s">
        <v>402</v>
      </c>
      <c r="D117" s="20">
        <f t="shared" si="4"/>
        <v>51</v>
      </c>
      <c r="E117" s="22">
        <v>0</v>
      </c>
      <c r="F117" s="22">
        <v>0</v>
      </c>
      <c r="G117" s="22">
        <v>0</v>
      </c>
      <c r="H117" s="22">
        <v>3</v>
      </c>
      <c r="I117" s="22">
        <v>0</v>
      </c>
      <c r="J117" s="22">
        <v>2</v>
      </c>
      <c r="K117" s="22">
        <v>1</v>
      </c>
      <c r="L117" s="22">
        <v>3</v>
      </c>
      <c r="M117" s="22">
        <v>0</v>
      </c>
      <c r="N117" s="22">
        <v>0</v>
      </c>
      <c r="O117" s="22">
        <v>0</v>
      </c>
      <c r="P117" s="22">
        <v>24</v>
      </c>
      <c r="Q117" s="22">
        <v>0</v>
      </c>
      <c r="R117" s="22">
        <v>0</v>
      </c>
      <c r="S117" s="22">
        <v>0</v>
      </c>
      <c r="T117" s="22">
        <v>0</v>
      </c>
      <c r="U117" s="22">
        <v>0</v>
      </c>
      <c r="V117" s="22">
        <v>0</v>
      </c>
      <c r="W117" s="22">
        <v>0</v>
      </c>
      <c r="X117" s="22">
        <v>0</v>
      </c>
      <c r="Y117" s="22">
        <v>0</v>
      </c>
      <c r="Z117" s="22">
        <v>1</v>
      </c>
      <c r="AA117" s="22">
        <v>0</v>
      </c>
      <c r="AB117" s="22">
        <v>3</v>
      </c>
      <c r="AC117" s="22">
        <v>2</v>
      </c>
      <c r="AD117" s="22">
        <v>0</v>
      </c>
      <c r="AE117" s="22">
        <v>0</v>
      </c>
      <c r="AF117" s="22">
        <v>0</v>
      </c>
      <c r="AG117" s="22">
        <v>10</v>
      </c>
      <c r="AH117" s="22">
        <v>1</v>
      </c>
      <c r="AI117" s="22">
        <v>0</v>
      </c>
      <c r="AJ117" s="22">
        <v>0</v>
      </c>
      <c r="AK117" s="22">
        <v>0</v>
      </c>
      <c r="AL117" s="22">
        <v>0</v>
      </c>
      <c r="AM117" s="22">
        <v>1</v>
      </c>
      <c r="AN117" s="22">
        <v>0</v>
      </c>
      <c r="AO117" s="22">
        <v>0</v>
      </c>
      <c r="AP117" s="67"/>
      <c r="AT117" s="81"/>
      <c r="AU117"/>
    </row>
    <row r="118" spans="1:47">
      <c r="A118" s="23" t="s">
        <v>403</v>
      </c>
      <c r="B118" s="19" t="s">
        <v>404</v>
      </c>
      <c r="C118" s="19" t="s">
        <v>405</v>
      </c>
      <c r="D118" s="20">
        <f t="shared" si="4"/>
        <v>66</v>
      </c>
      <c r="E118" s="22">
        <v>0</v>
      </c>
      <c r="F118" s="22">
        <v>0</v>
      </c>
      <c r="G118" s="22">
        <v>0</v>
      </c>
      <c r="H118" s="22">
        <v>0</v>
      </c>
      <c r="I118" s="22">
        <v>0</v>
      </c>
      <c r="J118" s="22">
        <v>0</v>
      </c>
      <c r="K118" s="22">
        <v>0</v>
      </c>
      <c r="L118" s="22">
        <v>0</v>
      </c>
      <c r="M118" s="22">
        <v>0</v>
      </c>
      <c r="N118" s="22">
        <v>0</v>
      </c>
      <c r="O118" s="22">
        <v>0</v>
      </c>
      <c r="P118" s="22">
        <v>30</v>
      </c>
      <c r="Q118" s="22">
        <v>0</v>
      </c>
      <c r="R118" s="22">
        <v>0</v>
      </c>
      <c r="S118" s="22">
        <v>0</v>
      </c>
      <c r="T118" s="22">
        <v>0</v>
      </c>
      <c r="U118" s="22">
        <v>0</v>
      </c>
      <c r="V118" s="22">
        <v>0</v>
      </c>
      <c r="W118" s="22">
        <v>0</v>
      </c>
      <c r="X118" s="22">
        <v>0</v>
      </c>
      <c r="Y118" s="22">
        <v>0</v>
      </c>
      <c r="Z118" s="22">
        <v>0</v>
      </c>
      <c r="AA118" s="22">
        <v>0</v>
      </c>
      <c r="AB118" s="22">
        <v>6</v>
      </c>
      <c r="AC118" s="22">
        <v>10</v>
      </c>
      <c r="AD118" s="22">
        <v>0</v>
      </c>
      <c r="AE118" s="22">
        <v>0</v>
      </c>
      <c r="AF118" s="22">
        <v>0</v>
      </c>
      <c r="AG118" s="22">
        <v>20</v>
      </c>
      <c r="AH118" s="22">
        <v>0</v>
      </c>
      <c r="AI118" s="22">
        <v>0</v>
      </c>
      <c r="AJ118" s="22">
        <v>0</v>
      </c>
      <c r="AK118" s="22">
        <v>0</v>
      </c>
      <c r="AL118" s="22">
        <v>0</v>
      </c>
      <c r="AM118" s="22">
        <v>0</v>
      </c>
      <c r="AN118" s="22">
        <v>0</v>
      </c>
      <c r="AO118" s="22">
        <v>0</v>
      </c>
      <c r="AP118" s="67"/>
      <c r="AT118" s="81"/>
      <c r="AU118"/>
    </row>
    <row r="119" spans="1:47" ht="32.1">
      <c r="A119" s="23" t="s">
        <v>406</v>
      </c>
      <c r="B119" s="19" t="s">
        <v>407</v>
      </c>
      <c r="C119" s="19" t="s">
        <v>408</v>
      </c>
      <c r="D119" s="20">
        <f t="shared" si="4"/>
        <v>2</v>
      </c>
      <c r="E119" s="22">
        <v>0</v>
      </c>
      <c r="F119" s="22">
        <v>0</v>
      </c>
      <c r="G119" s="22">
        <v>0</v>
      </c>
      <c r="H119" s="22">
        <v>0</v>
      </c>
      <c r="I119" s="22">
        <v>0</v>
      </c>
      <c r="J119" s="22">
        <v>0</v>
      </c>
      <c r="K119" s="22">
        <v>0</v>
      </c>
      <c r="L119" s="22">
        <v>0</v>
      </c>
      <c r="M119" s="22">
        <v>0</v>
      </c>
      <c r="N119" s="22">
        <v>0</v>
      </c>
      <c r="O119" s="22">
        <v>0</v>
      </c>
      <c r="P119" s="22">
        <v>2</v>
      </c>
      <c r="Q119" s="22">
        <v>0</v>
      </c>
      <c r="R119" s="22">
        <v>0</v>
      </c>
      <c r="S119" s="22">
        <v>0</v>
      </c>
      <c r="T119" s="22">
        <v>0</v>
      </c>
      <c r="U119" s="22">
        <v>0</v>
      </c>
      <c r="V119" s="22">
        <v>0</v>
      </c>
      <c r="W119" s="22">
        <v>0</v>
      </c>
      <c r="X119" s="22">
        <v>0</v>
      </c>
      <c r="Y119" s="22">
        <v>0</v>
      </c>
      <c r="Z119" s="22">
        <v>0</v>
      </c>
      <c r="AA119" s="22">
        <v>0</v>
      </c>
      <c r="AB119" s="22">
        <v>0</v>
      </c>
      <c r="AC119" s="22">
        <v>0</v>
      </c>
      <c r="AD119" s="22">
        <v>0</v>
      </c>
      <c r="AE119" s="22">
        <v>0</v>
      </c>
      <c r="AF119" s="22">
        <v>0</v>
      </c>
      <c r="AG119" s="22">
        <v>0</v>
      </c>
      <c r="AH119" s="22">
        <v>0</v>
      </c>
      <c r="AI119" s="22">
        <v>0</v>
      </c>
      <c r="AJ119" s="22">
        <v>0</v>
      </c>
      <c r="AK119" s="22">
        <v>0</v>
      </c>
      <c r="AL119" s="22">
        <v>0</v>
      </c>
      <c r="AM119" s="22">
        <v>0</v>
      </c>
      <c r="AN119" s="22">
        <v>0</v>
      </c>
      <c r="AO119" s="22">
        <v>0</v>
      </c>
      <c r="AP119" s="68"/>
      <c r="AT119" s="81"/>
      <c r="AU119"/>
    </row>
    <row r="120" spans="1:47">
      <c r="A120" s="23" t="s">
        <v>409</v>
      </c>
      <c r="B120" s="19" t="s">
        <v>410</v>
      </c>
      <c r="C120" s="19" t="s">
        <v>411</v>
      </c>
      <c r="D120" s="20">
        <f t="shared" si="4"/>
        <v>0</v>
      </c>
      <c r="E120" s="22">
        <v>0</v>
      </c>
      <c r="F120" s="22">
        <v>0</v>
      </c>
      <c r="G120" s="22">
        <v>0</v>
      </c>
      <c r="H120" s="22">
        <v>0</v>
      </c>
      <c r="I120" s="22">
        <v>0</v>
      </c>
      <c r="J120" s="22">
        <v>0</v>
      </c>
      <c r="K120" s="22">
        <v>0</v>
      </c>
      <c r="L120" s="22">
        <v>0</v>
      </c>
      <c r="M120" s="22">
        <v>0</v>
      </c>
      <c r="N120" s="22">
        <v>0</v>
      </c>
      <c r="O120" s="22">
        <v>0</v>
      </c>
      <c r="P120" s="22">
        <v>0</v>
      </c>
      <c r="Q120" s="22">
        <v>0</v>
      </c>
      <c r="R120" s="22">
        <v>0</v>
      </c>
      <c r="S120" s="22">
        <v>0</v>
      </c>
      <c r="T120" s="22">
        <v>0</v>
      </c>
      <c r="U120" s="22">
        <v>0</v>
      </c>
      <c r="V120" s="22">
        <v>0</v>
      </c>
      <c r="W120" s="22">
        <v>0</v>
      </c>
      <c r="X120" s="22">
        <v>0</v>
      </c>
      <c r="Y120" s="22">
        <v>0</v>
      </c>
      <c r="Z120" s="22">
        <v>0</v>
      </c>
      <c r="AA120" s="22">
        <v>0</v>
      </c>
      <c r="AB120" s="22">
        <v>0</v>
      </c>
      <c r="AC120" s="22">
        <v>0</v>
      </c>
      <c r="AD120" s="22">
        <v>0</v>
      </c>
      <c r="AE120" s="22">
        <v>0</v>
      </c>
      <c r="AF120" s="22">
        <v>0</v>
      </c>
      <c r="AG120" s="22">
        <v>0</v>
      </c>
      <c r="AH120" s="22">
        <v>0</v>
      </c>
      <c r="AI120" s="22">
        <v>0</v>
      </c>
      <c r="AJ120" s="22">
        <v>0</v>
      </c>
      <c r="AK120" s="22">
        <v>0</v>
      </c>
      <c r="AL120" s="22">
        <v>0</v>
      </c>
      <c r="AM120" s="22">
        <v>0</v>
      </c>
      <c r="AN120" s="22">
        <v>0</v>
      </c>
      <c r="AO120" s="22">
        <v>0</v>
      </c>
      <c r="AP120" s="68"/>
      <c r="AT120" s="81"/>
      <c r="AU120"/>
    </row>
    <row r="121" spans="1:47">
      <c r="A121" s="23" t="s">
        <v>412</v>
      </c>
      <c r="B121" s="19" t="s">
        <v>413</v>
      </c>
      <c r="C121" s="19" t="s">
        <v>392</v>
      </c>
      <c r="D121" s="20">
        <f t="shared" si="4"/>
        <v>0</v>
      </c>
      <c r="E121" s="22">
        <v>0</v>
      </c>
      <c r="F121" s="22">
        <v>0</v>
      </c>
      <c r="G121" s="22">
        <v>0</v>
      </c>
      <c r="H121" s="22">
        <v>0</v>
      </c>
      <c r="I121" s="22">
        <v>0</v>
      </c>
      <c r="J121" s="22">
        <v>0</v>
      </c>
      <c r="K121" s="22">
        <v>0</v>
      </c>
      <c r="L121" s="22">
        <v>0</v>
      </c>
      <c r="M121" s="22">
        <v>0</v>
      </c>
      <c r="N121" s="22">
        <v>0</v>
      </c>
      <c r="O121" s="22">
        <v>0</v>
      </c>
      <c r="P121" s="22">
        <v>0</v>
      </c>
      <c r="Q121" s="22">
        <v>0</v>
      </c>
      <c r="R121" s="22">
        <v>0</v>
      </c>
      <c r="S121" s="22">
        <v>0</v>
      </c>
      <c r="T121" s="22">
        <v>0</v>
      </c>
      <c r="U121" s="22">
        <v>0</v>
      </c>
      <c r="V121" s="22">
        <v>0</v>
      </c>
      <c r="W121" s="22">
        <v>0</v>
      </c>
      <c r="X121" s="22">
        <v>0</v>
      </c>
      <c r="Y121" s="22">
        <v>0</v>
      </c>
      <c r="Z121" s="22">
        <v>0</v>
      </c>
      <c r="AA121" s="22">
        <v>0</v>
      </c>
      <c r="AB121" s="22">
        <v>0</v>
      </c>
      <c r="AC121" s="22">
        <v>0</v>
      </c>
      <c r="AD121" s="22">
        <v>0</v>
      </c>
      <c r="AE121" s="22">
        <v>0</v>
      </c>
      <c r="AF121" s="22">
        <v>0</v>
      </c>
      <c r="AG121" s="22">
        <v>0</v>
      </c>
      <c r="AH121" s="22">
        <v>0</v>
      </c>
      <c r="AI121" s="22">
        <v>0</v>
      </c>
      <c r="AJ121" s="22">
        <v>0</v>
      </c>
      <c r="AK121" s="22">
        <v>0</v>
      </c>
      <c r="AL121" s="22">
        <v>0</v>
      </c>
      <c r="AM121" s="22">
        <v>0</v>
      </c>
      <c r="AN121" s="22">
        <v>0</v>
      </c>
      <c r="AO121" s="22">
        <v>0</v>
      </c>
      <c r="AP121" s="68"/>
      <c r="AT121" s="81"/>
      <c r="AU121"/>
    </row>
    <row r="122" spans="1:47">
      <c r="A122" s="23" t="s">
        <v>414</v>
      </c>
      <c r="B122" s="19" t="s">
        <v>415</v>
      </c>
      <c r="C122" s="19" t="s">
        <v>392</v>
      </c>
      <c r="D122" s="20">
        <f t="shared" si="4"/>
        <v>0</v>
      </c>
      <c r="E122" s="22">
        <v>0</v>
      </c>
      <c r="F122" s="22">
        <v>0</v>
      </c>
      <c r="G122" s="22">
        <v>0</v>
      </c>
      <c r="H122" s="22">
        <v>0</v>
      </c>
      <c r="I122" s="22">
        <v>0</v>
      </c>
      <c r="J122" s="22">
        <v>0</v>
      </c>
      <c r="K122" s="22">
        <v>0</v>
      </c>
      <c r="L122" s="22">
        <v>0</v>
      </c>
      <c r="M122" s="22">
        <v>0</v>
      </c>
      <c r="N122" s="22">
        <v>0</v>
      </c>
      <c r="O122" s="22">
        <v>0</v>
      </c>
      <c r="P122" s="22">
        <v>0</v>
      </c>
      <c r="Q122" s="22">
        <v>0</v>
      </c>
      <c r="R122" s="22">
        <v>0</v>
      </c>
      <c r="S122" s="22">
        <v>0</v>
      </c>
      <c r="T122" s="22">
        <v>0</v>
      </c>
      <c r="U122" s="22">
        <v>0</v>
      </c>
      <c r="V122" s="22">
        <v>0</v>
      </c>
      <c r="W122" s="22">
        <v>0</v>
      </c>
      <c r="X122" s="22">
        <v>0</v>
      </c>
      <c r="Y122" s="22">
        <v>0</v>
      </c>
      <c r="Z122" s="22">
        <v>0</v>
      </c>
      <c r="AA122" s="22">
        <v>0</v>
      </c>
      <c r="AB122" s="22">
        <v>0</v>
      </c>
      <c r="AC122" s="22">
        <v>0</v>
      </c>
      <c r="AD122" s="22">
        <v>0</v>
      </c>
      <c r="AE122" s="22">
        <v>0</v>
      </c>
      <c r="AF122" s="22">
        <v>0</v>
      </c>
      <c r="AG122" s="22">
        <v>0</v>
      </c>
      <c r="AH122" s="22">
        <v>0</v>
      </c>
      <c r="AI122" s="22">
        <v>0</v>
      </c>
      <c r="AJ122" s="22">
        <v>0</v>
      </c>
      <c r="AK122" s="22">
        <v>0</v>
      </c>
      <c r="AL122" s="22">
        <v>0</v>
      </c>
      <c r="AM122" s="22">
        <v>0</v>
      </c>
      <c r="AN122" s="22">
        <v>0</v>
      </c>
      <c r="AO122" s="22">
        <v>0</v>
      </c>
      <c r="AP122" s="68"/>
      <c r="AT122" s="81"/>
      <c r="AU122"/>
    </row>
    <row r="123" spans="1:47">
      <c r="A123" s="23" t="s">
        <v>416</v>
      </c>
      <c r="B123" s="19" t="s">
        <v>417</v>
      </c>
      <c r="C123" s="19" t="s">
        <v>392</v>
      </c>
      <c r="D123" s="20">
        <f t="shared" si="4"/>
        <v>4</v>
      </c>
      <c r="E123" s="22">
        <v>0</v>
      </c>
      <c r="F123" s="22">
        <v>0</v>
      </c>
      <c r="G123" s="22">
        <v>0</v>
      </c>
      <c r="H123" s="22">
        <v>0</v>
      </c>
      <c r="I123" s="22">
        <v>0</v>
      </c>
      <c r="J123" s="22">
        <v>0</v>
      </c>
      <c r="K123" s="22">
        <v>0</v>
      </c>
      <c r="L123" s="22">
        <v>0</v>
      </c>
      <c r="M123" s="22">
        <v>0</v>
      </c>
      <c r="N123" s="22">
        <v>0</v>
      </c>
      <c r="O123" s="22">
        <v>0</v>
      </c>
      <c r="P123" s="22">
        <v>1</v>
      </c>
      <c r="Q123" s="22">
        <v>0</v>
      </c>
      <c r="R123" s="22">
        <v>0</v>
      </c>
      <c r="S123" s="22">
        <v>0</v>
      </c>
      <c r="T123" s="22">
        <v>0</v>
      </c>
      <c r="U123" s="22">
        <v>0</v>
      </c>
      <c r="V123" s="22">
        <v>0</v>
      </c>
      <c r="W123" s="22">
        <v>0</v>
      </c>
      <c r="X123" s="22">
        <v>0</v>
      </c>
      <c r="Y123" s="22">
        <v>0</v>
      </c>
      <c r="Z123" s="22">
        <v>0</v>
      </c>
      <c r="AA123" s="22">
        <v>0</v>
      </c>
      <c r="AB123" s="22">
        <v>1</v>
      </c>
      <c r="AC123" s="22">
        <v>1</v>
      </c>
      <c r="AD123" s="22">
        <v>0</v>
      </c>
      <c r="AE123" s="22">
        <v>0</v>
      </c>
      <c r="AF123" s="22">
        <v>0</v>
      </c>
      <c r="AG123" s="22">
        <v>0</v>
      </c>
      <c r="AH123" s="22">
        <v>0</v>
      </c>
      <c r="AI123" s="22">
        <v>0</v>
      </c>
      <c r="AJ123" s="22">
        <v>1</v>
      </c>
      <c r="AK123" s="22">
        <v>0</v>
      </c>
      <c r="AL123" s="22">
        <v>0</v>
      </c>
      <c r="AM123" s="22">
        <v>0</v>
      </c>
      <c r="AN123" s="22">
        <v>0</v>
      </c>
      <c r="AO123" s="22">
        <v>0</v>
      </c>
      <c r="AP123" s="68"/>
      <c r="AT123" s="81"/>
      <c r="AU123"/>
    </row>
    <row r="124" spans="1:47">
      <c r="A124" s="23" t="s">
        <v>418</v>
      </c>
      <c r="B124" s="19" t="s">
        <v>419</v>
      </c>
      <c r="C124" s="19" t="s">
        <v>392</v>
      </c>
      <c r="D124" s="20">
        <f t="shared" si="4"/>
        <v>0</v>
      </c>
      <c r="E124" s="22">
        <v>0</v>
      </c>
      <c r="F124" s="22">
        <v>0</v>
      </c>
      <c r="G124" s="22">
        <v>0</v>
      </c>
      <c r="H124" s="22">
        <v>0</v>
      </c>
      <c r="I124" s="22">
        <v>0</v>
      </c>
      <c r="J124" s="22">
        <v>0</v>
      </c>
      <c r="K124" s="22">
        <v>0</v>
      </c>
      <c r="L124" s="22">
        <v>0</v>
      </c>
      <c r="M124" s="22">
        <v>0</v>
      </c>
      <c r="N124" s="22">
        <v>0</v>
      </c>
      <c r="O124" s="22">
        <v>0</v>
      </c>
      <c r="P124" s="22">
        <v>0</v>
      </c>
      <c r="Q124" s="22">
        <v>0</v>
      </c>
      <c r="R124" s="22">
        <v>0</v>
      </c>
      <c r="S124" s="22">
        <v>0</v>
      </c>
      <c r="T124" s="22">
        <v>0</v>
      </c>
      <c r="U124" s="22">
        <v>0</v>
      </c>
      <c r="V124" s="22">
        <v>0</v>
      </c>
      <c r="W124" s="22">
        <v>0</v>
      </c>
      <c r="X124" s="22">
        <v>0</v>
      </c>
      <c r="Y124" s="22">
        <v>0</v>
      </c>
      <c r="Z124" s="22">
        <v>0</v>
      </c>
      <c r="AA124" s="22">
        <v>0</v>
      </c>
      <c r="AB124" s="22">
        <v>0</v>
      </c>
      <c r="AC124" s="22">
        <v>0</v>
      </c>
      <c r="AD124" s="22">
        <v>0</v>
      </c>
      <c r="AE124" s="22">
        <v>0</v>
      </c>
      <c r="AF124" s="22">
        <v>0</v>
      </c>
      <c r="AG124" s="22">
        <v>0</v>
      </c>
      <c r="AH124" s="22">
        <v>0</v>
      </c>
      <c r="AI124" s="22">
        <v>0</v>
      </c>
      <c r="AJ124" s="22">
        <v>0</v>
      </c>
      <c r="AK124" s="22">
        <v>0</v>
      </c>
      <c r="AL124" s="22">
        <v>0</v>
      </c>
      <c r="AM124" s="22">
        <v>0</v>
      </c>
      <c r="AN124" s="22">
        <v>0</v>
      </c>
      <c r="AO124" s="22">
        <v>0</v>
      </c>
      <c r="AP124" s="68"/>
      <c r="AT124" s="81"/>
      <c r="AU124"/>
    </row>
    <row r="125" spans="1:47">
      <c r="A125" s="23" t="s">
        <v>420</v>
      </c>
      <c r="B125" s="19" t="s">
        <v>421</v>
      </c>
      <c r="C125" s="19" t="s">
        <v>392</v>
      </c>
      <c r="D125" s="20">
        <f t="shared" si="4"/>
        <v>2</v>
      </c>
      <c r="E125" s="22">
        <v>0</v>
      </c>
      <c r="F125" s="22">
        <v>0</v>
      </c>
      <c r="G125" s="22">
        <v>0</v>
      </c>
      <c r="H125" s="22">
        <v>0</v>
      </c>
      <c r="I125" s="22">
        <v>0</v>
      </c>
      <c r="J125" s="22">
        <v>0</v>
      </c>
      <c r="K125" s="22">
        <v>0</v>
      </c>
      <c r="L125" s="22">
        <v>0</v>
      </c>
      <c r="M125" s="22">
        <v>0</v>
      </c>
      <c r="N125" s="22">
        <v>0</v>
      </c>
      <c r="O125" s="22">
        <v>0</v>
      </c>
      <c r="P125" s="22">
        <v>1</v>
      </c>
      <c r="Q125" s="22">
        <v>0</v>
      </c>
      <c r="R125" s="22">
        <v>0</v>
      </c>
      <c r="S125" s="22">
        <v>0</v>
      </c>
      <c r="T125" s="22">
        <v>0</v>
      </c>
      <c r="U125" s="22">
        <v>0</v>
      </c>
      <c r="V125" s="22">
        <v>0</v>
      </c>
      <c r="W125" s="22">
        <v>0</v>
      </c>
      <c r="X125" s="22">
        <v>0</v>
      </c>
      <c r="Y125" s="22">
        <v>0</v>
      </c>
      <c r="Z125" s="22">
        <v>0</v>
      </c>
      <c r="AA125" s="22">
        <v>0</v>
      </c>
      <c r="AB125" s="22">
        <v>1</v>
      </c>
      <c r="AC125" s="22">
        <v>0</v>
      </c>
      <c r="AD125" s="22">
        <v>0</v>
      </c>
      <c r="AE125" s="22">
        <v>0</v>
      </c>
      <c r="AF125" s="22">
        <v>0</v>
      </c>
      <c r="AG125" s="22">
        <v>0</v>
      </c>
      <c r="AH125" s="22">
        <v>0</v>
      </c>
      <c r="AI125" s="22">
        <v>0</v>
      </c>
      <c r="AJ125" s="22">
        <v>0</v>
      </c>
      <c r="AK125" s="22">
        <v>0</v>
      </c>
      <c r="AL125" s="22">
        <v>0</v>
      </c>
      <c r="AM125" s="22">
        <v>0</v>
      </c>
      <c r="AN125" s="22">
        <v>0</v>
      </c>
      <c r="AO125" s="22">
        <v>0</v>
      </c>
      <c r="AP125" s="68"/>
      <c r="AT125" s="81"/>
      <c r="AU125"/>
    </row>
    <row r="126" spans="1:47">
      <c r="A126" s="23" t="s">
        <v>422</v>
      </c>
      <c r="B126" s="19" t="s">
        <v>423</v>
      </c>
      <c r="C126" s="19" t="s">
        <v>392</v>
      </c>
      <c r="D126" s="20">
        <f t="shared" si="4"/>
        <v>5</v>
      </c>
      <c r="E126" s="22">
        <v>0</v>
      </c>
      <c r="F126" s="22">
        <v>0</v>
      </c>
      <c r="G126" s="22">
        <v>0</v>
      </c>
      <c r="H126" s="22">
        <v>1</v>
      </c>
      <c r="I126" s="22">
        <v>0</v>
      </c>
      <c r="J126" s="22">
        <v>0</v>
      </c>
      <c r="K126" s="22">
        <v>0</v>
      </c>
      <c r="L126" s="22">
        <v>0</v>
      </c>
      <c r="M126" s="22">
        <v>0</v>
      </c>
      <c r="N126" s="22">
        <v>0</v>
      </c>
      <c r="O126" s="22">
        <v>0</v>
      </c>
      <c r="P126" s="22">
        <v>1</v>
      </c>
      <c r="Q126" s="22">
        <v>0</v>
      </c>
      <c r="R126" s="22">
        <v>0</v>
      </c>
      <c r="S126" s="22">
        <v>0</v>
      </c>
      <c r="T126" s="22">
        <v>0</v>
      </c>
      <c r="U126" s="22">
        <v>0</v>
      </c>
      <c r="V126" s="22">
        <v>0</v>
      </c>
      <c r="W126" s="22">
        <v>0</v>
      </c>
      <c r="X126" s="22">
        <v>0</v>
      </c>
      <c r="Y126" s="22">
        <v>0</v>
      </c>
      <c r="Z126" s="22">
        <v>0</v>
      </c>
      <c r="AA126" s="22">
        <v>0</v>
      </c>
      <c r="AB126" s="22">
        <v>1</v>
      </c>
      <c r="AC126" s="22">
        <v>1</v>
      </c>
      <c r="AD126" s="22">
        <v>0</v>
      </c>
      <c r="AE126" s="22">
        <v>0</v>
      </c>
      <c r="AF126" s="22">
        <v>0</v>
      </c>
      <c r="AG126" s="22">
        <v>1</v>
      </c>
      <c r="AH126" s="22">
        <v>0</v>
      </c>
      <c r="AI126" s="22">
        <v>0</v>
      </c>
      <c r="AJ126" s="22">
        <v>0</v>
      </c>
      <c r="AK126" s="22">
        <v>0</v>
      </c>
      <c r="AL126" s="22">
        <v>0</v>
      </c>
      <c r="AM126" s="22">
        <v>0</v>
      </c>
      <c r="AN126" s="22">
        <v>0</v>
      </c>
      <c r="AO126" s="22">
        <v>0</v>
      </c>
      <c r="AP126" s="68"/>
      <c r="AT126" s="81"/>
      <c r="AU126"/>
    </row>
    <row r="127" spans="1:47">
      <c r="A127" s="23" t="s">
        <v>424</v>
      </c>
      <c r="B127" s="19" t="s">
        <v>425</v>
      </c>
      <c r="C127" s="19" t="s">
        <v>285</v>
      </c>
      <c r="D127" s="20">
        <f t="shared" si="4"/>
        <v>0</v>
      </c>
      <c r="E127" s="22">
        <v>0</v>
      </c>
      <c r="F127" s="22">
        <v>0</v>
      </c>
      <c r="G127" s="22">
        <v>0</v>
      </c>
      <c r="H127" s="22">
        <v>0</v>
      </c>
      <c r="I127" s="22">
        <v>0</v>
      </c>
      <c r="J127" s="22">
        <v>0</v>
      </c>
      <c r="K127" s="22">
        <v>0</v>
      </c>
      <c r="L127" s="22">
        <v>0</v>
      </c>
      <c r="M127" s="22">
        <v>0</v>
      </c>
      <c r="N127" s="22">
        <v>0</v>
      </c>
      <c r="O127" s="22">
        <v>0</v>
      </c>
      <c r="P127" s="22">
        <v>0</v>
      </c>
      <c r="Q127" s="22">
        <v>0</v>
      </c>
      <c r="R127" s="22">
        <v>0</v>
      </c>
      <c r="S127" s="22">
        <v>0</v>
      </c>
      <c r="T127" s="22">
        <v>0</v>
      </c>
      <c r="U127" s="22">
        <v>0</v>
      </c>
      <c r="V127" s="22">
        <v>0</v>
      </c>
      <c r="W127" s="22">
        <v>0</v>
      </c>
      <c r="X127" s="22">
        <v>0</v>
      </c>
      <c r="Y127" s="22">
        <v>0</v>
      </c>
      <c r="Z127" s="22">
        <v>0</v>
      </c>
      <c r="AA127" s="22">
        <v>0</v>
      </c>
      <c r="AB127" s="22">
        <v>0</v>
      </c>
      <c r="AC127" s="22">
        <v>0</v>
      </c>
      <c r="AD127" s="22">
        <v>0</v>
      </c>
      <c r="AE127" s="22">
        <v>0</v>
      </c>
      <c r="AF127" s="22">
        <v>0</v>
      </c>
      <c r="AG127" s="22">
        <v>0</v>
      </c>
      <c r="AH127" s="22">
        <v>0</v>
      </c>
      <c r="AI127" s="22">
        <v>0</v>
      </c>
      <c r="AJ127" s="22">
        <v>0</v>
      </c>
      <c r="AK127" s="22">
        <v>0</v>
      </c>
      <c r="AL127" s="22">
        <v>0</v>
      </c>
      <c r="AM127" s="22">
        <v>0</v>
      </c>
      <c r="AN127" s="22">
        <v>0</v>
      </c>
      <c r="AO127" s="22">
        <v>0</v>
      </c>
      <c r="AP127" s="68"/>
      <c r="AT127" s="81"/>
      <c r="AU127"/>
    </row>
    <row r="128" spans="1:47">
      <c r="A128" s="24" t="s">
        <v>426</v>
      </c>
      <c r="B128" s="25"/>
      <c r="C128" s="25"/>
      <c r="D128" s="49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28"/>
      <c r="AI128" s="28"/>
      <c r="AJ128" s="28"/>
      <c r="AK128" s="28"/>
      <c r="AL128" s="28"/>
      <c r="AM128" s="28"/>
      <c r="AN128" s="28"/>
      <c r="AO128" s="28"/>
      <c r="AP128" s="67"/>
      <c r="AT128" s="81"/>
      <c r="AU128"/>
    </row>
    <row r="129" spans="1:47">
      <c r="A129" s="23"/>
      <c r="B129" s="19" t="s">
        <v>427</v>
      </c>
      <c r="C129" s="19" t="s">
        <v>428</v>
      </c>
      <c r="D129" s="20">
        <f t="shared" ref="D129:D132" si="5">SUM(E129:AO129)</f>
        <v>219692.91</v>
      </c>
      <c r="E129" s="22">
        <v>1685.61</v>
      </c>
      <c r="F129" s="22">
        <v>252.11</v>
      </c>
      <c r="G129" s="22">
        <v>4400.29</v>
      </c>
      <c r="H129" s="22">
        <v>6834.02</v>
      </c>
      <c r="I129" s="22">
        <v>1524.62</v>
      </c>
      <c r="J129" s="22">
        <v>1132.2</v>
      </c>
      <c r="K129" s="22">
        <v>1180.6600000000001</v>
      </c>
      <c r="L129" s="22">
        <v>3292.05</v>
      </c>
      <c r="M129" s="22">
        <v>129.33000000000001</v>
      </c>
      <c r="N129" s="22">
        <v>519.38</v>
      </c>
      <c r="O129" s="22">
        <v>174.58</v>
      </c>
      <c r="P129" s="22">
        <v>53059.54</v>
      </c>
      <c r="Q129" s="22">
        <v>4870.3599999999997</v>
      </c>
      <c r="R129" s="22">
        <v>535.38</v>
      </c>
      <c r="S129" s="22">
        <v>506.87</v>
      </c>
      <c r="T129" s="22">
        <v>5856.19</v>
      </c>
      <c r="U129" s="22">
        <v>2857.08</v>
      </c>
      <c r="V129" s="22">
        <v>644.85</v>
      </c>
      <c r="W129" s="22">
        <v>198.41</v>
      </c>
      <c r="X129" s="22">
        <v>179.53</v>
      </c>
      <c r="Y129" s="22">
        <v>3594.51</v>
      </c>
      <c r="Z129" s="22">
        <v>14938.68</v>
      </c>
      <c r="AA129" s="22">
        <v>221.91</v>
      </c>
      <c r="AB129" s="22">
        <v>20967.28</v>
      </c>
      <c r="AC129" s="22">
        <v>33805.53</v>
      </c>
      <c r="AD129" s="22">
        <v>1883.69</v>
      </c>
      <c r="AE129" s="22">
        <v>455.46</v>
      </c>
      <c r="AF129" s="22">
        <v>144.13999999999999</v>
      </c>
      <c r="AG129" s="22">
        <v>22433.8</v>
      </c>
      <c r="AH129" s="22">
        <v>17318.990000000002</v>
      </c>
      <c r="AI129" s="22">
        <v>4028.65</v>
      </c>
      <c r="AJ129" s="22">
        <v>2889.12</v>
      </c>
      <c r="AK129" s="22">
        <v>264.43</v>
      </c>
      <c r="AL129" s="22">
        <v>1314.2</v>
      </c>
      <c r="AM129" s="22">
        <v>4872.2299999999996</v>
      </c>
      <c r="AN129" s="22">
        <v>120.8</v>
      </c>
      <c r="AO129" s="22">
        <v>606.42999999999995</v>
      </c>
      <c r="AP129" s="67"/>
      <c r="AT129" s="81"/>
      <c r="AU129"/>
    </row>
    <row r="130" spans="1:47">
      <c r="A130" s="23"/>
      <c r="B130" s="19" t="s">
        <v>429</v>
      </c>
      <c r="C130" s="19" t="s">
        <v>428</v>
      </c>
      <c r="D130" s="20">
        <f t="shared" si="5"/>
        <v>219692.91</v>
      </c>
      <c r="E130" s="22">
        <v>1685.61</v>
      </c>
      <c r="F130" s="22">
        <v>252.11</v>
      </c>
      <c r="G130" s="22">
        <v>4400.29</v>
      </c>
      <c r="H130" s="22">
        <v>6834.02</v>
      </c>
      <c r="I130" s="22">
        <v>1524.62</v>
      </c>
      <c r="J130" s="22">
        <v>1132.2</v>
      </c>
      <c r="K130" s="22">
        <v>1180.6600000000001</v>
      </c>
      <c r="L130" s="22">
        <v>3292.05</v>
      </c>
      <c r="M130" s="22">
        <v>129.33000000000001</v>
      </c>
      <c r="N130" s="22">
        <v>519.38</v>
      </c>
      <c r="O130" s="22">
        <v>174.58</v>
      </c>
      <c r="P130" s="22">
        <v>53059.54</v>
      </c>
      <c r="Q130" s="22">
        <v>4870.3599999999997</v>
      </c>
      <c r="R130" s="22">
        <v>535.38</v>
      </c>
      <c r="S130" s="22">
        <v>506.87</v>
      </c>
      <c r="T130" s="22">
        <v>5856.19</v>
      </c>
      <c r="U130" s="22">
        <v>2857.08</v>
      </c>
      <c r="V130" s="22">
        <v>644.85</v>
      </c>
      <c r="W130" s="22">
        <v>198.41</v>
      </c>
      <c r="X130" s="22">
        <v>179.53</v>
      </c>
      <c r="Y130" s="22">
        <v>3594.51</v>
      </c>
      <c r="Z130" s="22">
        <v>14938.68</v>
      </c>
      <c r="AA130" s="22">
        <v>221.91</v>
      </c>
      <c r="AB130" s="22">
        <v>20967.28</v>
      </c>
      <c r="AC130" s="22">
        <v>33805.53</v>
      </c>
      <c r="AD130" s="22">
        <v>1883.69</v>
      </c>
      <c r="AE130" s="22">
        <v>455.46</v>
      </c>
      <c r="AF130" s="22">
        <v>144.13999999999999</v>
      </c>
      <c r="AG130" s="22">
        <v>22433.8</v>
      </c>
      <c r="AH130" s="22">
        <v>17318.990000000002</v>
      </c>
      <c r="AI130" s="22">
        <v>4028.65</v>
      </c>
      <c r="AJ130" s="22">
        <v>2889.12</v>
      </c>
      <c r="AK130" s="22">
        <v>264.43</v>
      </c>
      <c r="AL130" s="22">
        <v>1314.2</v>
      </c>
      <c r="AM130" s="22">
        <v>4872.2299999999996</v>
      </c>
      <c r="AN130" s="22">
        <v>120.8</v>
      </c>
      <c r="AO130" s="22">
        <v>606.42999999999995</v>
      </c>
      <c r="AP130" s="67"/>
      <c r="AT130" s="81"/>
      <c r="AU130"/>
    </row>
    <row r="131" spans="1:47">
      <c r="A131" s="23"/>
      <c r="B131" s="19" t="s">
        <v>430</v>
      </c>
      <c r="C131" s="19" t="s">
        <v>428</v>
      </c>
      <c r="D131" s="20">
        <f t="shared" si="5"/>
        <v>219692.91</v>
      </c>
      <c r="E131" s="22">
        <v>1685.61</v>
      </c>
      <c r="F131" s="22">
        <v>252.11</v>
      </c>
      <c r="G131" s="22">
        <v>4400.29</v>
      </c>
      <c r="H131" s="22">
        <v>6834.02</v>
      </c>
      <c r="I131" s="22">
        <v>1524.62</v>
      </c>
      <c r="J131" s="22">
        <v>1132.2</v>
      </c>
      <c r="K131" s="22">
        <v>1180.6600000000001</v>
      </c>
      <c r="L131" s="22">
        <v>3292.05</v>
      </c>
      <c r="M131" s="22">
        <v>129.33000000000001</v>
      </c>
      <c r="N131" s="22">
        <v>519.38</v>
      </c>
      <c r="O131" s="22">
        <v>174.58</v>
      </c>
      <c r="P131" s="22">
        <v>53059.54</v>
      </c>
      <c r="Q131" s="22">
        <v>4870.3599999999997</v>
      </c>
      <c r="R131" s="22">
        <v>535.38</v>
      </c>
      <c r="S131" s="22">
        <v>506.87</v>
      </c>
      <c r="T131" s="22">
        <v>5856.19</v>
      </c>
      <c r="U131" s="22">
        <v>2857.08</v>
      </c>
      <c r="V131" s="22">
        <v>644.85</v>
      </c>
      <c r="W131" s="22">
        <v>198.41</v>
      </c>
      <c r="X131" s="22">
        <v>179.53</v>
      </c>
      <c r="Y131" s="22">
        <v>3594.51</v>
      </c>
      <c r="Z131" s="22">
        <v>14938.68</v>
      </c>
      <c r="AA131" s="22">
        <v>221.91</v>
      </c>
      <c r="AB131" s="22">
        <v>20967.28</v>
      </c>
      <c r="AC131" s="22">
        <v>33805.53</v>
      </c>
      <c r="AD131" s="22">
        <v>1883.69</v>
      </c>
      <c r="AE131" s="22">
        <v>455.46</v>
      </c>
      <c r="AF131" s="22">
        <v>144.13999999999999</v>
      </c>
      <c r="AG131" s="22">
        <v>22433.8</v>
      </c>
      <c r="AH131" s="22">
        <v>17318.990000000002</v>
      </c>
      <c r="AI131" s="22">
        <v>4028.65</v>
      </c>
      <c r="AJ131" s="22">
        <v>2889.12</v>
      </c>
      <c r="AK131" s="22">
        <v>264.43</v>
      </c>
      <c r="AL131" s="22">
        <v>1314.2</v>
      </c>
      <c r="AM131" s="22">
        <v>4872.2299999999996</v>
      </c>
      <c r="AN131" s="22">
        <v>120.8</v>
      </c>
      <c r="AO131" s="22">
        <v>606.42999999999995</v>
      </c>
      <c r="AP131" s="67"/>
      <c r="AT131" s="81"/>
      <c r="AU131"/>
    </row>
    <row r="132" spans="1:47">
      <c r="A132" s="23"/>
      <c r="B132" s="19" t="s">
        <v>431</v>
      </c>
      <c r="C132" s="19" t="s">
        <v>428</v>
      </c>
      <c r="D132" s="20">
        <f t="shared" si="5"/>
        <v>219692.91</v>
      </c>
      <c r="E132" s="22">
        <v>1685.61</v>
      </c>
      <c r="F132" s="22">
        <v>252.11</v>
      </c>
      <c r="G132" s="22">
        <v>4400.29</v>
      </c>
      <c r="H132" s="22">
        <v>6834.02</v>
      </c>
      <c r="I132" s="22">
        <v>1524.62</v>
      </c>
      <c r="J132" s="22">
        <v>1132.2</v>
      </c>
      <c r="K132" s="22">
        <v>1180.6600000000001</v>
      </c>
      <c r="L132" s="22">
        <v>3292.05</v>
      </c>
      <c r="M132" s="22">
        <v>129.33000000000001</v>
      </c>
      <c r="N132" s="22">
        <v>519.38</v>
      </c>
      <c r="O132" s="22">
        <v>174.58</v>
      </c>
      <c r="P132" s="22">
        <v>53059.54</v>
      </c>
      <c r="Q132" s="22">
        <v>4870.3599999999997</v>
      </c>
      <c r="R132" s="22">
        <v>535.38</v>
      </c>
      <c r="S132" s="22">
        <v>506.87</v>
      </c>
      <c r="T132" s="22">
        <v>5856.19</v>
      </c>
      <c r="U132" s="22">
        <v>2857.08</v>
      </c>
      <c r="V132" s="22">
        <v>644.85</v>
      </c>
      <c r="W132" s="22">
        <v>198.41</v>
      </c>
      <c r="X132" s="22">
        <v>179.53</v>
      </c>
      <c r="Y132" s="22">
        <v>3594.51</v>
      </c>
      <c r="Z132" s="22">
        <v>14938.68</v>
      </c>
      <c r="AA132" s="22">
        <v>221.91</v>
      </c>
      <c r="AB132" s="22">
        <v>20967.28</v>
      </c>
      <c r="AC132" s="22">
        <v>33805.53</v>
      </c>
      <c r="AD132" s="22">
        <v>1883.69</v>
      </c>
      <c r="AE132" s="22">
        <v>455.46</v>
      </c>
      <c r="AF132" s="22">
        <v>144.13999999999999</v>
      </c>
      <c r="AG132" s="22">
        <v>22433.8</v>
      </c>
      <c r="AH132" s="22">
        <v>17318.990000000002</v>
      </c>
      <c r="AI132" s="22">
        <v>4028.65</v>
      </c>
      <c r="AJ132" s="22">
        <v>2889.12</v>
      </c>
      <c r="AK132" s="22">
        <v>264.43</v>
      </c>
      <c r="AL132" s="22">
        <v>1314.2</v>
      </c>
      <c r="AM132" s="22">
        <v>4872.2299999999996</v>
      </c>
      <c r="AN132" s="22">
        <v>120.8</v>
      </c>
      <c r="AO132" s="22">
        <v>606.42999999999995</v>
      </c>
      <c r="AP132" s="67"/>
      <c r="AT132" s="81"/>
      <c r="AU132"/>
    </row>
    <row r="133" spans="1:47">
      <c r="A133" s="24" t="s">
        <v>432</v>
      </c>
      <c r="B133" s="25"/>
      <c r="C133" s="25"/>
      <c r="D133" s="49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  <c r="AG133" s="28"/>
      <c r="AH133" s="28"/>
      <c r="AI133" s="28"/>
      <c r="AJ133" s="28"/>
      <c r="AK133" s="28"/>
      <c r="AL133" s="28"/>
      <c r="AM133" s="28"/>
      <c r="AN133" s="28"/>
      <c r="AO133" s="28"/>
      <c r="AU133"/>
    </row>
    <row r="134" spans="1:47">
      <c r="A134" s="23"/>
      <c r="B134" s="19" t="s">
        <v>433</v>
      </c>
      <c r="C134" s="19" t="s">
        <v>434</v>
      </c>
      <c r="D134" s="20">
        <f t="shared" ref="D134:D136" si="6">SUM(E134:AO134)</f>
        <v>195527</v>
      </c>
      <c r="E134" s="22">
        <v>1969</v>
      </c>
      <c r="F134" s="22">
        <v>64</v>
      </c>
      <c r="G134" s="22">
        <v>534</v>
      </c>
      <c r="H134" s="22">
        <v>1040</v>
      </c>
      <c r="I134" s="22">
        <v>256</v>
      </c>
      <c r="J134" s="22">
        <v>163</v>
      </c>
      <c r="K134" s="22">
        <v>1818</v>
      </c>
      <c r="L134" s="22">
        <v>0</v>
      </c>
      <c r="M134" s="22">
        <v>73</v>
      </c>
      <c r="N134" s="22">
        <v>376</v>
      </c>
      <c r="O134" s="22">
        <v>50</v>
      </c>
      <c r="P134" s="22">
        <v>84663</v>
      </c>
      <c r="Q134" s="22">
        <v>3102</v>
      </c>
      <c r="R134" s="22">
        <v>98</v>
      </c>
      <c r="S134" s="22">
        <v>287</v>
      </c>
      <c r="T134" s="22">
        <v>2359</v>
      </c>
      <c r="U134" s="22">
        <v>975</v>
      </c>
      <c r="V134" s="22">
        <v>212</v>
      </c>
      <c r="W134" s="22">
        <v>0</v>
      </c>
      <c r="X134" s="22">
        <v>0</v>
      </c>
      <c r="Y134" s="22">
        <v>5929</v>
      </c>
      <c r="Z134" s="22">
        <v>2490</v>
      </c>
      <c r="AA134" s="22">
        <v>107</v>
      </c>
      <c r="AB134" s="22">
        <v>17599</v>
      </c>
      <c r="AC134" s="22">
        <v>33614</v>
      </c>
      <c r="AD134" s="22">
        <v>452</v>
      </c>
      <c r="AE134" s="22">
        <v>96</v>
      </c>
      <c r="AF134" s="22">
        <v>15</v>
      </c>
      <c r="AG134" s="22">
        <v>20580</v>
      </c>
      <c r="AH134" s="22">
        <v>5185</v>
      </c>
      <c r="AI134" s="22">
        <v>592</v>
      </c>
      <c r="AJ134" s="22">
        <v>2093</v>
      </c>
      <c r="AK134" s="22">
        <v>2594</v>
      </c>
      <c r="AL134" s="22">
        <v>29</v>
      </c>
      <c r="AM134" s="22">
        <v>5579</v>
      </c>
      <c r="AN134" s="22">
        <v>18</v>
      </c>
      <c r="AO134" s="22">
        <v>516</v>
      </c>
      <c r="AU134"/>
    </row>
    <row r="135" spans="1:47">
      <c r="A135" s="23"/>
      <c r="B135" s="19" t="s">
        <v>435</v>
      </c>
      <c r="C135" s="19" t="s">
        <v>434</v>
      </c>
      <c r="D135" s="20">
        <f t="shared" si="6"/>
        <v>217741.28999999998</v>
      </c>
      <c r="E135" s="22">
        <v>2122</v>
      </c>
      <c r="F135" s="22">
        <v>67</v>
      </c>
      <c r="G135" s="22">
        <v>667</v>
      </c>
      <c r="H135" s="22">
        <v>1237</v>
      </c>
      <c r="I135" s="22">
        <v>249</v>
      </c>
      <c r="J135" s="22">
        <v>229</v>
      </c>
      <c r="K135" s="22">
        <v>1972</v>
      </c>
      <c r="L135" s="22">
        <v>0</v>
      </c>
      <c r="M135" s="22">
        <v>62</v>
      </c>
      <c r="N135" s="22">
        <v>558</v>
      </c>
      <c r="O135" s="22">
        <v>73</v>
      </c>
      <c r="P135" s="22">
        <v>100942</v>
      </c>
      <c r="Q135" s="22">
        <v>2677</v>
      </c>
      <c r="R135" s="22">
        <v>104</v>
      </c>
      <c r="S135" s="22">
        <v>325</v>
      </c>
      <c r="T135" s="22">
        <v>2700</v>
      </c>
      <c r="U135" s="22">
        <v>731</v>
      </c>
      <c r="V135" s="22">
        <v>207</v>
      </c>
      <c r="W135" s="22">
        <v>0</v>
      </c>
      <c r="X135" s="22">
        <v>0</v>
      </c>
      <c r="Y135" s="22">
        <v>3761</v>
      </c>
      <c r="Z135" s="22">
        <v>2779</v>
      </c>
      <c r="AA135" s="22">
        <v>82</v>
      </c>
      <c r="AB135" s="22">
        <v>15256</v>
      </c>
      <c r="AC135" s="22">
        <v>38441</v>
      </c>
      <c r="AD135" s="22">
        <v>636</v>
      </c>
      <c r="AE135" s="22">
        <v>94</v>
      </c>
      <c r="AF135" s="22">
        <v>27</v>
      </c>
      <c r="AG135" s="22">
        <v>24081</v>
      </c>
      <c r="AH135" s="22">
        <v>5132</v>
      </c>
      <c r="AI135" s="22">
        <v>665</v>
      </c>
      <c r="AJ135" s="22">
        <v>2330.9899999999998</v>
      </c>
      <c r="AK135" s="22">
        <v>78.3</v>
      </c>
      <c r="AL135" s="22">
        <v>3335</v>
      </c>
      <c r="AM135" s="22">
        <v>5607</v>
      </c>
      <c r="AN135" s="22">
        <v>12</v>
      </c>
      <c r="AO135" s="22">
        <v>502</v>
      </c>
      <c r="AU135"/>
    </row>
    <row r="136" spans="1:47">
      <c r="A136" s="23"/>
      <c r="B136" s="19" t="s">
        <v>436</v>
      </c>
      <c r="C136" s="19" t="s">
        <v>434</v>
      </c>
      <c r="D136" s="20">
        <f t="shared" si="6"/>
        <v>257764</v>
      </c>
      <c r="E136" s="22">
        <v>1934</v>
      </c>
      <c r="F136" s="22">
        <v>80</v>
      </c>
      <c r="G136" s="22">
        <v>4826</v>
      </c>
      <c r="H136" s="22">
        <v>1439</v>
      </c>
      <c r="I136" s="22">
        <v>220</v>
      </c>
      <c r="J136" s="22">
        <v>221</v>
      </c>
      <c r="K136" s="22">
        <v>2187</v>
      </c>
      <c r="L136" s="22">
        <v>0</v>
      </c>
      <c r="M136" s="22">
        <v>49</v>
      </c>
      <c r="N136" s="22">
        <v>745</v>
      </c>
      <c r="O136" s="22">
        <v>62</v>
      </c>
      <c r="P136" s="22">
        <v>123935</v>
      </c>
      <c r="Q136" s="22">
        <v>2727</v>
      </c>
      <c r="R136" s="22">
        <v>105</v>
      </c>
      <c r="S136" s="22">
        <v>360</v>
      </c>
      <c r="T136" s="22">
        <v>2066</v>
      </c>
      <c r="U136" s="22">
        <v>794</v>
      </c>
      <c r="V136" s="22">
        <v>181</v>
      </c>
      <c r="W136" s="22">
        <v>0</v>
      </c>
      <c r="X136" s="22">
        <v>70</v>
      </c>
      <c r="Y136" s="22">
        <v>4044</v>
      </c>
      <c r="Z136" s="22">
        <v>3089</v>
      </c>
      <c r="AA136" s="22">
        <v>65</v>
      </c>
      <c r="AB136" s="22">
        <v>19816</v>
      </c>
      <c r="AC136" s="22">
        <v>46498</v>
      </c>
      <c r="AD136" s="22">
        <v>808</v>
      </c>
      <c r="AE136" s="22">
        <v>102</v>
      </c>
      <c r="AF136" s="22">
        <v>85</v>
      </c>
      <c r="AG136" s="22">
        <v>25642</v>
      </c>
      <c r="AH136" s="22">
        <v>4823</v>
      </c>
      <c r="AI136" s="22">
        <v>475</v>
      </c>
      <c r="AJ136" s="22">
        <v>204</v>
      </c>
      <c r="AK136" s="22">
        <v>0</v>
      </c>
      <c r="AL136" s="22">
        <v>326</v>
      </c>
      <c r="AM136" s="22">
        <v>9160</v>
      </c>
      <c r="AN136" s="22">
        <v>4</v>
      </c>
      <c r="AO136" s="22">
        <v>622</v>
      </c>
      <c r="AU136"/>
    </row>
    <row r="137" spans="1:47">
      <c r="D137" s="39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Q137" s="70"/>
    </row>
    <row r="138" spans="1:47">
      <c r="D138" s="37"/>
      <c r="AU138"/>
    </row>
    <row r="139" spans="1:47">
      <c r="D139" s="37"/>
    </row>
    <row r="176" spans="46:47">
      <c r="AT176" s="44"/>
      <c r="AU176" s="44"/>
    </row>
    <row r="177" spans="46:47">
      <c r="AT177" s="44"/>
      <c r="AU177" s="44"/>
    </row>
    <row r="178" spans="46:47">
      <c r="AT178" s="44"/>
      <c r="AU178" s="44"/>
    </row>
    <row r="179" spans="46:47">
      <c r="AT179" s="44"/>
      <c r="AU179" s="44"/>
    </row>
    <row r="180" spans="46:47">
      <c r="AT180" s="44"/>
      <c r="AU180" s="44"/>
    </row>
    <row r="181" spans="46:47">
      <c r="AT181" s="44"/>
      <c r="AU181" s="44"/>
    </row>
    <row r="182" spans="46:47">
      <c r="AT182" s="44"/>
      <c r="AU182" s="44"/>
    </row>
    <row r="183" spans="46:47">
      <c r="AT183" s="44"/>
      <c r="AU183" s="44"/>
    </row>
    <row r="184" spans="46:47">
      <c r="AT184" s="44"/>
      <c r="AU184" s="44"/>
    </row>
    <row r="185" spans="46:47">
      <c r="AT185" s="44"/>
      <c r="AU185" s="44"/>
    </row>
    <row r="186" spans="46:47">
      <c r="AT186" s="44"/>
      <c r="AU186" s="44"/>
    </row>
    <row r="187" spans="46:47">
      <c r="AT187" s="44"/>
      <c r="AU187" s="44"/>
    </row>
    <row r="188" spans="46:47">
      <c r="AT188" s="44"/>
      <c r="AU188" s="44"/>
    </row>
    <row r="189" spans="46:47">
      <c r="AT189" s="44"/>
      <c r="AU189" s="44"/>
    </row>
    <row r="190" spans="46:47">
      <c r="AT190" s="44"/>
      <c r="AU190" s="44"/>
    </row>
    <row r="191" spans="46:47">
      <c r="AT191" s="44"/>
      <c r="AU191" s="44"/>
    </row>
    <row r="192" spans="46:47">
      <c r="AT192" s="44"/>
      <c r="AU192" s="44"/>
    </row>
    <row r="193" spans="46:47">
      <c r="AT193" s="44"/>
      <c r="AU193" s="44"/>
    </row>
    <row r="194" spans="46:47">
      <c r="AT194" s="44"/>
      <c r="AU194" s="44"/>
    </row>
    <row r="195" spans="46:47">
      <c r="AT195" s="44"/>
      <c r="AU195" s="44"/>
    </row>
    <row r="196" spans="46:47">
      <c r="AT196" s="44"/>
      <c r="AU196" s="44"/>
    </row>
    <row r="197" spans="46:47">
      <c r="AT197" s="44"/>
      <c r="AU197" s="44"/>
    </row>
    <row r="198" spans="46:47">
      <c r="AT198" s="44"/>
      <c r="AU198" s="44"/>
    </row>
    <row r="199" spans="46:47">
      <c r="AT199" s="44"/>
      <c r="AU199" s="44"/>
    </row>
    <row r="200" spans="46:47">
      <c r="AT200" s="44"/>
      <c r="AU200" s="44"/>
    </row>
    <row r="201" spans="46:47">
      <c r="AT201" s="44"/>
      <c r="AU201" s="44"/>
    </row>
    <row r="202" spans="46:47">
      <c r="AT202" s="44"/>
      <c r="AU202" s="44"/>
    </row>
    <row r="203" spans="46:47">
      <c r="AT203" s="44"/>
      <c r="AU203" s="44"/>
    </row>
    <row r="204" spans="46:47">
      <c r="AT204" s="44"/>
      <c r="AU204" s="44"/>
    </row>
    <row r="205" spans="46:47">
      <c r="AT205" s="44"/>
      <c r="AU205" s="44"/>
    </row>
    <row r="206" spans="46:47">
      <c r="AT206" s="44"/>
      <c r="AU206" s="44"/>
    </row>
    <row r="207" spans="46:47">
      <c r="AT207" s="44"/>
      <c r="AU207" s="44"/>
    </row>
    <row r="208" spans="46:47">
      <c r="AT208" s="44"/>
      <c r="AU208" s="44"/>
    </row>
    <row r="209" spans="46:47">
      <c r="AT209" s="44"/>
      <c r="AU209" s="44"/>
    </row>
    <row r="210" spans="46:47">
      <c r="AT210" s="44"/>
      <c r="AU210" s="44"/>
    </row>
    <row r="211" spans="46:47">
      <c r="AT211" s="44"/>
      <c r="AU211" s="44"/>
    </row>
    <row r="212" spans="46:47">
      <c r="AT212" s="44"/>
      <c r="AU212" s="44"/>
    </row>
    <row r="213" spans="46:47">
      <c r="AT213" s="44"/>
      <c r="AU213" s="44"/>
    </row>
    <row r="214" spans="46:47">
      <c r="AT214" s="44"/>
      <c r="AU214" s="44"/>
    </row>
    <row r="215" spans="46:47">
      <c r="AT215" s="44"/>
      <c r="AU215" s="44"/>
    </row>
    <row r="217" spans="46:47">
      <c r="AT217" s="44"/>
      <c r="AU217" s="44"/>
    </row>
  </sheetData>
  <mergeCells count="3">
    <mergeCell ref="A1:C7"/>
    <mergeCell ref="E71:AO71"/>
    <mergeCell ref="E72:AO72"/>
  </mergeCells>
  <pageMargins left="0.70866141732283472" right="0.70866141732283472" top="0.74803149606299213" bottom="0.74803149606299213" header="0.31496062992125984" footer="0.31496062992125984"/>
  <pageSetup paperSize="8" scale="19" fitToHeight="5" orientation="landscape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40D94-FDC1-40A6-B239-276C80C342E6}">
  <sheetPr codeName="Sheet8">
    <pageSetUpPr fitToPage="1"/>
  </sheetPr>
  <dimension ref="A1:AU217"/>
  <sheetViews>
    <sheetView showGridLines="0" topLeftCell="A102" zoomScale="70" zoomScaleNormal="70" workbookViewId="0">
      <selection activeCell="B43" sqref="B43"/>
    </sheetView>
  </sheetViews>
  <sheetFormatPr defaultColWidth="9.140625" defaultRowHeight="15.95"/>
  <cols>
    <col min="1" max="1" width="27.7109375" style="4" customWidth="1"/>
    <col min="2" max="2" width="57.42578125" style="30" customWidth="1"/>
    <col min="3" max="3" width="29.5703125" style="30" bestFit="1" customWidth="1"/>
    <col min="4" max="4" width="28.5703125" style="31" customWidth="1"/>
    <col min="5" max="5" width="27.42578125" style="32" bestFit="1" customWidth="1"/>
    <col min="6" max="6" width="21.85546875" style="32" bestFit="1" customWidth="1"/>
    <col min="7" max="11" width="17.85546875" style="32" bestFit="1" customWidth="1"/>
    <col min="12" max="12" width="20.42578125" style="32" bestFit="1" customWidth="1"/>
    <col min="13" max="14" width="21.85546875" style="32" bestFit="1" customWidth="1"/>
    <col min="15" max="16" width="24.28515625" style="32" bestFit="1" customWidth="1"/>
    <col min="17" max="17" width="25.5703125" style="32" bestFit="1" customWidth="1"/>
    <col min="18" max="18" width="21.140625" style="32" bestFit="1" customWidth="1"/>
    <col min="19" max="19" width="19" style="32" bestFit="1" customWidth="1"/>
    <col min="20" max="20" width="24.140625" style="32" bestFit="1" customWidth="1"/>
    <col min="21" max="21" width="22.42578125" style="32" bestFit="1" customWidth="1"/>
    <col min="22" max="22" width="27.5703125" style="32" bestFit="1" customWidth="1"/>
    <col min="23" max="23" width="21.5703125" style="32" bestFit="1" customWidth="1"/>
    <col min="24" max="24" width="23.85546875" style="32" bestFit="1" customWidth="1"/>
    <col min="25" max="25" width="25.42578125" style="32" bestFit="1" customWidth="1"/>
    <col min="26" max="26" width="32.140625" style="32" bestFit="1" customWidth="1"/>
    <col min="27" max="27" width="29.140625" style="32" bestFit="1" customWidth="1"/>
    <col min="28" max="28" width="26.5703125" style="32" bestFit="1" customWidth="1"/>
    <col min="29" max="29" width="26.140625" style="32" bestFit="1" customWidth="1"/>
    <col min="30" max="30" width="26.85546875" style="32" bestFit="1" customWidth="1"/>
    <col min="31" max="31" width="30.85546875" style="32" bestFit="1" customWidth="1"/>
    <col min="32" max="32" width="25.140625" style="32" bestFit="1" customWidth="1"/>
    <col min="33" max="33" width="30.140625" style="32" bestFit="1" customWidth="1"/>
    <col min="34" max="34" width="22.85546875" style="32" bestFit="1" customWidth="1"/>
    <col min="35" max="35" width="27.5703125" style="32" bestFit="1" customWidth="1"/>
    <col min="36" max="36" width="25.5703125" style="32" bestFit="1" customWidth="1"/>
    <col min="37" max="37" width="24.5703125" style="32" bestFit="1" customWidth="1"/>
    <col min="38" max="38" width="23.5703125" style="32" bestFit="1" customWidth="1"/>
    <col min="39" max="39" width="22.85546875" style="32" bestFit="1" customWidth="1"/>
    <col min="40" max="40" width="33.5703125" style="32" bestFit="1" customWidth="1"/>
    <col min="41" max="41" width="30.28515625" style="32" bestFit="1" customWidth="1"/>
    <col min="42" max="42" width="11.5703125" style="50" bestFit="1" customWidth="1"/>
    <col min="43" max="43" width="15.85546875" style="67" bestFit="1" customWidth="1"/>
    <col min="44" max="44" width="18.5703125" style="76" bestFit="1" customWidth="1"/>
    <col min="46" max="47" width="25.7109375" style="33" customWidth="1"/>
    <col min="208" max="208" width="24.5703125" customWidth="1"/>
    <col min="209" max="209" width="59.5703125" customWidth="1"/>
    <col min="210" max="210" width="23.140625" customWidth="1"/>
    <col min="211" max="211" width="14.85546875" bestFit="1" customWidth="1"/>
    <col min="212" max="213" width="20.42578125" customWidth="1"/>
    <col min="214" max="214" width="17.42578125" customWidth="1"/>
    <col min="215" max="215" width="11.5703125" bestFit="1" customWidth="1"/>
    <col min="216" max="216" width="16.140625" customWidth="1"/>
    <col min="218" max="218" width="14.140625" bestFit="1" customWidth="1"/>
    <col min="464" max="464" width="24.5703125" customWidth="1"/>
    <col min="465" max="465" width="59.5703125" customWidth="1"/>
    <col min="466" max="466" width="23.140625" customWidth="1"/>
    <col min="467" max="467" width="14.85546875" bestFit="1" customWidth="1"/>
    <col min="468" max="469" width="20.42578125" customWidth="1"/>
    <col min="470" max="470" width="17.42578125" customWidth="1"/>
    <col min="471" max="471" width="11.5703125" bestFit="1" customWidth="1"/>
    <col min="472" max="472" width="16.140625" customWidth="1"/>
    <col min="474" max="474" width="14.140625" bestFit="1" customWidth="1"/>
    <col min="720" max="720" width="24.5703125" customWidth="1"/>
    <col min="721" max="721" width="59.5703125" customWidth="1"/>
    <col min="722" max="722" width="23.140625" customWidth="1"/>
    <col min="723" max="723" width="14.85546875" bestFit="1" customWidth="1"/>
    <col min="724" max="725" width="20.42578125" customWidth="1"/>
    <col min="726" max="726" width="17.42578125" customWidth="1"/>
    <col min="727" max="727" width="11.5703125" bestFit="1" customWidth="1"/>
    <col min="728" max="728" width="16.140625" customWidth="1"/>
    <col min="730" max="730" width="14.140625" bestFit="1" customWidth="1"/>
    <col min="976" max="976" width="24.5703125" customWidth="1"/>
    <col min="977" max="977" width="59.5703125" customWidth="1"/>
    <col min="978" max="978" width="23.140625" customWidth="1"/>
    <col min="979" max="979" width="14.85546875" bestFit="1" customWidth="1"/>
    <col min="980" max="981" width="20.42578125" customWidth="1"/>
    <col min="982" max="982" width="17.42578125" customWidth="1"/>
    <col min="983" max="983" width="11.5703125" bestFit="1" customWidth="1"/>
    <col min="984" max="984" width="16.140625" customWidth="1"/>
    <col min="986" max="986" width="14.140625" bestFit="1" customWidth="1"/>
    <col min="1232" max="1232" width="24.5703125" customWidth="1"/>
    <col min="1233" max="1233" width="59.5703125" customWidth="1"/>
    <col min="1234" max="1234" width="23.140625" customWidth="1"/>
    <col min="1235" max="1235" width="14.85546875" bestFit="1" customWidth="1"/>
    <col min="1236" max="1237" width="20.42578125" customWidth="1"/>
    <col min="1238" max="1238" width="17.42578125" customWidth="1"/>
    <col min="1239" max="1239" width="11.5703125" bestFit="1" customWidth="1"/>
    <col min="1240" max="1240" width="16.140625" customWidth="1"/>
    <col min="1242" max="1242" width="14.140625" bestFit="1" customWidth="1"/>
    <col min="1488" max="1488" width="24.5703125" customWidth="1"/>
    <col min="1489" max="1489" width="59.5703125" customWidth="1"/>
    <col min="1490" max="1490" width="23.140625" customWidth="1"/>
    <col min="1491" max="1491" width="14.85546875" bestFit="1" customWidth="1"/>
    <col min="1492" max="1493" width="20.42578125" customWidth="1"/>
    <col min="1494" max="1494" width="17.42578125" customWidth="1"/>
    <col min="1495" max="1495" width="11.5703125" bestFit="1" customWidth="1"/>
    <col min="1496" max="1496" width="16.140625" customWidth="1"/>
    <col min="1498" max="1498" width="14.140625" bestFit="1" customWidth="1"/>
    <col min="1744" max="1744" width="24.5703125" customWidth="1"/>
    <col min="1745" max="1745" width="59.5703125" customWidth="1"/>
    <col min="1746" max="1746" width="23.140625" customWidth="1"/>
    <col min="1747" max="1747" width="14.85546875" bestFit="1" customWidth="1"/>
    <col min="1748" max="1749" width="20.42578125" customWidth="1"/>
    <col min="1750" max="1750" width="17.42578125" customWidth="1"/>
    <col min="1751" max="1751" width="11.5703125" bestFit="1" customWidth="1"/>
    <col min="1752" max="1752" width="16.140625" customWidth="1"/>
    <col min="1754" max="1754" width="14.140625" bestFit="1" customWidth="1"/>
    <col min="2000" max="2000" width="24.5703125" customWidth="1"/>
    <col min="2001" max="2001" width="59.5703125" customWidth="1"/>
    <col min="2002" max="2002" width="23.140625" customWidth="1"/>
    <col min="2003" max="2003" width="14.85546875" bestFit="1" customWidth="1"/>
    <col min="2004" max="2005" width="20.42578125" customWidth="1"/>
    <col min="2006" max="2006" width="17.42578125" customWidth="1"/>
    <col min="2007" max="2007" width="11.5703125" bestFit="1" customWidth="1"/>
    <col min="2008" max="2008" width="16.140625" customWidth="1"/>
    <col min="2010" max="2010" width="14.140625" bestFit="1" customWidth="1"/>
    <col min="2256" max="2256" width="24.5703125" customWidth="1"/>
    <col min="2257" max="2257" width="59.5703125" customWidth="1"/>
    <col min="2258" max="2258" width="23.140625" customWidth="1"/>
    <col min="2259" max="2259" width="14.85546875" bestFit="1" customWidth="1"/>
    <col min="2260" max="2261" width="20.42578125" customWidth="1"/>
    <col min="2262" max="2262" width="17.42578125" customWidth="1"/>
    <col min="2263" max="2263" width="11.5703125" bestFit="1" customWidth="1"/>
    <col min="2264" max="2264" width="16.140625" customWidth="1"/>
    <col min="2266" max="2266" width="14.140625" bestFit="1" customWidth="1"/>
    <col min="2512" max="2512" width="24.5703125" customWidth="1"/>
    <col min="2513" max="2513" width="59.5703125" customWidth="1"/>
    <col min="2514" max="2514" width="23.140625" customWidth="1"/>
    <col min="2515" max="2515" width="14.85546875" bestFit="1" customWidth="1"/>
    <col min="2516" max="2517" width="20.42578125" customWidth="1"/>
    <col min="2518" max="2518" width="17.42578125" customWidth="1"/>
    <col min="2519" max="2519" width="11.5703125" bestFit="1" customWidth="1"/>
    <col min="2520" max="2520" width="16.140625" customWidth="1"/>
    <col min="2522" max="2522" width="14.140625" bestFit="1" customWidth="1"/>
    <col min="2768" max="2768" width="24.5703125" customWidth="1"/>
    <col min="2769" max="2769" width="59.5703125" customWidth="1"/>
    <col min="2770" max="2770" width="23.140625" customWidth="1"/>
    <col min="2771" max="2771" width="14.85546875" bestFit="1" customWidth="1"/>
    <col min="2772" max="2773" width="20.42578125" customWidth="1"/>
    <col min="2774" max="2774" width="17.42578125" customWidth="1"/>
    <col min="2775" max="2775" width="11.5703125" bestFit="1" customWidth="1"/>
    <col min="2776" max="2776" width="16.140625" customWidth="1"/>
    <col min="2778" max="2778" width="14.140625" bestFit="1" customWidth="1"/>
    <col min="3024" max="3024" width="24.5703125" customWidth="1"/>
    <col min="3025" max="3025" width="59.5703125" customWidth="1"/>
    <col min="3026" max="3026" width="23.140625" customWidth="1"/>
    <col min="3027" max="3027" width="14.85546875" bestFit="1" customWidth="1"/>
    <col min="3028" max="3029" width="20.42578125" customWidth="1"/>
    <col min="3030" max="3030" width="17.42578125" customWidth="1"/>
    <col min="3031" max="3031" width="11.5703125" bestFit="1" customWidth="1"/>
    <col min="3032" max="3032" width="16.140625" customWidth="1"/>
    <col min="3034" max="3034" width="14.140625" bestFit="1" customWidth="1"/>
    <col min="3280" max="3280" width="24.5703125" customWidth="1"/>
    <col min="3281" max="3281" width="59.5703125" customWidth="1"/>
    <col min="3282" max="3282" width="23.140625" customWidth="1"/>
    <col min="3283" max="3283" width="14.85546875" bestFit="1" customWidth="1"/>
    <col min="3284" max="3285" width="20.42578125" customWidth="1"/>
    <col min="3286" max="3286" width="17.42578125" customWidth="1"/>
    <col min="3287" max="3287" width="11.5703125" bestFit="1" customWidth="1"/>
    <col min="3288" max="3288" width="16.140625" customWidth="1"/>
    <col min="3290" max="3290" width="14.140625" bestFit="1" customWidth="1"/>
    <col min="3536" max="3536" width="24.5703125" customWidth="1"/>
    <col min="3537" max="3537" width="59.5703125" customWidth="1"/>
    <col min="3538" max="3538" width="23.140625" customWidth="1"/>
    <col min="3539" max="3539" width="14.85546875" bestFit="1" customWidth="1"/>
    <col min="3540" max="3541" width="20.42578125" customWidth="1"/>
    <col min="3542" max="3542" width="17.42578125" customWidth="1"/>
    <col min="3543" max="3543" width="11.5703125" bestFit="1" customWidth="1"/>
    <col min="3544" max="3544" width="16.140625" customWidth="1"/>
    <col min="3546" max="3546" width="14.140625" bestFit="1" customWidth="1"/>
    <col min="3792" max="3792" width="24.5703125" customWidth="1"/>
    <col min="3793" max="3793" width="59.5703125" customWidth="1"/>
    <col min="3794" max="3794" width="23.140625" customWidth="1"/>
    <col min="3795" max="3795" width="14.85546875" bestFit="1" customWidth="1"/>
    <col min="3796" max="3797" width="20.42578125" customWidth="1"/>
    <col min="3798" max="3798" width="17.42578125" customWidth="1"/>
    <col min="3799" max="3799" width="11.5703125" bestFit="1" customWidth="1"/>
    <col min="3800" max="3800" width="16.140625" customWidth="1"/>
    <col min="3802" max="3802" width="14.140625" bestFit="1" customWidth="1"/>
    <col min="4048" max="4048" width="24.5703125" customWidth="1"/>
    <col min="4049" max="4049" width="59.5703125" customWidth="1"/>
    <col min="4050" max="4050" width="23.140625" customWidth="1"/>
    <col min="4051" max="4051" width="14.85546875" bestFit="1" customWidth="1"/>
    <col min="4052" max="4053" width="20.42578125" customWidth="1"/>
    <col min="4054" max="4054" width="17.42578125" customWidth="1"/>
    <col min="4055" max="4055" width="11.5703125" bestFit="1" customWidth="1"/>
    <col min="4056" max="4056" width="16.140625" customWidth="1"/>
    <col min="4058" max="4058" width="14.140625" bestFit="1" customWidth="1"/>
    <col min="4304" max="4304" width="24.5703125" customWidth="1"/>
    <col min="4305" max="4305" width="59.5703125" customWidth="1"/>
    <col min="4306" max="4306" width="23.140625" customWidth="1"/>
    <col min="4307" max="4307" width="14.85546875" bestFit="1" customWidth="1"/>
    <col min="4308" max="4309" width="20.42578125" customWidth="1"/>
    <col min="4310" max="4310" width="17.42578125" customWidth="1"/>
    <col min="4311" max="4311" width="11.5703125" bestFit="1" customWidth="1"/>
    <col min="4312" max="4312" width="16.140625" customWidth="1"/>
    <col min="4314" max="4314" width="14.140625" bestFit="1" customWidth="1"/>
    <col min="4560" max="4560" width="24.5703125" customWidth="1"/>
    <col min="4561" max="4561" width="59.5703125" customWidth="1"/>
    <col min="4562" max="4562" width="23.140625" customWidth="1"/>
    <col min="4563" max="4563" width="14.85546875" bestFit="1" customWidth="1"/>
    <col min="4564" max="4565" width="20.42578125" customWidth="1"/>
    <col min="4566" max="4566" width="17.42578125" customWidth="1"/>
    <col min="4567" max="4567" width="11.5703125" bestFit="1" customWidth="1"/>
    <col min="4568" max="4568" width="16.140625" customWidth="1"/>
    <col min="4570" max="4570" width="14.140625" bestFit="1" customWidth="1"/>
    <col min="4816" max="4816" width="24.5703125" customWidth="1"/>
    <col min="4817" max="4817" width="59.5703125" customWidth="1"/>
    <col min="4818" max="4818" width="23.140625" customWidth="1"/>
    <col min="4819" max="4819" width="14.85546875" bestFit="1" customWidth="1"/>
    <col min="4820" max="4821" width="20.42578125" customWidth="1"/>
    <col min="4822" max="4822" width="17.42578125" customWidth="1"/>
    <col min="4823" max="4823" width="11.5703125" bestFit="1" customWidth="1"/>
    <col min="4824" max="4824" width="16.140625" customWidth="1"/>
    <col min="4826" max="4826" width="14.140625" bestFit="1" customWidth="1"/>
    <col min="5072" max="5072" width="24.5703125" customWidth="1"/>
    <col min="5073" max="5073" width="59.5703125" customWidth="1"/>
    <col min="5074" max="5074" width="23.140625" customWidth="1"/>
    <col min="5075" max="5075" width="14.85546875" bestFit="1" customWidth="1"/>
    <col min="5076" max="5077" width="20.42578125" customWidth="1"/>
    <col min="5078" max="5078" width="17.42578125" customWidth="1"/>
    <col min="5079" max="5079" width="11.5703125" bestFit="1" customWidth="1"/>
    <col min="5080" max="5080" width="16.140625" customWidth="1"/>
    <col min="5082" max="5082" width="14.140625" bestFit="1" customWidth="1"/>
    <col min="5328" max="5328" width="24.5703125" customWidth="1"/>
    <col min="5329" max="5329" width="59.5703125" customWidth="1"/>
    <col min="5330" max="5330" width="23.140625" customWidth="1"/>
    <col min="5331" max="5331" width="14.85546875" bestFit="1" customWidth="1"/>
    <col min="5332" max="5333" width="20.42578125" customWidth="1"/>
    <col min="5334" max="5334" width="17.42578125" customWidth="1"/>
    <col min="5335" max="5335" width="11.5703125" bestFit="1" customWidth="1"/>
    <col min="5336" max="5336" width="16.140625" customWidth="1"/>
    <col min="5338" max="5338" width="14.140625" bestFit="1" customWidth="1"/>
    <col min="5584" max="5584" width="24.5703125" customWidth="1"/>
    <col min="5585" max="5585" width="59.5703125" customWidth="1"/>
    <col min="5586" max="5586" width="23.140625" customWidth="1"/>
    <col min="5587" max="5587" width="14.85546875" bestFit="1" customWidth="1"/>
    <col min="5588" max="5589" width="20.42578125" customWidth="1"/>
    <col min="5590" max="5590" width="17.42578125" customWidth="1"/>
    <col min="5591" max="5591" width="11.5703125" bestFit="1" customWidth="1"/>
    <col min="5592" max="5592" width="16.140625" customWidth="1"/>
    <col min="5594" max="5594" width="14.140625" bestFit="1" customWidth="1"/>
    <col min="5840" max="5840" width="24.5703125" customWidth="1"/>
    <col min="5841" max="5841" width="59.5703125" customWidth="1"/>
    <col min="5842" max="5842" width="23.140625" customWidth="1"/>
    <col min="5843" max="5843" width="14.85546875" bestFit="1" customWidth="1"/>
    <col min="5844" max="5845" width="20.42578125" customWidth="1"/>
    <col min="5846" max="5846" width="17.42578125" customWidth="1"/>
    <col min="5847" max="5847" width="11.5703125" bestFit="1" customWidth="1"/>
    <col min="5848" max="5848" width="16.140625" customWidth="1"/>
    <col min="5850" max="5850" width="14.140625" bestFit="1" customWidth="1"/>
    <col min="6096" max="6096" width="24.5703125" customWidth="1"/>
    <col min="6097" max="6097" width="59.5703125" customWidth="1"/>
    <col min="6098" max="6098" width="23.140625" customWidth="1"/>
    <col min="6099" max="6099" width="14.85546875" bestFit="1" customWidth="1"/>
    <col min="6100" max="6101" width="20.42578125" customWidth="1"/>
    <col min="6102" max="6102" width="17.42578125" customWidth="1"/>
    <col min="6103" max="6103" width="11.5703125" bestFit="1" customWidth="1"/>
    <col min="6104" max="6104" width="16.140625" customWidth="1"/>
    <col min="6106" max="6106" width="14.140625" bestFit="1" customWidth="1"/>
    <col min="6352" max="6352" width="24.5703125" customWidth="1"/>
    <col min="6353" max="6353" width="59.5703125" customWidth="1"/>
    <col min="6354" max="6354" width="23.140625" customWidth="1"/>
    <col min="6355" max="6355" width="14.85546875" bestFit="1" customWidth="1"/>
    <col min="6356" max="6357" width="20.42578125" customWidth="1"/>
    <col min="6358" max="6358" width="17.42578125" customWidth="1"/>
    <col min="6359" max="6359" width="11.5703125" bestFit="1" customWidth="1"/>
    <col min="6360" max="6360" width="16.140625" customWidth="1"/>
    <col min="6362" max="6362" width="14.140625" bestFit="1" customWidth="1"/>
    <col min="6608" max="6608" width="24.5703125" customWidth="1"/>
    <col min="6609" max="6609" width="59.5703125" customWidth="1"/>
    <col min="6610" max="6610" width="23.140625" customWidth="1"/>
    <col min="6611" max="6611" width="14.85546875" bestFit="1" customWidth="1"/>
    <col min="6612" max="6613" width="20.42578125" customWidth="1"/>
    <col min="6614" max="6614" width="17.42578125" customWidth="1"/>
    <col min="6615" max="6615" width="11.5703125" bestFit="1" customWidth="1"/>
    <col min="6616" max="6616" width="16.140625" customWidth="1"/>
    <col min="6618" max="6618" width="14.140625" bestFit="1" customWidth="1"/>
    <col min="6864" max="6864" width="24.5703125" customWidth="1"/>
    <col min="6865" max="6865" width="59.5703125" customWidth="1"/>
    <col min="6866" max="6866" width="23.140625" customWidth="1"/>
    <col min="6867" max="6867" width="14.85546875" bestFit="1" customWidth="1"/>
    <col min="6868" max="6869" width="20.42578125" customWidth="1"/>
    <col min="6870" max="6870" width="17.42578125" customWidth="1"/>
    <col min="6871" max="6871" width="11.5703125" bestFit="1" customWidth="1"/>
    <col min="6872" max="6872" width="16.140625" customWidth="1"/>
    <col min="6874" max="6874" width="14.140625" bestFit="1" customWidth="1"/>
    <col min="7120" max="7120" width="24.5703125" customWidth="1"/>
    <col min="7121" max="7121" width="59.5703125" customWidth="1"/>
    <col min="7122" max="7122" width="23.140625" customWidth="1"/>
    <col min="7123" max="7123" width="14.85546875" bestFit="1" customWidth="1"/>
    <col min="7124" max="7125" width="20.42578125" customWidth="1"/>
    <col min="7126" max="7126" width="17.42578125" customWidth="1"/>
    <col min="7127" max="7127" width="11.5703125" bestFit="1" customWidth="1"/>
    <col min="7128" max="7128" width="16.140625" customWidth="1"/>
    <col min="7130" max="7130" width="14.140625" bestFit="1" customWidth="1"/>
    <col min="7376" max="7376" width="24.5703125" customWidth="1"/>
    <col min="7377" max="7377" width="59.5703125" customWidth="1"/>
    <col min="7378" max="7378" width="23.140625" customWidth="1"/>
    <col min="7379" max="7379" width="14.85546875" bestFit="1" customWidth="1"/>
    <col min="7380" max="7381" width="20.42578125" customWidth="1"/>
    <col min="7382" max="7382" width="17.42578125" customWidth="1"/>
    <col min="7383" max="7383" width="11.5703125" bestFit="1" customWidth="1"/>
    <col min="7384" max="7384" width="16.140625" customWidth="1"/>
    <col min="7386" max="7386" width="14.140625" bestFit="1" customWidth="1"/>
    <col min="7632" max="7632" width="24.5703125" customWidth="1"/>
    <col min="7633" max="7633" width="59.5703125" customWidth="1"/>
    <col min="7634" max="7634" width="23.140625" customWidth="1"/>
    <col min="7635" max="7635" width="14.85546875" bestFit="1" customWidth="1"/>
    <col min="7636" max="7637" width="20.42578125" customWidth="1"/>
    <col min="7638" max="7638" width="17.42578125" customWidth="1"/>
    <col min="7639" max="7639" width="11.5703125" bestFit="1" customWidth="1"/>
    <col min="7640" max="7640" width="16.140625" customWidth="1"/>
    <col min="7642" max="7642" width="14.140625" bestFit="1" customWidth="1"/>
    <col min="7888" max="7888" width="24.5703125" customWidth="1"/>
    <col min="7889" max="7889" width="59.5703125" customWidth="1"/>
    <col min="7890" max="7890" width="23.140625" customWidth="1"/>
    <col min="7891" max="7891" width="14.85546875" bestFit="1" customWidth="1"/>
    <col min="7892" max="7893" width="20.42578125" customWidth="1"/>
    <col min="7894" max="7894" width="17.42578125" customWidth="1"/>
    <col min="7895" max="7895" width="11.5703125" bestFit="1" customWidth="1"/>
    <col min="7896" max="7896" width="16.140625" customWidth="1"/>
    <col min="7898" max="7898" width="14.140625" bestFit="1" customWidth="1"/>
    <col min="8144" max="8144" width="24.5703125" customWidth="1"/>
    <col min="8145" max="8145" width="59.5703125" customWidth="1"/>
    <col min="8146" max="8146" width="23.140625" customWidth="1"/>
    <col min="8147" max="8147" width="14.85546875" bestFit="1" customWidth="1"/>
    <col min="8148" max="8149" width="20.42578125" customWidth="1"/>
    <col min="8150" max="8150" width="17.42578125" customWidth="1"/>
    <col min="8151" max="8151" width="11.5703125" bestFit="1" customWidth="1"/>
    <col min="8152" max="8152" width="16.140625" customWidth="1"/>
    <col min="8154" max="8154" width="14.140625" bestFit="1" customWidth="1"/>
    <col min="8400" max="8400" width="24.5703125" customWidth="1"/>
    <col min="8401" max="8401" width="59.5703125" customWidth="1"/>
    <col min="8402" max="8402" width="23.140625" customWidth="1"/>
    <col min="8403" max="8403" width="14.85546875" bestFit="1" customWidth="1"/>
    <col min="8404" max="8405" width="20.42578125" customWidth="1"/>
    <col min="8406" max="8406" width="17.42578125" customWidth="1"/>
    <col min="8407" max="8407" width="11.5703125" bestFit="1" customWidth="1"/>
    <col min="8408" max="8408" width="16.140625" customWidth="1"/>
    <col min="8410" max="8410" width="14.140625" bestFit="1" customWidth="1"/>
    <col min="8656" max="8656" width="24.5703125" customWidth="1"/>
    <col min="8657" max="8657" width="59.5703125" customWidth="1"/>
    <col min="8658" max="8658" width="23.140625" customWidth="1"/>
    <col min="8659" max="8659" width="14.85546875" bestFit="1" customWidth="1"/>
    <col min="8660" max="8661" width="20.42578125" customWidth="1"/>
    <col min="8662" max="8662" width="17.42578125" customWidth="1"/>
    <col min="8663" max="8663" width="11.5703125" bestFit="1" customWidth="1"/>
    <col min="8664" max="8664" width="16.140625" customWidth="1"/>
    <col min="8666" max="8666" width="14.140625" bestFit="1" customWidth="1"/>
    <col min="8912" max="8912" width="24.5703125" customWidth="1"/>
    <col min="8913" max="8913" width="59.5703125" customWidth="1"/>
    <col min="8914" max="8914" width="23.140625" customWidth="1"/>
    <col min="8915" max="8915" width="14.85546875" bestFit="1" customWidth="1"/>
    <col min="8916" max="8917" width="20.42578125" customWidth="1"/>
    <col min="8918" max="8918" width="17.42578125" customWidth="1"/>
    <col min="8919" max="8919" width="11.5703125" bestFit="1" customWidth="1"/>
    <col min="8920" max="8920" width="16.140625" customWidth="1"/>
    <col min="8922" max="8922" width="14.140625" bestFit="1" customWidth="1"/>
    <col min="9168" max="9168" width="24.5703125" customWidth="1"/>
    <col min="9169" max="9169" width="59.5703125" customWidth="1"/>
    <col min="9170" max="9170" width="23.140625" customWidth="1"/>
    <col min="9171" max="9171" width="14.85546875" bestFit="1" customWidth="1"/>
    <col min="9172" max="9173" width="20.42578125" customWidth="1"/>
    <col min="9174" max="9174" width="17.42578125" customWidth="1"/>
    <col min="9175" max="9175" width="11.5703125" bestFit="1" customWidth="1"/>
    <col min="9176" max="9176" width="16.140625" customWidth="1"/>
    <col min="9178" max="9178" width="14.140625" bestFit="1" customWidth="1"/>
    <col min="9424" max="9424" width="24.5703125" customWidth="1"/>
    <col min="9425" max="9425" width="59.5703125" customWidth="1"/>
    <col min="9426" max="9426" width="23.140625" customWidth="1"/>
    <col min="9427" max="9427" width="14.85546875" bestFit="1" customWidth="1"/>
    <col min="9428" max="9429" width="20.42578125" customWidth="1"/>
    <col min="9430" max="9430" width="17.42578125" customWidth="1"/>
    <col min="9431" max="9431" width="11.5703125" bestFit="1" customWidth="1"/>
    <col min="9432" max="9432" width="16.140625" customWidth="1"/>
    <col min="9434" max="9434" width="14.140625" bestFit="1" customWidth="1"/>
    <col min="9680" max="9680" width="24.5703125" customWidth="1"/>
    <col min="9681" max="9681" width="59.5703125" customWidth="1"/>
    <col min="9682" max="9682" width="23.140625" customWidth="1"/>
    <col min="9683" max="9683" width="14.85546875" bestFit="1" customWidth="1"/>
    <col min="9684" max="9685" width="20.42578125" customWidth="1"/>
    <col min="9686" max="9686" width="17.42578125" customWidth="1"/>
    <col min="9687" max="9687" width="11.5703125" bestFit="1" customWidth="1"/>
    <col min="9688" max="9688" width="16.140625" customWidth="1"/>
    <col min="9690" max="9690" width="14.140625" bestFit="1" customWidth="1"/>
    <col min="9936" max="9936" width="24.5703125" customWidth="1"/>
    <col min="9937" max="9937" width="59.5703125" customWidth="1"/>
    <col min="9938" max="9938" width="23.140625" customWidth="1"/>
    <col min="9939" max="9939" width="14.85546875" bestFit="1" customWidth="1"/>
    <col min="9940" max="9941" width="20.42578125" customWidth="1"/>
    <col min="9942" max="9942" width="17.42578125" customWidth="1"/>
    <col min="9943" max="9943" width="11.5703125" bestFit="1" customWidth="1"/>
    <col min="9944" max="9944" width="16.140625" customWidth="1"/>
    <col min="9946" max="9946" width="14.140625" bestFit="1" customWidth="1"/>
    <col min="10192" max="10192" width="24.5703125" customWidth="1"/>
    <col min="10193" max="10193" width="59.5703125" customWidth="1"/>
    <col min="10194" max="10194" width="23.140625" customWidth="1"/>
    <col min="10195" max="10195" width="14.85546875" bestFit="1" customWidth="1"/>
    <col min="10196" max="10197" width="20.42578125" customWidth="1"/>
    <col min="10198" max="10198" width="17.42578125" customWidth="1"/>
    <col min="10199" max="10199" width="11.5703125" bestFit="1" customWidth="1"/>
    <col min="10200" max="10200" width="16.140625" customWidth="1"/>
    <col min="10202" max="10202" width="14.140625" bestFit="1" customWidth="1"/>
    <col min="10448" max="10448" width="24.5703125" customWidth="1"/>
    <col min="10449" max="10449" width="59.5703125" customWidth="1"/>
    <col min="10450" max="10450" width="23.140625" customWidth="1"/>
    <col min="10451" max="10451" width="14.85546875" bestFit="1" customWidth="1"/>
    <col min="10452" max="10453" width="20.42578125" customWidth="1"/>
    <col min="10454" max="10454" width="17.42578125" customWidth="1"/>
    <col min="10455" max="10455" width="11.5703125" bestFit="1" customWidth="1"/>
    <col min="10456" max="10456" width="16.140625" customWidth="1"/>
    <col min="10458" max="10458" width="14.140625" bestFit="1" customWidth="1"/>
    <col min="10704" max="10704" width="24.5703125" customWidth="1"/>
    <col min="10705" max="10705" width="59.5703125" customWidth="1"/>
    <col min="10706" max="10706" width="23.140625" customWidth="1"/>
    <col min="10707" max="10707" width="14.85546875" bestFit="1" customWidth="1"/>
    <col min="10708" max="10709" width="20.42578125" customWidth="1"/>
    <col min="10710" max="10710" width="17.42578125" customWidth="1"/>
    <col min="10711" max="10711" width="11.5703125" bestFit="1" customWidth="1"/>
    <col min="10712" max="10712" width="16.140625" customWidth="1"/>
    <col min="10714" max="10714" width="14.140625" bestFit="1" customWidth="1"/>
    <col min="10960" max="10960" width="24.5703125" customWidth="1"/>
    <col min="10961" max="10961" width="59.5703125" customWidth="1"/>
    <col min="10962" max="10962" width="23.140625" customWidth="1"/>
    <col min="10963" max="10963" width="14.85546875" bestFit="1" customWidth="1"/>
    <col min="10964" max="10965" width="20.42578125" customWidth="1"/>
    <col min="10966" max="10966" width="17.42578125" customWidth="1"/>
    <col min="10967" max="10967" width="11.5703125" bestFit="1" customWidth="1"/>
    <col min="10968" max="10968" width="16.140625" customWidth="1"/>
    <col min="10970" max="10970" width="14.140625" bestFit="1" customWidth="1"/>
    <col min="11216" max="11216" width="24.5703125" customWidth="1"/>
    <col min="11217" max="11217" width="59.5703125" customWidth="1"/>
    <col min="11218" max="11218" width="23.140625" customWidth="1"/>
    <col min="11219" max="11219" width="14.85546875" bestFit="1" customWidth="1"/>
    <col min="11220" max="11221" width="20.42578125" customWidth="1"/>
    <col min="11222" max="11222" width="17.42578125" customWidth="1"/>
    <col min="11223" max="11223" width="11.5703125" bestFit="1" customWidth="1"/>
    <col min="11224" max="11224" width="16.140625" customWidth="1"/>
    <col min="11226" max="11226" width="14.140625" bestFit="1" customWidth="1"/>
    <col min="11472" max="11472" width="24.5703125" customWidth="1"/>
    <col min="11473" max="11473" width="59.5703125" customWidth="1"/>
    <col min="11474" max="11474" width="23.140625" customWidth="1"/>
    <col min="11475" max="11475" width="14.85546875" bestFit="1" customWidth="1"/>
    <col min="11476" max="11477" width="20.42578125" customWidth="1"/>
    <col min="11478" max="11478" width="17.42578125" customWidth="1"/>
    <col min="11479" max="11479" width="11.5703125" bestFit="1" customWidth="1"/>
    <col min="11480" max="11480" width="16.140625" customWidth="1"/>
    <col min="11482" max="11482" width="14.140625" bestFit="1" customWidth="1"/>
    <col min="11728" max="11728" width="24.5703125" customWidth="1"/>
    <col min="11729" max="11729" width="59.5703125" customWidth="1"/>
    <col min="11730" max="11730" width="23.140625" customWidth="1"/>
    <col min="11731" max="11731" width="14.85546875" bestFit="1" customWidth="1"/>
    <col min="11732" max="11733" width="20.42578125" customWidth="1"/>
    <col min="11734" max="11734" width="17.42578125" customWidth="1"/>
    <col min="11735" max="11735" width="11.5703125" bestFit="1" customWidth="1"/>
    <col min="11736" max="11736" width="16.140625" customWidth="1"/>
    <col min="11738" max="11738" width="14.140625" bestFit="1" customWidth="1"/>
    <col min="11984" max="11984" width="24.5703125" customWidth="1"/>
    <col min="11985" max="11985" width="59.5703125" customWidth="1"/>
    <col min="11986" max="11986" width="23.140625" customWidth="1"/>
    <col min="11987" max="11987" width="14.85546875" bestFit="1" customWidth="1"/>
    <col min="11988" max="11989" width="20.42578125" customWidth="1"/>
    <col min="11990" max="11990" width="17.42578125" customWidth="1"/>
    <col min="11991" max="11991" width="11.5703125" bestFit="1" customWidth="1"/>
    <col min="11992" max="11992" width="16.140625" customWidth="1"/>
    <col min="11994" max="11994" width="14.140625" bestFit="1" customWidth="1"/>
    <col min="12240" max="12240" width="24.5703125" customWidth="1"/>
    <col min="12241" max="12241" width="59.5703125" customWidth="1"/>
    <col min="12242" max="12242" width="23.140625" customWidth="1"/>
    <col min="12243" max="12243" width="14.85546875" bestFit="1" customWidth="1"/>
    <col min="12244" max="12245" width="20.42578125" customWidth="1"/>
    <col min="12246" max="12246" width="17.42578125" customWidth="1"/>
    <col min="12247" max="12247" width="11.5703125" bestFit="1" customWidth="1"/>
    <col min="12248" max="12248" width="16.140625" customWidth="1"/>
    <col min="12250" max="12250" width="14.140625" bestFit="1" customWidth="1"/>
    <col min="12496" max="12496" width="24.5703125" customWidth="1"/>
    <col min="12497" max="12497" width="59.5703125" customWidth="1"/>
    <col min="12498" max="12498" width="23.140625" customWidth="1"/>
    <col min="12499" max="12499" width="14.85546875" bestFit="1" customWidth="1"/>
    <col min="12500" max="12501" width="20.42578125" customWidth="1"/>
    <col min="12502" max="12502" width="17.42578125" customWidth="1"/>
    <col min="12503" max="12503" width="11.5703125" bestFit="1" customWidth="1"/>
    <col min="12504" max="12504" width="16.140625" customWidth="1"/>
    <col min="12506" max="12506" width="14.140625" bestFit="1" customWidth="1"/>
    <col min="12752" max="12752" width="24.5703125" customWidth="1"/>
    <col min="12753" max="12753" width="59.5703125" customWidth="1"/>
    <col min="12754" max="12754" width="23.140625" customWidth="1"/>
    <col min="12755" max="12755" width="14.85546875" bestFit="1" customWidth="1"/>
    <col min="12756" max="12757" width="20.42578125" customWidth="1"/>
    <col min="12758" max="12758" width="17.42578125" customWidth="1"/>
    <col min="12759" max="12759" width="11.5703125" bestFit="1" customWidth="1"/>
    <col min="12760" max="12760" width="16.140625" customWidth="1"/>
    <col min="12762" max="12762" width="14.140625" bestFit="1" customWidth="1"/>
    <col min="13008" max="13008" width="24.5703125" customWidth="1"/>
    <col min="13009" max="13009" width="59.5703125" customWidth="1"/>
    <col min="13010" max="13010" width="23.140625" customWidth="1"/>
    <col min="13011" max="13011" width="14.85546875" bestFit="1" customWidth="1"/>
    <col min="13012" max="13013" width="20.42578125" customWidth="1"/>
    <col min="13014" max="13014" width="17.42578125" customWidth="1"/>
    <col min="13015" max="13015" width="11.5703125" bestFit="1" customWidth="1"/>
    <col min="13016" max="13016" width="16.140625" customWidth="1"/>
    <col min="13018" max="13018" width="14.140625" bestFit="1" customWidth="1"/>
    <col min="13264" max="13264" width="24.5703125" customWidth="1"/>
    <col min="13265" max="13265" width="59.5703125" customWidth="1"/>
    <col min="13266" max="13266" width="23.140625" customWidth="1"/>
    <col min="13267" max="13267" width="14.85546875" bestFit="1" customWidth="1"/>
    <col min="13268" max="13269" width="20.42578125" customWidth="1"/>
    <col min="13270" max="13270" width="17.42578125" customWidth="1"/>
    <col min="13271" max="13271" width="11.5703125" bestFit="1" customWidth="1"/>
    <col min="13272" max="13272" width="16.140625" customWidth="1"/>
    <col min="13274" max="13274" width="14.140625" bestFit="1" customWidth="1"/>
    <col min="13520" max="13520" width="24.5703125" customWidth="1"/>
    <col min="13521" max="13521" width="59.5703125" customWidth="1"/>
    <col min="13522" max="13522" width="23.140625" customWidth="1"/>
    <col min="13523" max="13523" width="14.85546875" bestFit="1" customWidth="1"/>
    <col min="13524" max="13525" width="20.42578125" customWidth="1"/>
    <col min="13526" max="13526" width="17.42578125" customWidth="1"/>
    <col min="13527" max="13527" width="11.5703125" bestFit="1" customWidth="1"/>
    <col min="13528" max="13528" width="16.140625" customWidth="1"/>
    <col min="13530" max="13530" width="14.140625" bestFit="1" customWidth="1"/>
    <col min="13776" max="13776" width="24.5703125" customWidth="1"/>
    <col min="13777" max="13777" width="59.5703125" customWidth="1"/>
    <col min="13778" max="13778" width="23.140625" customWidth="1"/>
    <col min="13779" max="13779" width="14.85546875" bestFit="1" customWidth="1"/>
    <col min="13780" max="13781" width="20.42578125" customWidth="1"/>
    <col min="13782" max="13782" width="17.42578125" customWidth="1"/>
    <col min="13783" max="13783" width="11.5703125" bestFit="1" customWidth="1"/>
    <col min="13784" max="13784" width="16.140625" customWidth="1"/>
    <col min="13786" max="13786" width="14.140625" bestFit="1" customWidth="1"/>
    <col min="14032" max="14032" width="24.5703125" customWidth="1"/>
    <col min="14033" max="14033" width="59.5703125" customWidth="1"/>
    <col min="14034" max="14034" width="23.140625" customWidth="1"/>
    <col min="14035" max="14035" width="14.85546875" bestFit="1" customWidth="1"/>
    <col min="14036" max="14037" width="20.42578125" customWidth="1"/>
    <col min="14038" max="14038" width="17.42578125" customWidth="1"/>
    <col min="14039" max="14039" width="11.5703125" bestFit="1" customWidth="1"/>
    <col min="14040" max="14040" width="16.140625" customWidth="1"/>
    <col min="14042" max="14042" width="14.140625" bestFit="1" customWidth="1"/>
    <col min="14288" max="14288" width="24.5703125" customWidth="1"/>
    <col min="14289" max="14289" width="59.5703125" customWidth="1"/>
    <col min="14290" max="14290" width="23.140625" customWidth="1"/>
    <col min="14291" max="14291" width="14.85546875" bestFit="1" customWidth="1"/>
    <col min="14292" max="14293" width="20.42578125" customWidth="1"/>
    <col min="14294" max="14294" width="17.42578125" customWidth="1"/>
    <col min="14295" max="14295" width="11.5703125" bestFit="1" customWidth="1"/>
    <col min="14296" max="14296" width="16.140625" customWidth="1"/>
    <col min="14298" max="14298" width="14.140625" bestFit="1" customWidth="1"/>
    <col min="14544" max="14544" width="24.5703125" customWidth="1"/>
    <col min="14545" max="14545" width="59.5703125" customWidth="1"/>
    <col min="14546" max="14546" width="23.140625" customWidth="1"/>
    <col min="14547" max="14547" width="14.85546875" bestFit="1" customWidth="1"/>
    <col min="14548" max="14549" width="20.42578125" customWidth="1"/>
    <col min="14550" max="14550" width="17.42578125" customWidth="1"/>
    <col min="14551" max="14551" width="11.5703125" bestFit="1" customWidth="1"/>
    <col min="14552" max="14552" width="16.140625" customWidth="1"/>
    <col min="14554" max="14554" width="14.140625" bestFit="1" customWidth="1"/>
    <col min="14800" max="14800" width="24.5703125" customWidth="1"/>
    <col min="14801" max="14801" width="59.5703125" customWidth="1"/>
    <col min="14802" max="14802" width="23.140625" customWidth="1"/>
    <col min="14803" max="14803" width="14.85546875" bestFit="1" customWidth="1"/>
    <col min="14804" max="14805" width="20.42578125" customWidth="1"/>
    <col min="14806" max="14806" width="17.42578125" customWidth="1"/>
    <col min="14807" max="14807" width="11.5703125" bestFit="1" customWidth="1"/>
    <col min="14808" max="14808" width="16.140625" customWidth="1"/>
    <col min="14810" max="14810" width="14.140625" bestFit="1" customWidth="1"/>
    <col min="15056" max="15056" width="24.5703125" customWidth="1"/>
    <col min="15057" max="15057" width="59.5703125" customWidth="1"/>
    <col min="15058" max="15058" width="23.140625" customWidth="1"/>
    <col min="15059" max="15059" width="14.85546875" bestFit="1" customWidth="1"/>
    <col min="15060" max="15061" width="20.42578125" customWidth="1"/>
    <col min="15062" max="15062" width="17.42578125" customWidth="1"/>
    <col min="15063" max="15063" width="11.5703125" bestFit="1" customWidth="1"/>
    <col min="15064" max="15064" width="16.140625" customWidth="1"/>
    <col min="15066" max="15066" width="14.140625" bestFit="1" customWidth="1"/>
    <col min="15312" max="15312" width="24.5703125" customWidth="1"/>
    <col min="15313" max="15313" width="59.5703125" customWidth="1"/>
    <col min="15314" max="15314" width="23.140625" customWidth="1"/>
    <col min="15315" max="15315" width="14.85546875" bestFit="1" customWidth="1"/>
    <col min="15316" max="15317" width="20.42578125" customWidth="1"/>
    <col min="15318" max="15318" width="17.42578125" customWidth="1"/>
    <col min="15319" max="15319" width="11.5703125" bestFit="1" customWidth="1"/>
    <col min="15320" max="15320" width="16.140625" customWidth="1"/>
    <col min="15322" max="15322" width="14.140625" bestFit="1" customWidth="1"/>
    <col min="15568" max="15568" width="24.5703125" customWidth="1"/>
    <col min="15569" max="15569" width="59.5703125" customWidth="1"/>
    <col min="15570" max="15570" width="23.140625" customWidth="1"/>
    <col min="15571" max="15571" width="14.85546875" bestFit="1" customWidth="1"/>
    <col min="15572" max="15573" width="20.42578125" customWidth="1"/>
    <col min="15574" max="15574" width="17.42578125" customWidth="1"/>
    <col min="15575" max="15575" width="11.5703125" bestFit="1" customWidth="1"/>
    <col min="15576" max="15576" width="16.140625" customWidth="1"/>
    <col min="15578" max="15578" width="14.140625" bestFit="1" customWidth="1"/>
    <col min="15824" max="15824" width="24.5703125" customWidth="1"/>
    <col min="15825" max="15825" width="59.5703125" customWidth="1"/>
    <col min="15826" max="15826" width="23.140625" customWidth="1"/>
    <col min="15827" max="15827" width="14.85546875" bestFit="1" customWidth="1"/>
    <col min="15828" max="15829" width="20.42578125" customWidth="1"/>
    <col min="15830" max="15830" width="17.42578125" customWidth="1"/>
    <col min="15831" max="15831" width="11.5703125" bestFit="1" customWidth="1"/>
    <col min="15832" max="15832" width="16.140625" customWidth="1"/>
    <col min="15834" max="15834" width="14.140625" bestFit="1" customWidth="1"/>
    <col min="16080" max="16080" width="24.5703125" customWidth="1"/>
    <col min="16081" max="16081" width="59.5703125" customWidth="1"/>
    <col min="16082" max="16082" width="23.140625" customWidth="1"/>
    <col min="16083" max="16083" width="14.85546875" bestFit="1" customWidth="1"/>
    <col min="16084" max="16085" width="20.42578125" customWidth="1"/>
    <col min="16086" max="16086" width="17.42578125" customWidth="1"/>
    <col min="16087" max="16087" width="11.5703125" bestFit="1" customWidth="1"/>
    <col min="16088" max="16088" width="16.140625" customWidth="1"/>
    <col min="16090" max="16090" width="14.140625" bestFit="1" customWidth="1"/>
  </cols>
  <sheetData>
    <row r="1" spans="1:47" ht="14.45" customHeight="1">
      <c r="A1" s="85" t="s">
        <v>1226</v>
      </c>
      <c r="B1" s="86"/>
      <c r="C1" s="87"/>
      <c r="D1" s="40" t="s">
        <v>1</v>
      </c>
      <c r="E1" s="2">
        <v>1</v>
      </c>
      <c r="F1" s="2">
        <v>2</v>
      </c>
      <c r="G1" s="2">
        <v>3</v>
      </c>
      <c r="H1" s="2">
        <v>4</v>
      </c>
      <c r="I1" s="2">
        <v>5</v>
      </c>
      <c r="J1" s="2">
        <v>6</v>
      </c>
      <c r="K1" s="2">
        <v>7</v>
      </c>
      <c r="L1" s="2">
        <v>9</v>
      </c>
      <c r="M1" s="2">
        <v>10</v>
      </c>
      <c r="N1" s="2">
        <v>12</v>
      </c>
      <c r="O1" s="2">
        <v>13</v>
      </c>
      <c r="P1" s="2">
        <v>14</v>
      </c>
      <c r="Q1" s="2">
        <v>15</v>
      </c>
      <c r="R1" s="2">
        <v>16</v>
      </c>
      <c r="S1" s="2">
        <v>17</v>
      </c>
      <c r="T1" s="2">
        <v>18</v>
      </c>
      <c r="U1" s="2">
        <v>19</v>
      </c>
      <c r="V1" s="2">
        <v>20</v>
      </c>
      <c r="W1" s="2">
        <v>21</v>
      </c>
      <c r="X1" s="2">
        <v>22</v>
      </c>
      <c r="Y1" s="2">
        <v>23</v>
      </c>
      <c r="Z1" s="2">
        <v>24</v>
      </c>
      <c r="AA1" s="2">
        <v>25</v>
      </c>
      <c r="AB1" s="2">
        <v>26</v>
      </c>
      <c r="AC1" s="2">
        <v>27</v>
      </c>
      <c r="AD1" s="2">
        <v>28</v>
      </c>
      <c r="AE1" s="2">
        <v>29</v>
      </c>
      <c r="AF1" s="2">
        <v>30</v>
      </c>
      <c r="AG1" s="2">
        <v>31</v>
      </c>
      <c r="AH1" s="2">
        <v>32</v>
      </c>
      <c r="AI1" s="2">
        <v>33</v>
      </c>
      <c r="AJ1" s="2">
        <v>34</v>
      </c>
      <c r="AK1" s="2">
        <v>35</v>
      </c>
      <c r="AL1" s="2">
        <v>36</v>
      </c>
      <c r="AM1" s="2">
        <v>37</v>
      </c>
      <c r="AN1" s="2">
        <v>38</v>
      </c>
      <c r="AO1" s="2">
        <v>39</v>
      </c>
    </row>
    <row r="2" spans="1:47" ht="15.95" customHeight="1">
      <c r="A2" s="88"/>
      <c r="B2" s="89"/>
      <c r="C2" s="90"/>
      <c r="D2" s="40" t="s">
        <v>2</v>
      </c>
      <c r="E2" s="5" t="s">
        <v>1227</v>
      </c>
      <c r="F2" s="5" t="s">
        <v>1228</v>
      </c>
      <c r="G2" s="5" t="s">
        <v>1229</v>
      </c>
      <c r="H2" s="5" t="s">
        <v>1230</v>
      </c>
      <c r="I2" s="5" t="s">
        <v>1231</v>
      </c>
      <c r="J2" s="5" t="s">
        <v>1232</v>
      </c>
      <c r="K2" s="5" t="s">
        <v>1233</v>
      </c>
      <c r="L2" s="5" t="s">
        <v>1234</v>
      </c>
      <c r="M2" s="5" t="s">
        <v>1235</v>
      </c>
      <c r="N2" s="5" t="s">
        <v>1236</v>
      </c>
      <c r="O2" s="5" t="s">
        <v>1237</v>
      </c>
      <c r="P2" s="5" t="s">
        <v>1238</v>
      </c>
      <c r="Q2" s="5" t="s">
        <v>1239</v>
      </c>
      <c r="R2" s="5" t="s">
        <v>1240</v>
      </c>
      <c r="S2" s="5" t="s">
        <v>1241</v>
      </c>
      <c r="T2" s="5" t="s">
        <v>1242</v>
      </c>
      <c r="U2" s="5" t="s">
        <v>1243</v>
      </c>
      <c r="V2" s="5" t="s">
        <v>1244</v>
      </c>
      <c r="W2" s="5" t="s">
        <v>1245</v>
      </c>
      <c r="X2" s="5" t="s">
        <v>1246</v>
      </c>
      <c r="Y2" s="5" t="s">
        <v>1247</v>
      </c>
      <c r="Z2" s="5" t="s">
        <v>1248</v>
      </c>
      <c r="AA2" s="5" t="s">
        <v>1249</v>
      </c>
      <c r="AB2" s="5" t="s">
        <v>1250</v>
      </c>
      <c r="AC2" s="5" t="s">
        <v>1251</v>
      </c>
      <c r="AD2" s="5" t="s">
        <v>1252</v>
      </c>
      <c r="AE2" s="5" t="s">
        <v>1253</v>
      </c>
      <c r="AF2" s="5" t="s">
        <v>1254</v>
      </c>
      <c r="AG2" s="5" t="s">
        <v>1255</v>
      </c>
      <c r="AH2" s="5" t="s">
        <v>1256</v>
      </c>
      <c r="AI2" s="5" t="s">
        <v>1257</v>
      </c>
      <c r="AJ2" s="5" t="s">
        <v>1258</v>
      </c>
      <c r="AK2" s="5" t="s">
        <v>1258</v>
      </c>
      <c r="AL2" s="5" t="s">
        <v>1259</v>
      </c>
      <c r="AM2" s="5" t="s">
        <v>1260</v>
      </c>
      <c r="AN2" s="5" t="s">
        <v>1261</v>
      </c>
      <c r="AO2" s="5" t="s">
        <v>1262</v>
      </c>
      <c r="AT2" s="35"/>
      <c r="AU2" s="35"/>
    </row>
    <row r="3" spans="1:47" ht="42.95" customHeight="1">
      <c r="A3" s="88"/>
      <c r="B3" s="89"/>
      <c r="C3" s="90"/>
      <c r="D3" s="40" t="s">
        <v>11</v>
      </c>
      <c r="E3" s="6" t="s">
        <v>1263</v>
      </c>
      <c r="F3" s="38" t="s">
        <v>1264</v>
      </c>
      <c r="G3" s="6" t="s">
        <v>1265</v>
      </c>
      <c r="H3" s="6" t="s">
        <v>1265</v>
      </c>
      <c r="I3" s="6" t="s">
        <v>1265</v>
      </c>
      <c r="J3" s="6" t="s">
        <v>1265</v>
      </c>
      <c r="K3" s="6" t="s">
        <v>1266</v>
      </c>
      <c r="L3" s="6" t="s">
        <v>1267</v>
      </c>
      <c r="M3" s="6" t="s">
        <v>1268</v>
      </c>
      <c r="N3" s="6" t="s">
        <v>1269</v>
      </c>
      <c r="O3" s="6" t="s">
        <v>1270</v>
      </c>
      <c r="P3" s="6" t="s">
        <v>1271</v>
      </c>
      <c r="Q3" s="6" t="s">
        <v>1272</v>
      </c>
      <c r="R3" s="6" t="s">
        <v>1095</v>
      </c>
      <c r="S3" s="6" t="s">
        <v>1273</v>
      </c>
      <c r="T3" s="6" t="s">
        <v>1274</v>
      </c>
      <c r="U3" s="6" t="s">
        <v>1275</v>
      </c>
      <c r="V3" s="6" t="s">
        <v>1095</v>
      </c>
      <c r="W3" s="6" t="s">
        <v>1274</v>
      </c>
      <c r="X3" s="6" t="s">
        <v>1276</v>
      </c>
      <c r="Y3" s="6" t="s">
        <v>1095</v>
      </c>
      <c r="Z3" s="6" t="s">
        <v>1277</v>
      </c>
      <c r="AA3" s="6" t="s">
        <v>1095</v>
      </c>
      <c r="AB3" s="6" t="s">
        <v>1095</v>
      </c>
      <c r="AC3" s="6" t="s">
        <v>1095</v>
      </c>
      <c r="AD3" s="6" t="s">
        <v>1274</v>
      </c>
      <c r="AE3" s="6" t="s">
        <v>1274</v>
      </c>
      <c r="AF3" s="38" t="s">
        <v>1278</v>
      </c>
      <c r="AG3" s="38" t="s">
        <v>1279</v>
      </c>
      <c r="AH3" s="6" t="s">
        <v>1095</v>
      </c>
      <c r="AI3" s="6" t="s">
        <v>1271</v>
      </c>
      <c r="AJ3" s="6" t="s">
        <v>1095</v>
      </c>
      <c r="AK3" s="6" t="s">
        <v>1274</v>
      </c>
      <c r="AL3" s="6" t="s">
        <v>1280</v>
      </c>
      <c r="AM3" s="6" t="s">
        <v>1281</v>
      </c>
      <c r="AN3" s="6" t="s">
        <v>1282</v>
      </c>
      <c r="AO3" s="6" t="s">
        <v>1283</v>
      </c>
    </row>
    <row r="4" spans="1:47" ht="15.95" customHeight="1">
      <c r="A4" s="88"/>
      <c r="B4" s="89"/>
      <c r="C4" s="90"/>
      <c r="D4" s="40" t="s">
        <v>14</v>
      </c>
      <c r="E4" s="6" t="s">
        <v>1284</v>
      </c>
      <c r="F4" s="6" t="s">
        <v>1285</v>
      </c>
      <c r="G4" s="6" t="s">
        <v>1286</v>
      </c>
      <c r="H4" s="6" t="s">
        <v>1286</v>
      </c>
      <c r="I4" s="6" t="s">
        <v>1286</v>
      </c>
      <c r="J4" s="6" t="s">
        <v>1286</v>
      </c>
      <c r="K4" s="6" t="s">
        <v>1286</v>
      </c>
      <c r="L4" s="6" t="s">
        <v>1286</v>
      </c>
      <c r="M4" s="6" t="s">
        <v>1287</v>
      </c>
      <c r="N4" s="6" t="s">
        <v>1287</v>
      </c>
      <c r="O4" s="6" t="s">
        <v>1288</v>
      </c>
      <c r="P4" s="6" t="s">
        <v>1288</v>
      </c>
      <c r="Q4" s="6" t="s">
        <v>1289</v>
      </c>
      <c r="R4" s="6" t="s">
        <v>1290</v>
      </c>
      <c r="S4" s="6" t="s">
        <v>1291</v>
      </c>
      <c r="T4" s="6" t="s">
        <v>1292</v>
      </c>
      <c r="U4" s="6" t="s">
        <v>1293</v>
      </c>
      <c r="V4" s="6" t="s">
        <v>1294</v>
      </c>
      <c r="W4" s="6" t="s">
        <v>1295</v>
      </c>
      <c r="X4" s="6" t="s">
        <v>1296</v>
      </c>
      <c r="Y4" s="6" t="s">
        <v>1297</v>
      </c>
      <c r="Z4" s="6" t="s">
        <v>1298</v>
      </c>
      <c r="AA4" s="6" t="s">
        <v>1299</v>
      </c>
      <c r="AB4" s="6" t="s">
        <v>1300</v>
      </c>
      <c r="AC4" s="6" t="s">
        <v>1301</v>
      </c>
      <c r="AD4" s="6" t="s">
        <v>1302</v>
      </c>
      <c r="AE4" s="6" t="s">
        <v>1303</v>
      </c>
      <c r="AF4" s="6" t="s">
        <v>1304</v>
      </c>
      <c r="AG4" s="6" t="s">
        <v>1305</v>
      </c>
      <c r="AH4" s="6" t="s">
        <v>1306</v>
      </c>
      <c r="AI4" s="6" t="s">
        <v>1307</v>
      </c>
      <c r="AJ4" s="6" t="s">
        <v>1308</v>
      </c>
      <c r="AK4" s="6" t="s">
        <v>1309</v>
      </c>
      <c r="AL4" s="6" t="s">
        <v>1310</v>
      </c>
      <c r="AM4" s="6" t="s">
        <v>1306</v>
      </c>
      <c r="AN4" s="6" t="s">
        <v>1311</v>
      </c>
      <c r="AO4" s="6" t="s">
        <v>1312</v>
      </c>
    </row>
    <row r="5" spans="1:47">
      <c r="A5" s="88"/>
      <c r="B5" s="89"/>
      <c r="C5" s="90"/>
      <c r="D5" s="40" t="s">
        <v>122</v>
      </c>
      <c r="E5" s="7" t="s">
        <v>128</v>
      </c>
      <c r="F5" s="7" t="s">
        <v>130</v>
      </c>
      <c r="G5" s="7" t="s">
        <v>683</v>
      </c>
      <c r="H5" s="7" t="s">
        <v>683</v>
      </c>
      <c r="I5" s="7" t="s">
        <v>683</v>
      </c>
      <c r="J5" s="7" t="s">
        <v>683</v>
      </c>
      <c r="K5" s="7" t="s">
        <v>683</v>
      </c>
      <c r="L5" s="7" t="s">
        <v>683</v>
      </c>
      <c r="M5" s="7" t="s">
        <v>683</v>
      </c>
      <c r="N5" s="7" t="s">
        <v>683</v>
      </c>
      <c r="O5" s="7" t="s">
        <v>125</v>
      </c>
      <c r="P5" s="7" t="s">
        <v>123</v>
      </c>
      <c r="Q5" s="7" t="s">
        <v>683</v>
      </c>
      <c r="R5" s="7" t="s">
        <v>683</v>
      </c>
      <c r="S5" s="7" t="s">
        <v>128</v>
      </c>
      <c r="T5" s="7" t="s">
        <v>125</v>
      </c>
      <c r="U5" s="7" t="s">
        <v>683</v>
      </c>
      <c r="V5" s="7" t="s">
        <v>128</v>
      </c>
      <c r="W5" s="7" t="s">
        <v>128</v>
      </c>
      <c r="X5" s="7" t="s">
        <v>128</v>
      </c>
      <c r="Y5" s="7" t="s">
        <v>130</v>
      </c>
      <c r="Z5" s="7" t="s">
        <v>128</v>
      </c>
      <c r="AA5" s="7" t="s">
        <v>683</v>
      </c>
      <c r="AB5" s="7" t="s">
        <v>683</v>
      </c>
      <c r="AC5" s="7" t="s">
        <v>128</v>
      </c>
      <c r="AD5" s="7" t="s">
        <v>128</v>
      </c>
      <c r="AE5" s="7" t="s">
        <v>130</v>
      </c>
      <c r="AF5" s="7" t="s">
        <v>128</v>
      </c>
      <c r="AG5" s="7" t="s">
        <v>125</v>
      </c>
      <c r="AH5" s="7" t="s">
        <v>125</v>
      </c>
      <c r="AI5" s="7" t="s">
        <v>123</v>
      </c>
      <c r="AJ5" s="7" t="s">
        <v>128</v>
      </c>
      <c r="AK5" s="7" t="s">
        <v>123</v>
      </c>
      <c r="AL5" s="7" t="s">
        <v>683</v>
      </c>
      <c r="AM5" s="7" t="s">
        <v>667</v>
      </c>
      <c r="AN5" s="7" t="s">
        <v>683</v>
      </c>
      <c r="AO5" s="7" t="s">
        <v>683</v>
      </c>
    </row>
    <row r="6" spans="1:47" ht="32.1">
      <c r="A6" s="88"/>
      <c r="B6" s="89"/>
      <c r="C6" s="90"/>
      <c r="D6" s="40" t="s">
        <v>134</v>
      </c>
      <c r="E6" s="9" t="s">
        <v>673</v>
      </c>
      <c r="F6" s="9" t="s">
        <v>673</v>
      </c>
      <c r="G6" s="9" t="s">
        <v>673</v>
      </c>
      <c r="H6" s="9" t="s">
        <v>673</v>
      </c>
      <c r="I6" s="9" t="s">
        <v>673</v>
      </c>
      <c r="J6" s="9" t="s">
        <v>673</v>
      </c>
      <c r="K6" s="9" t="s">
        <v>673</v>
      </c>
      <c r="L6" s="9" t="s">
        <v>673</v>
      </c>
      <c r="M6" s="9" t="s">
        <v>673</v>
      </c>
      <c r="N6" s="9" t="s">
        <v>673</v>
      </c>
      <c r="O6" s="9" t="s">
        <v>673</v>
      </c>
      <c r="P6" s="9" t="s">
        <v>673</v>
      </c>
      <c r="Q6" s="9" t="s">
        <v>672</v>
      </c>
      <c r="R6" s="9" t="s">
        <v>673</v>
      </c>
      <c r="S6" s="9" t="s">
        <v>672</v>
      </c>
      <c r="T6" s="9" t="s">
        <v>1150</v>
      </c>
      <c r="U6" s="9" t="s">
        <v>1150</v>
      </c>
      <c r="V6" s="9" t="s">
        <v>1150</v>
      </c>
      <c r="W6" s="9" t="s">
        <v>1150</v>
      </c>
      <c r="X6" s="9" t="s">
        <v>1150</v>
      </c>
      <c r="Y6" s="9" t="s">
        <v>1150</v>
      </c>
      <c r="Z6" s="9" t="s">
        <v>1150</v>
      </c>
      <c r="AA6" s="9" t="s">
        <v>673</v>
      </c>
      <c r="AB6" s="9" t="s">
        <v>673</v>
      </c>
      <c r="AC6" s="9" t="s">
        <v>1150</v>
      </c>
      <c r="AD6" s="9" t="s">
        <v>1150</v>
      </c>
      <c r="AE6" s="9" t="s">
        <v>1150</v>
      </c>
      <c r="AF6" s="9" t="s">
        <v>673</v>
      </c>
      <c r="AG6" s="9" t="s">
        <v>673</v>
      </c>
      <c r="AH6" s="9" t="s">
        <v>1150</v>
      </c>
      <c r="AI6" s="9" t="s">
        <v>1150</v>
      </c>
      <c r="AJ6" s="9" t="s">
        <v>672</v>
      </c>
      <c r="AK6" s="9" t="s">
        <v>672</v>
      </c>
      <c r="AL6" s="9" t="s">
        <v>1150</v>
      </c>
      <c r="AM6" s="9" t="s">
        <v>1150</v>
      </c>
      <c r="AN6" s="9" t="s">
        <v>1150</v>
      </c>
      <c r="AO6" s="9" t="s">
        <v>683</v>
      </c>
    </row>
    <row r="7" spans="1:47" ht="32.1">
      <c r="A7" s="91"/>
      <c r="B7" s="92"/>
      <c r="C7" s="93"/>
      <c r="D7" s="40" t="s">
        <v>147</v>
      </c>
      <c r="E7" s="9" t="s">
        <v>1074</v>
      </c>
      <c r="F7" s="9" t="s">
        <v>1074</v>
      </c>
      <c r="G7" s="9" t="s">
        <v>1067</v>
      </c>
      <c r="H7" s="9" t="s">
        <v>1067</v>
      </c>
      <c r="I7" s="9" t="s">
        <v>1067</v>
      </c>
      <c r="J7" s="9" t="s">
        <v>1067</v>
      </c>
      <c r="K7" s="9" t="s">
        <v>1067</v>
      </c>
      <c r="L7" s="9" t="s">
        <v>1067</v>
      </c>
      <c r="M7" s="9" t="s">
        <v>1067</v>
      </c>
      <c r="N7" s="9" t="s">
        <v>1067</v>
      </c>
      <c r="O7" s="9" t="s">
        <v>1067</v>
      </c>
      <c r="P7" s="9" t="s">
        <v>1067</v>
      </c>
      <c r="Q7" s="9" t="s">
        <v>1067</v>
      </c>
      <c r="R7" s="9" t="s">
        <v>1067</v>
      </c>
      <c r="S7" s="9" t="s">
        <v>1067</v>
      </c>
      <c r="T7" s="9" t="s">
        <v>1067</v>
      </c>
      <c r="U7" s="9" t="s">
        <v>1067</v>
      </c>
      <c r="V7" s="9" t="s">
        <v>1067</v>
      </c>
      <c r="W7" s="9" t="s">
        <v>1067</v>
      </c>
      <c r="X7" s="9" t="s">
        <v>1067</v>
      </c>
      <c r="Y7" s="9" t="s">
        <v>1067</v>
      </c>
      <c r="Z7" s="9" t="s">
        <v>1067</v>
      </c>
      <c r="AA7" s="9" t="s">
        <v>1067</v>
      </c>
      <c r="AB7" s="9" t="s">
        <v>1067</v>
      </c>
      <c r="AC7" s="9" t="s">
        <v>1067</v>
      </c>
      <c r="AD7" s="9" t="s">
        <v>1067</v>
      </c>
      <c r="AE7" s="9" t="s">
        <v>1067</v>
      </c>
      <c r="AF7" s="9" t="s">
        <v>1074</v>
      </c>
      <c r="AG7" s="9" t="s">
        <v>1074</v>
      </c>
      <c r="AH7" s="9" t="s">
        <v>1067</v>
      </c>
      <c r="AI7" s="9" t="s">
        <v>1067</v>
      </c>
      <c r="AJ7" s="9" t="s">
        <v>1074</v>
      </c>
      <c r="AK7" s="9" t="s">
        <v>1067</v>
      </c>
      <c r="AL7" s="9" t="s">
        <v>1067</v>
      </c>
      <c r="AM7" s="9" t="s">
        <v>1067</v>
      </c>
      <c r="AN7" s="9" t="s">
        <v>1067</v>
      </c>
      <c r="AO7" s="9" t="s">
        <v>683</v>
      </c>
      <c r="AS7" s="58"/>
    </row>
    <row r="8" spans="1:47">
      <c r="A8" s="10" t="s">
        <v>151</v>
      </c>
      <c r="B8" s="11" t="s">
        <v>152</v>
      </c>
      <c r="C8" s="11" t="s">
        <v>153</v>
      </c>
      <c r="D8" s="12" t="s">
        <v>154</v>
      </c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</row>
    <row r="9" spans="1:47">
      <c r="A9" s="14" t="s">
        <v>155</v>
      </c>
      <c r="B9" s="15"/>
      <c r="C9" s="15"/>
      <c r="D9" s="16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51"/>
      <c r="AQ9" s="69"/>
    </row>
    <row r="10" spans="1:47">
      <c r="A10" s="19" t="s">
        <v>156</v>
      </c>
      <c r="B10" s="19" t="s">
        <v>157</v>
      </c>
      <c r="C10" s="19" t="s">
        <v>158</v>
      </c>
      <c r="D10" s="20">
        <f>SUM(E10:AO10)</f>
        <v>10</v>
      </c>
      <c r="E10" s="21">
        <v>0</v>
      </c>
      <c r="F10" s="21">
        <v>0</v>
      </c>
      <c r="G10" s="21">
        <v>0</v>
      </c>
      <c r="H10" s="21">
        <v>0</v>
      </c>
      <c r="I10" s="21">
        <v>0</v>
      </c>
      <c r="J10" s="21">
        <v>0</v>
      </c>
      <c r="K10" s="21">
        <v>0</v>
      </c>
      <c r="L10" s="21">
        <v>0</v>
      </c>
      <c r="M10" s="21">
        <v>0</v>
      </c>
      <c r="N10" s="21">
        <v>2</v>
      </c>
      <c r="O10" s="21">
        <v>0</v>
      </c>
      <c r="P10" s="21">
        <v>0</v>
      </c>
      <c r="Q10" s="21">
        <v>2</v>
      </c>
      <c r="R10" s="21">
        <v>0</v>
      </c>
      <c r="S10" s="21">
        <v>1</v>
      </c>
      <c r="T10" s="21">
        <v>0</v>
      </c>
      <c r="U10" s="21">
        <v>0</v>
      </c>
      <c r="V10" s="21">
        <v>0</v>
      </c>
      <c r="W10" s="21">
        <v>0</v>
      </c>
      <c r="X10" s="21">
        <v>0</v>
      </c>
      <c r="Y10" s="21">
        <v>2</v>
      </c>
      <c r="Z10" s="21">
        <v>0</v>
      </c>
      <c r="AA10" s="21">
        <v>0</v>
      </c>
      <c r="AB10" s="21">
        <v>0</v>
      </c>
      <c r="AC10" s="21">
        <v>0</v>
      </c>
      <c r="AD10" s="21">
        <v>0</v>
      </c>
      <c r="AE10" s="21">
        <v>1</v>
      </c>
      <c r="AF10" s="21">
        <v>0</v>
      </c>
      <c r="AG10" s="21">
        <v>0</v>
      </c>
      <c r="AH10" s="21">
        <v>0</v>
      </c>
      <c r="AI10" s="21">
        <v>1</v>
      </c>
      <c r="AJ10" s="21">
        <v>0</v>
      </c>
      <c r="AK10" s="21">
        <v>1</v>
      </c>
      <c r="AL10" s="21">
        <v>0</v>
      </c>
      <c r="AM10" s="21">
        <v>0</v>
      </c>
      <c r="AN10" s="21">
        <v>0</v>
      </c>
      <c r="AO10" s="21">
        <v>0</v>
      </c>
      <c r="AP10" s="67"/>
      <c r="AT10" s="80"/>
      <c r="AU10"/>
    </row>
    <row r="11" spans="1:47">
      <c r="A11" s="19" t="s">
        <v>156</v>
      </c>
      <c r="B11" s="19" t="s">
        <v>159</v>
      </c>
      <c r="C11" s="19" t="s">
        <v>158</v>
      </c>
      <c r="D11" s="20">
        <f t="shared" ref="D11:D76" si="0">SUM(E11:AO11)</f>
        <v>16</v>
      </c>
      <c r="E11" s="21">
        <v>0</v>
      </c>
      <c r="F11" s="21">
        <v>0</v>
      </c>
      <c r="G11" s="21">
        <v>1</v>
      </c>
      <c r="H11" s="21">
        <v>1</v>
      </c>
      <c r="I11" s="21">
        <v>1</v>
      </c>
      <c r="J11" s="21">
        <v>2</v>
      </c>
      <c r="K11" s="21">
        <v>0</v>
      </c>
      <c r="L11" s="21">
        <v>0</v>
      </c>
      <c r="M11" s="21">
        <v>1</v>
      </c>
      <c r="N11" s="21">
        <v>0</v>
      </c>
      <c r="O11" s="21">
        <v>0</v>
      </c>
      <c r="P11" s="21">
        <v>1</v>
      </c>
      <c r="Q11" s="21">
        <v>0</v>
      </c>
      <c r="R11" s="21">
        <v>1</v>
      </c>
      <c r="S11" s="21">
        <v>0</v>
      </c>
      <c r="T11" s="21">
        <v>0</v>
      </c>
      <c r="U11" s="21">
        <v>0</v>
      </c>
      <c r="V11" s="21">
        <v>1</v>
      </c>
      <c r="W11" s="21">
        <v>0</v>
      </c>
      <c r="X11" s="21">
        <v>1</v>
      </c>
      <c r="Y11" s="21">
        <v>1</v>
      </c>
      <c r="Z11" s="21">
        <v>0</v>
      </c>
      <c r="AA11" s="21">
        <v>0</v>
      </c>
      <c r="AB11" s="21">
        <v>0</v>
      </c>
      <c r="AC11" s="21">
        <v>0</v>
      </c>
      <c r="AD11" s="21">
        <v>0</v>
      </c>
      <c r="AE11" s="21">
        <v>0</v>
      </c>
      <c r="AF11" s="21">
        <v>0</v>
      </c>
      <c r="AG11" s="21">
        <v>3</v>
      </c>
      <c r="AH11" s="21">
        <v>1</v>
      </c>
      <c r="AI11" s="21">
        <v>0</v>
      </c>
      <c r="AJ11" s="21">
        <v>1</v>
      </c>
      <c r="AK11" s="21">
        <v>0</v>
      </c>
      <c r="AL11" s="21">
        <v>0</v>
      </c>
      <c r="AM11" s="21">
        <v>0</v>
      </c>
      <c r="AN11" s="21">
        <v>0</v>
      </c>
      <c r="AO11" s="21">
        <v>0</v>
      </c>
      <c r="AP11" s="67"/>
      <c r="AT11" s="81"/>
      <c r="AU11"/>
    </row>
    <row r="12" spans="1:47">
      <c r="A12" s="19" t="s">
        <v>156</v>
      </c>
      <c r="B12" s="19" t="s">
        <v>160</v>
      </c>
      <c r="C12" s="19" t="s">
        <v>158</v>
      </c>
      <c r="D12" s="20">
        <f t="shared" si="0"/>
        <v>6</v>
      </c>
      <c r="E12" s="21">
        <v>1</v>
      </c>
      <c r="F12" s="21">
        <v>1</v>
      </c>
      <c r="G12" s="21">
        <v>0</v>
      </c>
      <c r="H12" s="21">
        <v>0</v>
      </c>
      <c r="I12" s="21">
        <v>0</v>
      </c>
      <c r="J12" s="21">
        <v>0</v>
      </c>
      <c r="K12" s="21">
        <v>1</v>
      </c>
      <c r="L12" s="21">
        <v>0</v>
      </c>
      <c r="M12" s="21">
        <v>0</v>
      </c>
      <c r="N12" s="21">
        <v>0</v>
      </c>
      <c r="O12" s="21">
        <v>0</v>
      </c>
      <c r="P12" s="21">
        <v>0</v>
      </c>
      <c r="Q12" s="21">
        <v>0</v>
      </c>
      <c r="R12" s="21">
        <v>0</v>
      </c>
      <c r="S12" s="21">
        <v>0</v>
      </c>
      <c r="T12" s="21">
        <v>0</v>
      </c>
      <c r="U12" s="21">
        <v>0</v>
      </c>
      <c r="V12" s="21">
        <v>0</v>
      </c>
      <c r="W12" s="21">
        <v>0</v>
      </c>
      <c r="X12" s="21">
        <v>0</v>
      </c>
      <c r="Y12" s="21">
        <v>0</v>
      </c>
      <c r="Z12" s="21">
        <v>0</v>
      </c>
      <c r="AA12" s="21">
        <v>0</v>
      </c>
      <c r="AB12" s="21">
        <v>0</v>
      </c>
      <c r="AC12" s="21">
        <v>0</v>
      </c>
      <c r="AD12" s="21">
        <v>0</v>
      </c>
      <c r="AE12" s="21">
        <v>0</v>
      </c>
      <c r="AF12" s="21">
        <v>1</v>
      </c>
      <c r="AG12" s="21">
        <v>0</v>
      </c>
      <c r="AH12" s="21">
        <v>0</v>
      </c>
      <c r="AI12" s="21">
        <v>0</v>
      </c>
      <c r="AJ12" s="21">
        <v>0</v>
      </c>
      <c r="AK12" s="21">
        <v>0</v>
      </c>
      <c r="AL12" s="21">
        <v>0</v>
      </c>
      <c r="AM12" s="21">
        <v>0</v>
      </c>
      <c r="AN12" s="21">
        <v>0</v>
      </c>
      <c r="AO12" s="21">
        <v>2</v>
      </c>
      <c r="AP12" s="67"/>
      <c r="AT12" s="81"/>
      <c r="AU12"/>
    </row>
    <row r="13" spans="1:47">
      <c r="A13" s="19" t="s">
        <v>156</v>
      </c>
      <c r="B13" s="19" t="s">
        <v>161</v>
      </c>
      <c r="C13" s="19" t="s">
        <v>158</v>
      </c>
      <c r="D13" s="20">
        <f t="shared" si="0"/>
        <v>6</v>
      </c>
      <c r="E13" s="21">
        <v>4</v>
      </c>
      <c r="F13" s="21">
        <v>0</v>
      </c>
      <c r="G13" s="21">
        <v>0</v>
      </c>
      <c r="H13" s="21">
        <v>0</v>
      </c>
      <c r="I13" s="21">
        <v>0</v>
      </c>
      <c r="J13" s="21">
        <v>0</v>
      </c>
      <c r="K13" s="21">
        <v>0</v>
      </c>
      <c r="L13" s="21">
        <v>0</v>
      </c>
      <c r="M13" s="21">
        <v>0</v>
      </c>
      <c r="N13" s="21">
        <v>0</v>
      </c>
      <c r="O13" s="21">
        <v>0</v>
      </c>
      <c r="P13" s="21">
        <v>0</v>
      </c>
      <c r="Q13" s="21">
        <v>0</v>
      </c>
      <c r="R13" s="21">
        <v>0</v>
      </c>
      <c r="S13" s="21">
        <v>0</v>
      </c>
      <c r="T13" s="21">
        <v>0</v>
      </c>
      <c r="U13" s="21">
        <v>0</v>
      </c>
      <c r="V13" s="21">
        <v>0</v>
      </c>
      <c r="W13" s="21">
        <v>0</v>
      </c>
      <c r="X13" s="21">
        <v>0</v>
      </c>
      <c r="Y13" s="21">
        <v>0</v>
      </c>
      <c r="Z13" s="21">
        <v>0</v>
      </c>
      <c r="AA13" s="21">
        <v>0</v>
      </c>
      <c r="AB13" s="21">
        <v>0</v>
      </c>
      <c r="AC13" s="21">
        <v>0</v>
      </c>
      <c r="AD13" s="21">
        <v>0</v>
      </c>
      <c r="AE13" s="21">
        <v>0</v>
      </c>
      <c r="AF13" s="21">
        <v>2</v>
      </c>
      <c r="AG13" s="21">
        <v>0</v>
      </c>
      <c r="AH13" s="21">
        <v>0</v>
      </c>
      <c r="AI13" s="21">
        <v>0</v>
      </c>
      <c r="AJ13" s="21">
        <v>0</v>
      </c>
      <c r="AK13" s="21">
        <v>0</v>
      </c>
      <c r="AL13" s="21">
        <v>0</v>
      </c>
      <c r="AM13" s="21">
        <v>0</v>
      </c>
      <c r="AN13" s="21">
        <v>0</v>
      </c>
      <c r="AO13" s="21">
        <v>0</v>
      </c>
      <c r="AP13" s="67"/>
      <c r="AT13" s="81"/>
      <c r="AU13"/>
    </row>
    <row r="14" spans="1:47">
      <c r="A14" s="19" t="s">
        <v>162</v>
      </c>
      <c r="B14" s="19" t="s">
        <v>163</v>
      </c>
      <c r="C14" s="19" t="s">
        <v>164</v>
      </c>
      <c r="D14" s="20">
        <f t="shared" si="0"/>
        <v>204</v>
      </c>
      <c r="E14" s="22">
        <v>0</v>
      </c>
      <c r="F14" s="22">
        <v>0</v>
      </c>
      <c r="G14" s="22">
        <v>0</v>
      </c>
      <c r="H14" s="22">
        <v>0</v>
      </c>
      <c r="I14" s="22">
        <v>0</v>
      </c>
      <c r="J14" s="22">
        <v>0</v>
      </c>
      <c r="K14" s="22">
        <v>0</v>
      </c>
      <c r="L14" s="22">
        <v>0</v>
      </c>
      <c r="M14" s="22">
        <v>0</v>
      </c>
      <c r="N14" s="22">
        <v>54</v>
      </c>
      <c r="O14" s="22">
        <v>0</v>
      </c>
      <c r="P14" s="22">
        <v>0</v>
      </c>
      <c r="Q14" s="22">
        <v>0</v>
      </c>
      <c r="R14" s="22">
        <v>0</v>
      </c>
      <c r="S14" s="22">
        <v>0</v>
      </c>
      <c r="T14" s="22">
        <v>0</v>
      </c>
      <c r="U14" s="22">
        <v>0</v>
      </c>
      <c r="V14" s="22">
        <v>0</v>
      </c>
      <c r="W14" s="22">
        <v>0</v>
      </c>
      <c r="X14" s="22">
        <v>0</v>
      </c>
      <c r="Y14" s="22">
        <v>0</v>
      </c>
      <c r="Z14" s="22">
        <v>0</v>
      </c>
      <c r="AA14" s="22">
        <v>0</v>
      </c>
      <c r="AB14" s="22">
        <v>0</v>
      </c>
      <c r="AC14" s="22">
        <v>0</v>
      </c>
      <c r="AD14" s="22">
        <v>0</v>
      </c>
      <c r="AE14" s="22">
        <v>0</v>
      </c>
      <c r="AF14" s="22">
        <v>0</v>
      </c>
      <c r="AG14" s="22">
        <v>0</v>
      </c>
      <c r="AH14" s="22">
        <v>0</v>
      </c>
      <c r="AI14" s="22">
        <v>0</v>
      </c>
      <c r="AJ14" s="22">
        <v>0</v>
      </c>
      <c r="AK14" s="22">
        <v>0</v>
      </c>
      <c r="AL14" s="22">
        <v>0</v>
      </c>
      <c r="AM14" s="22">
        <v>0</v>
      </c>
      <c r="AN14" s="22">
        <v>0</v>
      </c>
      <c r="AO14" s="22">
        <v>150</v>
      </c>
      <c r="AP14" s="67"/>
      <c r="AT14" s="81"/>
      <c r="AU14"/>
    </row>
    <row r="15" spans="1:47">
      <c r="A15" s="19" t="s">
        <v>165</v>
      </c>
      <c r="B15" s="19" t="s">
        <v>166</v>
      </c>
      <c r="C15" s="19" t="s">
        <v>167</v>
      </c>
      <c r="D15" s="20">
        <f t="shared" si="0"/>
        <v>7</v>
      </c>
      <c r="E15" s="21">
        <v>2</v>
      </c>
      <c r="F15" s="21">
        <v>0</v>
      </c>
      <c r="G15" s="21">
        <v>0</v>
      </c>
      <c r="H15" s="21">
        <v>0</v>
      </c>
      <c r="I15" s="21">
        <v>0</v>
      </c>
      <c r="J15" s="21">
        <v>0</v>
      </c>
      <c r="K15" s="21">
        <v>0</v>
      </c>
      <c r="L15" s="21">
        <v>0</v>
      </c>
      <c r="M15" s="21">
        <v>0</v>
      </c>
      <c r="N15" s="21">
        <v>0</v>
      </c>
      <c r="O15" s="21">
        <v>0</v>
      </c>
      <c r="P15" s="21">
        <v>0</v>
      </c>
      <c r="Q15" s="21">
        <v>0</v>
      </c>
      <c r="R15" s="21">
        <v>0</v>
      </c>
      <c r="S15" s="21">
        <v>0</v>
      </c>
      <c r="T15" s="21">
        <v>0</v>
      </c>
      <c r="U15" s="21">
        <v>0</v>
      </c>
      <c r="V15" s="21">
        <v>1</v>
      </c>
      <c r="W15" s="21">
        <v>0</v>
      </c>
      <c r="X15" s="21">
        <v>1</v>
      </c>
      <c r="Y15" s="21">
        <v>1</v>
      </c>
      <c r="Z15" s="21">
        <v>0</v>
      </c>
      <c r="AA15" s="21">
        <v>0</v>
      </c>
      <c r="AB15" s="21">
        <v>0</v>
      </c>
      <c r="AC15" s="21">
        <v>0</v>
      </c>
      <c r="AD15" s="21">
        <v>0</v>
      </c>
      <c r="AE15" s="21">
        <v>0</v>
      </c>
      <c r="AF15" s="21">
        <v>0</v>
      </c>
      <c r="AG15" s="21">
        <v>0</v>
      </c>
      <c r="AH15" s="21">
        <v>0</v>
      </c>
      <c r="AI15" s="21">
        <v>1</v>
      </c>
      <c r="AJ15" s="21">
        <v>0</v>
      </c>
      <c r="AK15" s="21">
        <v>0</v>
      </c>
      <c r="AL15" s="21">
        <v>0</v>
      </c>
      <c r="AM15" s="21">
        <v>0</v>
      </c>
      <c r="AN15" s="21">
        <v>0</v>
      </c>
      <c r="AO15" s="21">
        <v>1</v>
      </c>
      <c r="AP15" s="67"/>
      <c r="AT15" s="81"/>
      <c r="AU15"/>
    </row>
    <row r="16" spans="1:47">
      <c r="A16" s="19" t="s">
        <v>168</v>
      </c>
      <c r="B16" s="19" t="s">
        <v>169</v>
      </c>
      <c r="C16" s="19" t="s">
        <v>170</v>
      </c>
      <c r="D16" s="20">
        <f t="shared" si="0"/>
        <v>3</v>
      </c>
      <c r="E16" s="21">
        <v>0</v>
      </c>
      <c r="F16" s="21">
        <v>0</v>
      </c>
      <c r="G16" s="21">
        <v>0</v>
      </c>
      <c r="H16" s="21">
        <v>0</v>
      </c>
      <c r="I16" s="21">
        <v>0</v>
      </c>
      <c r="J16" s="21">
        <v>1</v>
      </c>
      <c r="K16" s="21">
        <v>0</v>
      </c>
      <c r="L16" s="21">
        <v>0</v>
      </c>
      <c r="M16" s="21">
        <v>0</v>
      </c>
      <c r="N16" s="21">
        <v>0</v>
      </c>
      <c r="O16" s="21">
        <v>0</v>
      </c>
      <c r="P16" s="21">
        <v>0</v>
      </c>
      <c r="Q16" s="21">
        <v>0</v>
      </c>
      <c r="R16" s="21">
        <v>1</v>
      </c>
      <c r="S16" s="21">
        <v>0</v>
      </c>
      <c r="T16" s="21">
        <v>0</v>
      </c>
      <c r="U16" s="21">
        <v>0</v>
      </c>
      <c r="V16" s="21">
        <v>0</v>
      </c>
      <c r="W16" s="21">
        <v>0</v>
      </c>
      <c r="X16" s="21">
        <v>1</v>
      </c>
      <c r="Y16" s="21">
        <v>0</v>
      </c>
      <c r="Z16" s="21">
        <v>0</v>
      </c>
      <c r="AA16" s="21">
        <v>0</v>
      </c>
      <c r="AB16" s="21">
        <v>0</v>
      </c>
      <c r="AC16" s="21">
        <v>0</v>
      </c>
      <c r="AD16" s="21">
        <v>0</v>
      </c>
      <c r="AE16" s="21">
        <v>0</v>
      </c>
      <c r="AF16" s="21">
        <v>0</v>
      </c>
      <c r="AG16" s="21">
        <v>0</v>
      </c>
      <c r="AH16" s="21">
        <v>0</v>
      </c>
      <c r="AI16" s="21">
        <v>0</v>
      </c>
      <c r="AJ16" s="21">
        <v>0</v>
      </c>
      <c r="AK16" s="21">
        <v>0</v>
      </c>
      <c r="AL16" s="21">
        <v>0</v>
      </c>
      <c r="AM16" s="21">
        <v>0</v>
      </c>
      <c r="AN16" s="21">
        <v>0</v>
      </c>
      <c r="AO16" s="21">
        <v>0</v>
      </c>
      <c r="AP16" s="67"/>
      <c r="AT16" s="81"/>
      <c r="AU16"/>
    </row>
    <row r="17" spans="1:47">
      <c r="A17" s="19" t="s">
        <v>168</v>
      </c>
      <c r="B17" s="19" t="s">
        <v>171</v>
      </c>
      <c r="C17" s="19" t="s">
        <v>170</v>
      </c>
      <c r="D17" s="20">
        <f t="shared" si="0"/>
        <v>1</v>
      </c>
      <c r="E17" s="21">
        <v>1</v>
      </c>
      <c r="F17" s="21">
        <v>0</v>
      </c>
      <c r="G17" s="21">
        <v>0</v>
      </c>
      <c r="H17" s="21">
        <v>0</v>
      </c>
      <c r="I17" s="21">
        <v>0</v>
      </c>
      <c r="J17" s="21">
        <v>0</v>
      </c>
      <c r="K17" s="21">
        <v>0</v>
      </c>
      <c r="L17" s="21">
        <v>0</v>
      </c>
      <c r="M17" s="21">
        <v>0</v>
      </c>
      <c r="N17" s="21">
        <v>0</v>
      </c>
      <c r="O17" s="21">
        <v>0</v>
      </c>
      <c r="P17" s="21">
        <v>0</v>
      </c>
      <c r="Q17" s="21">
        <v>0</v>
      </c>
      <c r="R17" s="21">
        <v>0</v>
      </c>
      <c r="S17" s="21">
        <v>0</v>
      </c>
      <c r="T17" s="21">
        <v>0</v>
      </c>
      <c r="U17" s="21">
        <v>0</v>
      </c>
      <c r="V17" s="21">
        <v>0</v>
      </c>
      <c r="W17" s="21">
        <v>0</v>
      </c>
      <c r="X17" s="21">
        <v>0</v>
      </c>
      <c r="Y17" s="21">
        <v>0</v>
      </c>
      <c r="Z17" s="21">
        <v>0</v>
      </c>
      <c r="AA17" s="21">
        <v>0</v>
      </c>
      <c r="AB17" s="21">
        <v>0</v>
      </c>
      <c r="AC17" s="21">
        <v>0</v>
      </c>
      <c r="AD17" s="21">
        <v>0</v>
      </c>
      <c r="AE17" s="21">
        <v>0</v>
      </c>
      <c r="AF17" s="21">
        <v>0</v>
      </c>
      <c r="AG17" s="21">
        <v>0</v>
      </c>
      <c r="AH17" s="21">
        <v>0</v>
      </c>
      <c r="AI17" s="21">
        <v>0</v>
      </c>
      <c r="AJ17" s="21">
        <v>0</v>
      </c>
      <c r="AK17" s="21">
        <v>0</v>
      </c>
      <c r="AL17" s="21">
        <v>0</v>
      </c>
      <c r="AM17" s="21">
        <v>0</v>
      </c>
      <c r="AN17" s="21">
        <v>0</v>
      </c>
      <c r="AO17" s="21">
        <v>0</v>
      </c>
      <c r="AP17" s="67"/>
      <c r="AT17" s="81"/>
      <c r="AU17"/>
    </row>
    <row r="18" spans="1:47">
      <c r="A18" s="19" t="s">
        <v>168</v>
      </c>
      <c r="B18" s="19" t="s">
        <v>172</v>
      </c>
      <c r="C18" s="19" t="s">
        <v>170</v>
      </c>
      <c r="D18" s="20">
        <f t="shared" si="0"/>
        <v>0</v>
      </c>
      <c r="E18" s="21">
        <v>0</v>
      </c>
      <c r="F18" s="21">
        <v>0</v>
      </c>
      <c r="G18" s="21">
        <v>0</v>
      </c>
      <c r="H18" s="21">
        <v>0</v>
      </c>
      <c r="I18" s="21">
        <v>0</v>
      </c>
      <c r="J18" s="21">
        <v>0</v>
      </c>
      <c r="K18" s="21">
        <v>0</v>
      </c>
      <c r="L18" s="21">
        <v>0</v>
      </c>
      <c r="M18" s="21">
        <v>0</v>
      </c>
      <c r="N18" s="21">
        <v>0</v>
      </c>
      <c r="O18" s="21">
        <v>0</v>
      </c>
      <c r="P18" s="21">
        <v>0</v>
      </c>
      <c r="Q18" s="21">
        <v>0</v>
      </c>
      <c r="R18" s="21">
        <v>0</v>
      </c>
      <c r="S18" s="21">
        <v>0</v>
      </c>
      <c r="T18" s="21">
        <v>0</v>
      </c>
      <c r="U18" s="21">
        <v>0</v>
      </c>
      <c r="V18" s="21">
        <v>0</v>
      </c>
      <c r="W18" s="21">
        <v>0</v>
      </c>
      <c r="X18" s="21">
        <v>0</v>
      </c>
      <c r="Y18" s="21">
        <v>0</v>
      </c>
      <c r="Z18" s="21">
        <v>0</v>
      </c>
      <c r="AA18" s="21">
        <v>0</v>
      </c>
      <c r="AB18" s="21">
        <v>0</v>
      </c>
      <c r="AC18" s="21">
        <v>0</v>
      </c>
      <c r="AD18" s="21">
        <v>0</v>
      </c>
      <c r="AE18" s="21">
        <v>0</v>
      </c>
      <c r="AF18" s="21">
        <v>0</v>
      </c>
      <c r="AG18" s="21">
        <v>0</v>
      </c>
      <c r="AH18" s="21">
        <v>0</v>
      </c>
      <c r="AI18" s="21">
        <v>0</v>
      </c>
      <c r="AJ18" s="21">
        <v>0</v>
      </c>
      <c r="AK18" s="21">
        <v>0</v>
      </c>
      <c r="AL18" s="21">
        <v>0</v>
      </c>
      <c r="AM18" s="21">
        <v>0</v>
      </c>
      <c r="AN18" s="21">
        <v>0</v>
      </c>
      <c r="AO18" s="21">
        <v>0</v>
      </c>
      <c r="AP18" s="67"/>
      <c r="AT18" s="81"/>
      <c r="AU18"/>
    </row>
    <row r="19" spans="1:47">
      <c r="A19" s="19" t="s">
        <v>173</v>
      </c>
      <c r="B19" s="19" t="s">
        <v>174</v>
      </c>
      <c r="C19" s="19" t="s">
        <v>175</v>
      </c>
      <c r="D19" s="20">
        <f t="shared" si="0"/>
        <v>3</v>
      </c>
      <c r="E19" s="21">
        <v>2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1</v>
      </c>
      <c r="AP19" s="67"/>
      <c r="AT19" s="81"/>
      <c r="AU19"/>
    </row>
    <row r="20" spans="1:47">
      <c r="A20" s="19" t="s">
        <v>176</v>
      </c>
      <c r="B20" s="19" t="s">
        <v>177</v>
      </c>
      <c r="C20" s="19" t="s">
        <v>178</v>
      </c>
      <c r="D20" s="20">
        <f t="shared" si="0"/>
        <v>0</v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0</v>
      </c>
      <c r="N20" s="22">
        <v>0</v>
      </c>
      <c r="O20" s="22">
        <v>0</v>
      </c>
      <c r="P20" s="22">
        <v>0</v>
      </c>
      <c r="Q20" s="22">
        <v>0</v>
      </c>
      <c r="R20" s="22">
        <v>0</v>
      </c>
      <c r="S20" s="22">
        <v>0</v>
      </c>
      <c r="T20" s="22">
        <v>0</v>
      </c>
      <c r="U20" s="22">
        <v>0</v>
      </c>
      <c r="V20" s="22">
        <v>0</v>
      </c>
      <c r="W20" s="22">
        <v>0</v>
      </c>
      <c r="X20" s="22">
        <v>0</v>
      </c>
      <c r="Y20" s="22">
        <v>0</v>
      </c>
      <c r="Z20" s="22">
        <v>0</v>
      </c>
      <c r="AA20" s="22">
        <v>0</v>
      </c>
      <c r="AB20" s="22">
        <v>0</v>
      </c>
      <c r="AC20" s="22">
        <v>0</v>
      </c>
      <c r="AD20" s="22">
        <v>0</v>
      </c>
      <c r="AE20" s="22">
        <v>0</v>
      </c>
      <c r="AF20" s="22">
        <v>0</v>
      </c>
      <c r="AG20" s="22">
        <v>0</v>
      </c>
      <c r="AH20" s="22">
        <v>0</v>
      </c>
      <c r="AI20" s="22">
        <v>0</v>
      </c>
      <c r="AJ20" s="22">
        <v>0</v>
      </c>
      <c r="AK20" s="22">
        <v>0</v>
      </c>
      <c r="AL20" s="22">
        <v>0</v>
      </c>
      <c r="AM20" s="22">
        <v>0</v>
      </c>
      <c r="AN20" s="22">
        <v>0</v>
      </c>
      <c r="AO20" s="22">
        <v>0</v>
      </c>
      <c r="AP20" s="67"/>
      <c r="AT20" s="81"/>
      <c r="AU20"/>
    </row>
    <row r="21" spans="1:47">
      <c r="A21" s="19" t="s">
        <v>179</v>
      </c>
      <c r="B21" s="19" t="s">
        <v>180</v>
      </c>
      <c r="C21" s="19" t="s">
        <v>181</v>
      </c>
      <c r="D21" s="20">
        <f t="shared" si="0"/>
        <v>5200</v>
      </c>
      <c r="E21" s="22">
        <v>5200</v>
      </c>
      <c r="F21" s="22">
        <v>0</v>
      </c>
      <c r="G21" s="22">
        <v>0</v>
      </c>
      <c r="H21" s="22">
        <v>0</v>
      </c>
      <c r="I21" s="22">
        <v>0</v>
      </c>
      <c r="J21" s="22">
        <v>0</v>
      </c>
      <c r="K21" s="22">
        <v>0</v>
      </c>
      <c r="L21" s="22">
        <v>0</v>
      </c>
      <c r="M21" s="22">
        <v>0</v>
      </c>
      <c r="N21" s="22">
        <v>0</v>
      </c>
      <c r="O21" s="22">
        <v>0</v>
      </c>
      <c r="P21" s="22">
        <v>0</v>
      </c>
      <c r="Q21" s="22">
        <v>0</v>
      </c>
      <c r="R21" s="22">
        <v>0</v>
      </c>
      <c r="S21" s="22">
        <v>0</v>
      </c>
      <c r="T21" s="22">
        <v>0</v>
      </c>
      <c r="U21" s="22">
        <v>0</v>
      </c>
      <c r="V21" s="22">
        <v>0</v>
      </c>
      <c r="W21" s="22">
        <v>0</v>
      </c>
      <c r="X21" s="22">
        <v>0</v>
      </c>
      <c r="Y21" s="22">
        <v>0</v>
      </c>
      <c r="Z21" s="22">
        <v>0</v>
      </c>
      <c r="AA21" s="22">
        <v>0</v>
      </c>
      <c r="AB21" s="22">
        <v>0</v>
      </c>
      <c r="AC21" s="22">
        <v>0</v>
      </c>
      <c r="AD21" s="22">
        <v>0</v>
      </c>
      <c r="AE21" s="22">
        <v>0</v>
      </c>
      <c r="AF21" s="22">
        <v>0</v>
      </c>
      <c r="AG21" s="22">
        <v>0</v>
      </c>
      <c r="AH21" s="22">
        <v>0</v>
      </c>
      <c r="AI21" s="22">
        <v>0</v>
      </c>
      <c r="AJ21" s="22">
        <v>0</v>
      </c>
      <c r="AK21" s="22">
        <v>0</v>
      </c>
      <c r="AL21" s="22">
        <v>0</v>
      </c>
      <c r="AM21" s="22">
        <v>0</v>
      </c>
      <c r="AN21" s="22">
        <v>0</v>
      </c>
      <c r="AO21" s="22">
        <v>0</v>
      </c>
      <c r="AP21" s="67"/>
      <c r="AT21" s="81"/>
      <c r="AU21"/>
    </row>
    <row r="22" spans="1:47">
      <c r="A22" s="19" t="s">
        <v>182</v>
      </c>
      <c r="B22" s="19" t="s">
        <v>183</v>
      </c>
      <c r="C22" s="19" t="s">
        <v>181</v>
      </c>
      <c r="D22" s="20">
        <f t="shared" si="0"/>
        <v>0</v>
      </c>
      <c r="E22" s="22">
        <v>0</v>
      </c>
      <c r="F22" s="22">
        <v>0</v>
      </c>
      <c r="G22" s="22">
        <v>0</v>
      </c>
      <c r="H22" s="22">
        <v>0</v>
      </c>
      <c r="I22" s="22">
        <v>0</v>
      </c>
      <c r="J22" s="22">
        <v>0</v>
      </c>
      <c r="K22" s="22">
        <v>0</v>
      </c>
      <c r="L22" s="22">
        <v>0</v>
      </c>
      <c r="M22" s="22">
        <v>0</v>
      </c>
      <c r="N22" s="22">
        <v>0</v>
      </c>
      <c r="O22" s="22">
        <v>0</v>
      </c>
      <c r="P22" s="22">
        <v>0</v>
      </c>
      <c r="Q22" s="22">
        <v>0</v>
      </c>
      <c r="R22" s="22">
        <v>0</v>
      </c>
      <c r="S22" s="22">
        <v>0</v>
      </c>
      <c r="T22" s="22">
        <v>0</v>
      </c>
      <c r="U22" s="22">
        <v>0</v>
      </c>
      <c r="V22" s="22">
        <v>0</v>
      </c>
      <c r="W22" s="22">
        <v>0</v>
      </c>
      <c r="X22" s="22">
        <v>0</v>
      </c>
      <c r="Y22" s="22">
        <v>0</v>
      </c>
      <c r="Z22" s="22">
        <v>0</v>
      </c>
      <c r="AA22" s="22">
        <v>0</v>
      </c>
      <c r="AB22" s="22">
        <v>0</v>
      </c>
      <c r="AC22" s="22">
        <v>0</v>
      </c>
      <c r="AD22" s="22">
        <v>0</v>
      </c>
      <c r="AE22" s="22">
        <v>0</v>
      </c>
      <c r="AF22" s="22">
        <v>0</v>
      </c>
      <c r="AG22" s="22">
        <v>0</v>
      </c>
      <c r="AH22" s="22">
        <v>0</v>
      </c>
      <c r="AI22" s="22">
        <v>0</v>
      </c>
      <c r="AJ22" s="22">
        <v>0</v>
      </c>
      <c r="AK22" s="22">
        <v>0</v>
      </c>
      <c r="AL22" s="22">
        <v>0</v>
      </c>
      <c r="AM22" s="22">
        <v>0</v>
      </c>
      <c r="AN22" s="22">
        <v>0</v>
      </c>
      <c r="AO22" s="22">
        <v>0</v>
      </c>
      <c r="AP22" s="68"/>
      <c r="AT22" s="81"/>
      <c r="AU22"/>
    </row>
    <row r="23" spans="1:47">
      <c r="A23" s="19" t="s">
        <v>182</v>
      </c>
      <c r="B23" s="19" t="s">
        <v>184</v>
      </c>
      <c r="C23" s="19" t="s">
        <v>181</v>
      </c>
      <c r="D23" s="20">
        <f t="shared" si="0"/>
        <v>5200</v>
      </c>
      <c r="E23" s="22">
        <v>5200</v>
      </c>
      <c r="F23" s="22">
        <v>0</v>
      </c>
      <c r="G23" s="22">
        <v>0</v>
      </c>
      <c r="H23" s="22">
        <v>0</v>
      </c>
      <c r="I23" s="22">
        <v>0</v>
      </c>
      <c r="J23" s="22">
        <v>0</v>
      </c>
      <c r="K23" s="22">
        <v>0</v>
      </c>
      <c r="L23" s="22">
        <v>0</v>
      </c>
      <c r="M23" s="22">
        <v>0</v>
      </c>
      <c r="N23" s="22">
        <v>0</v>
      </c>
      <c r="O23" s="22">
        <v>0</v>
      </c>
      <c r="P23" s="22">
        <v>0</v>
      </c>
      <c r="Q23" s="22">
        <v>0</v>
      </c>
      <c r="R23" s="22">
        <v>0</v>
      </c>
      <c r="S23" s="22">
        <v>0</v>
      </c>
      <c r="T23" s="22">
        <v>0</v>
      </c>
      <c r="U23" s="22">
        <v>0</v>
      </c>
      <c r="V23" s="22">
        <v>0</v>
      </c>
      <c r="W23" s="22">
        <v>0</v>
      </c>
      <c r="X23" s="22">
        <v>0</v>
      </c>
      <c r="Y23" s="22">
        <v>0</v>
      </c>
      <c r="Z23" s="22">
        <v>0</v>
      </c>
      <c r="AA23" s="22">
        <v>0</v>
      </c>
      <c r="AB23" s="22">
        <v>0</v>
      </c>
      <c r="AC23" s="22">
        <v>0</v>
      </c>
      <c r="AD23" s="22">
        <v>0</v>
      </c>
      <c r="AE23" s="22">
        <v>0</v>
      </c>
      <c r="AF23" s="22">
        <v>0</v>
      </c>
      <c r="AG23" s="22">
        <v>0</v>
      </c>
      <c r="AH23" s="22">
        <v>0</v>
      </c>
      <c r="AI23" s="22">
        <v>0</v>
      </c>
      <c r="AJ23" s="22">
        <v>0</v>
      </c>
      <c r="AK23" s="22">
        <v>0</v>
      </c>
      <c r="AL23" s="22">
        <v>0</v>
      </c>
      <c r="AM23" s="22">
        <v>0</v>
      </c>
      <c r="AN23" s="22">
        <v>0</v>
      </c>
      <c r="AO23" s="22">
        <v>0</v>
      </c>
      <c r="AP23" s="67"/>
      <c r="AT23" s="81"/>
      <c r="AU23"/>
    </row>
    <row r="24" spans="1:47">
      <c r="A24" s="19" t="s">
        <v>185</v>
      </c>
      <c r="B24" s="19" t="s">
        <v>186</v>
      </c>
      <c r="C24" s="19" t="s">
        <v>187</v>
      </c>
      <c r="D24" s="20">
        <f t="shared" si="0"/>
        <v>24</v>
      </c>
      <c r="E24" s="21">
        <v>13</v>
      </c>
      <c r="F24" s="21">
        <v>2</v>
      </c>
      <c r="G24" s="21">
        <v>0</v>
      </c>
      <c r="H24" s="21">
        <v>0</v>
      </c>
      <c r="I24" s="21">
        <v>3</v>
      </c>
      <c r="J24" s="21">
        <v>0</v>
      </c>
      <c r="K24" s="21">
        <v>0</v>
      </c>
      <c r="L24" s="21">
        <v>0</v>
      </c>
      <c r="M24" s="21">
        <v>0</v>
      </c>
      <c r="N24" s="21">
        <v>2</v>
      </c>
      <c r="O24" s="21">
        <v>0</v>
      </c>
      <c r="P24" s="21">
        <v>0</v>
      </c>
      <c r="Q24" s="21">
        <v>0</v>
      </c>
      <c r="R24" s="21">
        <v>0</v>
      </c>
      <c r="S24" s="21">
        <v>0</v>
      </c>
      <c r="T24" s="21">
        <v>0</v>
      </c>
      <c r="U24" s="21">
        <v>0</v>
      </c>
      <c r="V24" s="21">
        <v>0</v>
      </c>
      <c r="W24" s="21">
        <v>0</v>
      </c>
      <c r="X24" s="21">
        <v>0</v>
      </c>
      <c r="Y24" s="21">
        <v>0</v>
      </c>
      <c r="Z24" s="21">
        <v>0</v>
      </c>
      <c r="AA24" s="21">
        <v>0</v>
      </c>
      <c r="AB24" s="21">
        <v>0</v>
      </c>
      <c r="AC24" s="21">
        <v>0</v>
      </c>
      <c r="AD24" s="21">
        <v>0</v>
      </c>
      <c r="AE24" s="21">
        <v>0</v>
      </c>
      <c r="AF24" s="21">
        <v>2</v>
      </c>
      <c r="AG24" s="21">
        <v>1</v>
      </c>
      <c r="AH24" s="21">
        <v>0</v>
      </c>
      <c r="AI24" s="21">
        <v>0</v>
      </c>
      <c r="AJ24" s="21">
        <v>1</v>
      </c>
      <c r="AK24" s="21">
        <v>0</v>
      </c>
      <c r="AL24" s="21">
        <v>0</v>
      </c>
      <c r="AM24" s="21">
        <v>0</v>
      </c>
      <c r="AN24" s="21">
        <v>0</v>
      </c>
      <c r="AO24" s="21">
        <v>0</v>
      </c>
      <c r="AP24" s="67"/>
      <c r="AT24" s="81"/>
      <c r="AU24"/>
    </row>
    <row r="25" spans="1:47">
      <c r="A25" s="19" t="s">
        <v>185</v>
      </c>
      <c r="B25" s="19" t="s">
        <v>188</v>
      </c>
      <c r="C25" s="19" t="s">
        <v>187</v>
      </c>
      <c r="D25" s="20">
        <f t="shared" si="0"/>
        <v>12</v>
      </c>
      <c r="E25" s="21">
        <v>2</v>
      </c>
      <c r="F25" s="21">
        <v>0</v>
      </c>
      <c r="G25" s="21">
        <v>1</v>
      </c>
      <c r="H25" s="21">
        <v>1</v>
      </c>
      <c r="I25" s="21">
        <v>0</v>
      </c>
      <c r="J25" s="21">
        <v>1</v>
      </c>
      <c r="K25" s="21">
        <v>0</v>
      </c>
      <c r="L25" s="21">
        <v>0</v>
      </c>
      <c r="M25" s="21">
        <v>1</v>
      </c>
      <c r="N25" s="21">
        <v>0</v>
      </c>
      <c r="O25" s="21">
        <v>0</v>
      </c>
      <c r="P25" s="21">
        <v>0</v>
      </c>
      <c r="Q25" s="21">
        <v>0</v>
      </c>
      <c r="R25" s="21">
        <v>0</v>
      </c>
      <c r="S25" s="21">
        <v>0</v>
      </c>
      <c r="T25" s="21">
        <v>0</v>
      </c>
      <c r="U25" s="21">
        <v>0</v>
      </c>
      <c r="V25" s="21">
        <v>0</v>
      </c>
      <c r="W25" s="21">
        <v>0</v>
      </c>
      <c r="X25" s="21">
        <v>0</v>
      </c>
      <c r="Y25" s="21">
        <v>0</v>
      </c>
      <c r="Z25" s="21">
        <v>0</v>
      </c>
      <c r="AA25" s="21">
        <v>0</v>
      </c>
      <c r="AB25" s="21">
        <v>0</v>
      </c>
      <c r="AC25" s="21">
        <v>0</v>
      </c>
      <c r="AD25" s="21">
        <v>0</v>
      </c>
      <c r="AE25" s="21">
        <v>0</v>
      </c>
      <c r="AF25" s="21">
        <v>1</v>
      </c>
      <c r="AG25" s="21">
        <v>3</v>
      </c>
      <c r="AH25" s="21">
        <v>1</v>
      </c>
      <c r="AI25" s="21">
        <v>0</v>
      </c>
      <c r="AJ25" s="21">
        <v>0</v>
      </c>
      <c r="AK25" s="21">
        <v>0</v>
      </c>
      <c r="AL25" s="21">
        <v>0</v>
      </c>
      <c r="AM25" s="21">
        <v>1</v>
      </c>
      <c r="AN25" s="21">
        <v>0</v>
      </c>
      <c r="AO25" s="21">
        <v>0</v>
      </c>
      <c r="AP25" s="67"/>
      <c r="AT25" s="81"/>
      <c r="AU25"/>
    </row>
    <row r="26" spans="1:47">
      <c r="A26" s="19" t="s">
        <v>185</v>
      </c>
      <c r="B26" s="19" t="s">
        <v>189</v>
      </c>
      <c r="C26" s="19" t="s">
        <v>187</v>
      </c>
      <c r="D26" s="20">
        <f t="shared" si="0"/>
        <v>5</v>
      </c>
      <c r="E26" s="21">
        <v>2</v>
      </c>
      <c r="F26" s="21">
        <v>0</v>
      </c>
      <c r="G26" s="21">
        <v>0</v>
      </c>
      <c r="H26" s="21">
        <v>0</v>
      </c>
      <c r="I26" s="21">
        <v>0</v>
      </c>
      <c r="J26" s="21">
        <v>0</v>
      </c>
      <c r="K26" s="21">
        <v>1</v>
      </c>
      <c r="L26" s="21">
        <v>0</v>
      </c>
      <c r="M26" s="21">
        <v>0</v>
      </c>
      <c r="N26" s="21">
        <v>0</v>
      </c>
      <c r="O26" s="21">
        <v>0</v>
      </c>
      <c r="P26" s="21">
        <v>0</v>
      </c>
      <c r="Q26" s="21">
        <v>0</v>
      </c>
      <c r="R26" s="21">
        <v>0</v>
      </c>
      <c r="S26" s="21">
        <v>0</v>
      </c>
      <c r="T26" s="21">
        <v>0</v>
      </c>
      <c r="U26" s="21">
        <v>0</v>
      </c>
      <c r="V26" s="21">
        <v>0</v>
      </c>
      <c r="W26" s="21">
        <v>0</v>
      </c>
      <c r="X26" s="21">
        <v>0</v>
      </c>
      <c r="Y26" s="21">
        <v>0</v>
      </c>
      <c r="Z26" s="21">
        <v>0</v>
      </c>
      <c r="AA26" s="21">
        <v>0</v>
      </c>
      <c r="AB26" s="21">
        <v>0</v>
      </c>
      <c r="AC26" s="21">
        <v>0</v>
      </c>
      <c r="AD26" s="21">
        <v>0</v>
      </c>
      <c r="AE26" s="21">
        <v>0</v>
      </c>
      <c r="AF26" s="21">
        <v>0</v>
      </c>
      <c r="AG26" s="21">
        <v>0</v>
      </c>
      <c r="AH26" s="21">
        <v>0</v>
      </c>
      <c r="AI26" s="21">
        <v>0</v>
      </c>
      <c r="AJ26" s="21">
        <v>0</v>
      </c>
      <c r="AK26" s="21">
        <v>0</v>
      </c>
      <c r="AL26" s="21">
        <v>0</v>
      </c>
      <c r="AM26" s="21">
        <v>0</v>
      </c>
      <c r="AN26" s="21">
        <v>0</v>
      </c>
      <c r="AO26" s="21">
        <v>2</v>
      </c>
      <c r="AP26" s="67"/>
      <c r="AT26" s="81"/>
      <c r="AU26"/>
    </row>
    <row r="27" spans="1:47">
      <c r="A27" s="19" t="s">
        <v>185</v>
      </c>
      <c r="B27" s="19" t="s">
        <v>190</v>
      </c>
      <c r="C27" s="19" t="s">
        <v>187</v>
      </c>
      <c r="D27" s="20">
        <f t="shared" si="0"/>
        <v>2</v>
      </c>
      <c r="E27" s="21">
        <v>2</v>
      </c>
      <c r="F27" s="21">
        <v>0</v>
      </c>
      <c r="G27" s="21">
        <v>0</v>
      </c>
      <c r="H27" s="21">
        <v>0</v>
      </c>
      <c r="I27" s="21">
        <v>0</v>
      </c>
      <c r="J27" s="21">
        <v>0</v>
      </c>
      <c r="K27" s="21">
        <v>0</v>
      </c>
      <c r="L27" s="21">
        <v>0</v>
      </c>
      <c r="M27" s="21">
        <v>0</v>
      </c>
      <c r="N27" s="21">
        <v>0</v>
      </c>
      <c r="O27" s="21">
        <v>0</v>
      </c>
      <c r="P27" s="21">
        <v>0</v>
      </c>
      <c r="Q27" s="21">
        <v>0</v>
      </c>
      <c r="R27" s="21">
        <v>0</v>
      </c>
      <c r="S27" s="21">
        <v>0</v>
      </c>
      <c r="T27" s="21">
        <v>0</v>
      </c>
      <c r="U27" s="21">
        <v>0</v>
      </c>
      <c r="V27" s="21">
        <v>0</v>
      </c>
      <c r="W27" s="21">
        <v>0</v>
      </c>
      <c r="X27" s="21">
        <v>0</v>
      </c>
      <c r="Y27" s="21">
        <v>0</v>
      </c>
      <c r="Z27" s="21">
        <v>0</v>
      </c>
      <c r="AA27" s="21">
        <v>0</v>
      </c>
      <c r="AB27" s="21">
        <v>0</v>
      </c>
      <c r="AC27" s="21">
        <v>0</v>
      </c>
      <c r="AD27" s="21">
        <v>0</v>
      </c>
      <c r="AE27" s="21">
        <v>0</v>
      </c>
      <c r="AF27" s="21">
        <v>0</v>
      </c>
      <c r="AG27" s="21">
        <v>0</v>
      </c>
      <c r="AH27" s="21">
        <v>0</v>
      </c>
      <c r="AI27" s="21">
        <v>0</v>
      </c>
      <c r="AJ27" s="21">
        <v>0</v>
      </c>
      <c r="AK27" s="21">
        <v>0</v>
      </c>
      <c r="AL27" s="21">
        <v>0</v>
      </c>
      <c r="AM27" s="21">
        <v>0</v>
      </c>
      <c r="AN27" s="21">
        <v>0</v>
      </c>
      <c r="AO27" s="21">
        <v>0</v>
      </c>
      <c r="AP27" s="67"/>
      <c r="AT27" s="81"/>
      <c r="AU27"/>
    </row>
    <row r="28" spans="1:47">
      <c r="A28" s="19" t="s">
        <v>191</v>
      </c>
      <c r="B28" s="19" t="s">
        <v>192</v>
      </c>
      <c r="C28" s="19" t="s">
        <v>193</v>
      </c>
      <c r="D28" s="20">
        <f t="shared" si="0"/>
        <v>3</v>
      </c>
      <c r="E28" s="21">
        <v>3</v>
      </c>
      <c r="F28" s="21">
        <v>0</v>
      </c>
      <c r="G28" s="21">
        <v>0</v>
      </c>
      <c r="H28" s="21">
        <v>0</v>
      </c>
      <c r="I28" s="21">
        <v>0</v>
      </c>
      <c r="J28" s="21">
        <v>0</v>
      </c>
      <c r="K28" s="21">
        <v>0</v>
      </c>
      <c r="L28" s="21">
        <v>0</v>
      </c>
      <c r="M28" s="21">
        <v>0</v>
      </c>
      <c r="N28" s="21">
        <v>0</v>
      </c>
      <c r="O28" s="21">
        <v>0</v>
      </c>
      <c r="P28" s="21">
        <v>0</v>
      </c>
      <c r="Q28" s="21">
        <v>0</v>
      </c>
      <c r="R28" s="21">
        <v>0</v>
      </c>
      <c r="S28" s="21">
        <v>0</v>
      </c>
      <c r="T28" s="21">
        <v>0</v>
      </c>
      <c r="U28" s="21">
        <v>0</v>
      </c>
      <c r="V28" s="21">
        <v>0</v>
      </c>
      <c r="W28" s="21">
        <v>0</v>
      </c>
      <c r="X28" s="21">
        <v>0</v>
      </c>
      <c r="Y28" s="21">
        <v>0</v>
      </c>
      <c r="Z28" s="21">
        <v>0</v>
      </c>
      <c r="AA28" s="21">
        <v>0</v>
      </c>
      <c r="AB28" s="21">
        <v>0</v>
      </c>
      <c r="AC28" s="21">
        <v>0</v>
      </c>
      <c r="AD28" s="21">
        <v>0</v>
      </c>
      <c r="AE28" s="21">
        <v>0</v>
      </c>
      <c r="AF28" s="21">
        <v>0</v>
      </c>
      <c r="AG28" s="21">
        <v>0</v>
      </c>
      <c r="AH28" s="21">
        <v>0</v>
      </c>
      <c r="AI28" s="21">
        <v>0</v>
      </c>
      <c r="AJ28" s="21">
        <v>0</v>
      </c>
      <c r="AK28" s="21">
        <v>0</v>
      </c>
      <c r="AL28" s="21">
        <v>0</v>
      </c>
      <c r="AM28" s="21">
        <v>0</v>
      </c>
      <c r="AN28" s="21">
        <v>0</v>
      </c>
      <c r="AO28" s="21">
        <v>0</v>
      </c>
      <c r="AP28" s="67"/>
      <c r="AT28" s="81"/>
      <c r="AU28"/>
    </row>
    <row r="29" spans="1:47" ht="32.1">
      <c r="A29" s="19" t="s">
        <v>194</v>
      </c>
      <c r="B29" s="19" t="s">
        <v>195</v>
      </c>
      <c r="C29" s="19" t="s">
        <v>196</v>
      </c>
      <c r="D29" s="20">
        <f t="shared" si="0"/>
        <v>101999</v>
      </c>
      <c r="E29" s="21">
        <v>45719</v>
      </c>
      <c r="F29" s="21">
        <v>6279</v>
      </c>
      <c r="G29" s="21">
        <v>1805</v>
      </c>
      <c r="H29" s="21">
        <v>1266</v>
      </c>
      <c r="I29" s="21">
        <v>1129</v>
      </c>
      <c r="J29" s="21">
        <v>851</v>
      </c>
      <c r="K29" s="21">
        <v>2824</v>
      </c>
      <c r="L29" s="21">
        <v>2466</v>
      </c>
      <c r="M29" s="21">
        <v>1234</v>
      </c>
      <c r="N29" s="21">
        <v>1115</v>
      </c>
      <c r="O29" s="21">
        <v>436</v>
      </c>
      <c r="P29" s="21">
        <v>717</v>
      </c>
      <c r="Q29" s="21">
        <v>251</v>
      </c>
      <c r="R29" s="21">
        <v>1043</v>
      </c>
      <c r="S29" s="21">
        <v>78</v>
      </c>
      <c r="T29" s="21">
        <v>48</v>
      </c>
      <c r="U29" s="21">
        <v>69</v>
      </c>
      <c r="V29" s="21">
        <v>195</v>
      </c>
      <c r="W29" s="21">
        <v>74</v>
      </c>
      <c r="X29" s="21">
        <v>387</v>
      </c>
      <c r="Y29" s="21">
        <v>900</v>
      </c>
      <c r="Z29" s="21">
        <v>767</v>
      </c>
      <c r="AA29" s="21">
        <v>424</v>
      </c>
      <c r="AB29" s="21">
        <v>226</v>
      </c>
      <c r="AC29" s="21">
        <v>436</v>
      </c>
      <c r="AD29" s="21">
        <v>23</v>
      </c>
      <c r="AE29" s="21">
        <v>63</v>
      </c>
      <c r="AF29" s="21">
        <v>8367</v>
      </c>
      <c r="AG29" s="21">
        <v>7594</v>
      </c>
      <c r="AH29" s="21">
        <v>678</v>
      </c>
      <c r="AI29" s="21">
        <v>130</v>
      </c>
      <c r="AJ29" s="21">
        <v>633</v>
      </c>
      <c r="AK29" s="21">
        <v>57</v>
      </c>
      <c r="AL29" s="21">
        <v>80</v>
      </c>
      <c r="AM29" s="21">
        <v>958</v>
      </c>
      <c r="AN29" s="21">
        <v>265</v>
      </c>
      <c r="AO29" s="21">
        <v>12412</v>
      </c>
      <c r="AP29" s="67"/>
      <c r="AT29" s="81"/>
      <c r="AU29"/>
    </row>
    <row r="30" spans="1:47">
      <c r="A30" s="19" t="s">
        <v>197</v>
      </c>
      <c r="B30" s="19" t="s">
        <v>198</v>
      </c>
      <c r="C30" s="19" t="s">
        <v>199</v>
      </c>
      <c r="D30" s="20">
        <f t="shared" si="0"/>
        <v>1136</v>
      </c>
      <c r="E30" s="21">
        <v>501</v>
      </c>
      <c r="F30" s="21">
        <v>9</v>
      </c>
      <c r="G30" s="21">
        <v>78</v>
      </c>
      <c r="H30" s="21">
        <v>37</v>
      </c>
      <c r="I30" s="21">
        <v>54</v>
      </c>
      <c r="J30" s="21">
        <v>51</v>
      </c>
      <c r="K30" s="21">
        <v>58</v>
      </c>
      <c r="L30" s="21">
        <v>0</v>
      </c>
      <c r="M30" s="21">
        <v>36</v>
      </c>
      <c r="N30" s="21">
        <v>28</v>
      </c>
      <c r="O30" s="21">
        <v>0</v>
      </c>
      <c r="P30" s="21">
        <v>0</v>
      </c>
      <c r="Q30" s="21">
        <v>0</v>
      </c>
      <c r="R30" s="21">
        <v>0</v>
      </c>
      <c r="S30" s="21">
        <v>4</v>
      </c>
      <c r="T30" s="21">
        <v>0</v>
      </c>
      <c r="U30" s="21">
        <v>0</v>
      </c>
      <c r="V30" s="21">
        <v>0</v>
      </c>
      <c r="W30" s="21">
        <v>0</v>
      </c>
      <c r="X30" s="21">
        <v>1</v>
      </c>
      <c r="Y30" s="21">
        <v>0</v>
      </c>
      <c r="Z30" s="21">
        <v>0</v>
      </c>
      <c r="AA30" s="21">
        <v>0</v>
      </c>
      <c r="AB30" s="21">
        <v>0</v>
      </c>
      <c r="AC30" s="21">
        <v>0</v>
      </c>
      <c r="AD30" s="21">
        <v>0</v>
      </c>
      <c r="AE30" s="21">
        <v>0</v>
      </c>
      <c r="AF30" s="21">
        <v>46</v>
      </c>
      <c r="AG30" s="21">
        <v>128</v>
      </c>
      <c r="AH30" s="21">
        <v>52</v>
      </c>
      <c r="AI30" s="21">
        <v>0</v>
      </c>
      <c r="AJ30" s="21">
        <v>22</v>
      </c>
      <c r="AK30" s="21">
        <v>0</v>
      </c>
      <c r="AL30" s="21">
        <v>0</v>
      </c>
      <c r="AM30" s="21">
        <v>31</v>
      </c>
      <c r="AN30" s="21">
        <v>0</v>
      </c>
      <c r="AO30" s="21">
        <v>0</v>
      </c>
      <c r="AP30" s="67"/>
      <c r="AT30" s="81"/>
      <c r="AU30"/>
    </row>
    <row r="31" spans="1:47">
      <c r="A31" s="19" t="s">
        <v>200</v>
      </c>
      <c r="B31" s="19" t="s">
        <v>201</v>
      </c>
      <c r="C31" s="19" t="s">
        <v>202</v>
      </c>
      <c r="D31" s="20">
        <f t="shared" si="0"/>
        <v>5</v>
      </c>
      <c r="E31" s="21">
        <v>4</v>
      </c>
      <c r="F31" s="21">
        <v>1</v>
      </c>
      <c r="G31" s="21">
        <v>0</v>
      </c>
      <c r="H31" s="21">
        <v>0</v>
      </c>
      <c r="I31" s="21">
        <v>0</v>
      </c>
      <c r="J31" s="21">
        <v>0</v>
      </c>
      <c r="K31" s="21">
        <v>0</v>
      </c>
      <c r="L31" s="21">
        <v>0</v>
      </c>
      <c r="M31" s="21">
        <v>0</v>
      </c>
      <c r="N31" s="21">
        <v>0</v>
      </c>
      <c r="O31" s="21">
        <v>0</v>
      </c>
      <c r="P31" s="21">
        <v>0</v>
      </c>
      <c r="Q31" s="21">
        <v>0</v>
      </c>
      <c r="R31" s="21">
        <v>0</v>
      </c>
      <c r="S31" s="21">
        <v>0</v>
      </c>
      <c r="T31" s="21">
        <v>0</v>
      </c>
      <c r="U31" s="21">
        <v>0</v>
      </c>
      <c r="V31" s="21">
        <v>0</v>
      </c>
      <c r="W31" s="21">
        <v>0</v>
      </c>
      <c r="X31" s="21">
        <v>0</v>
      </c>
      <c r="Y31" s="21">
        <v>0</v>
      </c>
      <c r="Z31" s="21">
        <v>0</v>
      </c>
      <c r="AA31" s="21">
        <v>0</v>
      </c>
      <c r="AB31" s="21">
        <v>0</v>
      </c>
      <c r="AC31" s="21">
        <v>0</v>
      </c>
      <c r="AD31" s="21">
        <v>0</v>
      </c>
      <c r="AE31" s="21">
        <v>0</v>
      </c>
      <c r="AF31" s="21">
        <v>0</v>
      </c>
      <c r="AG31" s="21">
        <v>0</v>
      </c>
      <c r="AH31" s="21">
        <v>0</v>
      </c>
      <c r="AI31" s="21">
        <v>0</v>
      </c>
      <c r="AJ31" s="21">
        <v>0</v>
      </c>
      <c r="AK31" s="21">
        <v>0</v>
      </c>
      <c r="AL31" s="21">
        <v>0</v>
      </c>
      <c r="AM31" s="21">
        <v>0</v>
      </c>
      <c r="AN31" s="21">
        <v>0</v>
      </c>
      <c r="AO31" s="21">
        <v>0</v>
      </c>
      <c r="AP31" s="67"/>
      <c r="AT31" s="81"/>
      <c r="AU31"/>
    </row>
    <row r="32" spans="1:47">
      <c r="A32" s="19" t="s">
        <v>203</v>
      </c>
      <c r="B32" s="19" t="s">
        <v>204</v>
      </c>
      <c r="C32" s="19" t="s">
        <v>205</v>
      </c>
      <c r="D32" s="20">
        <f t="shared" si="0"/>
        <v>370</v>
      </c>
      <c r="E32" s="21">
        <v>97</v>
      </c>
      <c r="F32" s="21">
        <v>83</v>
      </c>
      <c r="G32" s="21">
        <v>1</v>
      </c>
      <c r="H32" s="21">
        <v>1</v>
      </c>
      <c r="I32" s="21">
        <v>4</v>
      </c>
      <c r="J32" s="21">
        <v>1</v>
      </c>
      <c r="K32" s="21">
        <v>9</v>
      </c>
      <c r="L32" s="21">
        <v>0</v>
      </c>
      <c r="M32" s="21">
        <v>0</v>
      </c>
      <c r="N32" s="21">
        <v>1</v>
      </c>
      <c r="O32" s="21">
        <v>0</v>
      </c>
      <c r="P32" s="21">
        <v>0</v>
      </c>
      <c r="Q32" s="21">
        <v>0</v>
      </c>
      <c r="R32" s="21">
        <v>0</v>
      </c>
      <c r="S32" s="21">
        <v>1</v>
      </c>
      <c r="T32" s="21">
        <v>0</v>
      </c>
      <c r="U32" s="21">
        <v>3</v>
      </c>
      <c r="V32" s="21">
        <v>0</v>
      </c>
      <c r="W32" s="21">
        <v>0</v>
      </c>
      <c r="X32" s="21">
        <v>0</v>
      </c>
      <c r="Y32" s="21">
        <v>0</v>
      </c>
      <c r="Z32" s="21">
        <v>25</v>
      </c>
      <c r="AA32" s="21">
        <v>35</v>
      </c>
      <c r="AB32" s="21">
        <v>11</v>
      </c>
      <c r="AC32" s="21">
        <v>0</v>
      </c>
      <c r="AD32" s="21">
        <v>1</v>
      </c>
      <c r="AE32" s="21">
        <v>0</v>
      </c>
      <c r="AF32" s="21">
        <v>52</v>
      </c>
      <c r="AG32" s="21">
        <v>15</v>
      </c>
      <c r="AH32" s="21">
        <v>3</v>
      </c>
      <c r="AI32" s="21">
        <v>0</v>
      </c>
      <c r="AJ32" s="21">
        <v>0</v>
      </c>
      <c r="AK32" s="21">
        <v>2</v>
      </c>
      <c r="AL32" s="21">
        <v>3</v>
      </c>
      <c r="AM32" s="21">
        <v>0</v>
      </c>
      <c r="AN32" s="21">
        <v>22</v>
      </c>
      <c r="AO32" s="21">
        <v>0</v>
      </c>
      <c r="AP32" s="67"/>
      <c r="AT32" s="81"/>
      <c r="AU32"/>
    </row>
    <row r="33" spans="1:47">
      <c r="A33" s="19" t="s">
        <v>206</v>
      </c>
      <c r="B33" s="19" t="s">
        <v>207</v>
      </c>
      <c r="C33" s="19" t="s">
        <v>208</v>
      </c>
      <c r="D33" s="20">
        <f t="shared" si="0"/>
        <v>45</v>
      </c>
      <c r="E33" s="21">
        <v>19</v>
      </c>
      <c r="F33" s="21">
        <v>0</v>
      </c>
      <c r="G33" s="21">
        <v>0</v>
      </c>
      <c r="H33" s="21">
        <v>1</v>
      </c>
      <c r="I33" s="21">
        <v>1</v>
      </c>
      <c r="J33" s="21">
        <v>0</v>
      </c>
      <c r="K33" s="21">
        <v>0</v>
      </c>
      <c r="L33" s="21">
        <v>0</v>
      </c>
      <c r="M33" s="21">
        <v>1</v>
      </c>
      <c r="N33" s="21">
        <v>1</v>
      </c>
      <c r="O33" s="21">
        <v>0</v>
      </c>
      <c r="P33" s="21">
        <v>0</v>
      </c>
      <c r="Q33" s="21">
        <v>0</v>
      </c>
      <c r="R33" s="21">
        <v>0</v>
      </c>
      <c r="S33" s="21">
        <v>0</v>
      </c>
      <c r="T33" s="21">
        <v>0</v>
      </c>
      <c r="U33" s="21">
        <v>0</v>
      </c>
      <c r="V33" s="21">
        <v>0</v>
      </c>
      <c r="W33" s="21">
        <v>0</v>
      </c>
      <c r="X33" s="21">
        <v>0</v>
      </c>
      <c r="Y33" s="21">
        <v>0</v>
      </c>
      <c r="Z33" s="21">
        <v>0</v>
      </c>
      <c r="AA33" s="21">
        <v>0</v>
      </c>
      <c r="AB33" s="21">
        <v>0</v>
      </c>
      <c r="AC33" s="21">
        <v>0</v>
      </c>
      <c r="AD33" s="21">
        <v>0</v>
      </c>
      <c r="AE33" s="21">
        <v>0</v>
      </c>
      <c r="AF33" s="21">
        <v>6</v>
      </c>
      <c r="AG33" s="21">
        <v>5</v>
      </c>
      <c r="AH33" s="21">
        <v>0</v>
      </c>
      <c r="AI33" s="21">
        <v>0</v>
      </c>
      <c r="AJ33" s="21">
        <v>1</v>
      </c>
      <c r="AK33" s="21">
        <v>0</v>
      </c>
      <c r="AL33" s="21">
        <v>0</v>
      </c>
      <c r="AM33" s="21">
        <v>1</v>
      </c>
      <c r="AN33" s="21">
        <v>0</v>
      </c>
      <c r="AO33" s="21">
        <v>9</v>
      </c>
      <c r="AP33" s="67"/>
      <c r="AT33" s="81"/>
      <c r="AU33"/>
    </row>
    <row r="34" spans="1:47">
      <c r="A34" s="19" t="s">
        <v>206</v>
      </c>
      <c r="B34" s="19" t="s">
        <v>209</v>
      </c>
      <c r="C34" s="19" t="s">
        <v>208</v>
      </c>
      <c r="D34" s="20">
        <f t="shared" si="0"/>
        <v>24</v>
      </c>
      <c r="E34" s="21">
        <v>19</v>
      </c>
      <c r="F34" s="21">
        <v>0</v>
      </c>
      <c r="G34" s="21">
        <v>0</v>
      </c>
      <c r="H34" s="21">
        <v>0</v>
      </c>
      <c r="I34" s="21">
        <v>0</v>
      </c>
      <c r="J34" s="21">
        <v>0</v>
      </c>
      <c r="K34" s="21">
        <v>0</v>
      </c>
      <c r="L34" s="21">
        <v>0</v>
      </c>
      <c r="M34" s="21">
        <v>0</v>
      </c>
      <c r="N34" s="21">
        <v>0</v>
      </c>
      <c r="O34" s="21">
        <v>0</v>
      </c>
      <c r="P34" s="21">
        <v>0</v>
      </c>
      <c r="Q34" s="21">
        <v>0</v>
      </c>
      <c r="R34" s="21">
        <v>0</v>
      </c>
      <c r="S34" s="21">
        <v>0</v>
      </c>
      <c r="T34" s="21">
        <v>0</v>
      </c>
      <c r="U34" s="21">
        <v>0</v>
      </c>
      <c r="V34" s="21">
        <v>0</v>
      </c>
      <c r="W34" s="21">
        <v>0</v>
      </c>
      <c r="X34" s="21">
        <v>0</v>
      </c>
      <c r="Y34" s="21">
        <v>0</v>
      </c>
      <c r="Z34" s="21">
        <v>0</v>
      </c>
      <c r="AA34" s="21">
        <v>0</v>
      </c>
      <c r="AB34" s="21">
        <v>0</v>
      </c>
      <c r="AC34" s="21">
        <v>0</v>
      </c>
      <c r="AD34" s="21">
        <v>0</v>
      </c>
      <c r="AE34" s="21">
        <v>0</v>
      </c>
      <c r="AF34" s="21">
        <v>3</v>
      </c>
      <c r="AG34" s="21">
        <v>0</v>
      </c>
      <c r="AH34" s="21">
        <v>0</v>
      </c>
      <c r="AI34" s="21">
        <v>0</v>
      </c>
      <c r="AJ34" s="21">
        <v>0</v>
      </c>
      <c r="AK34" s="21">
        <v>0</v>
      </c>
      <c r="AL34" s="21">
        <v>0</v>
      </c>
      <c r="AM34" s="21">
        <v>0</v>
      </c>
      <c r="AN34" s="21">
        <v>0</v>
      </c>
      <c r="AO34" s="21">
        <v>2</v>
      </c>
      <c r="AP34" s="67"/>
      <c r="AT34" s="81"/>
      <c r="AU34"/>
    </row>
    <row r="35" spans="1:47">
      <c r="A35" s="19" t="s">
        <v>210</v>
      </c>
      <c r="B35" s="19" t="s">
        <v>211</v>
      </c>
      <c r="C35" s="19" t="s">
        <v>212</v>
      </c>
      <c r="D35" s="20">
        <f t="shared" si="0"/>
        <v>1</v>
      </c>
      <c r="E35" s="21">
        <v>1</v>
      </c>
      <c r="F35" s="21">
        <v>0</v>
      </c>
      <c r="G35" s="21">
        <v>0</v>
      </c>
      <c r="H35" s="21">
        <v>0</v>
      </c>
      <c r="I35" s="21">
        <v>0</v>
      </c>
      <c r="J35" s="21">
        <v>0</v>
      </c>
      <c r="K35" s="21">
        <v>0</v>
      </c>
      <c r="L35" s="21">
        <v>0</v>
      </c>
      <c r="M35" s="21">
        <v>0</v>
      </c>
      <c r="N35" s="21">
        <v>0</v>
      </c>
      <c r="O35" s="21">
        <v>0</v>
      </c>
      <c r="P35" s="21">
        <v>0</v>
      </c>
      <c r="Q35" s="21">
        <v>0</v>
      </c>
      <c r="R35" s="21">
        <v>0</v>
      </c>
      <c r="S35" s="21">
        <v>0</v>
      </c>
      <c r="T35" s="21">
        <v>0</v>
      </c>
      <c r="U35" s="21">
        <v>0</v>
      </c>
      <c r="V35" s="21">
        <v>0</v>
      </c>
      <c r="W35" s="21">
        <v>0</v>
      </c>
      <c r="X35" s="21">
        <v>0</v>
      </c>
      <c r="Y35" s="21">
        <v>0</v>
      </c>
      <c r="Z35" s="21">
        <v>0</v>
      </c>
      <c r="AA35" s="21">
        <v>0</v>
      </c>
      <c r="AB35" s="21">
        <v>0</v>
      </c>
      <c r="AC35" s="21">
        <v>0</v>
      </c>
      <c r="AD35" s="21">
        <v>0</v>
      </c>
      <c r="AE35" s="21">
        <v>0</v>
      </c>
      <c r="AF35" s="21">
        <v>0</v>
      </c>
      <c r="AG35" s="21">
        <v>0</v>
      </c>
      <c r="AH35" s="21">
        <v>0</v>
      </c>
      <c r="AI35" s="21">
        <v>0</v>
      </c>
      <c r="AJ35" s="21">
        <v>0</v>
      </c>
      <c r="AK35" s="21">
        <v>0</v>
      </c>
      <c r="AL35" s="21">
        <v>0</v>
      </c>
      <c r="AM35" s="21">
        <v>0</v>
      </c>
      <c r="AN35" s="21">
        <v>0</v>
      </c>
      <c r="AO35" s="21">
        <v>0</v>
      </c>
      <c r="AP35" s="68"/>
      <c r="AT35" s="81"/>
      <c r="AU35"/>
    </row>
    <row r="36" spans="1:47" ht="32.1">
      <c r="A36" s="19" t="s">
        <v>213</v>
      </c>
      <c r="B36" s="19" t="s">
        <v>214</v>
      </c>
      <c r="C36" s="19" t="s">
        <v>215</v>
      </c>
      <c r="D36" s="20">
        <f t="shared" si="0"/>
        <v>39445</v>
      </c>
      <c r="E36" s="22">
        <v>17806</v>
      </c>
      <c r="F36" s="22">
        <v>0</v>
      </c>
      <c r="G36" s="22">
        <v>0</v>
      </c>
      <c r="H36" s="22">
        <v>175</v>
      </c>
      <c r="I36" s="22">
        <v>48</v>
      </c>
      <c r="J36" s="22">
        <v>0</v>
      </c>
      <c r="K36" s="22">
        <v>0</v>
      </c>
      <c r="L36" s="22">
        <v>0</v>
      </c>
      <c r="M36" s="22">
        <v>1234</v>
      </c>
      <c r="N36" s="22">
        <v>1115</v>
      </c>
      <c r="O36" s="22">
        <v>0</v>
      </c>
      <c r="P36" s="22">
        <v>0</v>
      </c>
      <c r="Q36" s="22">
        <v>0</v>
      </c>
      <c r="R36" s="22">
        <v>57</v>
      </c>
      <c r="S36" s="22">
        <v>78</v>
      </c>
      <c r="T36" s="22">
        <v>0</v>
      </c>
      <c r="U36" s="22">
        <v>0</v>
      </c>
      <c r="V36" s="22">
        <v>0</v>
      </c>
      <c r="W36" s="22">
        <v>0</v>
      </c>
      <c r="X36" s="22">
        <v>0</v>
      </c>
      <c r="Y36" s="22">
        <v>0</v>
      </c>
      <c r="Z36" s="22">
        <v>0</v>
      </c>
      <c r="AA36" s="22">
        <v>0</v>
      </c>
      <c r="AB36" s="22">
        <v>0</v>
      </c>
      <c r="AC36" s="22">
        <v>0</v>
      </c>
      <c r="AD36" s="22">
        <v>0</v>
      </c>
      <c r="AE36" s="22">
        <v>0</v>
      </c>
      <c r="AF36" s="22">
        <v>1670</v>
      </c>
      <c r="AG36" s="22">
        <v>3259</v>
      </c>
      <c r="AH36" s="22">
        <v>0</v>
      </c>
      <c r="AI36" s="22">
        <v>0</v>
      </c>
      <c r="AJ36" s="22">
        <v>633</v>
      </c>
      <c r="AK36" s="22">
        <v>0</v>
      </c>
      <c r="AL36" s="22">
        <v>0</v>
      </c>
      <c r="AM36" s="22">
        <v>958</v>
      </c>
      <c r="AN36" s="22">
        <v>0</v>
      </c>
      <c r="AO36" s="22">
        <v>12412</v>
      </c>
      <c r="AP36" s="67"/>
      <c r="AT36" s="81"/>
      <c r="AU36"/>
    </row>
    <row r="37" spans="1:47" ht="32.1">
      <c r="A37" s="19" t="s">
        <v>216</v>
      </c>
      <c r="B37" s="19" t="s">
        <v>217</v>
      </c>
      <c r="C37" s="19" t="s">
        <v>218</v>
      </c>
      <c r="D37" s="20">
        <f t="shared" si="0"/>
        <v>0</v>
      </c>
      <c r="E37" s="22">
        <v>0</v>
      </c>
      <c r="F37" s="22">
        <v>0</v>
      </c>
      <c r="G37" s="22">
        <v>0</v>
      </c>
      <c r="H37" s="22">
        <v>0</v>
      </c>
      <c r="I37" s="22">
        <v>0</v>
      </c>
      <c r="J37" s="22">
        <v>0</v>
      </c>
      <c r="K37" s="22">
        <v>0</v>
      </c>
      <c r="L37" s="22">
        <v>0</v>
      </c>
      <c r="M37" s="22">
        <v>0</v>
      </c>
      <c r="N37" s="22">
        <v>0</v>
      </c>
      <c r="O37" s="22">
        <v>0</v>
      </c>
      <c r="P37" s="22">
        <v>0</v>
      </c>
      <c r="Q37" s="22">
        <v>0</v>
      </c>
      <c r="R37" s="22">
        <v>0</v>
      </c>
      <c r="S37" s="22">
        <v>0</v>
      </c>
      <c r="T37" s="22">
        <v>0</v>
      </c>
      <c r="U37" s="22">
        <v>0</v>
      </c>
      <c r="V37" s="22">
        <v>0</v>
      </c>
      <c r="W37" s="22">
        <v>0</v>
      </c>
      <c r="X37" s="22">
        <v>0</v>
      </c>
      <c r="Y37" s="22">
        <v>0</v>
      </c>
      <c r="Z37" s="22">
        <v>0</v>
      </c>
      <c r="AA37" s="22">
        <v>0</v>
      </c>
      <c r="AB37" s="22">
        <v>0</v>
      </c>
      <c r="AC37" s="22">
        <v>0</v>
      </c>
      <c r="AD37" s="22">
        <v>0</v>
      </c>
      <c r="AE37" s="22">
        <v>0</v>
      </c>
      <c r="AF37" s="22">
        <v>0</v>
      </c>
      <c r="AG37" s="22">
        <v>0</v>
      </c>
      <c r="AH37" s="22">
        <v>0</v>
      </c>
      <c r="AI37" s="22">
        <v>0</v>
      </c>
      <c r="AJ37" s="22">
        <v>0</v>
      </c>
      <c r="AK37" s="22">
        <v>0</v>
      </c>
      <c r="AL37" s="22">
        <v>0</v>
      </c>
      <c r="AM37" s="22">
        <v>0</v>
      </c>
      <c r="AN37" s="22">
        <v>0</v>
      </c>
      <c r="AO37" s="22">
        <v>0</v>
      </c>
      <c r="AP37" s="68"/>
      <c r="AT37" s="81"/>
      <c r="AU37"/>
    </row>
    <row r="38" spans="1:47" ht="48">
      <c r="A38" s="23" t="s">
        <v>216</v>
      </c>
      <c r="B38" s="19" t="s">
        <v>219</v>
      </c>
      <c r="C38" s="19" t="s">
        <v>218</v>
      </c>
      <c r="D38" s="20">
        <f t="shared" si="0"/>
        <v>0</v>
      </c>
      <c r="E38" s="22">
        <v>0</v>
      </c>
      <c r="F38" s="22">
        <v>0</v>
      </c>
      <c r="G38" s="22">
        <v>0</v>
      </c>
      <c r="H38" s="22">
        <v>0</v>
      </c>
      <c r="I38" s="22">
        <v>0</v>
      </c>
      <c r="J38" s="22">
        <v>0</v>
      </c>
      <c r="K38" s="22">
        <v>0</v>
      </c>
      <c r="L38" s="22">
        <v>0</v>
      </c>
      <c r="M38" s="22">
        <v>0</v>
      </c>
      <c r="N38" s="22">
        <v>0</v>
      </c>
      <c r="O38" s="22">
        <v>0</v>
      </c>
      <c r="P38" s="22">
        <v>0</v>
      </c>
      <c r="Q38" s="22">
        <v>0</v>
      </c>
      <c r="R38" s="22">
        <v>0</v>
      </c>
      <c r="S38" s="22">
        <v>0</v>
      </c>
      <c r="T38" s="22">
        <v>0</v>
      </c>
      <c r="U38" s="22">
        <v>0</v>
      </c>
      <c r="V38" s="22">
        <v>0</v>
      </c>
      <c r="W38" s="22">
        <v>0</v>
      </c>
      <c r="X38" s="22">
        <v>0</v>
      </c>
      <c r="Y38" s="22">
        <v>0</v>
      </c>
      <c r="Z38" s="22">
        <v>0</v>
      </c>
      <c r="AA38" s="22">
        <v>0</v>
      </c>
      <c r="AB38" s="22">
        <v>0</v>
      </c>
      <c r="AC38" s="22">
        <v>0</v>
      </c>
      <c r="AD38" s="22">
        <v>0</v>
      </c>
      <c r="AE38" s="22">
        <v>0</v>
      </c>
      <c r="AF38" s="22">
        <v>0</v>
      </c>
      <c r="AG38" s="22">
        <v>0</v>
      </c>
      <c r="AH38" s="22">
        <v>0</v>
      </c>
      <c r="AI38" s="22">
        <v>0</v>
      </c>
      <c r="AJ38" s="22">
        <v>0</v>
      </c>
      <c r="AK38" s="22">
        <v>0</v>
      </c>
      <c r="AL38" s="22">
        <v>0</v>
      </c>
      <c r="AM38" s="22">
        <v>0</v>
      </c>
      <c r="AN38" s="22">
        <v>0</v>
      </c>
      <c r="AO38" s="22">
        <v>0</v>
      </c>
      <c r="AP38" s="68"/>
      <c r="AT38" s="81"/>
      <c r="AU38"/>
    </row>
    <row r="39" spans="1:47" ht="48">
      <c r="A39" s="23" t="s">
        <v>216</v>
      </c>
      <c r="B39" s="19" t="s">
        <v>220</v>
      </c>
      <c r="C39" s="19" t="s">
        <v>218</v>
      </c>
      <c r="D39" s="20">
        <f t="shared" si="0"/>
        <v>0</v>
      </c>
      <c r="E39" s="22">
        <v>0</v>
      </c>
      <c r="F39" s="22">
        <v>0</v>
      </c>
      <c r="G39" s="22">
        <v>0</v>
      </c>
      <c r="H39" s="22">
        <v>0</v>
      </c>
      <c r="I39" s="22">
        <v>0</v>
      </c>
      <c r="J39" s="22">
        <v>0</v>
      </c>
      <c r="K39" s="22">
        <v>0</v>
      </c>
      <c r="L39" s="22">
        <v>0</v>
      </c>
      <c r="M39" s="22">
        <v>0</v>
      </c>
      <c r="N39" s="22">
        <v>0</v>
      </c>
      <c r="O39" s="22">
        <v>0</v>
      </c>
      <c r="P39" s="22">
        <v>0</v>
      </c>
      <c r="Q39" s="22">
        <v>0</v>
      </c>
      <c r="R39" s="22">
        <v>0</v>
      </c>
      <c r="S39" s="22">
        <v>0</v>
      </c>
      <c r="T39" s="22">
        <v>0</v>
      </c>
      <c r="U39" s="22">
        <v>0</v>
      </c>
      <c r="V39" s="22">
        <v>0</v>
      </c>
      <c r="W39" s="22">
        <v>0</v>
      </c>
      <c r="X39" s="22">
        <v>0</v>
      </c>
      <c r="Y39" s="22">
        <v>0</v>
      </c>
      <c r="Z39" s="22">
        <v>0</v>
      </c>
      <c r="AA39" s="22">
        <v>0</v>
      </c>
      <c r="AB39" s="22">
        <v>0</v>
      </c>
      <c r="AC39" s="22">
        <v>0</v>
      </c>
      <c r="AD39" s="22">
        <v>0</v>
      </c>
      <c r="AE39" s="22">
        <v>0</v>
      </c>
      <c r="AF39" s="22">
        <v>0</v>
      </c>
      <c r="AG39" s="22">
        <v>0</v>
      </c>
      <c r="AH39" s="22">
        <v>0</v>
      </c>
      <c r="AI39" s="22">
        <v>0</v>
      </c>
      <c r="AJ39" s="22">
        <v>0</v>
      </c>
      <c r="AK39" s="22">
        <v>0</v>
      </c>
      <c r="AL39" s="22">
        <v>0</v>
      </c>
      <c r="AM39" s="22">
        <v>0</v>
      </c>
      <c r="AN39" s="22">
        <v>0</v>
      </c>
      <c r="AO39" s="22">
        <v>0</v>
      </c>
      <c r="AP39" s="68"/>
      <c r="AT39" s="81"/>
      <c r="AU39"/>
    </row>
    <row r="40" spans="1:47" ht="32.1">
      <c r="A40" s="23"/>
      <c r="B40" s="19" t="s">
        <v>221</v>
      </c>
      <c r="C40" s="19" t="s">
        <v>222</v>
      </c>
      <c r="D40" s="20">
        <f t="shared" si="0"/>
        <v>0</v>
      </c>
      <c r="E40" s="22">
        <v>0</v>
      </c>
      <c r="F40" s="22">
        <v>0</v>
      </c>
      <c r="G40" s="22">
        <v>0</v>
      </c>
      <c r="H40" s="22">
        <v>0</v>
      </c>
      <c r="I40" s="22">
        <v>0</v>
      </c>
      <c r="J40" s="22">
        <v>0</v>
      </c>
      <c r="K40" s="22">
        <v>0</v>
      </c>
      <c r="L40" s="22">
        <v>0</v>
      </c>
      <c r="M40" s="22">
        <v>0</v>
      </c>
      <c r="N40" s="22">
        <v>0</v>
      </c>
      <c r="O40" s="22">
        <v>0</v>
      </c>
      <c r="P40" s="22">
        <v>0</v>
      </c>
      <c r="Q40" s="22">
        <v>0</v>
      </c>
      <c r="R40" s="22">
        <v>0</v>
      </c>
      <c r="S40" s="22">
        <v>0</v>
      </c>
      <c r="T40" s="22">
        <v>0</v>
      </c>
      <c r="U40" s="22">
        <v>0</v>
      </c>
      <c r="V40" s="22">
        <v>0</v>
      </c>
      <c r="W40" s="22">
        <v>0</v>
      </c>
      <c r="X40" s="22">
        <v>0</v>
      </c>
      <c r="Y40" s="22">
        <v>0</v>
      </c>
      <c r="Z40" s="22">
        <v>0</v>
      </c>
      <c r="AA40" s="22">
        <v>0</v>
      </c>
      <c r="AB40" s="22">
        <v>0</v>
      </c>
      <c r="AC40" s="22">
        <v>0</v>
      </c>
      <c r="AD40" s="22">
        <v>0</v>
      </c>
      <c r="AE40" s="22">
        <v>0</v>
      </c>
      <c r="AF40" s="22">
        <v>0</v>
      </c>
      <c r="AG40" s="22">
        <v>0</v>
      </c>
      <c r="AH40" s="22">
        <v>0</v>
      </c>
      <c r="AI40" s="22">
        <v>0</v>
      </c>
      <c r="AJ40" s="22">
        <v>0</v>
      </c>
      <c r="AK40" s="22">
        <v>0</v>
      </c>
      <c r="AL40" s="22">
        <v>0</v>
      </c>
      <c r="AM40" s="22">
        <v>0</v>
      </c>
      <c r="AN40" s="22">
        <v>0</v>
      </c>
      <c r="AO40" s="22">
        <v>0</v>
      </c>
      <c r="AP40" s="68"/>
      <c r="AT40" s="81"/>
      <c r="AU40"/>
    </row>
    <row r="41" spans="1:47">
      <c r="A41" s="23" t="s">
        <v>223</v>
      </c>
      <c r="B41" s="19" t="s">
        <v>224</v>
      </c>
      <c r="C41" s="19" t="s">
        <v>225</v>
      </c>
      <c r="D41" s="20">
        <f t="shared" si="0"/>
        <v>0</v>
      </c>
      <c r="E41" s="22">
        <v>0</v>
      </c>
      <c r="F41" s="22">
        <v>0</v>
      </c>
      <c r="G41" s="22">
        <v>0</v>
      </c>
      <c r="H41" s="22">
        <v>0</v>
      </c>
      <c r="I41" s="22">
        <v>0</v>
      </c>
      <c r="J41" s="22">
        <v>0</v>
      </c>
      <c r="K41" s="22">
        <v>0</v>
      </c>
      <c r="L41" s="22">
        <v>0</v>
      </c>
      <c r="M41" s="22">
        <v>0</v>
      </c>
      <c r="N41" s="22">
        <v>0</v>
      </c>
      <c r="O41" s="22">
        <v>0</v>
      </c>
      <c r="P41" s="22">
        <v>0</v>
      </c>
      <c r="Q41" s="22">
        <v>0</v>
      </c>
      <c r="R41" s="22">
        <v>0</v>
      </c>
      <c r="S41" s="22">
        <v>0</v>
      </c>
      <c r="T41" s="22">
        <v>0</v>
      </c>
      <c r="U41" s="22">
        <v>0</v>
      </c>
      <c r="V41" s="22">
        <v>0</v>
      </c>
      <c r="W41" s="22">
        <v>0</v>
      </c>
      <c r="X41" s="22">
        <v>0</v>
      </c>
      <c r="Y41" s="22">
        <v>0</v>
      </c>
      <c r="Z41" s="22">
        <v>0</v>
      </c>
      <c r="AA41" s="22">
        <v>0</v>
      </c>
      <c r="AB41" s="22">
        <v>0</v>
      </c>
      <c r="AC41" s="22">
        <v>0</v>
      </c>
      <c r="AD41" s="22">
        <v>0</v>
      </c>
      <c r="AE41" s="22">
        <v>0</v>
      </c>
      <c r="AF41" s="22">
        <v>0</v>
      </c>
      <c r="AG41" s="22">
        <v>0</v>
      </c>
      <c r="AH41" s="22">
        <v>0</v>
      </c>
      <c r="AI41" s="22">
        <v>0</v>
      </c>
      <c r="AJ41" s="22">
        <v>0</v>
      </c>
      <c r="AK41" s="22">
        <v>0</v>
      </c>
      <c r="AL41" s="22">
        <v>0</v>
      </c>
      <c r="AM41" s="22">
        <v>0</v>
      </c>
      <c r="AN41" s="22">
        <v>0</v>
      </c>
      <c r="AO41" s="22">
        <v>0</v>
      </c>
      <c r="AP41" s="68"/>
      <c r="AT41" s="81"/>
      <c r="AU41"/>
    </row>
    <row r="42" spans="1:47" ht="32.1">
      <c r="A42" s="23"/>
      <c r="B42" s="19" t="s">
        <v>226</v>
      </c>
      <c r="C42" s="27" t="s">
        <v>227</v>
      </c>
      <c r="D42" s="20">
        <f t="shared" si="0"/>
        <v>4</v>
      </c>
      <c r="E42" s="22">
        <v>1</v>
      </c>
      <c r="F42" s="22">
        <v>0</v>
      </c>
      <c r="G42" s="22">
        <v>0</v>
      </c>
      <c r="H42" s="22">
        <v>0</v>
      </c>
      <c r="I42" s="22">
        <v>0</v>
      </c>
      <c r="J42" s="22">
        <v>0</v>
      </c>
      <c r="K42" s="22">
        <v>0</v>
      </c>
      <c r="L42" s="22">
        <v>0</v>
      </c>
      <c r="M42" s="22">
        <v>0</v>
      </c>
      <c r="N42" s="22">
        <v>0</v>
      </c>
      <c r="O42" s="22">
        <v>0</v>
      </c>
      <c r="P42" s="22">
        <v>0</v>
      </c>
      <c r="Q42" s="22">
        <v>0</v>
      </c>
      <c r="R42" s="22">
        <v>0</v>
      </c>
      <c r="S42" s="22">
        <v>0</v>
      </c>
      <c r="T42" s="22">
        <v>0</v>
      </c>
      <c r="U42" s="22">
        <v>0</v>
      </c>
      <c r="V42" s="22">
        <v>0</v>
      </c>
      <c r="W42" s="22">
        <v>0</v>
      </c>
      <c r="X42" s="22">
        <v>0</v>
      </c>
      <c r="Y42" s="22">
        <v>0</v>
      </c>
      <c r="Z42" s="22">
        <v>0</v>
      </c>
      <c r="AA42" s="22">
        <v>0</v>
      </c>
      <c r="AB42" s="22">
        <v>0</v>
      </c>
      <c r="AC42" s="22">
        <v>0</v>
      </c>
      <c r="AD42" s="22">
        <v>0</v>
      </c>
      <c r="AE42" s="22">
        <v>0</v>
      </c>
      <c r="AF42" s="22">
        <v>1</v>
      </c>
      <c r="AG42" s="22">
        <v>1</v>
      </c>
      <c r="AH42" s="22">
        <v>0</v>
      </c>
      <c r="AI42" s="22">
        <v>0</v>
      </c>
      <c r="AJ42" s="22">
        <v>0</v>
      </c>
      <c r="AK42" s="22">
        <v>0</v>
      </c>
      <c r="AL42" s="22">
        <v>0</v>
      </c>
      <c r="AM42" s="22">
        <v>0</v>
      </c>
      <c r="AN42" s="22">
        <v>0</v>
      </c>
      <c r="AO42" s="22">
        <v>1</v>
      </c>
      <c r="AP42" s="68"/>
      <c r="AT42" s="81"/>
      <c r="AU42"/>
    </row>
    <row r="43" spans="1:47">
      <c r="A43" s="23" t="s">
        <v>228</v>
      </c>
      <c r="B43" s="19" t="s">
        <v>229</v>
      </c>
      <c r="C43" s="19" t="s">
        <v>230</v>
      </c>
      <c r="D43" s="20">
        <f t="shared" si="0"/>
        <v>1</v>
      </c>
      <c r="E43" s="22">
        <v>1</v>
      </c>
      <c r="F43" s="22">
        <v>0</v>
      </c>
      <c r="G43" s="22">
        <v>0</v>
      </c>
      <c r="H43" s="22">
        <v>0</v>
      </c>
      <c r="I43" s="22">
        <v>0</v>
      </c>
      <c r="J43" s="22">
        <v>0</v>
      </c>
      <c r="K43" s="22">
        <v>0</v>
      </c>
      <c r="L43" s="22">
        <v>0</v>
      </c>
      <c r="M43" s="22">
        <v>0</v>
      </c>
      <c r="N43" s="22">
        <v>0</v>
      </c>
      <c r="O43" s="22">
        <v>0</v>
      </c>
      <c r="P43" s="22">
        <v>0</v>
      </c>
      <c r="Q43" s="22">
        <v>0</v>
      </c>
      <c r="R43" s="22">
        <v>0</v>
      </c>
      <c r="S43" s="22">
        <v>0</v>
      </c>
      <c r="T43" s="22">
        <v>0</v>
      </c>
      <c r="U43" s="22">
        <v>0</v>
      </c>
      <c r="V43" s="22">
        <v>0</v>
      </c>
      <c r="W43" s="22">
        <v>0</v>
      </c>
      <c r="X43" s="22">
        <v>0</v>
      </c>
      <c r="Y43" s="22">
        <v>0</v>
      </c>
      <c r="Z43" s="22">
        <v>0</v>
      </c>
      <c r="AA43" s="22">
        <v>0</v>
      </c>
      <c r="AB43" s="22">
        <v>0</v>
      </c>
      <c r="AC43" s="22">
        <v>0</v>
      </c>
      <c r="AD43" s="22">
        <v>0</v>
      </c>
      <c r="AE43" s="22">
        <v>0</v>
      </c>
      <c r="AF43" s="22">
        <v>0</v>
      </c>
      <c r="AG43" s="22">
        <v>0</v>
      </c>
      <c r="AH43" s="22">
        <v>0</v>
      </c>
      <c r="AI43" s="22">
        <v>0</v>
      </c>
      <c r="AJ43" s="22">
        <v>0</v>
      </c>
      <c r="AK43" s="22">
        <v>0</v>
      </c>
      <c r="AL43" s="22">
        <v>0</v>
      </c>
      <c r="AM43" s="22">
        <v>0</v>
      </c>
      <c r="AN43" s="22">
        <v>0</v>
      </c>
      <c r="AO43" s="22">
        <v>0</v>
      </c>
      <c r="AP43" s="67"/>
      <c r="AT43" s="81"/>
      <c r="AU43"/>
    </row>
    <row r="44" spans="1:47">
      <c r="A44" s="24" t="s">
        <v>231</v>
      </c>
      <c r="B44" s="25"/>
      <c r="C44" s="25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67"/>
      <c r="AT44" s="81"/>
      <c r="AU44"/>
    </row>
    <row r="45" spans="1:47">
      <c r="A45" s="23" t="s">
        <v>232</v>
      </c>
      <c r="B45" s="19" t="s">
        <v>233</v>
      </c>
      <c r="C45" s="19" t="s">
        <v>196</v>
      </c>
      <c r="D45" s="20">
        <f t="shared" si="0"/>
        <v>101999</v>
      </c>
      <c r="E45" s="21">
        <v>45719</v>
      </c>
      <c r="F45" s="21">
        <v>6279</v>
      </c>
      <c r="G45" s="21">
        <v>1805</v>
      </c>
      <c r="H45" s="21">
        <v>1266</v>
      </c>
      <c r="I45" s="21">
        <v>1129</v>
      </c>
      <c r="J45" s="21">
        <v>851</v>
      </c>
      <c r="K45" s="21">
        <v>2824</v>
      </c>
      <c r="L45" s="21">
        <v>2466</v>
      </c>
      <c r="M45" s="21">
        <v>1234</v>
      </c>
      <c r="N45" s="21">
        <v>1115</v>
      </c>
      <c r="O45" s="21">
        <v>436</v>
      </c>
      <c r="P45" s="21">
        <v>717</v>
      </c>
      <c r="Q45" s="21">
        <v>251</v>
      </c>
      <c r="R45" s="21">
        <v>1043</v>
      </c>
      <c r="S45" s="21">
        <v>78</v>
      </c>
      <c r="T45" s="21">
        <v>48</v>
      </c>
      <c r="U45" s="21">
        <v>69</v>
      </c>
      <c r="V45" s="21">
        <v>195</v>
      </c>
      <c r="W45" s="21">
        <v>74</v>
      </c>
      <c r="X45" s="21">
        <v>387</v>
      </c>
      <c r="Y45" s="21">
        <v>900</v>
      </c>
      <c r="Z45" s="21">
        <v>767</v>
      </c>
      <c r="AA45" s="21">
        <v>424</v>
      </c>
      <c r="AB45" s="21">
        <v>226</v>
      </c>
      <c r="AC45" s="21">
        <v>436</v>
      </c>
      <c r="AD45" s="21">
        <v>23</v>
      </c>
      <c r="AE45" s="21">
        <v>63</v>
      </c>
      <c r="AF45" s="21">
        <v>8367</v>
      </c>
      <c r="AG45" s="21">
        <v>7594</v>
      </c>
      <c r="AH45" s="21">
        <v>678</v>
      </c>
      <c r="AI45" s="21">
        <v>130</v>
      </c>
      <c r="AJ45" s="21">
        <v>633</v>
      </c>
      <c r="AK45" s="21">
        <v>57</v>
      </c>
      <c r="AL45" s="21">
        <v>80</v>
      </c>
      <c r="AM45" s="21">
        <v>958</v>
      </c>
      <c r="AN45" s="21">
        <v>265</v>
      </c>
      <c r="AO45" s="21">
        <v>12412</v>
      </c>
      <c r="AP45" s="67"/>
      <c r="AT45" s="81"/>
      <c r="AU45"/>
    </row>
    <row r="46" spans="1:47">
      <c r="A46" s="23" t="s">
        <v>234</v>
      </c>
      <c r="B46" s="19" t="s">
        <v>235</v>
      </c>
      <c r="C46" s="19" t="s">
        <v>236</v>
      </c>
      <c r="D46" s="20">
        <f t="shared" si="0"/>
        <v>642</v>
      </c>
      <c r="E46" s="21">
        <v>184</v>
      </c>
      <c r="F46" s="21">
        <v>16</v>
      </c>
      <c r="G46" s="21">
        <v>14</v>
      </c>
      <c r="H46" s="21">
        <v>5</v>
      </c>
      <c r="I46" s="21">
        <v>21</v>
      </c>
      <c r="J46" s="21">
        <v>23</v>
      </c>
      <c r="K46" s="21">
        <v>10</v>
      </c>
      <c r="L46" s="21">
        <v>11</v>
      </c>
      <c r="M46" s="21">
        <v>115</v>
      </c>
      <c r="N46" s="21">
        <v>21</v>
      </c>
      <c r="O46" s="21">
        <v>3</v>
      </c>
      <c r="P46" s="21">
        <v>12</v>
      </c>
      <c r="Q46" s="21">
        <v>9</v>
      </c>
      <c r="R46" s="21">
        <v>8</v>
      </c>
      <c r="S46" s="21">
        <v>0</v>
      </c>
      <c r="T46" s="21">
        <v>0</v>
      </c>
      <c r="U46" s="21">
        <v>0</v>
      </c>
      <c r="V46" s="21">
        <v>1</v>
      </c>
      <c r="W46" s="21">
        <v>1</v>
      </c>
      <c r="X46" s="21">
        <v>4</v>
      </c>
      <c r="Y46" s="21">
        <v>15</v>
      </c>
      <c r="Z46" s="21">
        <v>5</v>
      </c>
      <c r="AA46" s="21">
        <v>10</v>
      </c>
      <c r="AB46" s="21">
        <v>10</v>
      </c>
      <c r="AC46" s="21">
        <v>0</v>
      </c>
      <c r="AD46" s="21">
        <v>0</v>
      </c>
      <c r="AE46" s="21">
        <v>0</v>
      </c>
      <c r="AF46" s="21">
        <v>28</v>
      </c>
      <c r="AG46" s="21">
        <v>45</v>
      </c>
      <c r="AH46" s="21">
        <v>7</v>
      </c>
      <c r="AI46" s="21">
        <v>1</v>
      </c>
      <c r="AJ46" s="21">
        <v>0</v>
      </c>
      <c r="AK46" s="21">
        <v>0</v>
      </c>
      <c r="AL46" s="21">
        <v>5</v>
      </c>
      <c r="AM46" s="21">
        <v>4</v>
      </c>
      <c r="AN46" s="21">
        <v>4</v>
      </c>
      <c r="AO46" s="21">
        <v>50</v>
      </c>
      <c r="AP46" s="67"/>
      <c r="AT46" s="81"/>
      <c r="AU46"/>
    </row>
    <row r="47" spans="1:47">
      <c r="A47" s="23" t="s">
        <v>237</v>
      </c>
      <c r="B47" s="19" t="s">
        <v>238</v>
      </c>
      <c r="C47" s="19" t="s">
        <v>239</v>
      </c>
      <c r="D47" s="20">
        <f t="shared" si="0"/>
        <v>432</v>
      </c>
      <c r="E47" s="22">
        <v>280</v>
      </c>
      <c r="F47" s="22">
        <v>0</v>
      </c>
      <c r="G47" s="22">
        <v>0</v>
      </c>
      <c r="H47" s="22">
        <v>0</v>
      </c>
      <c r="I47" s="22">
        <v>0</v>
      </c>
      <c r="J47" s="22">
        <v>0</v>
      </c>
      <c r="K47" s="22">
        <v>0</v>
      </c>
      <c r="L47" s="22">
        <v>0</v>
      </c>
      <c r="M47" s="22">
        <v>9</v>
      </c>
      <c r="N47" s="22">
        <v>15</v>
      </c>
      <c r="O47" s="22">
        <v>0</v>
      </c>
      <c r="P47" s="22">
        <v>0</v>
      </c>
      <c r="Q47" s="22">
        <v>0</v>
      </c>
      <c r="R47" s="22">
        <v>0</v>
      </c>
      <c r="S47" s="22">
        <v>0</v>
      </c>
      <c r="T47" s="22">
        <v>0</v>
      </c>
      <c r="U47" s="22">
        <v>0</v>
      </c>
      <c r="V47" s="22">
        <v>0</v>
      </c>
      <c r="W47" s="22">
        <v>0</v>
      </c>
      <c r="X47" s="22">
        <v>0</v>
      </c>
      <c r="Y47" s="22">
        <v>0</v>
      </c>
      <c r="Z47" s="22">
        <v>0</v>
      </c>
      <c r="AA47" s="22">
        <v>0</v>
      </c>
      <c r="AB47" s="22">
        <v>0</v>
      </c>
      <c r="AC47" s="22">
        <v>0</v>
      </c>
      <c r="AD47" s="22">
        <v>0</v>
      </c>
      <c r="AE47" s="22">
        <v>0</v>
      </c>
      <c r="AF47" s="22">
        <v>10</v>
      </c>
      <c r="AG47" s="22">
        <v>58</v>
      </c>
      <c r="AH47" s="22">
        <v>0</v>
      </c>
      <c r="AI47" s="22">
        <v>0</v>
      </c>
      <c r="AJ47" s="22">
        <v>0</v>
      </c>
      <c r="AK47" s="22">
        <v>0</v>
      </c>
      <c r="AL47" s="22">
        <v>0</v>
      </c>
      <c r="AM47" s="22">
        <v>20</v>
      </c>
      <c r="AN47" s="22">
        <v>0</v>
      </c>
      <c r="AO47" s="22">
        <v>40</v>
      </c>
      <c r="AP47" s="67"/>
      <c r="AT47" s="81"/>
      <c r="AU47"/>
    </row>
    <row r="48" spans="1:47">
      <c r="A48" s="23" t="s">
        <v>240</v>
      </c>
      <c r="B48" s="19" t="s">
        <v>241</v>
      </c>
      <c r="C48" s="19" t="s">
        <v>242</v>
      </c>
      <c r="D48" s="20">
        <f t="shared" si="0"/>
        <v>23</v>
      </c>
      <c r="E48" s="21">
        <v>16</v>
      </c>
      <c r="F48" s="21">
        <v>1</v>
      </c>
      <c r="G48" s="21">
        <v>0</v>
      </c>
      <c r="H48" s="21">
        <v>0</v>
      </c>
      <c r="I48" s="21">
        <v>0</v>
      </c>
      <c r="J48" s="21">
        <v>0</v>
      </c>
      <c r="K48" s="21">
        <v>0</v>
      </c>
      <c r="L48" s="21">
        <v>0</v>
      </c>
      <c r="M48" s="21">
        <v>0</v>
      </c>
      <c r="N48" s="21">
        <v>0</v>
      </c>
      <c r="O48" s="21">
        <v>0</v>
      </c>
      <c r="P48" s="21">
        <v>0</v>
      </c>
      <c r="Q48" s="21">
        <v>0</v>
      </c>
      <c r="R48" s="21">
        <v>0</v>
      </c>
      <c r="S48" s="21">
        <v>0</v>
      </c>
      <c r="T48" s="21">
        <v>0</v>
      </c>
      <c r="U48" s="21">
        <v>0</v>
      </c>
      <c r="V48" s="21">
        <v>0</v>
      </c>
      <c r="W48" s="21">
        <v>0</v>
      </c>
      <c r="X48" s="21">
        <v>0</v>
      </c>
      <c r="Y48" s="21">
        <v>0</v>
      </c>
      <c r="Z48" s="21">
        <v>0</v>
      </c>
      <c r="AA48" s="21">
        <v>0</v>
      </c>
      <c r="AB48" s="21">
        <v>0</v>
      </c>
      <c r="AC48" s="21">
        <v>0</v>
      </c>
      <c r="AD48" s="21">
        <v>0</v>
      </c>
      <c r="AE48" s="21">
        <v>0</v>
      </c>
      <c r="AF48" s="21">
        <v>2</v>
      </c>
      <c r="AG48" s="21">
        <v>1</v>
      </c>
      <c r="AH48" s="21">
        <v>0</v>
      </c>
      <c r="AI48" s="21">
        <v>0</v>
      </c>
      <c r="AJ48" s="21">
        <v>0</v>
      </c>
      <c r="AK48" s="21">
        <v>0</v>
      </c>
      <c r="AL48" s="21">
        <v>0</v>
      </c>
      <c r="AM48" s="21">
        <v>0</v>
      </c>
      <c r="AN48" s="21">
        <v>0</v>
      </c>
      <c r="AO48" s="21">
        <v>3</v>
      </c>
      <c r="AP48" s="68"/>
      <c r="AT48" s="81"/>
      <c r="AU48"/>
    </row>
    <row r="49" spans="1:47">
      <c r="A49" s="23" t="s">
        <v>243</v>
      </c>
      <c r="B49" s="19" t="s">
        <v>244</v>
      </c>
      <c r="C49" s="19" t="s">
        <v>245</v>
      </c>
      <c r="D49" s="20">
        <f>SUM(E49:AO49)</f>
        <v>10379.07</v>
      </c>
      <c r="E49" s="22">
        <v>2515.73</v>
      </c>
      <c r="F49" s="22">
        <v>487.06</v>
      </c>
      <c r="G49" s="22">
        <v>0</v>
      </c>
      <c r="H49" s="22">
        <v>0</v>
      </c>
      <c r="I49" s="22">
        <v>1349.41</v>
      </c>
      <c r="J49" s="22">
        <v>0</v>
      </c>
      <c r="K49" s="22">
        <v>0</v>
      </c>
      <c r="L49" s="22">
        <v>0</v>
      </c>
      <c r="M49" s="22">
        <v>0</v>
      </c>
      <c r="N49" s="22">
        <v>0</v>
      </c>
      <c r="O49" s="22">
        <v>0</v>
      </c>
      <c r="P49" s="22">
        <v>0</v>
      </c>
      <c r="Q49" s="22">
        <v>0</v>
      </c>
      <c r="R49" s="22">
        <v>0</v>
      </c>
      <c r="S49" s="22">
        <v>0</v>
      </c>
      <c r="T49" s="22">
        <v>0</v>
      </c>
      <c r="U49" s="22">
        <v>0</v>
      </c>
      <c r="V49" s="22">
        <v>0</v>
      </c>
      <c r="W49" s="22">
        <v>0</v>
      </c>
      <c r="X49" s="22">
        <v>0</v>
      </c>
      <c r="Y49" s="22">
        <v>0</v>
      </c>
      <c r="Z49" s="22">
        <v>902.35</v>
      </c>
      <c r="AA49" s="22">
        <v>0</v>
      </c>
      <c r="AB49" s="22">
        <v>0</v>
      </c>
      <c r="AC49" s="22">
        <v>0</v>
      </c>
      <c r="AD49" s="22">
        <v>0</v>
      </c>
      <c r="AE49" s="22">
        <v>0</v>
      </c>
      <c r="AF49" s="22">
        <v>0</v>
      </c>
      <c r="AG49" s="22">
        <v>4401.16</v>
      </c>
      <c r="AH49" s="22">
        <v>723.36</v>
      </c>
      <c r="AI49" s="22">
        <v>0</v>
      </c>
      <c r="AJ49" s="22">
        <v>0</v>
      </c>
      <c r="AK49" s="22">
        <v>0</v>
      </c>
      <c r="AL49" s="22">
        <v>0</v>
      </c>
      <c r="AM49" s="22">
        <v>0</v>
      </c>
      <c r="AN49" s="22">
        <v>0</v>
      </c>
      <c r="AO49" s="22">
        <v>0</v>
      </c>
      <c r="AP49" s="68"/>
      <c r="AT49" s="81"/>
      <c r="AU49"/>
    </row>
    <row r="50" spans="1:47">
      <c r="A50" s="23" t="s">
        <v>246</v>
      </c>
      <c r="B50" s="19" t="s">
        <v>247</v>
      </c>
      <c r="C50" s="19" t="s">
        <v>248</v>
      </c>
      <c r="D50" s="20">
        <f t="shared" si="0"/>
        <v>0</v>
      </c>
      <c r="E50" s="22">
        <v>0</v>
      </c>
      <c r="F50" s="22">
        <v>0</v>
      </c>
      <c r="G50" s="22">
        <v>0</v>
      </c>
      <c r="H50" s="22">
        <v>0</v>
      </c>
      <c r="I50" s="22">
        <v>0</v>
      </c>
      <c r="J50" s="22">
        <v>0</v>
      </c>
      <c r="K50" s="22">
        <v>0</v>
      </c>
      <c r="L50" s="22">
        <v>0</v>
      </c>
      <c r="M50" s="22">
        <v>0</v>
      </c>
      <c r="N50" s="22">
        <v>0</v>
      </c>
      <c r="O50" s="22">
        <v>0</v>
      </c>
      <c r="P50" s="22">
        <v>0</v>
      </c>
      <c r="Q50" s="22">
        <v>0</v>
      </c>
      <c r="R50" s="22">
        <v>0</v>
      </c>
      <c r="S50" s="22">
        <v>0</v>
      </c>
      <c r="T50" s="22">
        <v>0</v>
      </c>
      <c r="U50" s="22">
        <v>0</v>
      </c>
      <c r="V50" s="22">
        <v>0</v>
      </c>
      <c r="W50" s="22">
        <v>0</v>
      </c>
      <c r="X50" s="22">
        <v>0</v>
      </c>
      <c r="Y50" s="22">
        <v>0</v>
      </c>
      <c r="Z50" s="22">
        <v>0</v>
      </c>
      <c r="AA50" s="22">
        <v>0</v>
      </c>
      <c r="AB50" s="22">
        <v>0</v>
      </c>
      <c r="AC50" s="22">
        <v>0</v>
      </c>
      <c r="AD50" s="22">
        <v>0</v>
      </c>
      <c r="AE50" s="22">
        <v>0</v>
      </c>
      <c r="AF50" s="22">
        <v>0</v>
      </c>
      <c r="AG50" s="22">
        <v>0</v>
      </c>
      <c r="AH50" s="22">
        <v>0</v>
      </c>
      <c r="AI50" s="22">
        <v>0</v>
      </c>
      <c r="AJ50" s="22">
        <v>0</v>
      </c>
      <c r="AK50" s="22">
        <v>0</v>
      </c>
      <c r="AL50" s="22">
        <v>0</v>
      </c>
      <c r="AM50" s="22">
        <v>0</v>
      </c>
      <c r="AN50" s="22">
        <v>0</v>
      </c>
      <c r="AO50" s="22">
        <v>0</v>
      </c>
      <c r="AP50" s="68"/>
      <c r="AT50" s="81"/>
      <c r="AU50"/>
    </row>
    <row r="51" spans="1:47" ht="13.5" customHeight="1">
      <c r="A51" s="23" t="s">
        <v>249</v>
      </c>
      <c r="B51" s="19" t="s">
        <v>250</v>
      </c>
      <c r="C51" s="19" t="s">
        <v>236</v>
      </c>
      <c r="D51" s="20">
        <f t="shared" si="0"/>
        <v>4</v>
      </c>
      <c r="E51" s="22">
        <v>4</v>
      </c>
      <c r="F51" s="22">
        <v>0</v>
      </c>
      <c r="G51" s="22">
        <v>0</v>
      </c>
      <c r="H51" s="22">
        <v>0</v>
      </c>
      <c r="I51" s="22">
        <v>0</v>
      </c>
      <c r="J51" s="22">
        <v>0</v>
      </c>
      <c r="K51" s="22">
        <v>0</v>
      </c>
      <c r="L51" s="22">
        <v>0</v>
      </c>
      <c r="M51" s="22">
        <v>0</v>
      </c>
      <c r="N51" s="22">
        <v>0</v>
      </c>
      <c r="O51" s="22">
        <v>0</v>
      </c>
      <c r="P51" s="22">
        <v>0</v>
      </c>
      <c r="Q51" s="22">
        <v>0</v>
      </c>
      <c r="R51" s="22">
        <v>0</v>
      </c>
      <c r="S51" s="22">
        <v>0</v>
      </c>
      <c r="T51" s="22">
        <v>0</v>
      </c>
      <c r="U51" s="22">
        <v>0</v>
      </c>
      <c r="V51" s="22">
        <v>0</v>
      </c>
      <c r="W51" s="22">
        <v>0</v>
      </c>
      <c r="X51" s="22">
        <v>0</v>
      </c>
      <c r="Y51" s="22">
        <v>0</v>
      </c>
      <c r="Z51" s="22">
        <v>0</v>
      </c>
      <c r="AA51" s="22">
        <v>0</v>
      </c>
      <c r="AB51" s="22">
        <v>0</v>
      </c>
      <c r="AC51" s="22">
        <v>0</v>
      </c>
      <c r="AD51" s="22">
        <v>0</v>
      </c>
      <c r="AE51" s="22">
        <v>0</v>
      </c>
      <c r="AF51" s="22">
        <v>0</v>
      </c>
      <c r="AG51" s="22">
        <v>0</v>
      </c>
      <c r="AH51" s="22">
        <v>0</v>
      </c>
      <c r="AI51" s="22">
        <v>0</v>
      </c>
      <c r="AJ51" s="22">
        <v>0</v>
      </c>
      <c r="AK51" s="22">
        <v>0</v>
      </c>
      <c r="AL51" s="22">
        <v>0</v>
      </c>
      <c r="AM51" s="22">
        <v>0</v>
      </c>
      <c r="AN51" s="22">
        <v>0</v>
      </c>
      <c r="AO51" s="22">
        <v>0</v>
      </c>
      <c r="AP51" s="68"/>
      <c r="AT51" s="81"/>
      <c r="AU51"/>
    </row>
    <row r="52" spans="1:47">
      <c r="A52" s="23" t="s">
        <v>251</v>
      </c>
      <c r="B52" s="19" t="s">
        <v>252</v>
      </c>
      <c r="C52" s="19" t="s">
        <v>253</v>
      </c>
      <c r="D52" s="20">
        <f t="shared" si="0"/>
        <v>11</v>
      </c>
      <c r="E52" s="21">
        <v>5</v>
      </c>
      <c r="F52" s="21">
        <v>0</v>
      </c>
      <c r="G52" s="21">
        <v>2</v>
      </c>
      <c r="H52" s="21">
        <v>0</v>
      </c>
      <c r="I52" s="21">
        <v>0</v>
      </c>
      <c r="J52" s="21">
        <v>0</v>
      </c>
      <c r="K52" s="21">
        <v>0</v>
      </c>
      <c r="L52" s="21">
        <v>0</v>
      </c>
      <c r="M52" s="21">
        <v>0</v>
      </c>
      <c r="N52" s="21">
        <v>0</v>
      </c>
      <c r="O52" s="21">
        <v>0</v>
      </c>
      <c r="P52" s="21">
        <v>0</v>
      </c>
      <c r="Q52" s="21">
        <v>0</v>
      </c>
      <c r="R52" s="21">
        <v>0</v>
      </c>
      <c r="S52" s="21">
        <v>0</v>
      </c>
      <c r="T52" s="21">
        <v>0</v>
      </c>
      <c r="U52" s="21">
        <v>0</v>
      </c>
      <c r="V52" s="21">
        <v>0</v>
      </c>
      <c r="W52" s="21">
        <v>0</v>
      </c>
      <c r="X52" s="21">
        <v>0</v>
      </c>
      <c r="Y52" s="21">
        <v>0</v>
      </c>
      <c r="Z52" s="21">
        <v>0</v>
      </c>
      <c r="AA52" s="21">
        <v>0</v>
      </c>
      <c r="AB52" s="21">
        <v>0</v>
      </c>
      <c r="AC52" s="21">
        <v>0</v>
      </c>
      <c r="AD52" s="21">
        <v>0</v>
      </c>
      <c r="AE52" s="21">
        <v>0</v>
      </c>
      <c r="AF52" s="21">
        <v>2</v>
      </c>
      <c r="AG52" s="21">
        <v>2</v>
      </c>
      <c r="AH52" s="21">
        <v>0</v>
      </c>
      <c r="AI52" s="21">
        <v>0</v>
      </c>
      <c r="AJ52" s="21">
        <v>0</v>
      </c>
      <c r="AK52" s="21">
        <v>0</v>
      </c>
      <c r="AL52" s="21">
        <v>0</v>
      </c>
      <c r="AM52" s="21">
        <v>0</v>
      </c>
      <c r="AN52" s="21">
        <v>0</v>
      </c>
      <c r="AO52" s="21">
        <v>0</v>
      </c>
      <c r="AP52" s="68"/>
      <c r="AT52" s="81"/>
      <c r="AU52"/>
    </row>
    <row r="53" spans="1:47">
      <c r="A53" s="23" t="s">
        <v>254</v>
      </c>
      <c r="B53" s="19" t="s">
        <v>255</v>
      </c>
      <c r="C53" s="19" t="s">
        <v>256</v>
      </c>
      <c r="D53" s="20">
        <f t="shared" si="0"/>
        <v>13</v>
      </c>
      <c r="E53" s="21">
        <v>6</v>
      </c>
      <c r="F53" s="21">
        <v>0</v>
      </c>
      <c r="G53" s="21">
        <v>1</v>
      </c>
      <c r="H53" s="21">
        <v>0</v>
      </c>
      <c r="I53" s="21">
        <v>0</v>
      </c>
      <c r="J53" s="21">
        <v>0</v>
      </c>
      <c r="K53" s="21">
        <v>0</v>
      </c>
      <c r="L53" s="21">
        <v>0</v>
      </c>
      <c r="M53" s="21">
        <v>0</v>
      </c>
      <c r="N53" s="21">
        <v>0</v>
      </c>
      <c r="O53" s="21">
        <v>0</v>
      </c>
      <c r="P53" s="21">
        <v>0</v>
      </c>
      <c r="Q53" s="21">
        <v>0</v>
      </c>
      <c r="R53" s="21">
        <v>0</v>
      </c>
      <c r="S53" s="21">
        <v>0</v>
      </c>
      <c r="T53" s="21">
        <v>0</v>
      </c>
      <c r="U53" s="21">
        <v>0</v>
      </c>
      <c r="V53" s="21">
        <v>0</v>
      </c>
      <c r="W53" s="21">
        <v>0</v>
      </c>
      <c r="X53" s="21">
        <v>0</v>
      </c>
      <c r="Y53" s="21">
        <v>0</v>
      </c>
      <c r="Z53" s="21">
        <v>0</v>
      </c>
      <c r="AA53" s="21">
        <v>0</v>
      </c>
      <c r="AB53" s="21">
        <v>0</v>
      </c>
      <c r="AC53" s="21">
        <v>0</v>
      </c>
      <c r="AD53" s="21">
        <v>0</v>
      </c>
      <c r="AE53" s="21">
        <v>0</v>
      </c>
      <c r="AF53" s="21">
        <v>3</v>
      </c>
      <c r="AG53" s="21">
        <v>3</v>
      </c>
      <c r="AH53" s="21">
        <v>0</v>
      </c>
      <c r="AI53" s="21">
        <v>0</v>
      </c>
      <c r="AJ53" s="21">
        <v>0</v>
      </c>
      <c r="AK53" s="21">
        <v>0</v>
      </c>
      <c r="AL53" s="21">
        <v>0</v>
      </c>
      <c r="AM53" s="21">
        <v>0</v>
      </c>
      <c r="AN53" s="21">
        <v>0</v>
      </c>
      <c r="AO53" s="21">
        <v>0</v>
      </c>
      <c r="AP53" s="68"/>
      <c r="AT53" s="81"/>
      <c r="AU53"/>
    </row>
    <row r="54" spans="1:47">
      <c r="A54" s="23" t="s">
        <v>257</v>
      </c>
      <c r="B54" s="19" t="s">
        <v>258</v>
      </c>
      <c r="C54" s="19" t="s">
        <v>259</v>
      </c>
      <c r="D54" s="20">
        <f t="shared" si="0"/>
        <v>8</v>
      </c>
      <c r="E54" s="21">
        <v>1</v>
      </c>
      <c r="F54" s="21">
        <v>1</v>
      </c>
      <c r="G54" s="21">
        <v>0</v>
      </c>
      <c r="H54" s="21">
        <v>0</v>
      </c>
      <c r="I54" s="21">
        <v>1</v>
      </c>
      <c r="J54" s="21">
        <v>0</v>
      </c>
      <c r="K54" s="21">
        <v>1</v>
      </c>
      <c r="L54" s="21">
        <v>0</v>
      </c>
      <c r="M54" s="21">
        <v>1</v>
      </c>
      <c r="N54" s="21">
        <v>1</v>
      </c>
      <c r="O54" s="21">
        <v>0</v>
      </c>
      <c r="P54" s="21">
        <v>0</v>
      </c>
      <c r="Q54" s="21">
        <v>0</v>
      </c>
      <c r="R54" s="21">
        <v>0</v>
      </c>
      <c r="S54" s="21">
        <v>0</v>
      </c>
      <c r="T54" s="21">
        <v>0</v>
      </c>
      <c r="U54" s="21">
        <v>0</v>
      </c>
      <c r="V54" s="21">
        <v>0</v>
      </c>
      <c r="W54" s="21">
        <v>0</v>
      </c>
      <c r="X54" s="21">
        <v>0</v>
      </c>
      <c r="Y54" s="21">
        <v>0</v>
      </c>
      <c r="Z54" s="21">
        <v>0</v>
      </c>
      <c r="AA54" s="21">
        <v>0</v>
      </c>
      <c r="AB54" s="21">
        <v>0</v>
      </c>
      <c r="AC54" s="21">
        <v>1</v>
      </c>
      <c r="AD54" s="21">
        <v>0</v>
      </c>
      <c r="AE54" s="21">
        <v>0</v>
      </c>
      <c r="AF54" s="21">
        <v>1</v>
      </c>
      <c r="AG54" s="21">
        <v>0</v>
      </c>
      <c r="AH54" s="21">
        <v>0</v>
      </c>
      <c r="AI54" s="21">
        <v>0</v>
      </c>
      <c r="AJ54" s="21">
        <v>0</v>
      </c>
      <c r="AK54" s="21">
        <v>0</v>
      </c>
      <c r="AL54" s="21">
        <v>0</v>
      </c>
      <c r="AM54" s="21">
        <v>0</v>
      </c>
      <c r="AN54" s="21">
        <v>0</v>
      </c>
      <c r="AO54" s="21">
        <v>0</v>
      </c>
      <c r="AP54" s="67"/>
      <c r="AT54" s="81"/>
      <c r="AU54"/>
    </row>
    <row r="55" spans="1:47">
      <c r="A55" s="23" t="s">
        <v>257</v>
      </c>
      <c r="B55" s="19" t="s">
        <v>260</v>
      </c>
      <c r="C55" s="19" t="s">
        <v>259</v>
      </c>
      <c r="D55" s="20">
        <f t="shared" si="0"/>
        <v>1</v>
      </c>
      <c r="E55" s="22">
        <v>0</v>
      </c>
      <c r="F55" s="22">
        <v>0</v>
      </c>
      <c r="G55" s="22">
        <v>0</v>
      </c>
      <c r="H55" s="22">
        <v>0</v>
      </c>
      <c r="I55" s="22">
        <v>0</v>
      </c>
      <c r="J55" s="22">
        <v>0</v>
      </c>
      <c r="K55" s="22">
        <v>0</v>
      </c>
      <c r="L55" s="22">
        <v>0</v>
      </c>
      <c r="M55" s="22">
        <v>0</v>
      </c>
      <c r="N55" s="22">
        <v>0</v>
      </c>
      <c r="O55" s="22">
        <v>0</v>
      </c>
      <c r="P55" s="22">
        <v>0</v>
      </c>
      <c r="Q55" s="22">
        <v>0</v>
      </c>
      <c r="R55" s="22">
        <v>0</v>
      </c>
      <c r="S55" s="22">
        <v>0</v>
      </c>
      <c r="T55" s="22">
        <v>0</v>
      </c>
      <c r="U55" s="22">
        <v>0</v>
      </c>
      <c r="V55" s="22">
        <v>0</v>
      </c>
      <c r="W55" s="22">
        <v>0</v>
      </c>
      <c r="X55" s="22">
        <v>0</v>
      </c>
      <c r="Y55" s="22">
        <v>0</v>
      </c>
      <c r="Z55" s="22">
        <v>0</v>
      </c>
      <c r="AA55" s="22">
        <v>0</v>
      </c>
      <c r="AB55" s="22">
        <v>0</v>
      </c>
      <c r="AC55" s="22">
        <v>0</v>
      </c>
      <c r="AD55" s="22">
        <v>0</v>
      </c>
      <c r="AE55" s="22">
        <v>0</v>
      </c>
      <c r="AF55" s="22">
        <v>0</v>
      </c>
      <c r="AG55" s="22">
        <v>1</v>
      </c>
      <c r="AH55" s="22">
        <v>0</v>
      </c>
      <c r="AI55" s="22">
        <v>0</v>
      </c>
      <c r="AJ55" s="22">
        <v>0</v>
      </c>
      <c r="AK55" s="22">
        <v>0</v>
      </c>
      <c r="AL55" s="22">
        <v>0</v>
      </c>
      <c r="AM55" s="22">
        <v>0</v>
      </c>
      <c r="AN55" s="22">
        <v>0</v>
      </c>
      <c r="AO55" s="22">
        <v>0</v>
      </c>
      <c r="AP55" s="67"/>
      <c r="AT55" s="81"/>
      <c r="AU55"/>
    </row>
    <row r="56" spans="1:47">
      <c r="A56" s="23" t="s">
        <v>257</v>
      </c>
      <c r="B56" s="19" t="s">
        <v>261</v>
      </c>
      <c r="C56" s="19" t="s">
        <v>259</v>
      </c>
      <c r="D56" s="20">
        <f t="shared" si="0"/>
        <v>0</v>
      </c>
      <c r="E56" s="21">
        <v>0</v>
      </c>
      <c r="F56" s="21">
        <v>0</v>
      </c>
      <c r="G56" s="21">
        <v>0</v>
      </c>
      <c r="H56" s="21">
        <v>0</v>
      </c>
      <c r="I56" s="21">
        <v>0</v>
      </c>
      <c r="J56" s="21">
        <v>0</v>
      </c>
      <c r="K56" s="21">
        <v>0</v>
      </c>
      <c r="L56" s="21">
        <v>0</v>
      </c>
      <c r="M56" s="21">
        <v>0</v>
      </c>
      <c r="N56" s="21">
        <v>0</v>
      </c>
      <c r="O56" s="21">
        <v>0</v>
      </c>
      <c r="P56" s="21">
        <v>0</v>
      </c>
      <c r="Q56" s="21">
        <v>0</v>
      </c>
      <c r="R56" s="21">
        <v>0</v>
      </c>
      <c r="S56" s="21">
        <v>0</v>
      </c>
      <c r="T56" s="21">
        <v>0</v>
      </c>
      <c r="U56" s="21">
        <v>0</v>
      </c>
      <c r="V56" s="21">
        <v>0</v>
      </c>
      <c r="W56" s="21">
        <v>0</v>
      </c>
      <c r="X56" s="21">
        <v>0</v>
      </c>
      <c r="Y56" s="21">
        <v>0</v>
      </c>
      <c r="Z56" s="21">
        <v>0</v>
      </c>
      <c r="AA56" s="21">
        <v>0</v>
      </c>
      <c r="AB56" s="21">
        <v>0</v>
      </c>
      <c r="AC56" s="21">
        <v>0</v>
      </c>
      <c r="AD56" s="21">
        <v>0</v>
      </c>
      <c r="AE56" s="21">
        <v>0</v>
      </c>
      <c r="AF56" s="21">
        <v>0</v>
      </c>
      <c r="AG56" s="21">
        <v>0</v>
      </c>
      <c r="AH56" s="21">
        <v>0</v>
      </c>
      <c r="AI56" s="21">
        <v>0</v>
      </c>
      <c r="AJ56" s="21">
        <v>0</v>
      </c>
      <c r="AK56" s="21">
        <v>0</v>
      </c>
      <c r="AL56" s="21">
        <v>0</v>
      </c>
      <c r="AM56" s="21">
        <v>0</v>
      </c>
      <c r="AN56" s="21">
        <v>0</v>
      </c>
      <c r="AO56" s="21">
        <v>0</v>
      </c>
      <c r="AP56" s="67"/>
      <c r="AT56" s="81"/>
      <c r="AU56"/>
    </row>
    <row r="57" spans="1:47">
      <c r="A57" s="23" t="s">
        <v>262</v>
      </c>
      <c r="B57" s="19" t="s">
        <v>263</v>
      </c>
      <c r="C57" s="19" t="s">
        <v>259</v>
      </c>
      <c r="D57" s="20">
        <f t="shared" si="0"/>
        <v>2</v>
      </c>
      <c r="E57" s="21">
        <v>1</v>
      </c>
      <c r="F57" s="21">
        <v>0</v>
      </c>
      <c r="G57" s="21">
        <v>0</v>
      </c>
      <c r="H57" s="21">
        <v>0</v>
      </c>
      <c r="I57" s="21">
        <v>0</v>
      </c>
      <c r="J57" s="21">
        <v>0</v>
      </c>
      <c r="K57" s="21">
        <v>0</v>
      </c>
      <c r="L57" s="21">
        <v>0</v>
      </c>
      <c r="M57" s="21">
        <v>0</v>
      </c>
      <c r="N57" s="21">
        <v>0</v>
      </c>
      <c r="O57" s="21">
        <v>0</v>
      </c>
      <c r="P57" s="21">
        <v>0</v>
      </c>
      <c r="Q57" s="21">
        <v>0</v>
      </c>
      <c r="R57" s="21">
        <v>0</v>
      </c>
      <c r="S57" s="21">
        <v>0</v>
      </c>
      <c r="T57" s="21">
        <v>0</v>
      </c>
      <c r="U57" s="21">
        <v>0</v>
      </c>
      <c r="V57" s="21">
        <v>0</v>
      </c>
      <c r="W57" s="21">
        <v>0</v>
      </c>
      <c r="X57" s="21">
        <v>0</v>
      </c>
      <c r="Y57" s="21">
        <v>0</v>
      </c>
      <c r="Z57" s="21">
        <v>0</v>
      </c>
      <c r="AA57" s="21">
        <v>0</v>
      </c>
      <c r="AB57" s="21">
        <v>0</v>
      </c>
      <c r="AC57" s="21">
        <v>0</v>
      </c>
      <c r="AD57" s="21">
        <v>0</v>
      </c>
      <c r="AE57" s="21">
        <v>0</v>
      </c>
      <c r="AF57" s="21">
        <v>0</v>
      </c>
      <c r="AG57" s="21">
        <v>0</v>
      </c>
      <c r="AH57" s="21">
        <v>0</v>
      </c>
      <c r="AI57" s="21">
        <v>0</v>
      </c>
      <c r="AJ57" s="21">
        <v>0</v>
      </c>
      <c r="AK57" s="21">
        <v>0</v>
      </c>
      <c r="AL57" s="21">
        <v>0</v>
      </c>
      <c r="AM57" s="21">
        <v>0</v>
      </c>
      <c r="AN57" s="21">
        <v>0</v>
      </c>
      <c r="AO57" s="21">
        <v>1</v>
      </c>
      <c r="AP57" s="67"/>
      <c r="AT57" s="81"/>
      <c r="AU57"/>
    </row>
    <row r="58" spans="1:47">
      <c r="A58" s="23"/>
      <c r="B58" s="19" t="s">
        <v>264</v>
      </c>
      <c r="C58" s="19" t="s">
        <v>265</v>
      </c>
      <c r="D58" s="20">
        <f t="shared" si="0"/>
        <v>3</v>
      </c>
      <c r="E58" s="21">
        <v>0</v>
      </c>
      <c r="F58" s="21">
        <v>0</v>
      </c>
      <c r="G58" s="21">
        <v>0</v>
      </c>
      <c r="H58" s="21">
        <v>0</v>
      </c>
      <c r="I58" s="21">
        <v>0</v>
      </c>
      <c r="J58" s="21">
        <v>0</v>
      </c>
      <c r="K58" s="21">
        <v>0</v>
      </c>
      <c r="L58" s="21">
        <v>0</v>
      </c>
      <c r="M58" s="21">
        <v>0</v>
      </c>
      <c r="N58" s="21">
        <v>0</v>
      </c>
      <c r="O58" s="21">
        <v>0</v>
      </c>
      <c r="P58" s="21">
        <v>0</v>
      </c>
      <c r="Q58" s="21">
        <v>0</v>
      </c>
      <c r="R58" s="21">
        <v>0</v>
      </c>
      <c r="S58" s="21">
        <v>0</v>
      </c>
      <c r="T58" s="21">
        <v>0</v>
      </c>
      <c r="U58" s="21">
        <v>0</v>
      </c>
      <c r="V58" s="21">
        <v>0</v>
      </c>
      <c r="W58" s="21">
        <v>0</v>
      </c>
      <c r="X58" s="21">
        <v>0</v>
      </c>
      <c r="Y58" s="21">
        <v>0</v>
      </c>
      <c r="Z58" s="21">
        <v>1</v>
      </c>
      <c r="AA58" s="21">
        <v>0</v>
      </c>
      <c r="AB58" s="21">
        <v>0</v>
      </c>
      <c r="AC58" s="21">
        <v>0</v>
      </c>
      <c r="AD58" s="21">
        <v>0</v>
      </c>
      <c r="AE58" s="21">
        <v>0</v>
      </c>
      <c r="AF58" s="21">
        <v>0</v>
      </c>
      <c r="AG58" s="21">
        <v>0</v>
      </c>
      <c r="AH58" s="21">
        <v>0</v>
      </c>
      <c r="AI58" s="21">
        <v>0</v>
      </c>
      <c r="AJ58" s="21">
        <v>0</v>
      </c>
      <c r="AK58" s="21">
        <v>0</v>
      </c>
      <c r="AL58" s="21">
        <v>0</v>
      </c>
      <c r="AM58" s="21">
        <v>1</v>
      </c>
      <c r="AN58" s="21">
        <v>1</v>
      </c>
      <c r="AO58" s="21">
        <v>0</v>
      </c>
      <c r="AP58" s="67"/>
      <c r="AT58" s="81"/>
      <c r="AU58"/>
    </row>
    <row r="59" spans="1:47">
      <c r="A59" s="23" t="s">
        <v>262</v>
      </c>
      <c r="B59" s="19" t="s">
        <v>266</v>
      </c>
      <c r="C59" s="19" t="s">
        <v>265</v>
      </c>
      <c r="D59" s="20">
        <f t="shared" si="0"/>
        <v>9</v>
      </c>
      <c r="E59" s="21">
        <v>0</v>
      </c>
      <c r="F59" s="21">
        <v>1</v>
      </c>
      <c r="G59" s="21">
        <v>1</v>
      </c>
      <c r="H59" s="21">
        <v>1</v>
      </c>
      <c r="I59" s="21">
        <v>3</v>
      </c>
      <c r="J59" s="21">
        <v>1</v>
      </c>
      <c r="K59" s="21">
        <v>0</v>
      </c>
      <c r="L59" s="21">
        <v>0</v>
      </c>
      <c r="M59" s="21">
        <v>0</v>
      </c>
      <c r="N59" s="21">
        <v>1</v>
      </c>
      <c r="O59" s="21">
        <v>0</v>
      </c>
      <c r="P59" s="21">
        <v>0</v>
      </c>
      <c r="Q59" s="21">
        <v>0</v>
      </c>
      <c r="R59" s="21">
        <v>0</v>
      </c>
      <c r="S59" s="21">
        <v>0</v>
      </c>
      <c r="T59" s="21">
        <v>0</v>
      </c>
      <c r="U59" s="21">
        <v>0</v>
      </c>
      <c r="V59" s="21">
        <v>0</v>
      </c>
      <c r="W59" s="21">
        <v>0</v>
      </c>
      <c r="X59" s="21">
        <v>0</v>
      </c>
      <c r="Y59" s="21">
        <v>0</v>
      </c>
      <c r="Z59" s="21">
        <v>0</v>
      </c>
      <c r="AA59" s="21">
        <v>0</v>
      </c>
      <c r="AB59" s="21">
        <v>0</v>
      </c>
      <c r="AC59" s="21">
        <v>0</v>
      </c>
      <c r="AD59" s="21">
        <v>0</v>
      </c>
      <c r="AE59" s="21">
        <v>0</v>
      </c>
      <c r="AF59" s="21">
        <v>0</v>
      </c>
      <c r="AG59" s="21">
        <v>0</v>
      </c>
      <c r="AH59" s="21">
        <v>0</v>
      </c>
      <c r="AI59" s="21">
        <v>0</v>
      </c>
      <c r="AJ59" s="21">
        <v>0</v>
      </c>
      <c r="AK59" s="21">
        <v>0</v>
      </c>
      <c r="AL59" s="21">
        <v>0</v>
      </c>
      <c r="AM59" s="21">
        <v>0</v>
      </c>
      <c r="AN59" s="21">
        <v>0</v>
      </c>
      <c r="AO59" s="21">
        <v>1</v>
      </c>
      <c r="AP59" s="67"/>
      <c r="AT59" s="81"/>
      <c r="AU59"/>
    </row>
    <row r="60" spans="1:47">
      <c r="A60" s="23" t="s">
        <v>262</v>
      </c>
      <c r="B60" s="19" t="s">
        <v>267</v>
      </c>
      <c r="C60" s="19" t="s">
        <v>265</v>
      </c>
      <c r="D60" s="20">
        <f t="shared" si="0"/>
        <v>5</v>
      </c>
      <c r="E60" s="21">
        <v>1</v>
      </c>
      <c r="F60" s="21">
        <v>0</v>
      </c>
      <c r="G60" s="21">
        <v>0</v>
      </c>
      <c r="H60" s="21">
        <v>0</v>
      </c>
      <c r="I60" s="21">
        <v>0</v>
      </c>
      <c r="J60" s="21">
        <v>0</v>
      </c>
      <c r="K60" s="21">
        <v>1</v>
      </c>
      <c r="L60" s="21">
        <v>0</v>
      </c>
      <c r="M60" s="21">
        <v>0</v>
      </c>
      <c r="N60" s="21">
        <v>0</v>
      </c>
      <c r="O60" s="21">
        <v>0</v>
      </c>
      <c r="P60" s="21">
        <v>0</v>
      </c>
      <c r="Q60" s="21">
        <v>0</v>
      </c>
      <c r="R60" s="21">
        <v>0</v>
      </c>
      <c r="S60" s="21">
        <v>0</v>
      </c>
      <c r="T60" s="21">
        <v>0</v>
      </c>
      <c r="U60" s="21">
        <v>0</v>
      </c>
      <c r="V60" s="21">
        <v>0</v>
      </c>
      <c r="W60" s="21">
        <v>0</v>
      </c>
      <c r="X60" s="21">
        <v>0</v>
      </c>
      <c r="Y60" s="21">
        <v>0</v>
      </c>
      <c r="Z60" s="21">
        <v>0</v>
      </c>
      <c r="AA60" s="21">
        <v>0</v>
      </c>
      <c r="AB60" s="21">
        <v>0</v>
      </c>
      <c r="AC60" s="21">
        <v>0</v>
      </c>
      <c r="AD60" s="21">
        <v>0</v>
      </c>
      <c r="AE60" s="21">
        <v>0</v>
      </c>
      <c r="AF60" s="21">
        <v>1</v>
      </c>
      <c r="AG60" s="21">
        <v>0</v>
      </c>
      <c r="AH60" s="21">
        <v>0</v>
      </c>
      <c r="AI60" s="21">
        <v>0</v>
      </c>
      <c r="AJ60" s="21">
        <v>0</v>
      </c>
      <c r="AK60" s="21">
        <v>0</v>
      </c>
      <c r="AL60" s="21">
        <v>0</v>
      </c>
      <c r="AM60" s="21">
        <v>0</v>
      </c>
      <c r="AN60" s="21">
        <v>0</v>
      </c>
      <c r="AO60" s="21">
        <v>2</v>
      </c>
      <c r="AP60" s="67"/>
      <c r="AT60" s="81"/>
      <c r="AU60"/>
    </row>
    <row r="61" spans="1:47">
      <c r="A61" s="23" t="s">
        <v>262</v>
      </c>
      <c r="B61" s="19" t="s">
        <v>268</v>
      </c>
      <c r="C61" s="19" t="s">
        <v>265</v>
      </c>
      <c r="D61" s="20">
        <f t="shared" si="0"/>
        <v>1</v>
      </c>
      <c r="E61" s="21">
        <v>1</v>
      </c>
      <c r="F61" s="21">
        <v>0</v>
      </c>
      <c r="G61" s="21">
        <v>0</v>
      </c>
      <c r="H61" s="21">
        <v>0</v>
      </c>
      <c r="I61" s="21">
        <v>0</v>
      </c>
      <c r="J61" s="21">
        <v>0</v>
      </c>
      <c r="K61" s="21">
        <v>0</v>
      </c>
      <c r="L61" s="21">
        <v>0</v>
      </c>
      <c r="M61" s="21">
        <v>0</v>
      </c>
      <c r="N61" s="21">
        <v>0</v>
      </c>
      <c r="O61" s="21">
        <v>0</v>
      </c>
      <c r="P61" s="21">
        <v>0</v>
      </c>
      <c r="Q61" s="21">
        <v>0</v>
      </c>
      <c r="R61" s="21">
        <v>0</v>
      </c>
      <c r="S61" s="21">
        <v>0</v>
      </c>
      <c r="T61" s="21">
        <v>0</v>
      </c>
      <c r="U61" s="21">
        <v>0</v>
      </c>
      <c r="V61" s="21">
        <v>0</v>
      </c>
      <c r="W61" s="21">
        <v>0</v>
      </c>
      <c r="X61" s="21">
        <v>0</v>
      </c>
      <c r="Y61" s="21">
        <v>0</v>
      </c>
      <c r="Z61" s="21">
        <v>0</v>
      </c>
      <c r="AA61" s="21">
        <v>0</v>
      </c>
      <c r="AB61" s="21">
        <v>0</v>
      </c>
      <c r="AC61" s="21">
        <v>0</v>
      </c>
      <c r="AD61" s="21">
        <v>0</v>
      </c>
      <c r="AE61" s="21">
        <v>0</v>
      </c>
      <c r="AF61" s="21">
        <v>0</v>
      </c>
      <c r="AG61" s="21">
        <v>0</v>
      </c>
      <c r="AH61" s="21">
        <v>0</v>
      </c>
      <c r="AI61" s="21">
        <v>0</v>
      </c>
      <c r="AJ61" s="21">
        <v>0</v>
      </c>
      <c r="AK61" s="21">
        <v>0</v>
      </c>
      <c r="AL61" s="21">
        <v>0</v>
      </c>
      <c r="AM61" s="21">
        <v>0</v>
      </c>
      <c r="AN61" s="21">
        <v>0</v>
      </c>
      <c r="AO61" s="21">
        <v>0</v>
      </c>
      <c r="AP61" s="67"/>
      <c r="AT61" s="81"/>
      <c r="AU61"/>
    </row>
    <row r="62" spans="1:47">
      <c r="A62" s="23" t="s">
        <v>262</v>
      </c>
      <c r="B62" s="19" t="s">
        <v>269</v>
      </c>
      <c r="C62" s="19" t="s">
        <v>265</v>
      </c>
      <c r="D62" s="20">
        <f t="shared" si="0"/>
        <v>1</v>
      </c>
      <c r="E62" s="21">
        <v>1</v>
      </c>
      <c r="F62" s="21">
        <v>0</v>
      </c>
      <c r="G62" s="21">
        <v>0</v>
      </c>
      <c r="H62" s="21">
        <v>0</v>
      </c>
      <c r="I62" s="21">
        <v>0</v>
      </c>
      <c r="J62" s="21">
        <v>0</v>
      </c>
      <c r="K62" s="21">
        <v>0</v>
      </c>
      <c r="L62" s="21">
        <v>0</v>
      </c>
      <c r="M62" s="21">
        <v>0</v>
      </c>
      <c r="N62" s="21">
        <v>0</v>
      </c>
      <c r="O62" s="21">
        <v>0</v>
      </c>
      <c r="P62" s="21">
        <v>0</v>
      </c>
      <c r="Q62" s="21">
        <v>0</v>
      </c>
      <c r="R62" s="21">
        <v>0</v>
      </c>
      <c r="S62" s="21">
        <v>0</v>
      </c>
      <c r="T62" s="21">
        <v>0</v>
      </c>
      <c r="U62" s="21">
        <v>0</v>
      </c>
      <c r="V62" s="21">
        <v>0</v>
      </c>
      <c r="W62" s="21">
        <v>0</v>
      </c>
      <c r="X62" s="21">
        <v>0</v>
      </c>
      <c r="Y62" s="21">
        <v>0</v>
      </c>
      <c r="Z62" s="21">
        <v>0</v>
      </c>
      <c r="AA62" s="21">
        <v>0</v>
      </c>
      <c r="AB62" s="21">
        <v>0</v>
      </c>
      <c r="AC62" s="21">
        <v>0</v>
      </c>
      <c r="AD62" s="21">
        <v>0</v>
      </c>
      <c r="AE62" s="21">
        <v>0</v>
      </c>
      <c r="AF62" s="21">
        <v>0</v>
      </c>
      <c r="AG62" s="21">
        <v>0</v>
      </c>
      <c r="AH62" s="21">
        <v>0</v>
      </c>
      <c r="AI62" s="21">
        <v>0</v>
      </c>
      <c r="AJ62" s="21">
        <v>0</v>
      </c>
      <c r="AK62" s="21">
        <v>0</v>
      </c>
      <c r="AL62" s="21">
        <v>0</v>
      </c>
      <c r="AM62" s="21">
        <v>0</v>
      </c>
      <c r="AN62" s="21">
        <v>0</v>
      </c>
      <c r="AO62" s="21">
        <v>0</v>
      </c>
      <c r="AP62" s="67"/>
      <c r="AT62" s="81"/>
      <c r="AU62"/>
    </row>
    <row r="63" spans="1:47">
      <c r="A63" s="23" t="s">
        <v>270</v>
      </c>
      <c r="B63" s="19" t="s">
        <v>271</v>
      </c>
      <c r="C63" s="19" t="s">
        <v>272</v>
      </c>
      <c r="D63" s="20">
        <f t="shared" si="0"/>
        <v>147.9</v>
      </c>
      <c r="E63" s="22">
        <v>0</v>
      </c>
      <c r="F63" s="22">
        <v>0</v>
      </c>
      <c r="G63" s="22">
        <v>0</v>
      </c>
      <c r="H63" s="22">
        <v>0</v>
      </c>
      <c r="I63" s="22">
        <v>0</v>
      </c>
      <c r="J63" s="22">
        <v>0</v>
      </c>
      <c r="K63" s="22">
        <v>0</v>
      </c>
      <c r="L63" s="22">
        <v>0</v>
      </c>
      <c r="M63" s="22">
        <v>0</v>
      </c>
      <c r="N63" s="22">
        <v>16.2</v>
      </c>
      <c r="O63" s="22">
        <v>0</v>
      </c>
      <c r="P63" s="22">
        <v>0</v>
      </c>
      <c r="Q63" s="22">
        <v>0</v>
      </c>
      <c r="R63" s="22">
        <v>0</v>
      </c>
      <c r="S63" s="22">
        <v>0</v>
      </c>
      <c r="T63" s="22">
        <v>0</v>
      </c>
      <c r="U63" s="22">
        <v>0</v>
      </c>
      <c r="V63" s="22">
        <v>0</v>
      </c>
      <c r="W63" s="22">
        <v>0</v>
      </c>
      <c r="X63" s="22">
        <v>0</v>
      </c>
      <c r="Y63" s="22">
        <v>0</v>
      </c>
      <c r="Z63" s="22">
        <v>0</v>
      </c>
      <c r="AA63" s="22">
        <v>0</v>
      </c>
      <c r="AB63" s="22">
        <v>0</v>
      </c>
      <c r="AC63" s="22">
        <v>0</v>
      </c>
      <c r="AD63" s="22">
        <v>0</v>
      </c>
      <c r="AE63" s="22">
        <v>0</v>
      </c>
      <c r="AF63" s="22">
        <v>0</v>
      </c>
      <c r="AG63" s="22">
        <v>0</v>
      </c>
      <c r="AH63" s="22">
        <v>42.3</v>
      </c>
      <c r="AI63" s="22">
        <v>0</v>
      </c>
      <c r="AJ63" s="22">
        <v>0</v>
      </c>
      <c r="AK63" s="22">
        <v>0</v>
      </c>
      <c r="AL63" s="22">
        <v>0</v>
      </c>
      <c r="AM63" s="22">
        <v>0</v>
      </c>
      <c r="AN63" s="22">
        <v>4.4000000000000004</v>
      </c>
      <c r="AO63" s="22">
        <v>85</v>
      </c>
      <c r="AP63" s="67"/>
      <c r="AT63" s="81"/>
      <c r="AU63"/>
    </row>
    <row r="64" spans="1:47">
      <c r="A64" s="23" t="s">
        <v>273</v>
      </c>
      <c r="B64" s="19" t="s">
        <v>274</v>
      </c>
      <c r="C64" s="19" t="s">
        <v>275</v>
      </c>
      <c r="D64" s="20">
        <f t="shared" si="0"/>
        <v>930</v>
      </c>
      <c r="E64" s="21">
        <v>512</v>
      </c>
      <c r="F64" s="21">
        <v>59</v>
      </c>
      <c r="G64" s="21">
        <v>0</v>
      </c>
      <c r="H64" s="21">
        <v>0</v>
      </c>
      <c r="I64" s="21">
        <v>0</v>
      </c>
      <c r="J64" s="21">
        <v>0</v>
      </c>
      <c r="K64" s="21">
        <v>15</v>
      </c>
      <c r="L64" s="21">
        <v>0</v>
      </c>
      <c r="M64" s="21">
        <v>18</v>
      </c>
      <c r="N64" s="21">
        <v>12</v>
      </c>
      <c r="O64" s="21">
        <v>0</v>
      </c>
      <c r="P64" s="21">
        <v>0</v>
      </c>
      <c r="Q64" s="21">
        <v>0</v>
      </c>
      <c r="R64" s="21">
        <v>8</v>
      </c>
      <c r="S64" s="21">
        <v>2</v>
      </c>
      <c r="T64" s="21">
        <v>2</v>
      </c>
      <c r="U64" s="21">
        <v>1</v>
      </c>
      <c r="V64" s="21">
        <v>5</v>
      </c>
      <c r="W64" s="21">
        <v>1</v>
      </c>
      <c r="X64" s="21">
        <v>1</v>
      </c>
      <c r="Y64" s="21">
        <v>9</v>
      </c>
      <c r="Z64" s="21">
        <v>11</v>
      </c>
      <c r="AA64" s="21">
        <v>10</v>
      </c>
      <c r="AB64" s="21">
        <v>3</v>
      </c>
      <c r="AC64" s="21">
        <v>5</v>
      </c>
      <c r="AD64" s="21">
        <v>1</v>
      </c>
      <c r="AE64" s="21">
        <v>1</v>
      </c>
      <c r="AF64" s="21">
        <v>96</v>
      </c>
      <c r="AG64" s="21">
        <v>76</v>
      </c>
      <c r="AH64" s="21">
        <v>10</v>
      </c>
      <c r="AI64" s="21">
        <v>0</v>
      </c>
      <c r="AJ64" s="21">
        <v>9</v>
      </c>
      <c r="AK64" s="21">
        <v>1</v>
      </c>
      <c r="AL64" s="21">
        <v>1</v>
      </c>
      <c r="AM64" s="21">
        <v>5</v>
      </c>
      <c r="AN64" s="21">
        <v>6</v>
      </c>
      <c r="AO64" s="21">
        <v>50</v>
      </c>
      <c r="AP64" s="67"/>
      <c r="AT64" s="81"/>
      <c r="AU64"/>
    </row>
    <row r="65" spans="1:47">
      <c r="A65" s="23" t="s">
        <v>273</v>
      </c>
      <c r="B65" s="19" t="s">
        <v>276</v>
      </c>
      <c r="C65" s="19" t="s">
        <v>196</v>
      </c>
      <c r="D65" s="20">
        <f t="shared" si="0"/>
        <v>101999</v>
      </c>
      <c r="E65" s="22">
        <v>45719</v>
      </c>
      <c r="F65" s="22">
        <v>6279</v>
      </c>
      <c r="G65" s="22">
        <v>1805</v>
      </c>
      <c r="H65" s="22">
        <v>1266</v>
      </c>
      <c r="I65" s="22">
        <v>1129</v>
      </c>
      <c r="J65" s="22">
        <v>851</v>
      </c>
      <c r="K65" s="22">
        <v>2824</v>
      </c>
      <c r="L65" s="22">
        <v>2466</v>
      </c>
      <c r="M65" s="22">
        <v>1234</v>
      </c>
      <c r="N65" s="22">
        <v>1115</v>
      </c>
      <c r="O65" s="22">
        <v>436</v>
      </c>
      <c r="P65" s="22">
        <v>717</v>
      </c>
      <c r="Q65" s="22">
        <v>251</v>
      </c>
      <c r="R65" s="22">
        <v>1043</v>
      </c>
      <c r="S65" s="22">
        <v>78</v>
      </c>
      <c r="T65" s="22">
        <v>48</v>
      </c>
      <c r="U65" s="22">
        <v>69</v>
      </c>
      <c r="V65" s="22">
        <v>195</v>
      </c>
      <c r="W65" s="22">
        <v>74</v>
      </c>
      <c r="X65" s="22">
        <v>387</v>
      </c>
      <c r="Y65" s="22">
        <v>900</v>
      </c>
      <c r="Z65" s="22">
        <v>767</v>
      </c>
      <c r="AA65" s="22">
        <v>424</v>
      </c>
      <c r="AB65" s="22">
        <v>226</v>
      </c>
      <c r="AC65" s="22">
        <v>436</v>
      </c>
      <c r="AD65" s="22">
        <v>23</v>
      </c>
      <c r="AE65" s="22">
        <v>63</v>
      </c>
      <c r="AF65" s="22">
        <v>8367</v>
      </c>
      <c r="AG65" s="22">
        <v>7594</v>
      </c>
      <c r="AH65" s="22">
        <v>678</v>
      </c>
      <c r="AI65" s="22">
        <v>130</v>
      </c>
      <c r="AJ65" s="22">
        <v>633</v>
      </c>
      <c r="AK65" s="22">
        <v>57</v>
      </c>
      <c r="AL65" s="22">
        <v>80</v>
      </c>
      <c r="AM65" s="22">
        <v>958</v>
      </c>
      <c r="AN65" s="22">
        <v>265</v>
      </c>
      <c r="AO65" s="22">
        <v>12412</v>
      </c>
      <c r="AP65" s="67"/>
      <c r="AT65" s="81"/>
      <c r="AU65"/>
    </row>
    <row r="66" spans="1:47">
      <c r="A66" s="23" t="s">
        <v>277</v>
      </c>
      <c r="B66" s="19" t="s">
        <v>278</v>
      </c>
      <c r="C66" s="19" t="s">
        <v>279</v>
      </c>
      <c r="D66" s="20">
        <f t="shared" si="0"/>
        <v>6</v>
      </c>
      <c r="E66" s="21">
        <v>2</v>
      </c>
      <c r="F66" s="21">
        <v>0</v>
      </c>
      <c r="G66" s="21">
        <v>0</v>
      </c>
      <c r="H66" s="21">
        <v>1</v>
      </c>
      <c r="I66" s="21">
        <v>0</v>
      </c>
      <c r="J66" s="21">
        <v>0</v>
      </c>
      <c r="K66" s="21">
        <v>0</v>
      </c>
      <c r="L66" s="21">
        <v>0</v>
      </c>
      <c r="M66" s="21">
        <v>0</v>
      </c>
      <c r="N66" s="21">
        <v>0</v>
      </c>
      <c r="O66" s="21">
        <v>0</v>
      </c>
      <c r="P66" s="21">
        <v>0</v>
      </c>
      <c r="Q66" s="21">
        <v>0</v>
      </c>
      <c r="R66" s="21">
        <v>0</v>
      </c>
      <c r="S66" s="21">
        <v>0</v>
      </c>
      <c r="T66" s="21">
        <v>0</v>
      </c>
      <c r="U66" s="21">
        <v>0</v>
      </c>
      <c r="V66" s="21">
        <v>0</v>
      </c>
      <c r="W66" s="21">
        <v>0</v>
      </c>
      <c r="X66" s="21">
        <v>0</v>
      </c>
      <c r="Y66" s="21">
        <v>0</v>
      </c>
      <c r="Z66" s="21">
        <v>0</v>
      </c>
      <c r="AA66" s="21">
        <v>0</v>
      </c>
      <c r="AB66" s="21">
        <v>0</v>
      </c>
      <c r="AC66" s="21">
        <v>0</v>
      </c>
      <c r="AD66" s="21">
        <v>0</v>
      </c>
      <c r="AE66" s="21">
        <v>0</v>
      </c>
      <c r="AF66" s="21">
        <v>1</v>
      </c>
      <c r="AG66" s="21">
        <v>1</v>
      </c>
      <c r="AH66" s="21">
        <v>0</v>
      </c>
      <c r="AI66" s="21">
        <v>0</v>
      </c>
      <c r="AJ66" s="21">
        <v>0</v>
      </c>
      <c r="AK66" s="21">
        <v>0</v>
      </c>
      <c r="AL66" s="21">
        <v>0</v>
      </c>
      <c r="AM66" s="21">
        <v>0</v>
      </c>
      <c r="AN66" s="21">
        <v>0</v>
      </c>
      <c r="AO66" s="21">
        <v>1</v>
      </c>
      <c r="AP66" s="67"/>
      <c r="AT66" s="81"/>
      <c r="AU66"/>
    </row>
    <row r="67" spans="1:47">
      <c r="A67" s="23" t="s">
        <v>280</v>
      </c>
      <c r="B67" s="19" t="s">
        <v>281</v>
      </c>
      <c r="C67" s="19" t="s">
        <v>282</v>
      </c>
      <c r="D67" s="20">
        <f t="shared" si="0"/>
        <v>1</v>
      </c>
      <c r="E67" s="21">
        <v>1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68"/>
      <c r="AT67" s="81"/>
      <c r="AU67"/>
    </row>
    <row r="68" spans="1:47">
      <c r="A68" s="23" t="s">
        <v>283</v>
      </c>
      <c r="B68" s="19" t="s">
        <v>284</v>
      </c>
      <c r="C68" s="19" t="s">
        <v>285</v>
      </c>
      <c r="D68" s="20">
        <f t="shared" si="0"/>
        <v>1</v>
      </c>
      <c r="E68" s="22">
        <v>1</v>
      </c>
      <c r="F68" s="22">
        <v>0</v>
      </c>
      <c r="G68" s="22">
        <v>0</v>
      </c>
      <c r="H68" s="22">
        <v>0</v>
      </c>
      <c r="I68" s="22">
        <v>0</v>
      </c>
      <c r="J68" s="22">
        <v>0</v>
      </c>
      <c r="K68" s="22">
        <v>0</v>
      </c>
      <c r="L68" s="22">
        <v>0</v>
      </c>
      <c r="M68" s="22">
        <v>0</v>
      </c>
      <c r="N68" s="22">
        <v>0</v>
      </c>
      <c r="O68" s="22">
        <v>0</v>
      </c>
      <c r="P68" s="22">
        <v>0</v>
      </c>
      <c r="Q68" s="22">
        <v>0</v>
      </c>
      <c r="R68" s="22">
        <v>0</v>
      </c>
      <c r="S68" s="22">
        <v>0</v>
      </c>
      <c r="T68" s="22">
        <v>0</v>
      </c>
      <c r="U68" s="22">
        <v>0</v>
      </c>
      <c r="V68" s="22">
        <v>0</v>
      </c>
      <c r="W68" s="22">
        <v>0</v>
      </c>
      <c r="X68" s="22">
        <v>0</v>
      </c>
      <c r="Y68" s="22">
        <v>0</v>
      </c>
      <c r="Z68" s="22">
        <v>0</v>
      </c>
      <c r="AA68" s="22">
        <v>0</v>
      </c>
      <c r="AB68" s="22">
        <v>0</v>
      </c>
      <c r="AC68" s="22">
        <v>0</v>
      </c>
      <c r="AD68" s="22">
        <v>0</v>
      </c>
      <c r="AE68" s="22">
        <v>0</v>
      </c>
      <c r="AF68" s="22">
        <v>0</v>
      </c>
      <c r="AG68" s="22">
        <v>0</v>
      </c>
      <c r="AH68" s="22">
        <v>0</v>
      </c>
      <c r="AI68" s="22">
        <v>0</v>
      </c>
      <c r="AJ68" s="22">
        <v>0</v>
      </c>
      <c r="AK68" s="22">
        <v>0</v>
      </c>
      <c r="AL68" s="22">
        <v>0</v>
      </c>
      <c r="AM68" s="22">
        <v>0</v>
      </c>
      <c r="AN68" s="22">
        <v>0</v>
      </c>
      <c r="AO68" s="22">
        <v>0</v>
      </c>
      <c r="AP68" s="67"/>
      <c r="AT68" s="81"/>
      <c r="AU68"/>
    </row>
    <row r="69" spans="1:47">
      <c r="A69" s="23"/>
      <c r="B69" s="19" t="s">
        <v>286</v>
      </c>
      <c r="C69" s="19" t="s">
        <v>287</v>
      </c>
      <c r="D69" s="20">
        <f t="shared" si="0"/>
        <v>0</v>
      </c>
      <c r="E69" s="22">
        <v>0</v>
      </c>
      <c r="F69" s="22">
        <v>0</v>
      </c>
      <c r="G69" s="22">
        <v>0</v>
      </c>
      <c r="H69" s="22">
        <v>0</v>
      </c>
      <c r="I69" s="22">
        <v>0</v>
      </c>
      <c r="J69" s="22">
        <v>0</v>
      </c>
      <c r="K69" s="22">
        <v>0</v>
      </c>
      <c r="L69" s="22">
        <v>0</v>
      </c>
      <c r="M69" s="22">
        <v>0</v>
      </c>
      <c r="N69" s="22">
        <v>0</v>
      </c>
      <c r="O69" s="22">
        <v>0</v>
      </c>
      <c r="P69" s="22">
        <v>0</v>
      </c>
      <c r="Q69" s="22">
        <v>0</v>
      </c>
      <c r="R69" s="22">
        <v>0</v>
      </c>
      <c r="S69" s="22">
        <v>0</v>
      </c>
      <c r="T69" s="22">
        <v>0</v>
      </c>
      <c r="U69" s="22">
        <v>0</v>
      </c>
      <c r="V69" s="22">
        <v>0</v>
      </c>
      <c r="W69" s="22">
        <v>0</v>
      </c>
      <c r="X69" s="22">
        <v>0</v>
      </c>
      <c r="Y69" s="22">
        <v>0</v>
      </c>
      <c r="Z69" s="22">
        <v>0</v>
      </c>
      <c r="AA69" s="22">
        <v>0</v>
      </c>
      <c r="AB69" s="22">
        <v>0</v>
      </c>
      <c r="AC69" s="22">
        <v>0</v>
      </c>
      <c r="AD69" s="22">
        <v>0</v>
      </c>
      <c r="AE69" s="22">
        <v>0</v>
      </c>
      <c r="AF69" s="22">
        <v>0</v>
      </c>
      <c r="AG69" s="22">
        <v>0</v>
      </c>
      <c r="AH69" s="22">
        <v>0</v>
      </c>
      <c r="AI69" s="22">
        <v>0</v>
      </c>
      <c r="AJ69" s="22">
        <v>0</v>
      </c>
      <c r="AK69" s="22">
        <v>0</v>
      </c>
      <c r="AL69" s="22">
        <v>0</v>
      </c>
      <c r="AM69" s="22">
        <v>0</v>
      </c>
      <c r="AN69" s="22">
        <v>0</v>
      </c>
      <c r="AO69" s="22">
        <v>0</v>
      </c>
      <c r="AP69" s="68"/>
      <c r="AT69" s="81"/>
      <c r="AU69"/>
    </row>
    <row r="70" spans="1:47" ht="32.1">
      <c r="A70" s="23"/>
      <c r="B70" s="19" t="s">
        <v>288</v>
      </c>
      <c r="C70" s="19" t="s">
        <v>227</v>
      </c>
      <c r="D70" s="20">
        <f t="shared" si="0"/>
        <v>4</v>
      </c>
      <c r="E70" s="22">
        <v>1</v>
      </c>
      <c r="F70" s="22">
        <v>0</v>
      </c>
      <c r="G70" s="22">
        <v>0</v>
      </c>
      <c r="H70" s="22">
        <v>0</v>
      </c>
      <c r="I70" s="22">
        <v>0</v>
      </c>
      <c r="J70" s="22">
        <v>0</v>
      </c>
      <c r="K70" s="22">
        <v>0</v>
      </c>
      <c r="L70" s="22">
        <v>0</v>
      </c>
      <c r="M70" s="22">
        <v>0</v>
      </c>
      <c r="N70" s="22">
        <v>0</v>
      </c>
      <c r="O70" s="22">
        <v>0</v>
      </c>
      <c r="P70" s="22">
        <v>0</v>
      </c>
      <c r="Q70" s="22">
        <v>0</v>
      </c>
      <c r="R70" s="22">
        <v>0</v>
      </c>
      <c r="S70" s="22">
        <v>0</v>
      </c>
      <c r="T70" s="22">
        <v>0</v>
      </c>
      <c r="U70" s="22">
        <v>0</v>
      </c>
      <c r="V70" s="22">
        <v>0</v>
      </c>
      <c r="W70" s="22">
        <v>0</v>
      </c>
      <c r="X70" s="22">
        <v>0</v>
      </c>
      <c r="Y70" s="22">
        <v>0</v>
      </c>
      <c r="Z70" s="22">
        <v>0</v>
      </c>
      <c r="AA70" s="22">
        <v>0</v>
      </c>
      <c r="AB70" s="22">
        <v>0</v>
      </c>
      <c r="AC70" s="22">
        <v>0</v>
      </c>
      <c r="AD70" s="22">
        <v>0</v>
      </c>
      <c r="AE70" s="22">
        <v>0</v>
      </c>
      <c r="AF70" s="22">
        <v>1</v>
      </c>
      <c r="AG70" s="22">
        <v>1</v>
      </c>
      <c r="AH70" s="22">
        <v>0</v>
      </c>
      <c r="AI70" s="22">
        <v>0</v>
      </c>
      <c r="AJ70" s="22">
        <v>0</v>
      </c>
      <c r="AK70" s="22">
        <v>0</v>
      </c>
      <c r="AL70" s="22">
        <v>0</v>
      </c>
      <c r="AM70" s="22">
        <v>0</v>
      </c>
      <c r="AN70" s="22">
        <v>0</v>
      </c>
      <c r="AO70" s="22">
        <v>1</v>
      </c>
      <c r="AP70" s="68"/>
      <c r="AT70" s="81"/>
      <c r="AU70"/>
    </row>
    <row r="71" spans="1:47">
      <c r="A71" s="23" t="s">
        <v>289</v>
      </c>
      <c r="B71" s="19" t="s">
        <v>290</v>
      </c>
      <c r="C71" s="27" t="s">
        <v>248</v>
      </c>
      <c r="D71" s="20">
        <f t="shared" si="0"/>
        <v>3</v>
      </c>
      <c r="E71" s="103">
        <v>3</v>
      </c>
      <c r="F71" s="104"/>
      <c r="G71" s="104"/>
      <c r="H71" s="104"/>
      <c r="I71" s="104"/>
      <c r="J71" s="104"/>
      <c r="K71" s="104"/>
      <c r="L71" s="104"/>
      <c r="M71" s="104"/>
      <c r="N71" s="104"/>
      <c r="O71" s="104"/>
      <c r="P71" s="104"/>
      <c r="Q71" s="104"/>
      <c r="R71" s="104"/>
      <c r="S71" s="104"/>
      <c r="T71" s="104"/>
      <c r="U71" s="104"/>
      <c r="V71" s="104"/>
      <c r="W71" s="104"/>
      <c r="X71" s="104"/>
      <c r="Y71" s="104"/>
      <c r="Z71" s="104"/>
      <c r="AA71" s="104"/>
      <c r="AB71" s="104"/>
      <c r="AC71" s="104"/>
      <c r="AD71" s="104"/>
      <c r="AE71" s="104"/>
      <c r="AF71" s="104"/>
      <c r="AG71" s="104"/>
      <c r="AH71" s="104"/>
      <c r="AI71" s="104"/>
      <c r="AJ71" s="104"/>
      <c r="AK71" s="104"/>
      <c r="AL71" s="104"/>
      <c r="AM71" s="104"/>
      <c r="AN71" s="104"/>
      <c r="AO71" s="105"/>
      <c r="AP71" s="68"/>
      <c r="AT71" s="81"/>
      <c r="AU71"/>
    </row>
    <row r="72" spans="1:47">
      <c r="A72" s="23" t="s">
        <v>289</v>
      </c>
      <c r="B72" s="19" t="s">
        <v>291</v>
      </c>
      <c r="C72" s="27" t="s">
        <v>248</v>
      </c>
      <c r="D72" s="20">
        <f t="shared" si="0"/>
        <v>0</v>
      </c>
      <c r="E72" s="22">
        <v>0</v>
      </c>
      <c r="F72" s="22">
        <v>0</v>
      </c>
      <c r="G72" s="22">
        <v>0</v>
      </c>
      <c r="H72" s="22">
        <v>0</v>
      </c>
      <c r="I72" s="22">
        <v>0</v>
      </c>
      <c r="J72" s="22">
        <v>0</v>
      </c>
      <c r="K72" s="22">
        <v>0</v>
      </c>
      <c r="L72" s="22">
        <v>0</v>
      </c>
      <c r="M72" s="22">
        <v>0</v>
      </c>
      <c r="N72" s="22">
        <v>0</v>
      </c>
      <c r="O72" s="22">
        <v>0</v>
      </c>
      <c r="P72" s="22">
        <v>0</v>
      </c>
      <c r="Q72" s="22">
        <v>0</v>
      </c>
      <c r="R72" s="22">
        <v>0</v>
      </c>
      <c r="S72" s="22">
        <v>0</v>
      </c>
      <c r="T72" s="22">
        <v>0</v>
      </c>
      <c r="U72" s="22">
        <v>0</v>
      </c>
      <c r="V72" s="22">
        <v>0</v>
      </c>
      <c r="W72" s="22">
        <v>0</v>
      </c>
      <c r="X72" s="22">
        <v>0</v>
      </c>
      <c r="Y72" s="22">
        <v>0</v>
      </c>
      <c r="Z72" s="22">
        <v>0</v>
      </c>
      <c r="AA72" s="22">
        <v>0</v>
      </c>
      <c r="AB72" s="22">
        <v>0</v>
      </c>
      <c r="AC72" s="22">
        <v>0</v>
      </c>
      <c r="AD72" s="22">
        <v>0</v>
      </c>
      <c r="AE72" s="22">
        <v>0</v>
      </c>
      <c r="AF72" s="22">
        <v>0</v>
      </c>
      <c r="AG72" s="22">
        <v>0</v>
      </c>
      <c r="AH72" s="22">
        <v>0</v>
      </c>
      <c r="AI72" s="22">
        <v>0</v>
      </c>
      <c r="AJ72" s="22">
        <v>0</v>
      </c>
      <c r="AK72" s="22">
        <v>0</v>
      </c>
      <c r="AL72" s="22">
        <v>0</v>
      </c>
      <c r="AM72" s="22">
        <v>0</v>
      </c>
      <c r="AN72" s="22">
        <v>0</v>
      </c>
      <c r="AO72" s="22">
        <v>0</v>
      </c>
      <c r="AP72" s="68"/>
      <c r="AT72" s="81"/>
      <c r="AU72"/>
    </row>
    <row r="73" spans="1:47">
      <c r="A73" s="26" t="s">
        <v>292</v>
      </c>
      <c r="B73" s="27" t="s">
        <v>293</v>
      </c>
      <c r="C73" s="27" t="s">
        <v>294</v>
      </c>
      <c r="D73" s="20">
        <f t="shared" si="0"/>
        <v>2</v>
      </c>
      <c r="E73" s="22">
        <v>1</v>
      </c>
      <c r="F73" s="22">
        <v>0</v>
      </c>
      <c r="G73" s="22">
        <v>0</v>
      </c>
      <c r="H73" s="22">
        <v>0</v>
      </c>
      <c r="I73" s="22">
        <v>0</v>
      </c>
      <c r="J73" s="22">
        <v>0</v>
      </c>
      <c r="K73" s="22">
        <v>0</v>
      </c>
      <c r="L73" s="22">
        <v>0</v>
      </c>
      <c r="M73" s="22">
        <v>0</v>
      </c>
      <c r="N73" s="22">
        <v>0</v>
      </c>
      <c r="O73" s="22">
        <v>0</v>
      </c>
      <c r="P73" s="22">
        <v>0</v>
      </c>
      <c r="Q73" s="22">
        <v>0</v>
      </c>
      <c r="R73" s="22">
        <v>0</v>
      </c>
      <c r="S73" s="22">
        <v>0</v>
      </c>
      <c r="T73" s="22">
        <v>0</v>
      </c>
      <c r="U73" s="22">
        <v>0</v>
      </c>
      <c r="V73" s="22">
        <v>0</v>
      </c>
      <c r="W73" s="22">
        <v>0</v>
      </c>
      <c r="X73" s="22">
        <v>0</v>
      </c>
      <c r="Y73" s="22">
        <v>0</v>
      </c>
      <c r="Z73" s="22">
        <v>0</v>
      </c>
      <c r="AA73" s="22">
        <v>0</v>
      </c>
      <c r="AB73" s="22">
        <v>0</v>
      </c>
      <c r="AC73" s="22">
        <v>0</v>
      </c>
      <c r="AD73" s="22">
        <v>0</v>
      </c>
      <c r="AE73" s="22">
        <v>0</v>
      </c>
      <c r="AF73" s="22">
        <v>0</v>
      </c>
      <c r="AG73" s="22">
        <v>0</v>
      </c>
      <c r="AH73" s="22">
        <v>0</v>
      </c>
      <c r="AI73" s="22">
        <v>0</v>
      </c>
      <c r="AJ73" s="22">
        <v>0</v>
      </c>
      <c r="AK73" s="22">
        <v>0</v>
      </c>
      <c r="AL73" s="22">
        <v>0</v>
      </c>
      <c r="AM73" s="22">
        <v>0</v>
      </c>
      <c r="AN73" s="22">
        <v>0</v>
      </c>
      <c r="AO73" s="22">
        <v>1</v>
      </c>
      <c r="AP73" s="68"/>
      <c r="AT73" s="81"/>
      <c r="AU73"/>
    </row>
    <row r="74" spans="1:47">
      <c r="A74" s="26" t="s">
        <v>295</v>
      </c>
      <c r="B74" s="27" t="s">
        <v>296</v>
      </c>
      <c r="C74" s="27" t="s">
        <v>297</v>
      </c>
      <c r="D74" s="20">
        <f t="shared" si="0"/>
        <v>0</v>
      </c>
      <c r="E74" s="22">
        <v>0</v>
      </c>
      <c r="F74" s="22">
        <v>0</v>
      </c>
      <c r="G74" s="22">
        <v>0</v>
      </c>
      <c r="H74" s="22">
        <v>0</v>
      </c>
      <c r="I74" s="22">
        <v>0</v>
      </c>
      <c r="J74" s="22">
        <v>0</v>
      </c>
      <c r="K74" s="22">
        <v>0</v>
      </c>
      <c r="L74" s="22">
        <v>0</v>
      </c>
      <c r="M74" s="22">
        <v>0</v>
      </c>
      <c r="N74" s="22">
        <v>0</v>
      </c>
      <c r="O74" s="22">
        <v>0</v>
      </c>
      <c r="P74" s="22">
        <v>0</v>
      </c>
      <c r="Q74" s="22">
        <v>0</v>
      </c>
      <c r="R74" s="22">
        <v>0</v>
      </c>
      <c r="S74" s="22">
        <v>0</v>
      </c>
      <c r="T74" s="22">
        <v>0</v>
      </c>
      <c r="U74" s="22">
        <v>0</v>
      </c>
      <c r="V74" s="22">
        <v>0</v>
      </c>
      <c r="W74" s="22">
        <v>0</v>
      </c>
      <c r="X74" s="22">
        <v>0</v>
      </c>
      <c r="Y74" s="22">
        <v>0</v>
      </c>
      <c r="Z74" s="22">
        <v>0</v>
      </c>
      <c r="AA74" s="22">
        <v>0</v>
      </c>
      <c r="AB74" s="22">
        <v>0</v>
      </c>
      <c r="AC74" s="22">
        <v>0</v>
      </c>
      <c r="AD74" s="22">
        <v>0</v>
      </c>
      <c r="AE74" s="22">
        <v>0</v>
      </c>
      <c r="AF74" s="22">
        <v>0</v>
      </c>
      <c r="AG74" s="22">
        <v>0</v>
      </c>
      <c r="AH74" s="22">
        <v>0</v>
      </c>
      <c r="AI74" s="22">
        <v>0</v>
      </c>
      <c r="AJ74" s="22">
        <v>0</v>
      </c>
      <c r="AK74" s="22">
        <v>0</v>
      </c>
      <c r="AL74" s="22">
        <v>0</v>
      </c>
      <c r="AM74" s="22">
        <v>0</v>
      </c>
      <c r="AN74" s="22">
        <v>0</v>
      </c>
      <c r="AO74" s="22">
        <v>0</v>
      </c>
      <c r="AP74" s="67"/>
      <c r="AT74" s="81"/>
      <c r="AU74"/>
    </row>
    <row r="75" spans="1:47">
      <c r="A75" s="24" t="s">
        <v>298</v>
      </c>
      <c r="B75" s="25"/>
      <c r="C75" s="25"/>
      <c r="D75" s="16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67"/>
      <c r="AT75" s="81"/>
      <c r="AU75"/>
    </row>
    <row r="76" spans="1:47">
      <c r="A76" s="23" t="s">
        <v>299</v>
      </c>
      <c r="B76" s="19" t="s">
        <v>300</v>
      </c>
      <c r="C76" s="19" t="s">
        <v>301</v>
      </c>
      <c r="D76" s="20">
        <f t="shared" si="0"/>
        <v>23</v>
      </c>
      <c r="E76" s="22">
        <v>4</v>
      </c>
      <c r="F76" s="22">
        <v>0</v>
      </c>
      <c r="G76" s="22">
        <v>0</v>
      </c>
      <c r="H76" s="22">
        <v>0</v>
      </c>
      <c r="I76" s="22">
        <v>0</v>
      </c>
      <c r="J76" s="22">
        <v>0</v>
      </c>
      <c r="K76" s="22">
        <v>0</v>
      </c>
      <c r="L76" s="22">
        <v>0</v>
      </c>
      <c r="M76" s="22">
        <v>3</v>
      </c>
      <c r="N76" s="22">
        <v>6</v>
      </c>
      <c r="O76" s="22">
        <v>0</v>
      </c>
      <c r="P76" s="22">
        <v>0</v>
      </c>
      <c r="Q76" s="22">
        <v>0</v>
      </c>
      <c r="R76" s="22">
        <v>0</v>
      </c>
      <c r="S76" s="22">
        <v>0</v>
      </c>
      <c r="T76" s="22">
        <v>0</v>
      </c>
      <c r="U76" s="22">
        <v>0</v>
      </c>
      <c r="V76" s="22">
        <v>1</v>
      </c>
      <c r="W76" s="22">
        <v>0</v>
      </c>
      <c r="X76" s="22">
        <v>0</v>
      </c>
      <c r="Y76" s="22">
        <v>2</v>
      </c>
      <c r="Z76" s="22">
        <v>0</v>
      </c>
      <c r="AA76" s="22">
        <v>0</v>
      </c>
      <c r="AB76" s="22">
        <v>0</v>
      </c>
      <c r="AC76" s="22">
        <v>0</v>
      </c>
      <c r="AD76" s="22">
        <v>0</v>
      </c>
      <c r="AE76" s="22">
        <v>0</v>
      </c>
      <c r="AF76" s="22">
        <v>2</v>
      </c>
      <c r="AG76" s="22">
        <v>4</v>
      </c>
      <c r="AH76" s="22">
        <v>0</v>
      </c>
      <c r="AI76" s="22">
        <v>0</v>
      </c>
      <c r="AJ76" s="22">
        <v>0</v>
      </c>
      <c r="AK76" s="22">
        <v>0</v>
      </c>
      <c r="AL76" s="22">
        <v>0</v>
      </c>
      <c r="AM76" s="22">
        <v>0</v>
      </c>
      <c r="AN76" s="22">
        <v>0</v>
      </c>
      <c r="AO76" s="22">
        <v>1</v>
      </c>
      <c r="AP76" s="67"/>
      <c r="AT76" s="81"/>
      <c r="AU76"/>
    </row>
    <row r="77" spans="1:47">
      <c r="A77" s="23" t="s">
        <v>302</v>
      </c>
      <c r="B77" s="19" t="s">
        <v>303</v>
      </c>
      <c r="C77" s="19" t="s">
        <v>304</v>
      </c>
      <c r="D77" s="20">
        <f t="shared" ref="D77:D87" si="1">SUM(E77:AO77)</f>
        <v>10</v>
      </c>
      <c r="E77" s="22">
        <v>2</v>
      </c>
      <c r="F77" s="22">
        <v>0</v>
      </c>
      <c r="G77" s="22">
        <v>0</v>
      </c>
      <c r="H77" s="22">
        <v>0</v>
      </c>
      <c r="I77" s="22">
        <v>0</v>
      </c>
      <c r="J77" s="22">
        <v>0</v>
      </c>
      <c r="K77" s="22">
        <v>0</v>
      </c>
      <c r="L77" s="22">
        <v>0</v>
      </c>
      <c r="M77" s="22">
        <v>1</v>
      </c>
      <c r="N77" s="22">
        <v>1</v>
      </c>
      <c r="O77" s="22">
        <v>0</v>
      </c>
      <c r="P77" s="22">
        <v>0</v>
      </c>
      <c r="Q77" s="22">
        <v>0</v>
      </c>
      <c r="R77" s="22">
        <v>0</v>
      </c>
      <c r="S77" s="22">
        <v>0</v>
      </c>
      <c r="T77" s="22">
        <v>0</v>
      </c>
      <c r="U77" s="22">
        <v>0</v>
      </c>
      <c r="V77" s="22">
        <v>0</v>
      </c>
      <c r="W77" s="22">
        <v>0</v>
      </c>
      <c r="X77" s="22">
        <v>0</v>
      </c>
      <c r="Y77" s="22">
        <v>0</v>
      </c>
      <c r="Z77" s="22">
        <v>0</v>
      </c>
      <c r="AA77" s="22">
        <v>0</v>
      </c>
      <c r="AB77" s="22">
        <v>0</v>
      </c>
      <c r="AC77" s="22">
        <v>0</v>
      </c>
      <c r="AD77" s="22">
        <v>0</v>
      </c>
      <c r="AE77" s="22">
        <v>0</v>
      </c>
      <c r="AF77" s="22">
        <v>2</v>
      </c>
      <c r="AG77" s="22">
        <v>2</v>
      </c>
      <c r="AH77" s="22">
        <v>0</v>
      </c>
      <c r="AI77" s="22">
        <v>0</v>
      </c>
      <c r="AJ77" s="22">
        <v>0</v>
      </c>
      <c r="AK77" s="22">
        <v>0</v>
      </c>
      <c r="AL77" s="22">
        <v>0</v>
      </c>
      <c r="AM77" s="22">
        <v>1</v>
      </c>
      <c r="AN77" s="22">
        <v>0</v>
      </c>
      <c r="AO77" s="22">
        <v>1</v>
      </c>
      <c r="AP77" s="68"/>
      <c r="AT77" s="81"/>
      <c r="AU77"/>
    </row>
    <row r="78" spans="1:47">
      <c r="A78" s="23" t="s">
        <v>305</v>
      </c>
      <c r="B78" s="19" t="s">
        <v>306</v>
      </c>
      <c r="C78" s="19" t="s">
        <v>307</v>
      </c>
      <c r="D78" s="20">
        <f t="shared" si="1"/>
        <v>0</v>
      </c>
      <c r="E78" s="22">
        <v>0</v>
      </c>
      <c r="F78" s="22">
        <v>0</v>
      </c>
      <c r="G78" s="22">
        <v>0</v>
      </c>
      <c r="H78" s="22">
        <v>0</v>
      </c>
      <c r="I78" s="22">
        <v>0</v>
      </c>
      <c r="J78" s="22">
        <v>0</v>
      </c>
      <c r="K78" s="22">
        <v>0</v>
      </c>
      <c r="L78" s="22">
        <v>0</v>
      </c>
      <c r="M78" s="22">
        <v>0</v>
      </c>
      <c r="N78" s="22">
        <v>0</v>
      </c>
      <c r="O78" s="22">
        <v>0</v>
      </c>
      <c r="P78" s="22">
        <v>0</v>
      </c>
      <c r="Q78" s="22">
        <v>0</v>
      </c>
      <c r="R78" s="22">
        <v>0</v>
      </c>
      <c r="S78" s="22">
        <v>0</v>
      </c>
      <c r="T78" s="22">
        <v>0</v>
      </c>
      <c r="U78" s="22">
        <v>0</v>
      </c>
      <c r="V78" s="22">
        <v>0</v>
      </c>
      <c r="W78" s="22">
        <v>0</v>
      </c>
      <c r="X78" s="22">
        <v>0</v>
      </c>
      <c r="Y78" s="22">
        <v>0</v>
      </c>
      <c r="Z78" s="22">
        <v>0</v>
      </c>
      <c r="AA78" s="22">
        <v>0</v>
      </c>
      <c r="AB78" s="22">
        <v>0</v>
      </c>
      <c r="AC78" s="22">
        <v>0</v>
      </c>
      <c r="AD78" s="22">
        <v>0</v>
      </c>
      <c r="AE78" s="22">
        <v>0</v>
      </c>
      <c r="AF78" s="22">
        <v>0</v>
      </c>
      <c r="AG78" s="22">
        <v>0</v>
      </c>
      <c r="AH78" s="22">
        <v>0</v>
      </c>
      <c r="AI78" s="22">
        <v>0</v>
      </c>
      <c r="AJ78" s="22">
        <v>0</v>
      </c>
      <c r="AK78" s="22">
        <v>0</v>
      </c>
      <c r="AL78" s="22">
        <v>0</v>
      </c>
      <c r="AM78" s="22">
        <v>0</v>
      </c>
      <c r="AN78" s="22">
        <v>0</v>
      </c>
      <c r="AO78" s="22">
        <v>0</v>
      </c>
      <c r="AP78" s="67"/>
      <c r="AT78" s="81"/>
      <c r="AU78"/>
    </row>
    <row r="79" spans="1:47">
      <c r="A79" s="23" t="s">
        <v>305</v>
      </c>
      <c r="B79" s="19" t="s">
        <v>308</v>
      </c>
      <c r="C79" s="19" t="s">
        <v>309</v>
      </c>
      <c r="D79" s="20">
        <f t="shared" si="1"/>
        <v>0</v>
      </c>
      <c r="E79" s="22">
        <v>0</v>
      </c>
      <c r="F79" s="22">
        <v>0</v>
      </c>
      <c r="G79" s="22">
        <v>0</v>
      </c>
      <c r="H79" s="22">
        <v>0</v>
      </c>
      <c r="I79" s="22">
        <v>0</v>
      </c>
      <c r="J79" s="22">
        <v>0</v>
      </c>
      <c r="K79" s="22">
        <v>0</v>
      </c>
      <c r="L79" s="22">
        <v>0</v>
      </c>
      <c r="M79" s="22">
        <v>0</v>
      </c>
      <c r="N79" s="22">
        <v>0</v>
      </c>
      <c r="O79" s="22">
        <v>0</v>
      </c>
      <c r="P79" s="22">
        <v>0</v>
      </c>
      <c r="Q79" s="22">
        <v>0</v>
      </c>
      <c r="R79" s="22">
        <v>0</v>
      </c>
      <c r="S79" s="22">
        <v>0</v>
      </c>
      <c r="T79" s="22">
        <v>0</v>
      </c>
      <c r="U79" s="22">
        <v>0</v>
      </c>
      <c r="V79" s="22">
        <v>0</v>
      </c>
      <c r="W79" s="22">
        <v>0</v>
      </c>
      <c r="X79" s="22">
        <v>0</v>
      </c>
      <c r="Y79" s="22">
        <v>0</v>
      </c>
      <c r="Z79" s="22">
        <v>0</v>
      </c>
      <c r="AA79" s="22">
        <v>0</v>
      </c>
      <c r="AB79" s="22">
        <v>0</v>
      </c>
      <c r="AC79" s="22">
        <v>0</v>
      </c>
      <c r="AD79" s="22">
        <v>0</v>
      </c>
      <c r="AE79" s="22">
        <v>0</v>
      </c>
      <c r="AF79" s="22">
        <v>0</v>
      </c>
      <c r="AG79" s="22">
        <v>0</v>
      </c>
      <c r="AH79" s="22">
        <v>0</v>
      </c>
      <c r="AI79" s="22">
        <v>0</v>
      </c>
      <c r="AJ79" s="22">
        <v>0</v>
      </c>
      <c r="AK79" s="22">
        <v>0</v>
      </c>
      <c r="AL79" s="22">
        <v>0</v>
      </c>
      <c r="AM79" s="22">
        <v>0</v>
      </c>
      <c r="AN79" s="22">
        <v>0</v>
      </c>
      <c r="AO79" s="22">
        <v>0</v>
      </c>
      <c r="AP79" s="67"/>
      <c r="AT79" s="81"/>
      <c r="AU79"/>
    </row>
    <row r="80" spans="1:47">
      <c r="A80" s="23" t="s">
        <v>310</v>
      </c>
      <c r="B80" s="19" t="s">
        <v>311</v>
      </c>
      <c r="C80" s="19" t="s">
        <v>312</v>
      </c>
      <c r="D80" s="20">
        <f t="shared" si="1"/>
        <v>10</v>
      </c>
      <c r="E80" s="22">
        <v>5</v>
      </c>
      <c r="F80" s="22">
        <v>0</v>
      </c>
      <c r="G80" s="22">
        <v>0</v>
      </c>
      <c r="H80" s="22">
        <v>0</v>
      </c>
      <c r="I80" s="22">
        <v>0</v>
      </c>
      <c r="J80" s="22">
        <v>0</v>
      </c>
      <c r="K80" s="22">
        <v>0</v>
      </c>
      <c r="L80" s="22">
        <v>0</v>
      </c>
      <c r="M80" s="22">
        <v>1</v>
      </c>
      <c r="N80" s="22">
        <v>1</v>
      </c>
      <c r="O80" s="22">
        <v>0</v>
      </c>
      <c r="P80" s="22">
        <v>0</v>
      </c>
      <c r="Q80" s="22">
        <v>0</v>
      </c>
      <c r="R80" s="22">
        <v>0</v>
      </c>
      <c r="S80" s="22">
        <v>0</v>
      </c>
      <c r="T80" s="22">
        <v>0</v>
      </c>
      <c r="U80" s="22">
        <v>0</v>
      </c>
      <c r="V80" s="22">
        <v>0</v>
      </c>
      <c r="W80" s="22">
        <v>0</v>
      </c>
      <c r="X80" s="22">
        <v>0</v>
      </c>
      <c r="Y80" s="22">
        <v>0</v>
      </c>
      <c r="Z80" s="22">
        <v>0</v>
      </c>
      <c r="AA80" s="22">
        <v>0</v>
      </c>
      <c r="AB80" s="22">
        <v>0</v>
      </c>
      <c r="AC80" s="22">
        <v>0</v>
      </c>
      <c r="AD80" s="22">
        <v>0</v>
      </c>
      <c r="AE80" s="22">
        <v>0</v>
      </c>
      <c r="AF80" s="22">
        <v>1</v>
      </c>
      <c r="AG80" s="22">
        <v>1</v>
      </c>
      <c r="AH80" s="22">
        <v>1</v>
      </c>
      <c r="AI80" s="22">
        <v>0</v>
      </c>
      <c r="AJ80" s="22">
        <v>0</v>
      </c>
      <c r="AK80" s="22">
        <v>0</v>
      </c>
      <c r="AL80" s="22">
        <v>0</v>
      </c>
      <c r="AM80" s="22">
        <v>0</v>
      </c>
      <c r="AN80" s="22">
        <v>0</v>
      </c>
      <c r="AO80" s="22">
        <v>0</v>
      </c>
      <c r="AP80" s="67"/>
      <c r="AT80" s="81"/>
      <c r="AU80"/>
    </row>
    <row r="81" spans="1:47">
      <c r="A81" s="23" t="s">
        <v>313</v>
      </c>
      <c r="B81" s="19" t="s">
        <v>314</v>
      </c>
      <c r="C81" s="19" t="s">
        <v>196</v>
      </c>
      <c r="D81" s="20">
        <f t="shared" si="1"/>
        <v>101999</v>
      </c>
      <c r="E81" s="21">
        <v>45719</v>
      </c>
      <c r="F81" s="21">
        <v>6279</v>
      </c>
      <c r="G81" s="21">
        <v>1805</v>
      </c>
      <c r="H81" s="21">
        <v>1266</v>
      </c>
      <c r="I81" s="21">
        <v>1129</v>
      </c>
      <c r="J81" s="21">
        <v>851</v>
      </c>
      <c r="K81" s="21">
        <v>2824</v>
      </c>
      <c r="L81" s="21">
        <v>2466</v>
      </c>
      <c r="M81" s="21">
        <v>1234</v>
      </c>
      <c r="N81" s="21">
        <v>1115</v>
      </c>
      <c r="O81" s="21">
        <v>436</v>
      </c>
      <c r="P81" s="21">
        <v>717</v>
      </c>
      <c r="Q81" s="21">
        <v>251</v>
      </c>
      <c r="R81" s="21">
        <v>1043</v>
      </c>
      <c r="S81" s="21">
        <v>78</v>
      </c>
      <c r="T81" s="21">
        <v>48</v>
      </c>
      <c r="U81" s="21">
        <v>69</v>
      </c>
      <c r="V81" s="21">
        <v>195</v>
      </c>
      <c r="W81" s="21">
        <v>74</v>
      </c>
      <c r="X81" s="21">
        <v>387</v>
      </c>
      <c r="Y81" s="21">
        <v>900</v>
      </c>
      <c r="Z81" s="21">
        <v>767</v>
      </c>
      <c r="AA81" s="21">
        <v>424</v>
      </c>
      <c r="AB81" s="21">
        <v>226</v>
      </c>
      <c r="AC81" s="21">
        <v>436</v>
      </c>
      <c r="AD81" s="21">
        <v>23</v>
      </c>
      <c r="AE81" s="21">
        <v>63</v>
      </c>
      <c r="AF81" s="21">
        <v>8367</v>
      </c>
      <c r="AG81" s="21">
        <v>7594</v>
      </c>
      <c r="AH81" s="21">
        <v>678</v>
      </c>
      <c r="AI81" s="21">
        <v>130</v>
      </c>
      <c r="AJ81" s="21">
        <v>633</v>
      </c>
      <c r="AK81" s="21">
        <v>57</v>
      </c>
      <c r="AL81" s="21">
        <v>80</v>
      </c>
      <c r="AM81" s="21">
        <v>958</v>
      </c>
      <c r="AN81" s="21">
        <v>265</v>
      </c>
      <c r="AO81" s="21">
        <v>12412</v>
      </c>
      <c r="AP81" s="67"/>
      <c r="AT81" s="81"/>
      <c r="AU81"/>
    </row>
    <row r="82" spans="1:47" ht="32.1">
      <c r="A82" s="23" t="s">
        <v>315</v>
      </c>
      <c r="B82" s="19" t="s">
        <v>316</v>
      </c>
      <c r="C82" s="19" t="s">
        <v>317</v>
      </c>
      <c r="D82" s="20">
        <f t="shared" si="1"/>
        <v>0</v>
      </c>
      <c r="E82" s="22">
        <v>0</v>
      </c>
      <c r="F82" s="22">
        <v>0</v>
      </c>
      <c r="G82" s="22">
        <v>0</v>
      </c>
      <c r="H82" s="22">
        <v>0</v>
      </c>
      <c r="I82" s="22">
        <v>0</v>
      </c>
      <c r="J82" s="22">
        <v>0</v>
      </c>
      <c r="K82" s="22">
        <v>0</v>
      </c>
      <c r="L82" s="22">
        <v>0</v>
      </c>
      <c r="M82" s="22">
        <v>0</v>
      </c>
      <c r="N82" s="22">
        <v>0</v>
      </c>
      <c r="O82" s="22">
        <v>0</v>
      </c>
      <c r="P82" s="22">
        <v>0</v>
      </c>
      <c r="Q82" s="22">
        <v>0</v>
      </c>
      <c r="R82" s="22">
        <v>0</v>
      </c>
      <c r="S82" s="22">
        <v>0</v>
      </c>
      <c r="T82" s="22">
        <v>0</v>
      </c>
      <c r="U82" s="22">
        <v>0</v>
      </c>
      <c r="V82" s="22">
        <v>0</v>
      </c>
      <c r="W82" s="22">
        <v>0</v>
      </c>
      <c r="X82" s="22">
        <v>0</v>
      </c>
      <c r="Y82" s="22">
        <v>0</v>
      </c>
      <c r="Z82" s="22">
        <v>0</v>
      </c>
      <c r="AA82" s="22">
        <v>0</v>
      </c>
      <c r="AB82" s="22">
        <v>0</v>
      </c>
      <c r="AC82" s="22">
        <v>0</v>
      </c>
      <c r="AD82" s="22">
        <v>0</v>
      </c>
      <c r="AE82" s="22">
        <v>0</v>
      </c>
      <c r="AF82" s="22">
        <v>0</v>
      </c>
      <c r="AG82" s="22">
        <v>0</v>
      </c>
      <c r="AH82" s="22">
        <v>0</v>
      </c>
      <c r="AI82" s="22">
        <v>0</v>
      </c>
      <c r="AJ82" s="22">
        <v>0</v>
      </c>
      <c r="AK82" s="22">
        <v>0</v>
      </c>
      <c r="AL82" s="22">
        <v>0</v>
      </c>
      <c r="AM82" s="22">
        <v>0</v>
      </c>
      <c r="AN82" s="22">
        <v>0</v>
      </c>
      <c r="AO82" s="22">
        <v>0</v>
      </c>
      <c r="AP82" s="68"/>
      <c r="AT82" s="81"/>
      <c r="AU82"/>
    </row>
    <row r="83" spans="1:47">
      <c r="A83" s="23" t="s">
        <v>318</v>
      </c>
      <c r="B83" s="19" t="s">
        <v>319</v>
      </c>
      <c r="C83" s="19" t="s">
        <v>320</v>
      </c>
      <c r="D83" s="20">
        <f t="shared" si="1"/>
        <v>748</v>
      </c>
      <c r="E83" s="22">
        <v>320</v>
      </c>
      <c r="F83" s="22">
        <v>10</v>
      </c>
      <c r="G83" s="22">
        <v>4</v>
      </c>
      <c r="H83" s="22">
        <v>4</v>
      </c>
      <c r="I83" s="22">
        <v>4</v>
      </c>
      <c r="J83" s="22">
        <v>4</v>
      </c>
      <c r="K83" s="22">
        <v>8</v>
      </c>
      <c r="L83" s="22">
        <v>4</v>
      </c>
      <c r="M83" s="22">
        <v>12</v>
      </c>
      <c r="N83" s="22">
        <v>12</v>
      </c>
      <c r="O83" s="22">
        <v>4</v>
      </c>
      <c r="P83" s="22">
        <v>4</v>
      </c>
      <c r="Q83" s="22">
        <v>4</v>
      </c>
      <c r="R83" s="22">
        <v>10</v>
      </c>
      <c r="S83" s="22">
        <v>4</v>
      </c>
      <c r="T83" s="22">
        <v>4</v>
      </c>
      <c r="U83" s="22">
        <v>4</v>
      </c>
      <c r="V83" s="22">
        <v>10</v>
      </c>
      <c r="W83" s="22">
        <v>4</v>
      </c>
      <c r="X83" s="22">
        <v>10</v>
      </c>
      <c r="Y83" s="22">
        <v>10</v>
      </c>
      <c r="Z83" s="22">
        <v>6</v>
      </c>
      <c r="AA83" s="22">
        <v>4</v>
      </c>
      <c r="AB83" s="22">
        <v>4</v>
      </c>
      <c r="AC83" s="22">
        <v>8</v>
      </c>
      <c r="AD83" s="22">
        <v>4</v>
      </c>
      <c r="AE83" s="22">
        <v>4</v>
      </c>
      <c r="AF83" s="22">
        <v>60</v>
      </c>
      <c r="AG83" s="22">
        <v>60</v>
      </c>
      <c r="AH83" s="22">
        <v>12</v>
      </c>
      <c r="AI83" s="22">
        <v>4</v>
      </c>
      <c r="AJ83" s="22">
        <v>6</v>
      </c>
      <c r="AK83" s="22">
        <v>4</v>
      </c>
      <c r="AL83" s="22">
        <v>4</v>
      </c>
      <c r="AM83" s="22">
        <v>12</v>
      </c>
      <c r="AN83" s="22">
        <v>6</v>
      </c>
      <c r="AO83" s="22">
        <v>100</v>
      </c>
      <c r="AP83" s="68"/>
      <c r="AT83" s="81"/>
      <c r="AU83"/>
    </row>
    <row r="84" spans="1:47" ht="32.1">
      <c r="A84" s="23" t="s">
        <v>321</v>
      </c>
      <c r="B84" s="19" t="s">
        <v>322</v>
      </c>
      <c r="C84" s="19" t="s">
        <v>323</v>
      </c>
      <c r="D84" s="20">
        <f t="shared" si="1"/>
        <v>0</v>
      </c>
      <c r="E84" s="22" t="s">
        <v>683</v>
      </c>
      <c r="F84" s="22" t="s">
        <v>683</v>
      </c>
      <c r="G84" s="22" t="s">
        <v>683</v>
      </c>
      <c r="H84" s="22" t="s">
        <v>683</v>
      </c>
      <c r="I84" s="22" t="s">
        <v>683</v>
      </c>
      <c r="J84" s="22" t="s">
        <v>683</v>
      </c>
      <c r="K84" s="22" t="s">
        <v>683</v>
      </c>
      <c r="L84" s="22" t="s">
        <v>683</v>
      </c>
      <c r="M84" s="22" t="s">
        <v>683</v>
      </c>
      <c r="N84" s="22" t="s">
        <v>683</v>
      </c>
      <c r="O84" s="22" t="s">
        <v>683</v>
      </c>
      <c r="P84" s="22" t="s">
        <v>683</v>
      </c>
      <c r="Q84" s="22" t="s">
        <v>683</v>
      </c>
      <c r="R84" s="22" t="s">
        <v>683</v>
      </c>
      <c r="S84" s="22" t="s">
        <v>683</v>
      </c>
      <c r="T84" s="22" t="s">
        <v>683</v>
      </c>
      <c r="U84" s="22" t="s">
        <v>683</v>
      </c>
      <c r="V84" s="22" t="s">
        <v>683</v>
      </c>
      <c r="W84" s="22" t="s">
        <v>683</v>
      </c>
      <c r="X84" s="22" t="s">
        <v>683</v>
      </c>
      <c r="Y84" s="22" t="s">
        <v>683</v>
      </c>
      <c r="Z84" s="22" t="s">
        <v>683</v>
      </c>
      <c r="AA84" s="22" t="s">
        <v>683</v>
      </c>
      <c r="AB84" s="22" t="s">
        <v>683</v>
      </c>
      <c r="AC84" s="22" t="s">
        <v>683</v>
      </c>
      <c r="AD84" s="22" t="s">
        <v>683</v>
      </c>
      <c r="AE84" s="22" t="s">
        <v>683</v>
      </c>
      <c r="AF84" s="22" t="s">
        <v>683</v>
      </c>
      <c r="AG84" s="22" t="s">
        <v>683</v>
      </c>
      <c r="AH84" s="22" t="s">
        <v>683</v>
      </c>
      <c r="AI84" s="22" t="s">
        <v>683</v>
      </c>
      <c r="AJ84" s="22" t="s">
        <v>683</v>
      </c>
      <c r="AK84" s="22" t="s">
        <v>683</v>
      </c>
      <c r="AL84" s="22" t="s">
        <v>683</v>
      </c>
      <c r="AM84" s="22" t="s">
        <v>683</v>
      </c>
      <c r="AN84" s="22" t="s">
        <v>683</v>
      </c>
      <c r="AO84" s="22" t="s">
        <v>683</v>
      </c>
      <c r="AP84" s="68"/>
      <c r="AT84" s="81"/>
      <c r="AU84"/>
    </row>
    <row r="85" spans="1:47">
      <c r="A85" s="23" t="s">
        <v>324</v>
      </c>
      <c r="B85" s="19" t="s">
        <v>325</v>
      </c>
      <c r="C85" s="19" t="s">
        <v>326</v>
      </c>
      <c r="D85" s="20">
        <f t="shared" si="1"/>
        <v>290</v>
      </c>
      <c r="E85" s="22">
        <v>150</v>
      </c>
      <c r="F85" s="22">
        <v>0</v>
      </c>
      <c r="G85" s="22">
        <v>0</v>
      </c>
      <c r="H85" s="22">
        <v>0</v>
      </c>
      <c r="I85" s="22">
        <v>0</v>
      </c>
      <c r="J85" s="22">
        <v>0</v>
      </c>
      <c r="K85" s="22">
        <v>0</v>
      </c>
      <c r="L85" s="22">
        <v>0</v>
      </c>
      <c r="M85" s="22">
        <v>10</v>
      </c>
      <c r="N85" s="22">
        <v>0</v>
      </c>
      <c r="O85" s="22">
        <v>0</v>
      </c>
      <c r="P85" s="22">
        <v>0</v>
      </c>
      <c r="Q85" s="22">
        <v>0</v>
      </c>
      <c r="R85" s="22">
        <v>0</v>
      </c>
      <c r="S85" s="22">
        <v>0</v>
      </c>
      <c r="T85" s="22">
        <v>0</v>
      </c>
      <c r="U85" s="22">
        <v>0</v>
      </c>
      <c r="V85" s="22">
        <v>0</v>
      </c>
      <c r="W85" s="22">
        <v>0</v>
      </c>
      <c r="X85" s="22">
        <v>0</v>
      </c>
      <c r="Y85" s="22">
        <v>0</v>
      </c>
      <c r="Z85" s="22">
        <v>0</v>
      </c>
      <c r="AA85" s="22">
        <v>0</v>
      </c>
      <c r="AB85" s="22">
        <v>0</v>
      </c>
      <c r="AC85" s="22">
        <v>0</v>
      </c>
      <c r="AD85" s="22">
        <v>0</v>
      </c>
      <c r="AE85" s="22">
        <v>0</v>
      </c>
      <c r="AF85" s="22">
        <v>20</v>
      </c>
      <c r="AG85" s="22">
        <v>60</v>
      </c>
      <c r="AH85" s="22">
        <v>0</v>
      </c>
      <c r="AI85" s="22">
        <v>0</v>
      </c>
      <c r="AJ85" s="22">
        <v>0</v>
      </c>
      <c r="AK85" s="22">
        <v>0</v>
      </c>
      <c r="AL85" s="22">
        <v>0</v>
      </c>
      <c r="AM85" s="22">
        <v>0</v>
      </c>
      <c r="AN85" s="22">
        <v>0</v>
      </c>
      <c r="AO85" s="22">
        <v>50</v>
      </c>
      <c r="AP85" s="68"/>
      <c r="AT85" s="81"/>
      <c r="AU85"/>
    </row>
    <row r="86" spans="1:47">
      <c r="A86" s="23" t="s">
        <v>327</v>
      </c>
      <c r="B86" s="19" t="s">
        <v>328</v>
      </c>
      <c r="C86" s="19" t="s">
        <v>329</v>
      </c>
      <c r="D86" s="20">
        <f t="shared" si="1"/>
        <v>0</v>
      </c>
      <c r="E86" s="22">
        <v>0</v>
      </c>
      <c r="F86" s="22">
        <v>0</v>
      </c>
      <c r="G86" s="22">
        <v>0</v>
      </c>
      <c r="H86" s="22">
        <v>0</v>
      </c>
      <c r="I86" s="22">
        <v>0</v>
      </c>
      <c r="J86" s="22">
        <v>0</v>
      </c>
      <c r="K86" s="22">
        <v>0</v>
      </c>
      <c r="L86" s="22">
        <v>0</v>
      </c>
      <c r="M86" s="22">
        <v>0</v>
      </c>
      <c r="N86" s="22">
        <v>0</v>
      </c>
      <c r="O86" s="22">
        <v>0</v>
      </c>
      <c r="P86" s="22">
        <v>0</v>
      </c>
      <c r="Q86" s="22">
        <v>0</v>
      </c>
      <c r="R86" s="22">
        <v>0</v>
      </c>
      <c r="S86" s="22">
        <v>0</v>
      </c>
      <c r="T86" s="22">
        <v>0</v>
      </c>
      <c r="U86" s="22">
        <v>0</v>
      </c>
      <c r="V86" s="22">
        <v>0</v>
      </c>
      <c r="W86" s="22">
        <v>0</v>
      </c>
      <c r="X86" s="22">
        <v>0</v>
      </c>
      <c r="Y86" s="22">
        <v>0</v>
      </c>
      <c r="Z86" s="22">
        <v>0</v>
      </c>
      <c r="AA86" s="22">
        <v>0</v>
      </c>
      <c r="AB86" s="22">
        <v>0</v>
      </c>
      <c r="AC86" s="22">
        <v>0</v>
      </c>
      <c r="AD86" s="22">
        <v>0</v>
      </c>
      <c r="AE86" s="22">
        <v>0</v>
      </c>
      <c r="AF86" s="22">
        <v>0</v>
      </c>
      <c r="AG86" s="22">
        <v>0</v>
      </c>
      <c r="AH86" s="22">
        <v>0</v>
      </c>
      <c r="AI86" s="22">
        <v>0</v>
      </c>
      <c r="AJ86" s="22">
        <v>0</v>
      </c>
      <c r="AK86" s="22">
        <v>0</v>
      </c>
      <c r="AL86" s="22">
        <v>0</v>
      </c>
      <c r="AM86" s="22">
        <v>0</v>
      </c>
      <c r="AN86" s="22">
        <v>0</v>
      </c>
      <c r="AO86" s="22">
        <v>0</v>
      </c>
      <c r="AP86" s="68"/>
      <c r="AT86" s="81"/>
      <c r="AU86"/>
    </row>
    <row r="87" spans="1:47">
      <c r="A87" s="23" t="s">
        <v>330</v>
      </c>
      <c r="B87" s="19" t="s">
        <v>331</v>
      </c>
      <c r="C87" s="19" t="s">
        <v>332</v>
      </c>
      <c r="D87" s="20">
        <f t="shared" si="1"/>
        <v>0</v>
      </c>
      <c r="E87" s="22">
        <v>0</v>
      </c>
      <c r="F87" s="22">
        <v>0</v>
      </c>
      <c r="G87" s="22">
        <v>0</v>
      </c>
      <c r="H87" s="22">
        <v>0</v>
      </c>
      <c r="I87" s="22">
        <v>0</v>
      </c>
      <c r="J87" s="22">
        <v>0</v>
      </c>
      <c r="K87" s="22">
        <v>0</v>
      </c>
      <c r="L87" s="22">
        <v>0</v>
      </c>
      <c r="M87" s="22">
        <v>0</v>
      </c>
      <c r="N87" s="22">
        <v>0</v>
      </c>
      <c r="O87" s="22">
        <v>0</v>
      </c>
      <c r="P87" s="22">
        <v>0</v>
      </c>
      <c r="Q87" s="22">
        <v>0</v>
      </c>
      <c r="R87" s="22">
        <v>0</v>
      </c>
      <c r="S87" s="22">
        <v>0</v>
      </c>
      <c r="T87" s="22">
        <v>0</v>
      </c>
      <c r="U87" s="22">
        <v>0</v>
      </c>
      <c r="V87" s="22">
        <v>0</v>
      </c>
      <c r="W87" s="22">
        <v>0</v>
      </c>
      <c r="X87" s="22">
        <v>0</v>
      </c>
      <c r="Y87" s="22">
        <v>0</v>
      </c>
      <c r="Z87" s="22">
        <v>0</v>
      </c>
      <c r="AA87" s="22">
        <v>0</v>
      </c>
      <c r="AB87" s="22">
        <v>0</v>
      </c>
      <c r="AC87" s="22">
        <v>0</v>
      </c>
      <c r="AD87" s="22">
        <v>0</v>
      </c>
      <c r="AE87" s="22">
        <v>0</v>
      </c>
      <c r="AF87" s="22">
        <v>0</v>
      </c>
      <c r="AG87" s="22">
        <v>0</v>
      </c>
      <c r="AH87" s="22">
        <v>0</v>
      </c>
      <c r="AI87" s="22">
        <v>0</v>
      </c>
      <c r="AJ87" s="22">
        <v>0</v>
      </c>
      <c r="AK87" s="22">
        <v>0</v>
      </c>
      <c r="AL87" s="22">
        <v>0</v>
      </c>
      <c r="AM87" s="22">
        <v>0</v>
      </c>
      <c r="AN87" s="22">
        <v>0</v>
      </c>
      <c r="AO87" s="22">
        <v>0</v>
      </c>
      <c r="AP87" s="68"/>
      <c r="AT87" s="81"/>
      <c r="AU87"/>
    </row>
    <row r="88" spans="1:47">
      <c r="A88" s="24" t="s">
        <v>333</v>
      </c>
      <c r="B88" s="25"/>
      <c r="C88" s="25"/>
      <c r="D88" s="16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67"/>
      <c r="AT88" s="81"/>
      <c r="AU88"/>
    </row>
    <row r="89" spans="1:47">
      <c r="A89" s="19" t="s">
        <v>334</v>
      </c>
      <c r="B89" s="19" t="s">
        <v>335</v>
      </c>
      <c r="C89" s="19" t="s">
        <v>336</v>
      </c>
      <c r="D89" s="20">
        <f t="shared" ref="D89:D102" si="2">SUM(E89:AO89)</f>
        <v>29670</v>
      </c>
      <c r="E89" s="22">
        <v>10500</v>
      </c>
      <c r="F89" s="22">
        <v>500</v>
      </c>
      <c r="G89" s="22">
        <v>400</v>
      </c>
      <c r="H89" s="22">
        <v>300</v>
      </c>
      <c r="I89" s="22">
        <v>300</v>
      </c>
      <c r="J89" s="22">
        <v>300</v>
      </c>
      <c r="K89" s="22">
        <v>300</v>
      </c>
      <c r="L89" s="22">
        <v>0</v>
      </c>
      <c r="M89" s="22">
        <v>200</v>
      </c>
      <c r="N89" s="22">
        <v>0</v>
      </c>
      <c r="O89" s="22">
        <v>0</v>
      </c>
      <c r="P89" s="22">
        <v>0</v>
      </c>
      <c r="Q89" s="22">
        <v>0</v>
      </c>
      <c r="R89" s="22">
        <v>0</v>
      </c>
      <c r="S89" s="22">
        <v>0</v>
      </c>
      <c r="T89" s="22">
        <v>0</v>
      </c>
      <c r="U89" s="22">
        <v>0</v>
      </c>
      <c r="V89" s="22">
        <v>100</v>
      </c>
      <c r="W89" s="22">
        <v>0</v>
      </c>
      <c r="X89" s="22">
        <v>100</v>
      </c>
      <c r="Y89" s="22">
        <v>100</v>
      </c>
      <c r="Z89" s="22">
        <v>100</v>
      </c>
      <c r="AA89" s="22">
        <v>0</v>
      </c>
      <c r="AB89" s="22">
        <v>0</v>
      </c>
      <c r="AC89" s="22">
        <v>0</v>
      </c>
      <c r="AD89" s="22">
        <v>0</v>
      </c>
      <c r="AE89" s="22">
        <v>0</v>
      </c>
      <c r="AF89" s="22">
        <v>2500</v>
      </c>
      <c r="AG89" s="22">
        <v>500</v>
      </c>
      <c r="AH89" s="22">
        <v>100</v>
      </c>
      <c r="AI89" s="22">
        <v>0</v>
      </c>
      <c r="AJ89" s="22">
        <v>0</v>
      </c>
      <c r="AK89" s="22">
        <v>0</v>
      </c>
      <c r="AL89" s="22">
        <v>0</v>
      </c>
      <c r="AM89" s="22">
        <v>958</v>
      </c>
      <c r="AN89" s="22">
        <v>0</v>
      </c>
      <c r="AO89" s="22">
        <v>12412</v>
      </c>
      <c r="AP89" s="67"/>
      <c r="AT89" s="81"/>
      <c r="AU89"/>
    </row>
    <row r="90" spans="1:47">
      <c r="A90" s="19" t="s">
        <v>337</v>
      </c>
      <c r="B90" s="19" t="s">
        <v>338</v>
      </c>
      <c r="C90" s="19" t="s">
        <v>336</v>
      </c>
      <c r="D90" s="20">
        <f t="shared" si="2"/>
        <v>101999</v>
      </c>
      <c r="E90" s="22">
        <v>45719</v>
      </c>
      <c r="F90" s="22">
        <v>6279</v>
      </c>
      <c r="G90" s="22">
        <v>1805</v>
      </c>
      <c r="H90" s="22">
        <v>1266</v>
      </c>
      <c r="I90" s="22">
        <v>1129</v>
      </c>
      <c r="J90" s="22">
        <v>851</v>
      </c>
      <c r="K90" s="22">
        <v>2824</v>
      </c>
      <c r="L90" s="22">
        <v>2466</v>
      </c>
      <c r="M90" s="22">
        <v>1234</v>
      </c>
      <c r="N90" s="22">
        <v>1115</v>
      </c>
      <c r="O90" s="22">
        <v>436</v>
      </c>
      <c r="P90" s="22">
        <v>717</v>
      </c>
      <c r="Q90" s="22">
        <v>251</v>
      </c>
      <c r="R90" s="22">
        <v>1043</v>
      </c>
      <c r="S90" s="22">
        <v>78</v>
      </c>
      <c r="T90" s="22">
        <v>48</v>
      </c>
      <c r="U90" s="22">
        <v>69</v>
      </c>
      <c r="V90" s="22">
        <v>195</v>
      </c>
      <c r="W90" s="22">
        <v>74</v>
      </c>
      <c r="X90" s="22">
        <v>387</v>
      </c>
      <c r="Y90" s="22">
        <v>900</v>
      </c>
      <c r="Z90" s="22">
        <v>767</v>
      </c>
      <c r="AA90" s="22">
        <v>424</v>
      </c>
      <c r="AB90" s="22">
        <v>226</v>
      </c>
      <c r="AC90" s="22">
        <v>436</v>
      </c>
      <c r="AD90" s="22">
        <v>23</v>
      </c>
      <c r="AE90" s="22">
        <v>63</v>
      </c>
      <c r="AF90" s="22">
        <v>8367</v>
      </c>
      <c r="AG90" s="22">
        <v>7594</v>
      </c>
      <c r="AH90" s="22">
        <v>678</v>
      </c>
      <c r="AI90" s="22">
        <v>130</v>
      </c>
      <c r="AJ90" s="22">
        <v>633</v>
      </c>
      <c r="AK90" s="22">
        <v>57</v>
      </c>
      <c r="AL90" s="22">
        <v>80</v>
      </c>
      <c r="AM90" s="22">
        <v>958</v>
      </c>
      <c r="AN90" s="22">
        <v>265</v>
      </c>
      <c r="AO90" s="22">
        <v>12412</v>
      </c>
      <c r="AP90" s="67"/>
      <c r="AT90" s="81"/>
      <c r="AU90"/>
    </row>
    <row r="91" spans="1:47">
      <c r="A91" s="23" t="s">
        <v>339</v>
      </c>
      <c r="B91" s="19" t="s">
        <v>340</v>
      </c>
      <c r="C91" s="19" t="s">
        <v>196</v>
      </c>
      <c r="D91" s="20">
        <f t="shared" si="2"/>
        <v>18273</v>
      </c>
      <c r="E91" s="22">
        <v>1500</v>
      </c>
      <c r="F91" s="22">
        <v>500</v>
      </c>
      <c r="G91" s="22">
        <v>200</v>
      </c>
      <c r="H91" s="22">
        <v>150</v>
      </c>
      <c r="I91" s="22">
        <v>150</v>
      </c>
      <c r="J91" s="22">
        <v>150</v>
      </c>
      <c r="K91" s="22">
        <v>150</v>
      </c>
      <c r="L91" s="22">
        <v>0</v>
      </c>
      <c r="M91" s="22">
        <v>100</v>
      </c>
      <c r="N91" s="22">
        <v>200</v>
      </c>
      <c r="O91" s="22">
        <v>0</v>
      </c>
      <c r="P91" s="22">
        <v>0</v>
      </c>
      <c r="Q91" s="22">
        <v>0</v>
      </c>
      <c r="R91" s="22">
        <v>200</v>
      </c>
      <c r="S91" s="22">
        <v>0</v>
      </c>
      <c r="T91" s="22">
        <v>8</v>
      </c>
      <c r="U91" s="22">
        <v>10</v>
      </c>
      <c r="V91" s="22">
        <v>50</v>
      </c>
      <c r="W91" s="22">
        <v>0</v>
      </c>
      <c r="X91" s="22">
        <v>50</v>
      </c>
      <c r="Y91" s="22">
        <v>200</v>
      </c>
      <c r="Z91" s="22">
        <v>200</v>
      </c>
      <c r="AA91" s="22">
        <v>125</v>
      </c>
      <c r="AB91" s="22">
        <v>40</v>
      </c>
      <c r="AC91" s="22">
        <v>50</v>
      </c>
      <c r="AD91" s="22">
        <v>0</v>
      </c>
      <c r="AE91" s="22">
        <v>0</v>
      </c>
      <c r="AF91" s="22">
        <v>500</v>
      </c>
      <c r="AG91" s="22">
        <v>150</v>
      </c>
      <c r="AH91" s="22">
        <v>50</v>
      </c>
      <c r="AI91" s="22">
        <v>0</v>
      </c>
      <c r="AJ91" s="22">
        <v>100</v>
      </c>
      <c r="AK91" s="22">
        <v>0</v>
      </c>
      <c r="AL91" s="22">
        <v>20</v>
      </c>
      <c r="AM91" s="22">
        <v>958</v>
      </c>
      <c r="AN91" s="22">
        <v>50</v>
      </c>
      <c r="AO91" s="22">
        <v>12412</v>
      </c>
      <c r="AP91" s="67"/>
      <c r="AT91" s="81"/>
      <c r="AU91"/>
    </row>
    <row r="92" spans="1:47">
      <c r="A92" s="23" t="s">
        <v>341</v>
      </c>
      <c r="B92" s="19" t="s">
        <v>342</v>
      </c>
      <c r="C92" s="19" t="s">
        <v>196</v>
      </c>
      <c r="D92" s="20">
        <f t="shared" si="2"/>
        <v>20905</v>
      </c>
      <c r="E92" s="22">
        <v>1500</v>
      </c>
      <c r="F92" s="22">
        <v>1000</v>
      </c>
      <c r="G92" s="22">
        <v>200</v>
      </c>
      <c r="H92" s="22">
        <v>150</v>
      </c>
      <c r="I92" s="22">
        <v>150</v>
      </c>
      <c r="J92" s="22">
        <v>150</v>
      </c>
      <c r="K92" s="22">
        <v>150</v>
      </c>
      <c r="L92" s="22">
        <v>0</v>
      </c>
      <c r="M92" s="22">
        <v>100</v>
      </c>
      <c r="N92" s="22">
        <v>200</v>
      </c>
      <c r="O92" s="22">
        <v>0</v>
      </c>
      <c r="P92" s="22">
        <v>0</v>
      </c>
      <c r="Q92" s="22">
        <v>0</v>
      </c>
      <c r="R92" s="22">
        <v>200</v>
      </c>
      <c r="S92" s="22">
        <v>0</v>
      </c>
      <c r="T92" s="22">
        <v>43</v>
      </c>
      <c r="U92" s="22">
        <v>40</v>
      </c>
      <c r="V92" s="22">
        <v>50</v>
      </c>
      <c r="W92" s="22">
        <v>0</v>
      </c>
      <c r="X92" s="22">
        <v>50</v>
      </c>
      <c r="Y92" s="22">
        <v>900</v>
      </c>
      <c r="Z92" s="22">
        <v>767</v>
      </c>
      <c r="AA92" s="22">
        <v>424</v>
      </c>
      <c r="AB92" s="22">
        <v>226</v>
      </c>
      <c r="AC92" s="22">
        <v>50</v>
      </c>
      <c r="AD92" s="22">
        <v>0</v>
      </c>
      <c r="AE92" s="22">
        <v>0</v>
      </c>
      <c r="AF92" s="22">
        <v>600</v>
      </c>
      <c r="AG92" s="22">
        <v>150</v>
      </c>
      <c r="AH92" s="22">
        <v>50</v>
      </c>
      <c r="AI92" s="22">
        <v>0</v>
      </c>
      <c r="AJ92" s="22">
        <v>100</v>
      </c>
      <c r="AK92" s="22">
        <v>0</v>
      </c>
      <c r="AL92" s="22">
        <v>20</v>
      </c>
      <c r="AM92" s="22">
        <v>958</v>
      </c>
      <c r="AN92" s="22">
        <v>265</v>
      </c>
      <c r="AO92" s="22">
        <v>12412</v>
      </c>
      <c r="AP92" s="67"/>
      <c r="AT92" s="81"/>
      <c r="AU92"/>
    </row>
    <row r="93" spans="1:47">
      <c r="A93" s="23" t="s">
        <v>343</v>
      </c>
      <c r="B93" s="19" t="s">
        <v>344</v>
      </c>
      <c r="C93" s="19" t="s">
        <v>345</v>
      </c>
      <c r="D93" s="20">
        <f t="shared" si="2"/>
        <v>703</v>
      </c>
      <c r="E93" s="22">
        <v>348</v>
      </c>
      <c r="F93" s="22">
        <v>9</v>
      </c>
      <c r="G93" s="22">
        <v>0</v>
      </c>
      <c r="H93" s="22">
        <v>8</v>
      </c>
      <c r="I93" s="22">
        <v>8</v>
      </c>
      <c r="J93" s="22">
        <v>0</v>
      </c>
      <c r="K93" s="22">
        <v>40</v>
      </c>
      <c r="L93" s="22">
        <v>3</v>
      </c>
      <c r="M93" s="22">
        <v>12</v>
      </c>
      <c r="N93" s="22">
        <v>23</v>
      </c>
      <c r="O93" s="22">
        <v>0</v>
      </c>
      <c r="P93" s="22">
        <v>1</v>
      </c>
      <c r="Q93" s="22">
        <v>0</v>
      </c>
      <c r="R93" s="22">
        <v>0</v>
      </c>
      <c r="S93" s="22">
        <v>0</v>
      </c>
      <c r="T93" s="22">
        <v>0</v>
      </c>
      <c r="U93" s="22"/>
      <c r="V93" s="22">
        <v>0</v>
      </c>
      <c r="W93" s="22">
        <v>0</v>
      </c>
      <c r="X93" s="22">
        <v>0</v>
      </c>
      <c r="Y93" s="22">
        <v>4</v>
      </c>
      <c r="Z93" s="22">
        <v>11</v>
      </c>
      <c r="AA93" s="22">
        <v>0</v>
      </c>
      <c r="AB93" s="22">
        <v>0</v>
      </c>
      <c r="AC93" s="22">
        <v>0</v>
      </c>
      <c r="AD93" s="22">
        <v>0</v>
      </c>
      <c r="AE93" s="22">
        <v>0</v>
      </c>
      <c r="AF93" s="22">
        <v>66</v>
      </c>
      <c r="AG93" s="22">
        <v>98</v>
      </c>
      <c r="AH93" s="22">
        <v>0</v>
      </c>
      <c r="AI93" s="22">
        <v>0</v>
      </c>
      <c r="AJ93" s="22">
        <v>0</v>
      </c>
      <c r="AK93" s="22">
        <v>0</v>
      </c>
      <c r="AL93" s="22">
        <v>0</v>
      </c>
      <c r="AM93" s="22">
        <v>11</v>
      </c>
      <c r="AN93" s="22">
        <v>1</v>
      </c>
      <c r="AO93" s="22">
        <v>60</v>
      </c>
      <c r="AP93" s="67"/>
      <c r="AT93" s="81"/>
      <c r="AU93"/>
    </row>
    <row r="94" spans="1:47">
      <c r="A94" s="23" t="s">
        <v>346</v>
      </c>
      <c r="B94" s="19" t="s">
        <v>347</v>
      </c>
      <c r="C94" s="19" t="s">
        <v>348</v>
      </c>
      <c r="D94" s="20">
        <f t="shared" si="2"/>
        <v>1468</v>
      </c>
      <c r="E94" s="22">
        <v>669</v>
      </c>
      <c r="F94" s="22">
        <v>65</v>
      </c>
      <c r="G94" s="22">
        <v>49</v>
      </c>
      <c r="H94" s="22">
        <v>27</v>
      </c>
      <c r="I94" s="22">
        <v>19</v>
      </c>
      <c r="J94" s="22">
        <v>21</v>
      </c>
      <c r="K94" s="22">
        <v>55</v>
      </c>
      <c r="L94" s="22">
        <v>0</v>
      </c>
      <c r="M94" s="22">
        <v>31</v>
      </c>
      <c r="N94" s="22">
        <v>12</v>
      </c>
      <c r="O94" s="22">
        <v>7</v>
      </c>
      <c r="P94" s="22">
        <v>8</v>
      </c>
      <c r="Q94" s="22">
        <v>0</v>
      </c>
      <c r="R94" s="22">
        <v>30</v>
      </c>
      <c r="S94" s="22">
        <v>1</v>
      </c>
      <c r="T94" s="22">
        <v>1</v>
      </c>
      <c r="U94" s="22">
        <v>2</v>
      </c>
      <c r="V94" s="22">
        <v>3</v>
      </c>
      <c r="W94" s="22">
        <v>1</v>
      </c>
      <c r="X94" s="22">
        <v>9</v>
      </c>
      <c r="Y94" s="22">
        <v>31</v>
      </c>
      <c r="Z94" s="22">
        <v>18</v>
      </c>
      <c r="AA94" s="22">
        <v>9</v>
      </c>
      <c r="AB94" s="22">
        <v>4</v>
      </c>
      <c r="AC94" s="22">
        <v>8</v>
      </c>
      <c r="AD94" s="22">
        <v>1</v>
      </c>
      <c r="AE94" s="22">
        <v>1</v>
      </c>
      <c r="AF94" s="22">
        <v>111</v>
      </c>
      <c r="AG94" s="22">
        <v>114</v>
      </c>
      <c r="AH94" s="22">
        <v>18</v>
      </c>
      <c r="AI94" s="22">
        <v>4</v>
      </c>
      <c r="AJ94" s="22">
        <v>16</v>
      </c>
      <c r="AK94" s="22">
        <v>1</v>
      </c>
      <c r="AL94" s="22">
        <v>1</v>
      </c>
      <c r="AM94" s="22">
        <v>15</v>
      </c>
      <c r="AN94" s="22">
        <v>6</v>
      </c>
      <c r="AO94" s="22">
        <v>100</v>
      </c>
      <c r="AP94" s="67"/>
      <c r="AT94" s="81"/>
      <c r="AU94"/>
    </row>
    <row r="95" spans="1:47">
      <c r="A95" s="23" t="s">
        <v>349</v>
      </c>
      <c r="B95" s="19" t="s">
        <v>350</v>
      </c>
      <c r="C95" s="19" t="s">
        <v>351</v>
      </c>
      <c r="D95" s="20">
        <f t="shared" si="2"/>
        <v>33</v>
      </c>
      <c r="E95" s="22">
        <v>15</v>
      </c>
      <c r="F95" s="22">
        <v>0</v>
      </c>
      <c r="G95" s="22">
        <v>0</v>
      </c>
      <c r="H95" s="22">
        <v>0</v>
      </c>
      <c r="I95" s="22">
        <v>0</v>
      </c>
      <c r="J95" s="22">
        <v>0</v>
      </c>
      <c r="K95" s="22">
        <v>0</v>
      </c>
      <c r="L95" s="22">
        <v>0</v>
      </c>
      <c r="M95" s="22">
        <v>0</v>
      </c>
      <c r="N95" s="22">
        <v>0</v>
      </c>
      <c r="O95" s="22">
        <v>0</v>
      </c>
      <c r="P95" s="22">
        <v>0</v>
      </c>
      <c r="Q95" s="22">
        <v>0</v>
      </c>
      <c r="R95" s="22">
        <v>0</v>
      </c>
      <c r="S95" s="22">
        <v>0</v>
      </c>
      <c r="T95" s="22">
        <v>0</v>
      </c>
      <c r="U95" s="22">
        <v>0</v>
      </c>
      <c r="V95" s="22">
        <v>0</v>
      </c>
      <c r="W95" s="22">
        <v>0</v>
      </c>
      <c r="X95" s="22">
        <v>0</v>
      </c>
      <c r="Y95" s="22">
        <v>0</v>
      </c>
      <c r="Z95" s="22">
        <v>0</v>
      </c>
      <c r="AA95" s="22">
        <v>0</v>
      </c>
      <c r="AB95" s="22">
        <v>0</v>
      </c>
      <c r="AC95" s="22">
        <v>0</v>
      </c>
      <c r="AD95" s="22">
        <v>0</v>
      </c>
      <c r="AE95" s="22">
        <v>0</v>
      </c>
      <c r="AF95" s="22">
        <v>5</v>
      </c>
      <c r="AG95" s="22">
        <v>3</v>
      </c>
      <c r="AH95" s="22">
        <v>0</v>
      </c>
      <c r="AI95" s="22">
        <v>0</v>
      </c>
      <c r="AJ95" s="22">
        <v>0</v>
      </c>
      <c r="AK95" s="22">
        <v>0</v>
      </c>
      <c r="AL95" s="22">
        <v>0</v>
      </c>
      <c r="AM95" s="22">
        <v>0</v>
      </c>
      <c r="AN95" s="22">
        <v>0</v>
      </c>
      <c r="AO95" s="22">
        <v>10</v>
      </c>
      <c r="AP95" s="67"/>
      <c r="AT95" s="81"/>
      <c r="AU95"/>
    </row>
    <row r="96" spans="1:47">
      <c r="A96" s="23" t="s">
        <v>352</v>
      </c>
      <c r="B96" s="19" t="s">
        <v>353</v>
      </c>
      <c r="C96" s="19" t="s">
        <v>242</v>
      </c>
      <c r="D96" s="20">
        <f t="shared" si="2"/>
        <v>4</v>
      </c>
      <c r="E96" s="22">
        <v>1</v>
      </c>
      <c r="F96" s="22">
        <v>0</v>
      </c>
      <c r="G96" s="22">
        <v>0</v>
      </c>
      <c r="H96" s="22">
        <v>0</v>
      </c>
      <c r="I96" s="22">
        <v>0</v>
      </c>
      <c r="J96" s="22">
        <v>0</v>
      </c>
      <c r="K96" s="22">
        <v>0</v>
      </c>
      <c r="L96" s="22">
        <v>0</v>
      </c>
      <c r="M96" s="22">
        <v>1</v>
      </c>
      <c r="N96" s="22">
        <v>0</v>
      </c>
      <c r="O96" s="22">
        <v>0</v>
      </c>
      <c r="P96" s="22">
        <v>0</v>
      </c>
      <c r="Q96" s="22">
        <v>0</v>
      </c>
      <c r="R96" s="22">
        <v>0</v>
      </c>
      <c r="S96" s="22">
        <v>0</v>
      </c>
      <c r="T96" s="22">
        <v>0</v>
      </c>
      <c r="U96" s="22">
        <v>0</v>
      </c>
      <c r="V96" s="22">
        <v>0</v>
      </c>
      <c r="W96" s="22">
        <v>0</v>
      </c>
      <c r="X96" s="22">
        <v>0</v>
      </c>
      <c r="Y96" s="22">
        <v>0</v>
      </c>
      <c r="Z96" s="22">
        <v>0</v>
      </c>
      <c r="AA96" s="22">
        <v>0</v>
      </c>
      <c r="AB96" s="22">
        <v>0</v>
      </c>
      <c r="AC96" s="22">
        <v>0</v>
      </c>
      <c r="AD96" s="22">
        <v>0</v>
      </c>
      <c r="AE96" s="22">
        <v>0</v>
      </c>
      <c r="AF96" s="22">
        <v>0</v>
      </c>
      <c r="AG96" s="22">
        <v>1</v>
      </c>
      <c r="AH96" s="22">
        <v>0</v>
      </c>
      <c r="AI96" s="22">
        <v>0</v>
      </c>
      <c r="AJ96" s="22">
        <v>0</v>
      </c>
      <c r="AK96" s="22">
        <v>0</v>
      </c>
      <c r="AL96" s="22">
        <v>0</v>
      </c>
      <c r="AM96" s="22">
        <v>0</v>
      </c>
      <c r="AN96" s="22">
        <v>0</v>
      </c>
      <c r="AO96" s="22">
        <v>1</v>
      </c>
      <c r="AP96" s="67"/>
      <c r="AT96" s="81"/>
      <c r="AU96"/>
    </row>
    <row r="97" spans="1:47">
      <c r="A97" s="23" t="s">
        <v>354</v>
      </c>
      <c r="B97" s="19" t="s">
        <v>355</v>
      </c>
      <c r="C97" s="19" t="s">
        <v>356</v>
      </c>
      <c r="D97" s="20">
        <f t="shared" si="2"/>
        <v>245</v>
      </c>
      <c r="E97" s="22">
        <v>100</v>
      </c>
      <c r="F97" s="22">
        <v>8</v>
      </c>
      <c r="G97" s="22">
        <v>4</v>
      </c>
      <c r="H97" s="22">
        <v>4</v>
      </c>
      <c r="I97" s="22">
        <v>0</v>
      </c>
      <c r="J97" s="22">
        <v>4</v>
      </c>
      <c r="K97" s="22">
        <v>7</v>
      </c>
      <c r="L97" s="22">
        <v>0</v>
      </c>
      <c r="M97" s="22">
        <v>8</v>
      </c>
      <c r="N97" s="22">
        <v>0</v>
      </c>
      <c r="O97" s="22">
        <v>0</v>
      </c>
      <c r="P97" s="22">
        <v>0</v>
      </c>
      <c r="Q97" s="22">
        <v>0</v>
      </c>
      <c r="R97" s="22">
        <v>0</v>
      </c>
      <c r="S97" s="22">
        <v>0</v>
      </c>
      <c r="T97" s="22">
        <v>0</v>
      </c>
      <c r="U97" s="22"/>
      <c r="V97" s="22">
        <v>0</v>
      </c>
      <c r="W97" s="22">
        <v>0</v>
      </c>
      <c r="X97" s="22">
        <v>0</v>
      </c>
      <c r="Y97" s="22">
        <v>0</v>
      </c>
      <c r="Z97" s="22">
        <v>0</v>
      </c>
      <c r="AA97" s="22">
        <v>0</v>
      </c>
      <c r="AB97" s="22">
        <v>0</v>
      </c>
      <c r="AC97" s="22">
        <v>0</v>
      </c>
      <c r="AD97" s="22">
        <v>0</v>
      </c>
      <c r="AE97" s="22">
        <v>0</v>
      </c>
      <c r="AF97" s="22">
        <v>19</v>
      </c>
      <c r="AG97" s="22">
        <v>31</v>
      </c>
      <c r="AH97" s="22">
        <v>0</v>
      </c>
      <c r="AI97" s="22">
        <v>0</v>
      </c>
      <c r="AJ97" s="22">
        <v>0</v>
      </c>
      <c r="AK97" s="22">
        <v>0</v>
      </c>
      <c r="AL97" s="22"/>
      <c r="AM97" s="22">
        <v>0</v>
      </c>
      <c r="AN97" s="22">
        <v>0</v>
      </c>
      <c r="AO97" s="22">
        <v>60</v>
      </c>
      <c r="AP97" s="67"/>
      <c r="AT97" s="81"/>
      <c r="AU97"/>
    </row>
    <row r="98" spans="1:47">
      <c r="A98" s="23" t="s">
        <v>357</v>
      </c>
      <c r="B98" s="19" t="s">
        <v>358</v>
      </c>
      <c r="C98" s="19" t="s">
        <v>359</v>
      </c>
      <c r="D98" s="20">
        <f t="shared" si="2"/>
        <v>2</v>
      </c>
      <c r="E98" s="22">
        <v>1</v>
      </c>
      <c r="F98" s="22">
        <v>0</v>
      </c>
      <c r="G98" s="22">
        <v>0</v>
      </c>
      <c r="H98" s="22">
        <v>0</v>
      </c>
      <c r="I98" s="22">
        <v>0</v>
      </c>
      <c r="J98" s="22">
        <v>0</v>
      </c>
      <c r="K98" s="22">
        <v>0</v>
      </c>
      <c r="L98" s="22">
        <v>0</v>
      </c>
      <c r="M98" s="22">
        <v>0</v>
      </c>
      <c r="N98" s="22">
        <v>0</v>
      </c>
      <c r="O98" s="22">
        <v>0</v>
      </c>
      <c r="P98" s="22">
        <v>0</v>
      </c>
      <c r="Q98" s="22">
        <v>0</v>
      </c>
      <c r="R98" s="22">
        <v>0</v>
      </c>
      <c r="S98" s="22">
        <v>0</v>
      </c>
      <c r="T98" s="22">
        <v>0</v>
      </c>
      <c r="U98" s="22">
        <v>0</v>
      </c>
      <c r="V98" s="22">
        <v>0</v>
      </c>
      <c r="W98" s="22">
        <v>0</v>
      </c>
      <c r="X98" s="22">
        <v>0</v>
      </c>
      <c r="Y98" s="22">
        <v>0</v>
      </c>
      <c r="Z98" s="22">
        <v>0</v>
      </c>
      <c r="AA98" s="22">
        <v>0</v>
      </c>
      <c r="AB98" s="22">
        <v>0</v>
      </c>
      <c r="AC98" s="22">
        <v>0</v>
      </c>
      <c r="AD98" s="22">
        <v>0</v>
      </c>
      <c r="AE98" s="22">
        <v>0</v>
      </c>
      <c r="AF98" s="22">
        <v>0</v>
      </c>
      <c r="AG98" s="22">
        <v>0</v>
      </c>
      <c r="AH98" s="22">
        <v>0</v>
      </c>
      <c r="AI98" s="22">
        <v>0</v>
      </c>
      <c r="AJ98" s="22">
        <v>0</v>
      </c>
      <c r="AK98" s="22">
        <v>0</v>
      </c>
      <c r="AL98" s="22">
        <v>0</v>
      </c>
      <c r="AM98" s="22">
        <v>0</v>
      </c>
      <c r="AN98" s="22">
        <v>0</v>
      </c>
      <c r="AO98" s="22">
        <v>1</v>
      </c>
      <c r="AP98" s="67"/>
      <c r="AT98" s="81"/>
      <c r="AU98"/>
    </row>
    <row r="99" spans="1:47" ht="32.1">
      <c r="A99" s="23" t="s">
        <v>360</v>
      </c>
      <c r="B99" s="19" t="s">
        <v>361</v>
      </c>
      <c r="C99" s="19" t="s">
        <v>362</v>
      </c>
      <c r="D99" s="20">
        <f t="shared" si="2"/>
        <v>144</v>
      </c>
      <c r="E99" s="22">
        <v>0</v>
      </c>
      <c r="F99" s="22">
        <v>0</v>
      </c>
      <c r="G99" s="22">
        <v>0</v>
      </c>
      <c r="H99" s="22">
        <v>0</v>
      </c>
      <c r="I99" s="22">
        <v>0</v>
      </c>
      <c r="J99" s="22">
        <v>0</v>
      </c>
      <c r="K99" s="22">
        <v>0</v>
      </c>
      <c r="L99" s="22">
        <v>0</v>
      </c>
      <c r="M99" s="22">
        <v>0</v>
      </c>
      <c r="N99" s="22">
        <v>0</v>
      </c>
      <c r="O99" s="22">
        <v>0</v>
      </c>
      <c r="P99" s="22">
        <v>0</v>
      </c>
      <c r="Q99" s="22">
        <v>0</v>
      </c>
      <c r="R99" s="22">
        <v>0</v>
      </c>
      <c r="S99" s="22">
        <v>0</v>
      </c>
      <c r="T99" s="22">
        <v>0</v>
      </c>
      <c r="U99" s="22">
        <v>0</v>
      </c>
      <c r="V99" s="22">
        <v>0</v>
      </c>
      <c r="W99" s="22">
        <v>0</v>
      </c>
      <c r="X99" s="22">
        <v>0</v>
      </c>
      <c r="Y99" s="22">
        <v>0</v>
      </c>
      <c r="Z99" s="22">
        <v>0</v>
      </c>
      <c r="AA99" s="22">
        <v>0</v>
      </c>
      <c r="AB99" s="22">
        <v>0</v>
      </c>
      <c r="AC99" s="22">
        <v>0</v>
      </c>
      <c r="AD99" s="22">
        <v>0</v>
      </c>
      <c r="AE99" s="22">
        <v>0</v>
      </c>
      <c r="AF99" s="22">
        <v>0</v>
      </c>
      <c r="AG99" s="22">
        <v>0</v>
      </c>
      <c r="AH99" s="22">
        <v>0</v>
      </c>
      <c r="AI99" s="22">
        <v>0</v>
      </c>
      <c r="AJ99" s="22">
        <v>0</v>
      </c>
      <c r="AK99" s="22">
        <v>0</v>
      </c>
      <c r="AL99" s="22">
        <v>0</v>
      </c>
      <c r="AM99" s="22">
        <v>0</v>
      </c>
      <c r="AN99" s="22">
        <v>0</v>
      </c>
      <c r="AO99" s="22">
        <v>144</v>
      </c>
      <c r="AP99" s="67"/>
      <c r="AT99" s="81"/>
      <c r="AU99"/>
    </row>
    <row r="100" spans="1:47">
      <c r="A100" s="23" t="s">
        <v>363</v>
      </c>
      <c r="B100" s="19" t="s">
        <v>364</v>
      </c>
      <c r="C100" s="19" t="s">
        <v>365</v>
      </c>
      <c r="D100" s="20">
        <f t="shared" si="2"/>
        <v>1</v>
      </c>
      <c r="E100" s="22">
        <v>1</v>
      </c>
      <c r="F100" s="22">
        <v>0</v>
      </c>
      <c r="G100" s="22">
        <v>0</v>
      </c>
      <c r="H100" s="22">
        <v>0</v>
      </c>
      <c r="I100" s="22">
        <v>0</v>
      </c>
      <c r="J100" s="22">
        <v>0</v>
      </c>
      <c r="K100" s="22">
        <v>0</v>
      </c>
      <c r="L100" s="22">
        <v>0</v>
      </c>
      <c r="M100" s="22">
        <v>0</v>
      </c>
      <c r="N100" s="22">
        <v>0</v>
      </c>
      <c r="O100" s="22">
        <v>0</v>
      </c>
      <c r="P100" s="22">
        <v>0</v>
      </c>
      <c r="Q100" s="22">
        <v>0</v>
      </c>
      <c r="R100" s="22">
        <v>0</v>
      </c>
      <c r="S100" s="22">
        <v>0</v>
      </c>
      <c r="T100" s="22">
        <v>0</v>
      </c>
      <c r="U100" s="22">
        <v>0</v>
      </c>
      <c r="V100" s="22">
        <v>0</v>
      </c>
      <c r="W100" s="22">
        <v>0</v>
      </c>
      <c r="X100" s="22">
        <v>0</v>
      </c>
      <c r="Y100" s="22">
        <v>0</v>
      </c>
      <c r="Z100" s="22">
        <v>0</v>
      </c>
      <c r="AA100" s="22">
        <v>0</v>
      </c>
      <c r="AB100" s="22">
        <v>0</v>
      </c>
      <c r="AC100" s="22">
        <v>0</v>
      </c>
      <c r="AD100" s="22">
        <v>0</v>
      </c>
      <c r="AE100" s="22">
        <v>0</v>
      </c>
      <c r="AF100" s="22">
        <v>0</v>
      </c>
      <c r="AG100" s="22">
        <v>0</v>
      </c>
      <c r="AH100" s="22">
        <v>0</v>
      </c>
      <c r="AI100" s="22">
        <v>0</v>
      </c>
      <c r="AJ100" s="22">
        <v>0</v>
      </c>
      <c r="AK100" s="22">
        <v>0</v>
      </c>
      <c r="AL100" s="22">
        <v>0</v>
      </c>
      <c r="AM100" s="22">
        <v>0</v>
      </c>
      <c r="AN100" s="22">
        <v>0</v>
      </c>
      <c r="AO100" s="22">
        <v>0</v>
      </c>
      <c r="AP100" s="67"/>
      <c r="AT100" s="81"/>
      <c r="AU100"/>
    </row>
    <row r="101" spans="1:47">
      <c r="A101" s="23" t="s">
        <v>366</v>
      </c>
      <c r="B101" s="19" t="s">
        <v>367</v>
      </c>
      <c r="C101" s="19" t="s">
        <v>368</v>
      </c>
      <c r="D101" s="20">
        <f t="shared" si="2"/>
        <v>23</v>
      </c>
      <c r="E101" s="22">
        <v>17</v>
      </c>
      <c r="F101" s="22">
        <v>0</v>
      </c>
      <c r="G101" s="22">
        <v>0</v>
      </c>
      <c r="H101" s="22">
        <v>0</v>
      </c>
      <c r="I101" s="22">
        <v>0</v>
      </c>
      <c r="J101" s="22">
        <v>0</v>
      </c>
      <c r="K101" s="22">
        <v>0</v>
      </c>
      <c r="L101" s="22">
        <v>0</v>
      </c>
      <c r="M101" s="22">
        <v>0</v>
      </c>
      <c r="N101" s="22">
        <v>0</v>
      </c>
      <c r="O101" s="22">
        <v>0</v>
      </c>
      <c r="P101" s="22">
        <v>0</v>
      </c>
      <c r="Q101" s="22">
        <v>0</v>
      </c>
      <c r="R101" s="22">
        <v>0</v>
      </c>
      <c r="S101" s="22">
        <v>0</v>
      </c>
      <c r="T101" s="22">
        <v>0</v>
      </c>
      <c r="U101" s="22">
        <v>0</v>
      </c>
      <c r="V101" s="22">
        <v>0</v>
      </c>
      <c r="W101" s="22">
        <v>0</v>
      </c>
      <c r="X101" s="22">
        <v>0</v>
      </c>
      <c r="Y101" s="22">
        <v>0</v>
      </c>
      <c r="Z101" s="22">
        <v>0</v>
      </c>
      <c r="AA101" s="22">
        <v>0</v>
      </c>
      <c r="AB101" s="22">
        <v>0</v>
      </c>
      <c r="AC101" s="22">
        <v>0</v>
      </c>
      <c r="AD101" s="22">
        <v>0</v>
      </c>
      <c r="AE101" s="22">
        <v>0</v>
      </c>
      <c r="AF101" s="22">
        <v>0</v>
      </c>
      <c r="AG101" s="22">
        <v>0</v>
      </c>
      <c r="AH101" s="22">
        <v>0</v>
      </c>
      <c r="AI101" s="22">
        <v>0</v>
      </c>
      <c r="AJ101" s="22">
        <v>0</v>
      </c>
      <c r="AK101" s="22">
        <v>0</v>
      </c>
      <c r="AL101" s="22">
        <v>0</v>
      </c>
      <c r="AM101" s="22">
        <v>1</v>
      </c>
      <c r="AN101" s="22">
        <v>0</v>
      </c>
      <c r="AO101" s="22">
        <v>5</v>
      </c>
      <c r="AP101" s="68"/>
      <c r="AT101" s="81"/>
      <c r="AU101"/>
    </row>
    <row r="102" spans="1:47" ht="32.1">
      <c r="A102" s="23" t="s">
        <v>357</v>
      </c>
      <c r="B102" s="19" t="s">
        <v>369</v>
      </c>
      <c r="C102" s="19" t="s">
        <v>370</v>
      </c>
      <c r="D102" s="20">
        <f t="shared" si="2"/>
        <v>0</v>
      </c>
      <c r="E102" s="22">
        <v>0</v>
      </c>
      <c r="F102" s="22">
        <v>0</v>
      </c>
      <c r="G102" s="22">
        <v>0</v>
      </c>
      <c r="H102" s="22">
        <v>0</v>
      </c>
      <c r="I102" s="22">
        <v>0</v>
      </c>
      <c r="J102" s="22">
        <v>0</v>
      </c>
      <c r="K102" s="22">
        <v>0</v>
      </c>
      <c r="L102" s="22">
        <v>0</v>
      </c>
      <c r="M102" s="22">
        <v>0</v>
      </c>
      <c r="N102" s="22">
        <v>0</v>
      </c>
      <c r="O102" s="22">
        <v>0</v>
      </c>
      <c r="P102" s="22">
        <v>0</v>
      </c>
      <c r="Q102" s="22">
        <v>0</v>
      </c>
      <c r="R102" s="22">
        <v>0</v>
      </c>
      <c r="S102" s="22">
        <v>0</v>
      </c>
      <c r="T102" s="22">
        <v>0</v>
      </c>
      <c r="U102" s="22">
        <v>0</v>
      </c>
      <c r="V102" s="22">
        <v>0</v>
      </c>
      <c r="W102" s="22">
        <v>0</v>
      </c>
      <c r="X102" s="22">
        <v>0</v>
      </c>
      <c r="Y102" s="22">
        <v>0</v>
      </c>
      <c r="Z102" s="22">
        <v>0</v>
      </c>
      <c r="AA102" s="22">
        <v>0</v>
      </c>
      <c r="AB102" s="22">
        <v>0</v>
      </c>
      <c r="AC102" s="22">
        <v>0</v>
      </c>
      <c r="AD102" s="22">
        <v>0</v>
      </c>
      <c r="AE102" s="22">
        <v>0</v>
      </c>
      <c r="AF102" s="22">
        <v>0</v>
      </c>
      <c r="AG102" s="22">
        <v>0</v>
      </c>
      <c r="AH102" s="22">
        <v>0</v>
      </c>
      <c r="AI102" s="22">
        <v>0</v>
      </c>
      <c r="AJ102" s="22">
        <v>0</v>
      </c>
      <c r="AK102" s="22">
        <v>0</v>
      </c>
      <c r="AL102" s="22">
        <v>0</v>
      </c>
      <c r="AM102" s="22">
        <v>0</v>
      </c>
      <c r="AN102" s="22">
        <v>0</v>
      </c>
      <c r="AO102" s="22">
        <v>0</v>
      </c>
      <c r="AP102" s="67"/>
      <c r="AT102" s="81"/>
      <c r="AU102"/>
    </row>
    <row r="103" spans="1:47">
      <c r="A103" s="24" t="s">
        <v>371</v>
      </c>
      <c r="B103" s="25"/>
      <c r="C103" s="25"/>
      <c r="D103" s="16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67"/>
      <c r="AT103" s="81"/>
      <c r="AU103"/>
    </row>
    <row r="104" spans="1:47">
      <c r="A104" s="23" t="s">
        <v>372</v>
      </c>
      <c r="B104" s="19" t="s">
        <v>373</v>
      </c>
      <c r="C104" s="19" t="s">
        <v>374</v>
      </c>
      <c r="D104" s="20">
        <f t="shared" ref="D104:D110" si="3">SUM(E104:AO104)</f>
        <v>41</v>
      </c>
      <c r="E104" s="22">
        <v>12</v>
      </c>
      <c r="F104" s="22">
        <v>2</v>
      </c>
      <c r="G104" s="22">
        <v>1</v>
      </c>
      <c r="H104" s="22">
        <v>1</v>
      </c>
      <c r="I104" s="22">
        <v>0</v>
      </c>
      <c r="J104" s="22">
        <v>1</v>
      </c>
      <c r="K104" s="22">
        <v>1</v>
      </c>
      <c r="L104" s="22">
        <v>0</v>
      </c>
      <c r="M104" s="22">
        <v>2</v>
      </c>
      <c r="N104" s="22">
        <v>1</v>
      </c>
      <c r="O104" s="22">
        <v>0</v>
      </c>
      <c r="P104" s="22">
        <v>0</v>
      </c>
      <c r="Q104" s="22">
        <v>0</v>
      </c>
      <c r="R104" s="22">
        <v>0</v>
      </c>
      <c r="S104" s="22">
        <v>0</v>
      </c>
      <c r="T104" s="22">
        <v>0</v>
      </c>
      <c r="U104" s="22">
        <v>0</v>
      </c>
      <c r="V104" s="22">
        <v>0</v>
      </c>
      <c r="W104" s="22">
        <v>0</v>
      </c>
      <c r="X104" s="22">
        <v>0</v>
      </c>
      <c r="Y104" s="22">
        <v>1</v>
      </c>
      <c r="Z104" s="22">
        <v>1</v>
      </c>
      <c r="AA104" s="22">
        <v>0</v>
      </c>
      <c r="AB104" s="22">
        <v>0</v>
      </c>
      <c r="AC104" s="22">
        <v>0</v>
      </c>
      <c r="AD104" s="22">
        <v>0</v>
      </c>
      <c r="AE104" s="22">
        <v>0</v>
      </c>
      <c r="AF104" s="22">
        <v>4</v>
      </c>
      <c r="AG104" s="22">
        <v>5</v>
      </c>
      <c r="AH104" s="22">
        <v>0</v>
      </c>
      <c r="AI104" s="22">
        <v>0</v>
      </c>
      <c r="AJ104" s="22">
        <v>0</v>
      </c>
      <c r="AK104" s="22">
        <v>0</v>
      </c>
      <c r="AL104" s="22">
        <v>0</v>
      </c>
      <c r="AM104" s="22">
        <v>2</v>
      </c>
      <c r="AN104" s="22">
        <v>0</v>
      </c>
      <c r="AO104" s="22">
        <v>7</v>
      </c>
      <c r="AP104" s="67"/>
      <c r="AT104" s="81"/>
      <c r="AU104"/>
    </row>
    <row r="105" spans="1:47">
      <c r="A105" s="23" t="s">
        <v>372</v>
      </c>
      <c r="B105" s="19" t="s">
        <v>375</v>
      </c>
      <c r="C105" s="19" t="s">
        <v>374</v>
      </c>
      <c r="D105" s="20">
        <f t="shared" si="3"/>
        <v>13</v>
      </c>
      <c r="E105" s="22">
        <v>13</v>
      </c>
      <c r="F105" s="22">
        <v>0</v>
      </c>
      <c r="G105" s="22">
        <v>0</v>
      </c>
      <c r="H105" s="22">
        <v>0</v>
      </c>
      <c r="I105" s="22">
        <v>0</v>
      </c>
      <c r="J105" s="22">
        <v>0</v>
      </c>
      <c r="K105" s="22">
        <v>0</v>
      </c>
      <c r="L105" s="22">
        <v>0</v>
      </c>
      <c r="M105" s="22">
        <v>0</v>
      </c>
      <c r="N105" s="22">
        <v>0</v>
      </c>
      <c r="O105" s="22">
        <v>0</v>
      </c>
      <c r="P105" s="22">
        <v>0</v>
      </c>
      <c r="Q105" s="22">
        <v>0</v>
      </c>
      <c r="R105" s="22">
        <v>0</v>
      </c>
      <c r="S105" s="22">
        <v>0</v>
      </c>
      <c r="T105" s="22">
        <v>0</v>
      </c>
      <c r="U105" s="22">
        <v>0</v>
      </c>
      <c r="V105" s="22">
        <v>0</v>
      </c>
      <c r="W105" s="22">
        <v>0</v>
      </c>
      <c r="X105" s="22">
        <v>0</v>
      </c>
      <c r="Y105" s="22">
        <v>0</v>
      </c>
      <c r="Z105" s="22">
        <v>0</v>
      </c>
      <c r="AA105" s="22">
        <v>0</v>
      </c>
      <c r="AB105" s="22">
        <v>0</v>
      </c>
      <c r="AC105" s="22">
        <v>0</v>
      </c>
      <c r="AD105" s="22">
        <v>0</v>
      </c>
      <c r="AE105" s="22">
        <v>0</v>
      </c>
      <c r="AF105" s="22">
        <v>0</v>
      </c>
      <c r="AG105" s="22">
        <v>0</v>
      </c>
      <c r="AH105" s="22">
        <v>0</v>
      </c>
      <c r="AI105" s="22">
        <v>0</v>
      </c>
      <c r="AJ105" s="22">
        <v>0</v>
      </c>
      <c r="AK105" s="22">
        <v>0</v>
      </c>
      <c r="AL105" s="22">
        <v>0</v>
      </c>
      <c r="AM105" s="22">
        <v>0</v>
      </c>
      <c r="AN105" s="22">
        <v>0</v>
      </c>
      <c r="AO105" s="22">
        <v>0</v>
      </c>
      <c r="AP105" s="67"/>
      <c r="AT105" s="81"/>
      <c r="AU105"/>
    </row>
    <row r="106" spans="1:47">
      <c r="A106" s="23" t="s">
        <v>372</v>
      </c>
      <c r="B106" s="19" t="s">
        <v>376</v>
      </c>
      <c r="C106" s="19" t="s">
        <v>374</v>
      </c>
      <c r="D106" s="20">
        <f t="shared" si="3"/>
        <v>0</v>
      </c>
      <c r="E106" s="22">
        <v>0</v>
      </c>
      <c r="F106" s="22">
        <v>0</v>
      </c>
      <c r="G106" s="22">
        <v>0</v>
      </c>
      <c r="H106" s="22">
        <v>0</v>
      </c>
      <c r="I106" s="22">
        <v>0</v>
      </c>
      <c r="J106" s="22">
        <v>0</v>
      </c>
      <c r="K106" s="22">
        <v>0</v>
      </c>
      <c r="L106" s="22">
        <v>0</v>
      </c>
      <c r="M106" s="22">
        <v>0</v>
      </c>
      <c r="N106" s="22">
        <v>0</v>
      </c>
      <c r="O106" s="22">
        <v>0</v>
      </c>
      <c r="P106" s="22">
        <v>0</v>
      </c>
      <c r="Q106" s="22">
        <v>0</v>
      </c>
      <c r="R106" s="22">
        <v>0</v>
      </c>
      <c r="S106" s="22">
        <v>0</v>
      </c>
      <c r="T106" s="22">
        <v>0</v>
      </c>
      <c r="U106" s="22">
        <v>0</v>
      </c>
      <c r="V106" s="22">
        <v>0</v>
      </c>
      <c r="W106" s="22">
        <v>0</v>
      </c>
      <c r="X106" s="22">
        <v>0</v>
      </c>
      <c r="Y106" s="22">
        <v>0</v>
      </c>
      <c r="Z106" s="22">
        <v>0</v>
      </c>
      <c r="AA106" s="22">
        <v>0</v>
      </c>
      <c r="AB106" s="22">
        <v>0</v>
      </c>
      <c r="AC106" s="22">
        <v>0</v>
      </c>
      <c r="AD106" s="22">
        <v>0</v>
      </c>
      <c r="AE106" s="22">
        <v>0</v>
      </c>
      <c r="AF106" s="22">
        <v>0</v>
      </c>
      <c r="AG106" s="22">
        <v>0</v>
      </c>
      <c r="AH106" s="22">
        <v>0</v>
      </c>
      <c r="AI106" s="22">
        <v>0</v>
      </c>
      <c r="AJ106" s="22">
        <v>0</v>
      </c>
      <c r="AK106" s="22">
        <v>0</v>
      </c>
      <c r="AL106" s="22">
        <v>0</v>
      </c>
      <c r="AM106" s="22">
        <v>0</v>
      </c>
      <c r="AN106" s="22">
        <v>0</v>
      </c>
      <c r="AO106" s="22">
        <v>0</v>
      </c>
      <c r="AP106" s="67"/>
      <c r="AT106" s="81"/>
      <c r="AU106"/>
    </row>
    <row r="107" spans="1:47">
      <c r="A107" s="23" t="s">
        <v>377</v>
      </c>
      <c r="B107" s="19" t="s">
        <v>378</v>
      </c>
      <c r="C107" s="19" t="s">
        <v>379</v>
      </c>
      <c r="D107" s="20">
        <f t="shared" si="3"/>
        <v>4</v>
      </c>
      <c r="E107" s="22">
        <v>0</v>
      </c>
      <c r="F107" s="22">
        <v>1</v>
      </c>
      <c r="G107" s="22">
        <v>0</v>
      </c>
      <c r="H107" s="22">
        <v>0</v>
      </c>
      <c r="I107" s="22">
        <v>0</v>
      </c>
      <c r="J107" s="22">
        <v>0</v>
      </c>
      <c r="K107" s="22">
        <v>0</v>
      </c>
      <c r="L107" s="22">
        <v>0</v>
      </c>
      <c r="M107" s="22">
        <v>0</v>
      </c>
      <c r="N107" s="22">
        <v>0</v>
      </c>
      <c r="O107" s="22">
        <v>1</v>
      </c>
      <c r="P107" s="22">
        <v>1</v>
      </c>
      <c r="Q107" s="22">
        <v>0</v>
      </c>
      <c r="R107" s="22">
        <v>0</v>
      </c>
      <c r="S107" s="22">
        <v>0</v>
      </c>
      <c r="T107" s="22">
        <v>0</v>
      </c>
      <c r="U107" s="22">
        <v>0</v>
      </c>
      <c r="V107" s="22">
        <v>0</v>
      </c>
      <c r="W107" s="22">
        <v>0</v>
      </c>
      <c r="X107" s="22">
        <v>0</v>
      </c>
      <c r="Y107" s="22">
        <v>0</v>
      </c>
      <c r="Z107" s="22">
        <v>0</v>
      </c>
      <c r="AA107" s="22">
        <v>0</v>
      </c>
      <c r="AB107" s="22">
        <v>0</v>
      </c>
      <c r="AC107" s="22">
        <v>0</v>
      </c>
      <c r="AD107" s="22">
        <v>0</v>
      </c>
      <c r="AE107" s="22">
        <v>0</v>
      </c>
      <c r="AF107" s="22">
        <v>0</v>
      </c>
      <c r="AG107" s="22">
        <v>0</v>
      </c>
      <c r="AH107" s="22">
        <v>0</v>
      </c>
      <c r="AI107" s="22">
        <v>0</v>
      </c>
      <c r="AJ107" s="22">
        <v>0</v>
      </c>
      <c r="AK107" s="22">
        <v>0</v>
      </c>
      <c r="AL107" s="22">
        <v>0</v>
      </c>
      <c r="AM107" s="22">
        <v>0</v>
      </c>
      <c r="AN107" s="22">
        <v>1</v>
      </c>
      <c r="AO107" s="22">
        <v>0</v>
      </c>
      <c r="AP107" s="67"/>
      <c r="AT107" s="81"/>
      <c r="AU107"/>
    </row>
    <row r="108" spans="1:47">
      <c r="A108" s="23" t="s">
        <v>380</v>
      </c>
      <c r="B108" s="19" t="s">
        <v>381</v>
      </c>
      <c r="C108" s="19" t="s">
        <v>382</v>
      </c>
      <c r="D108" s="20">
        <f t="shared" si="3"/>
        <v>1</v>
      </c>
      <c r="E108" s="22">
        <v>0</v>
      </c>
      <c r="F108" s="22">
        <v>0</v>
      </c>
      <c r="G108" s="22">
        <v>0</v>
      </c>
      <c r="H108" s="22">
        <v>0</v>
      </c>
      <c r="I108" s="22">
        <v>0</v>
      </c>
      <c r="J108" s="22">
        <v>0</v>
      </c>
      <c r="K108" s="22">
        <v>0</v>
      </c>
      <c r="L108" s="22">
        <v>0</v>
      </c>
      <c r="M108" s="22">
        <v>0</v>
      </c>
      <c r="N108" s="22">
        <v>0</v>
      </c>
      <c r="O108" s="22">
        <v>0</v>
      </c>
      <c r="P108" s="22">
        <v>0</v>
      </c>
      <c r="Q108" s="22">
        <v>0</v>
      </c>
      <c r="R108" s="22">
        <v>0</v>
      </c>
      <c r="S108" s="22">
        <v>0</v>
      </c>
      <c r="T108" s="22">
        <v>0</v>
      </c>
      <c r="U108" s="22">
        <v>0</v>
      </c>
      <c r="V108" s="22">
        <v>0</v>
      </c>
      <c r="W108" s="22">
        <v>0</v>
      </c>
      <c r="X108" s="22">
        <v>0</v>
      </c>
      <c r="Y108" s="22">
        <v>0</v>
      </c>
      <c r="Z108" s="22">
        <v>0</v>
      </c>
      <c r="AA108" s="22">
        <v>0</v>
      </c>
      <c r="AB108" s="22">
        <v>0</v>
      </c>
      <c r="AC108" s="22">
        <v>1</v>
      </c>
      <c r="AD108" s="22">
        <v>0</v>
      </c>
      <c r="AE108" s="22">
        <v>0</v>
      </c>
      <c r="AF108" s="22">
        <v>0</v>
      </c>
      <c r="AG108" s="22">
        <v>0</v>
      </c>
      <c r="AH108" s="22">
        <v>0</v>
      </c>
      <c r="AI108" s="22">
        <v>0</v>
      </c>
      <c r="AJ108" s="22">
        <v>0</v>
      </c>
      <c r="AK108" s="22">
        <v>0</v>
      </c>
      <c r="AL108" s="22">
        <v>0</v>
      </c>
      <c r="AM108" s="22">
        <v>0</v>
      </c>
      <c r="AN108" s="22">
        <v>0</v>
      </c>
      <c r="AO108" s="22">
        <v>0</v>
      </c>
      <c r="AP108" s="67"/>
      <c r="AT108" s="81"/>
      <c r="AU108"/>
    </row>
    <row r="109" spans="1:47">
      <c r="A109" s="23"/>
      <c r="B109" s="19" t="s">
        <v>383</v>
      </c>
      <c r="C109" s="19" t="s">
        <v>384</v>
      </c>
      <c r="D109" s="20">
        <f t="shared" si="3"/>
        <v>0</v>
      </c>
      <c r="E109" s="22">
        <v>0</v>
      </c>
      <c r="F109" s="22">
        <v>0</v>
      </c>
      <c r="G109" s="22">
        <v>0</v>
      </c>
      <c r="H109" s="22">
        <v>0</v>
      </c>
      <c r="I109" s="22">
        <v>0</v>
      </c>
      <c r="J109" s="22">
        <v>0</v>
      </c>
      <c r="K109" s="22">
        <v>0</v>
      </c>
      <c r="L109" s="22">
        <v>0</v>
      </c>
      <c r="M109" s="22">
        <v>0</v>
      </c>
      <c r="N109" s="22">
        <v>0</v>
      </c>
      <c r="O109" s="22">
        <v>0</v>
      </c>
      <c r="P109" s="22">
        <v>0</v>
      </c>
      <c r="Q109" s="22">
        <v>0</v>
      </c>
      <c r="R109" s="22">
        <v>0</v>
      </c>
      <c r="S109" s="22">
        <v>0</v>
      </c>
      <c r="T109" s="22">
        <v>0</v>
      </c>
      <c r="U109" s="22">
        <v>0</v>
      </c>
      <c r="V109" s="22">
        <v>0</v>
      </c>
      <c r="W109" s="22">
        <v>0</v>
      </c>
      <c r="X109" s="22">
        <v>0</v>
      </c>
      <c r="Y109" s="22">
        <v>0</v>
      </c>
      <c r="Z109" s="22">
        <v>0</v>
      </c>
      <c r="AA109" s="22">
        <v>0</v>
      </c>
      <c r="AB109" s="22">
        <v>0</v>
      </c>
      <c r="AC109" s="22">
        <v>0</v>
      </c>
      <c r="AD109" s="22">
        <v>0</v>
      </c>
      <c r="AE109" s="22">
        <v>0</v>
      </c>
      <c r="AF109" s="22">
        <v>0</v>
      </c>
      <c r="AG109" s="22">
        <v>0</v>
      </c>
      <c r="AH109" s="22">
        <v>0</v>
      </c>
      <c r="AI109" s="22">
        <v>0</v>
      </c>
      <c r="AJ109" s="22">
        <v>0</v>
      </c>
      <c r="AK109" s="22">
        <v>0</v>
      </c>
      <c r="AL109" s="22">
        <v>0</v>
      </c>
      <c r="AM109" s="22">
        <v>0</v>
      </c>
      <c r="AN109" s="22">
        <v>0</v>
      </c>
      <c r="AO109" s="22">
        <v>0</v>
      </c>
      <c r="AP109" s="68"/>
      <c r="AT109" s="81"/>
      <c r="AU109"/>
    </row>
    <row r="110" spans="1:47">
      <c r="A110" s="23"/>
      <c r="B110" s="19" t="s">
        <v>385</v>
      </c>
      <c r="C110" s="19" t="s">
        <v>287</v>
      </c>
      <c r="D110" s="20">
        <f t="shared" si="3"/>
        <v>0</v>
      </c>
      <c r="E110" s="22">
        <v>0</v>
      </c>
      <c r="F110" s="22">
        <v>0</v>
      </c>
      <c r="G110" s="22">
        <v>0</v>
      </c>
      <c r="H110" s="22">
        <v>0</v>
      </c>
      <c r="I110" s="22">
        <v>0</v>
      </c>
      <c r="J110" s="22">
        <v>0</v>
      </c>
      <c r="K110" s="22">
        <v>0</v>
      </c>
      <c r="L110" s="22">
        <v>0</v>
      </c>
      <c r="M110" s="22">
        <v>0</v>
      </c>
      <c r="N110" s="22">
        <v>0</v>
      </c>
      <c r="O110" s="22">
        <v>0</v>
      </c>
      <c r="P110" s="22">
        <v>0</v>
      </c>
      <c r="Q110" s="22">
        <v>0</v>
      </c>
      <c r="R110" s="22">
        <v>0</v>
      </c>
      <c r="S110" s="22">
        <v>0</v>
      </c>
      <c r="T110" s="22">
        <v>0</v>
      </c>
      <c r="U110" s="22">
        <v>0</v>
      </c>
      <c r="V110" s="22">
        <v>0</v>
      </c>
      <c r="W110" s="22">
        <v>0</v>
      </c>
      <c r="X110" s="22">
        <v>0</v>
      </c>
      <c r="Y110" s="22">
        <v>0</v>
      </c>
      <c r="Z110" s="22">
        <v>0</v>
      </c>
      <c r="AA110" s="22">
        <v>0</v>
      </c>
      <c r="AB110" s="22">
        <v>0</v>
      </c>
      <c r="AC110" s="22">
        <v>0</v>
      </c>
      <c r="AD110" s="22">
        <v>0</v>
      </c>
      <c r="AE110" s="22">
        <v>0</v>
      </c>
      <c r="AF110" s="22">
        <v>0</v>
      </c>
      <c r="AG110" s="22">
        <v>0</v>
      </c>
      <c r="AH110" s="22">
        <v>0</v>
      </c>
      <c r="AI110" s="22">
        <v>0</v>
      </c>
      <c r="AJ110" s="22">
        <v>0</v>
      </c>
      <c r="AK110" s="22">
        <v>0</v>
      </c>
      <c r="AL110" s="22">
        <v>0</v>
      </c>
      <c r="AM110" s="22">
        <v>0</v>
      </c>
      <c r="AN110" s="22">
        <v>0</v>
      </c>
      <c r="AO110" s="22">
        <v>0</v>
      </c>
      <c r="AP110" s="68"/>
      <c r="AT110" s="81"/>
      <c r="AU110"/>
    </row>
    <row r="111" spans="1:47">
      <c r="A111" s="24" t="s">
        <v>386</v>
      </c>
      <c r="B111" s="25"/>
      <c r="C111" s="25"/>
      <c r="D111" s="16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28"/>
      <c r="AJ111" s="28"/>
      <c r="AK111" s="28"/>
      <c r="AL111" s="28"/>
      <c r="AM111" s="28"/>
      <c r="AN111" s="28"/>
      <c r="AO111" s="28"/>
      <c r="AP111" s="67"/>
      <c r="AT111" s="81"/>
      <c r="AU111"/>
    </row>
    <row r="112" spans="1:47">
      <c r="A112" s="83" t="s">
        <v>387</v>
      </c>
      <c r="B112" s="19" t="s">
        <v>388</v>
      </c>
      <c r="C112" s="19" t="s">
        <v>389</v>
      </c>
      <c r="D112" s="20">
        <f t="shared" ref="D112:D127" si="4">SUM(E112:AO112)</f>
        <v>1</v>
      </c>
      <c r="E112" s="22">
        <v>0</v>
      </c>
      <c r="F112" s="22">
        <v>0</v>
      </c>
      <c r="G112" s="22">
        <v>0</v>
      </c>
      <c r="H112" s="22">
        <v>0</v>
      </c>
      <c r="I112" s="22">
        <v>0</v>
      </c>
      <c r="J112" s="22">
        <v>0</v>
      </c>
      <c r="K112" s="22">
        <v>0</v>
      </c>
      <c r="L112" s="22">
        <v>0</v>
      </c>
      <c r="M112" s="22">
        <v>0</v>
      </c>
      <c r="N112" s="22">
        <v>0</v>
      </c>
      <c r="O112" s="22">
        <v>0</v>
      </c>
      <c r="P112" s="22">
        <v>0</v>
      </c>
      <c r="Q112" s="22">
        <v>0</v>
      </c>
      <c r="R112" s="22">
        <v>1</v>
      </c>
      <c r="S112" s="22">
        <v>0</v>
      </c>
      <c r="T112" s="22">
        <v>0</v>
      </c>
      <c r="U112" s="22">
        <v>0</v>
      </c>
      <c r="V112" s="22">
        <v>0</v>
      </c>
      <c r="W112" s="22">
        <v>0</v>
      </c>
      <c r="X112" s="22">
        <v>0</v>
      </c>
      <c r="Y112" s="22">
        <v>0</v>
      </c>
      <c r="Z112" s="22">
        <v>0</v>
      </c>
      <c r="AA112" s="22">
        <v>0</v>
      </c>
      <c r="AB112" s="22">
        <v>0</v>
      </c>
      <c r="AC112" s="22">
        <v>0</v>
      </c>
      <c r="AD112" s="22">
        <v>0</v>
      </c>
      <c r="AE112" s="22">
        <v>0</v>
      </c>
      <c r="AF112" s="22">
        <v>0</v>
      </c>
      <c r="AG112" s="22">
        <v>0</v>
      </c>
      <c r="AH112" s="22">
        <v>0</v>
      </c>
      <c r="AI112" s="22">
        <v>0</v>
      </c>
      <c r="AJ112" s="22">
        <v>0</v>
      </c>
      <c r="AK112" s="22">
        <v>0</v>
      </c>
      <c r="AL112" s="22">
        <v>0</v>
      </c>
      <c r="AM112" s="22">
        <v>0</v>
      </c>
      <c r="AN112" s="22">
        <v>0</v>
      </c>
      <c r="AO112" s="22">
        <v>0</v>
      </c>
      <c r="AP112" s="67"/>
      <c r="AT112" s="81"/>
      <c r="AU112"/>
    </row>
    <row r="113" spans="1:47">
      <c r="A113" s="84" t="s">
        <v>390</v>
      </c>
      <c r="B113" s="19" t="s">
        <v>391</v>
      </c>
      <c r="C113" s="19" t="s">
        <v>392</v>
      </c>
      <c r="D113" s="20">
        <f>SUM(E113:AO113)</f>
        <v>0</v>
      </c>
      <c r="E113" s="22">
        <v>0</v>
      </c>
      <c r="F113" s="22">
        <v>0</v>
      </c>
      <c r="G113" s="22">
        <v>0</v>
      </c>
      <c r="H113" s="22">
        <v>0</v>
      </c>
      <c r="I113" s="22">
        <v>0</v>
      </c>
      <c r="J113" s="22">
        <v>0</v>
      </c>
      <c r="K113" s="22">
        <v>0</v>
      </c>
      <c r="L113" s="22">
        <v>0</v>
      </c>
      <c r="M113" s="22">
        <v>0</v>
      </c>
      <c r="N113" s="22">
        <v>0</v>
      </c>
      <c r="O113" s="22">
        <v>0</v>
      </c>
      <c r="P113" s="22">
        <v>0</v>
      </c>
      <c r="Q113" s="22">
        <v>0</v>
      </c>
      <c r="R113" s="22">
        <v>0</v>
      </c>
      <c r="S113" s="22">
        <v>0</v>
      </c>
      <c r="T113" s="22">
        <v>0</v>
      </c>
      <c r="U113" s="22">
        <v>0</v>
      </c>
      <c r="V113" s="22">
        <v>0</v>
      </c>
      <c r="W113" s="22">
        <v>0</v>
      </c>
      <c r="X113" s="22">
        <v>0</v>
      </c>
      <c r="Y113" s="22">
        <v>0</v>
      </c>
      <c r="Z113" s="22">
        <v>0</v>
      </c>
      <c r="AA113" s="22">
        <v>0</v>
      </c>
      <c r="AB113" s="22">
        <v>0</v>
      </c>
      <c r="AC113" s="22">
        <v>0</v>
      </c>
      <c r="AD113" s="22">
        <v>0</v>
      </c>
      <c r="AE113" s="22">
        <v>0</v>
      </c>
      <c r="AF113" s="22">
        <v>0</v>
      </c>
      <c r="AG113" s="22">
        <v>0</v>
      </c>
      <c r="AH113" s="22">
        <v>0</v>
      </c>
      <c r="AI113" s="22">
        <v>0</v>
      </c>
      <c r="AJ113" s="22">
        <v>0</v>
      </c>
      <c r="AK113" s="22">
        <v>0</v>
      </c>
      <c r="AL113" s="22">
        <v>0</v>
      </c>
      <c r="AM113" s="22">
        <v>0</v>
      </c>
      <c r="AN113" s="22">
        <v>0</v>
      </c>
      <c r="AO113" s="22">
        <v>0</v>
      </c>
      <c r="AP113" s="68"/>
      <c r="AT113" s="81"/>
      <c r="AU113"/>
    </row>
    <row r="114" spans="1:47">
      <c r="A114" s="23" t="s">
        <v>393</v>
      </c>
      <c r="B114" s="19" t="s">
        <v>394</v>
      </c>
      <c r="C114" s="19" t="s">
        <v>392</v>
      </c>
      <c r="D114" s="20">
        <f t="shared" si="4"/>
        <v>0</v>
      </c>
      <c r="E114" s="22">
        <v>0</v>
      </c>
      <c r="F114" s="22">
        <v>0</v>
      </c>
      <c r="G114" s="22">
        <v>0</v>
      </c>
      <c r="H114" s="22">
        <v>0</v>
      </c>
      <c r="I114" s="22">
        <v>0</v>
      </c>
      <c r="J114" s="22">
        <v>0</v>
      </c>
      <c r="K114" s="22">
        <v>0</v>
      </c>
      <c r="L114" s="22">
        <v>0</v>
      </c>
      <c r="M114" s="22">
        <v>0</v>
      </c>
      <c r="N114" s="22">
        <v>0</v>
      </c>
      <c r="O114" s="22">
        <v>0</v>
      </c>
      <c r="P114" s="22">
        <v>0</v>
      </c>
      <c r="Q114" s="22">
        <v>0</v>
      </c>
      <c r="R114" s="22">
        <v>0</v>
      </c>
      <c r="S114" s="22">
        <v>0</v>
      </c>
      <c r="T114" s="22">
        <v>0</v>
      </c>
      <c r="U114" s="22">
        <v>0</v>
      </c>
      <c r="V114" s="22">
        <v>0</v>
      </c>
      <c r="W114" s="22">
        <v>0</v>
      </c>
      <c r="X114" s="22">
        <v>0</v>
      </c>
      <c r="Y114" s="22">
        <v>0</v>
      </c>
      <c r="Z114" s="22">
        <v>0</v>
      </c>
      <c r="AA114" s="22">
        <v>0</v>
      </c>
      <c r="AB114" s="22">
        <v>0</v>
      </c>
      <c r="AC114" s="22">
        <v>0</v>
      </c>
      <c r="AD114" s="22">
        <v>0</v>
      </c>
      <c r="AE114" s="22">
        <v>0</v>
      </c>
      <c r="AF114" s="22">
        <v>0</v>
      </c>
      <c r="AG114" s="22">
        <v>0</v>
      </c>
      <c r="AH114" s="22">
        <v>0</v>
      </c>
      <c r="AI114" s="22">
        <v>0</v>
      </c>
      <c r="AJ114" s="22">
        <v>0</v>
      </c>
      <c r="AK114" s="22">
        <v>0</v>
      </c>
      <c r="AL114" s="22">
        <v>0</v>
      </c>
      <c r="AM114" s="22">
        <v>0</v>
      </c>
      <c r="AN114" s="22">
        <v>0</v>
      </c>
      <c r="AO114" s="22">
        <v>0</v>
      </c>
      <c r="AP114" s="68"/>
      <c r="AT114" s="81"/>
      <c r="AU114"/>
    </row>
    <row r="115" spans="1:47">
      <c r="A115" s="23" t="s">
        <v>395</v>
      </c>
      <c r="B115" s="19" t="s">
        <v>396</v>
      </c>
      <c r="C115" s="19" t="s">
        <v>392</v>
      </c>
      <c r="D115" s="20">
        <f t="shared" si="4"/>
        <v>0</v>
      </c>
      <c r="E115" s="22">
        <v>0</v>
      </c>
      <c r="F115" s="22">
        <v>0</v>
      </c>
      <c r="G115" s="22">
        <v>0</v>
      </c>
      <c r="H115" s="22">
        <v>0</v>
      </c>
      <c r="I115" s="22">
        <v>0</v>
      </c>
      <c r="J115" s="22">
        <v>0</v>
      </c>
      <c r="K115" s="22">
        <v>0</v>
      </c>
      <c r="L115" s="22">
        <v>0</v>
      </c>
      <c r="M115" s="22">
        <v>0</v>
      </c>
      <c r="N115" s="22">
        <v>0</v>
      </c>
      <c r="O115" s="22">
        <v>0</v>
      </c>
      <c r="P115" s="22">
        <v>0</v>
      </c>
      <c r="Q115" s="22">
        <v>0</v>
      </c>
      <c r="R115" s="22">
        <v>0</v>
      </c>
      <c r="S115" s="22">
        <v>0</v>
      </c>
      <c r="T115" s="22">
        <v>0</v>
      </c>
      <c r="U115" s="22">
        <v>0</v>
      </c>
      <c r="V115" s="22">
        <v>0</v>
      </c>
      <c r="W115" s="22">
        <v>0</v>
      </c>
      <c r="X115" s="22">
        <v>0</v>
      </c>
      <c r="Y115" s="22">
        <v>0</v>
      </c>
      <c r="Z115" s="22">
        <v>0</v>
      </c>
      <c r="AA115" s="22">
        <v>0</v>
      </c>
      <c r="AB115" s="22">
        <v>0</v>
      </c>
      <c r="AC115" s="22">
        <v>0</v>
      </c>
      <c r="AD115" s="22">
        <v>0</v>
      </c>
      <c r="AE115" s="22">
        <v>0</v>
      </c>
      <c r="AF115" s="22">
        <v>0</v>
      </c>
      <c r="AG115" s="22">
        <v>0</v>
      </c>
      <c r="AH115" s="22">
        <v>0</v>
      </c>
      <c r="AI115" s="22">
        <v>0</v>
      </c>
      <c r="AJ115" s="22">
        <v>0</v>
      </c>
      <c r="AK115" s="22">
        <v>0</v>
      </c>
      <c r="AL115" s="22">
        <v>0</v>
      </c>
      <c r="AM115" s="22">
        <v>0</v>
      </c>
      <c r="AN115" s="22">
        <v>0</v>
      </c>
      <c r="AO115" s="22">
        <v>0</v>
      </c>
      <c r="AP115" s="68"/>
      <c r="AT115" s="81"/>
      <c r="AU115"/>
    </row>
    <row r="116" spans="1:47" ht="32.1">
      <c r="A116" s="23" t="s">
        <v>397</v>
      </c>
      <c r="B116" s="19" t="s">
        <v>398</v>
      </c>
      <c r="C116" s="19" t="s">
        <v>399</v>
      </c>
      <c r="D116" s="20">
        <f t="shared" si="4"/>
        <v>2</v>
      </c>
      <c r="E116" s="22">
        <v>1</v>
      </c>
      <c r="F116" s="22">
        <v>0</v>
      </c>
      <c r="G116" s="22">
        <v>0</v>
      </c>
      <c r="H116" s="22">
        <v>0</v>
      </c>
      <c r="I116" s="22">
        <v>0</v>
      </c>
      <c r="J116" s="22">
        <v>0</v>
      </c>
      <c r="K116" s="22">
        <v>0</v>
      </c>
      <c r="L116" s="22">
        <v>0</v>
      </c>
      <c r="M116" s="22">
        <v>0</v>
      </c>
      <c r="N116" s="22">
        <v>0</v>
      </c>
      <c r="O116" s="22">
        <v>0</v>
      </c>
      <c r="P116" s="22">
        <v>0</v>
      </c>
      <c r="Q116" s="22">
        <v>0</v>
      </c>
      <c r="R116" s="22">
        <v>1</v>
      </c>
      <c r="S116" s="22">
        <v>0</v>
      </c>
      <c r="T116" s="22">
        <v>0</v>
      </c>
      <c r="U116" s="22">
        <v>0</v>
      </c>
      <c r="V116" s="22">
        <v>0</v>
      </c>
      <c r="W116" s="22">
        <v>0</v>
      </c>
      <c r="X116" s="22">
        <v>0</v>
      </c>
      <c r="Y116" s="22">
        <v>0</v>
      </c>
      <c r="Z116" s="22">
        <v>0</v>
      </c>
      <c r="AA116" s="22">
        <v>0</v>
      </c>
      <c r="AB116" s="22">
        <v>0</v>
      </c>
      <c r="AC116" s="22">
        <v>0</v>
      </c>
      <c r="AD116" s="22">
        <v>0</v>
      </c>
      <c r="AE116" s="22">
        <v>0</v>
      </c>
      <c r="AF116" s="22">
        <v>0</v>
      </c>
      <c r="AG116" s="22">
        <v>0</v>
      </c>
      <c r="AH116" s="22">
        <v>0</v>
      </c>
      <c r="AI116" s="22">
        <v>0</v>
      </c>
      <c r="AJ116" s="22">
        <v>0</v>
      </c>
      <c r="AK116" s="22">
        <v>0</v>
      </c>
      <c r="AL116" s="22">
        <v>0</v>
      </c>
      <c r="AM116" s="22">
        <v>0</v>
      </c>
      <c r="AN116" s="22">
        <v>0</v>
      </c>
      <c r="AO116" s="22">
        <v>0</v>
      </c>
      <c r="AP116" s="68"/>
      <c r="AT116" s="81"/>
      <c r="AU116"/>
    </row>
    <row r="117" spans="1:47">
      <c r="A117" s="23" t="s">
        <v>400</v>
      </c>
      <c r="B117" s="19" t="s">
        <v>401</v>
      </c>
      <c r="C117" s="19" t="s">
        <v>402</v>
      </c>
      <c r="D117" s="20">
        <f t="shared" si="4"/>
        <v>27</v>
      </c>
      <c r="E117" s="22">
        <v>17</v>
      </c>
      <c r="F117" s="22">
        <v>2</v>
      </c>
      <c r="G117" s="22">
        <v>3</v>
      </c>
      <c r="H117" s="22">
        <v>0</v>
      </c>
      <c r="I117" s="22">
        <v>0</v>
      </c>
      <c r="J117" s="22">
        <v>0</v>
      </c>
      <c r="K117" s="22">
        <v>0</v>
      </c>
      <c r="L117" s="22">
        <v>0</v>
      </c>
      <c r="M117" s="22">
        <v>0</v>
      </c>
      <c r="N117" s="22">
        <v>1</v>
      </c>
      <c r="O117" s="22">
        <v>0</v>
      </c>
      <c r="P117" s="22">
        <v>1</v>
      </c>
      <c r="Q117" s="22">
        <v>1</v>
      </c>
      <c r="R117" s="22">
        <v>1</v>
      </c>
      <c r="S117" s="22">
        <v>0</v>
      </c>
      <c r="T117" s="22">
        <v>0</v>
      </c>
      <c r="U117" s="22"/>
      <c r="V117" s="22">
        <v>0</v>
      </c>
      <c r="W117" s="22">
        <v>0</v>
      </c>
      <c r="X117" s="22">
        <v>0</v>
      </c>
      <c r="Y117" s="22">
        <v>0</v>
      </c>
      <c r="Z117" s="22">
        <v>0</v>
      </c>
      <c r="AA117" s="22">
        <v>0</v>
      </c>
      <c r="AB117" s="22">
        <v>0</v>
      </c>
      <c r="AC117" s="22">
        <v>0</v>
      </c>
      <c r="AD117" s="22">
        <v>0</v>
      </c>
      <c r="AE117" s="22">
        <v>0</v>
      </c>
      <c r="AF117" s="22">
        <v>0</v>
      </c>
      <c r="AG117" s="22">
        <v>0</v>
      </c>
      <c r="AH117" s="22">
        <v>1</v>
      </c>
      <c r="AI117" s="22">
        <v>0</v>
      </c>
      <c r="AJ117" s="22">
        <v>0</v>
      </c>
      <c r="AK117" s="22">
        <v>0</v>
      </c>
      <c r="AL117" s="22"/>
      <c r="AM117" s="22">
        <v>0</v>
      </c>
      <c r="AN117" s="22">
        <v>0</v>
      </c>
      <c r="AO117" s="22">
        <v>0</v>
      </c>
      <c r="AP117" s="67"/>
      <c r="AT117" s="81"/>
      <c r="AU117"/>
    </row>
    <row r="118" spans="1:47">
      <c r="A118" s="23" t="s">
        <v>403</v>
      </c>
      <c r="B118" s="19" t="s">
        <v>404</v>
      </c>
      <c r="C118" s="19" t="s">
        <v>405</v>
      </c>
      <c r="D118" s="20">
        <f t="shared" si="4"/>
        <v>107</v>
      </c>
      <c r="E118" s="22">
        <v>81</v>
      </c>
      <c r="F118" s="22">
        <v>2</v>
      </c>
      <c r="G118" s="22">
        <v>3</v>
      </c>
      <c r="H118" s="22">
        <v>0</v>
      </c>
      <c r="I118" s="22">
        <v>1</v>
      </c>
      <c r="J118" s="22">
        <v>0</v>
      </c>
      <c r="K118" s="22">
        <v>1</v>
      </c>
      <c r="L118" s="22">
        <v>0</v>
      </c>
      <c r="M118" s="22">
        <v>0</v>
      </c>
      <c r="N118" s="22">
        <v>0</v>
      </c>
      <c r="O118" s="22">
        <v>0</v>
      </c>
      <c r="P118" s="22">
        <v>0</v>
      </c>
      <c r="Q118" s="22">
        <v>0</v>
      </c>
      <c r="R118" s="22">
        <v>0</v>
      </c>
      <c r="S118" s="22">
        <v>1</v>
      </c>
      <c r="T118" s="22">
        <v>0</v>
      </c>
      <c r="U118" s="22">
        <v>0</v>
      </c>
      <c r="V118" s="22">
        <v>0</v>
      </c>
      <c r="W118" s="22">
        <v>0</v>
      </c>
      <c r="X118" s="22">
        <v>0</v>
      </c>
      <c r="Y118" s="22">
        <v>0</v>
      </c>
      <c r="Z118" s="22">
        <v>0</v>
      </c>
      <c r="AA118" s="22">
        <v>0</v>
      </c>
      <c r="AB118" s="22">
        <v>0</v>
      </c>
      <c r="AC118" s="22">
        <v>0</v>
      </c>
      <c r="AD118" s="22">
        <v>0</v>
      </c>
      <c r="AE118" s="22">
        <v>0</v>
      </c>
      <c r="AF118" s="22">
        <v>9</v>
      </c>
      <c r="AG118" s="22">
        <v>0</v>
      </c>
      <c r="AH118" s="22">
        <v>0</v>
      </c>
      <c r="AI118" s="22">
        <v>0</v>
      </c>
      <c r="AJ118" s="22">
        <v>5</v>
      </c>
      <c r="AK118" s="22">
        <v>0</v>
      </c>
      <c r="AL118" s="22">
        <v>0</v>
      </c>
      <c r="AM118" s="22">
        <v>0</v>
      </c>
      <c r="AN118" s="22">
        <v>0</v>
      </c>
      <c r="AO118" s="22">
        <v>4</v>
      </c>
      <c r="AP118" s="67"/>
      <c r="AT118" s="81"/>
      <c r="AU118"/>
    </row>
    <row r="119" spans="1:47" ht="32.1">
      <c r="A119" s="23" t="s">
        <v>406</v>
      </c>
      <c r="B119" s="19" t="s">
        <v>407</v>
      </c>
      <c r="C119" s="19" t="s">
        <v>408</v>
      </c>
      <c r="D119" s="20">
        <f t="shared" si="4"/>
        <v>2</v>
      </c>
      <c r="E119" s="22">
        <v>2</v>
      </c>
      <c r="F119" s="22">
        <v>0</v>
      </c>
      <c r="G119" s="22">
        <v>0</v>
      </c>
      <c r="H119" s="22">
        <v>0</v>
      </c>
      <c r="I119" s="22">
        <v>0</v>
      </c>
      <c r="J119" s="22">
        <v>0</v>
      </c>
      <c r="K119" s="22">
        <v>0</v>
      </c>
      <c r="L119" s="22">
        <v>0</v>
      </c>
      <c r="M119" s="22">
        <v>0</v>
      </c>
      <c r="N119" s="22">
        <v>0</v>
      </c>
      <c r="O119" s="22">
        <v>0</v>
      </c>
      <c r="P119" s="22">
        <v>0</v>
      </c>
      <c r="Q119" s="22">
        <v>0</v>
      </c>
      <c r="R119" s="22">
        <v>0</v>
      </c>
      <c r="S119" s="22">
        <v>0</v>
      </c>
      <c r="T119" s="22">
        <v>0</v>
      </c>
      <c r="U119" s="22">
        <v>0</v>
      </c>
      <c r="V119" s="22">
        <v>0</v>
      </c>
      <c r="W119" s="22">
        <v>0</v>
      </c>
      <c r="X119" s="22">
        <v>0</v>
      </c>
      <c r="Y119" s="22">
        <v>0</v>
      </c>
      <c r="Z119" s="22">
        <v>0</v>
      </c>
      <c r="AA119" s="22">
        <v>0</v>
      </c>
      <c r="AB119" s="22">
        <v>0</v>
      </c>
      <c r="AC119" s="22">
        <v>0</v>
      </c>
      <c r="AD119" s="22">
        <v>0</v>
      </c>
      <c r="AE119" s="22">
        <v>0</v>
      </c>
      <c r="AF119" s="22">
        <v>0</v>
      </c>
      <c r="AG119" s="22">
        <v>0</v>
      </c>
      <c r="AH119" s="22">
        <v>0</v>
      </c>
      <c r="AI119" s="22">
        <v>0</v>
      </c>
      <c r="AJ119" s="22">
        <v>0</v>
      </c>
      <c r="AK119" s="22">
        <v>0</v>
      </c>
      <c r="AL119" s="22">
        <v>0</v>
      </c>
      <c r="AM119" s="22">
        <v>0</v>
      </c>
      <c r="AN119" s="22">
        <v>0</v>
      </c>
      <c r="AO119" s="22">
        <v>0</v>
      </c>
      <c r="AP119" s="68"/>
      <c r="AT119" s="81"/>
      <c r="AU119"/>
    </row>
    <row r="120" spans="1:47">
      <c r="A120" s="23" t="s">
        <v>409</v>
      </c>
      <c r="B120" s="19" t="s">
        <v>410</v>
      </c>
      <c r="C120" s="19" t="s">
        <v>411</v>
      </c>
      <c r="D120" s="20">
        <f t="shared" si="4"/>
        <v>7</v>
      </c>
      <c r="E120" s="22">
        <v>0</v>
      </c>
      <c r="F120" s="22">
        <v>0</v>
      </c>
      <c r="G120" s="22">
        <v>0</v>
      </c>
      <c r="H120" s="22">
        <v>0</v>
      </c>
      <c r="I120" s="22">
        <v>0</v>
      </c>
      <c r="J120" s="22">
        <v>0</v>
      </c>
      <c r="K120" s="22">
        <v>0</v>
      </c>
      <c r="L120" s="22">
        <v>0</v>
      </c>
      <c r="M120" s="22">
        <v>0</v>
      </c>
      <c r="N120" s="22">
        <v>0</v>
      </c>
      <c r="O120" s="22">
        <v>0</v>
      </c>
      <c r="P120" s="22">
        <v>0</v>
      </c>
      <c r="Q120" s="22">
        <v>0</v>
      </c>
      <c r="R120" s="22">
        <v>0</v>
      </c>
      <c r="S120" s="22">
        <v>0</v>
      </c>
      <c r="T120" s="22">
        <v>0</v>
      </c>
      <c r="U120" s="22">
        <v>0</v>
      </c>
      <c r="V120" s="22">
        <v>0</v>
      </c>
      <c r="W120" s="22">
        <v>0</v>
      </c>
      <c r="X120" s="22">
        <v>0</v>
      </c>
      <c r="Y120" s="22">
        <v>0</v>
      </c>
      <c r="Z120" s="22">
        <v>1</v>
      </c>
      <c r="AA120" s="22">
        <v>0</v>
      </c>
      <c r="AB120" s="22">
        <v>0</v>
      </c>
      <c r="AC120" s="22">
        <v>0</v>
      </c>
      <c r="AD120" s="22">
        <v>0</v>
      </c>
      <c r="AE120" s="22">
        <v>0</v>
      </c>
      <c r="AF120" s="22">
        <v>0</v>
      </c>
      <c r="AG120" s="22">
        <v>0</v>
      </c>
      <c r="AH120" s="22">
        <v>0</v>
      </c>
      <c r="AI120" s="22">
        <v>0</v>
      </c>
      <c r="AJ120" s="22">
        <v>0</v>
      </c>
      <c r="AK120" s="22">
        <v>0</v>
      </c>
      <c r="AL120" s="22">
        <v>0</v>
      </c>
      <c r="AM120" s="22">
        <v>1</v>
      </c>
      <c r="AN120" s="22">
        <v>1</v>
      </c>
      <c r="AO120" s="22">
        <v>4</v>
      </c>
      <c r="AP120" s="68"/>
      <c r="AT120" s="81"/>
      <c r="AU120"/>
    </row>
    <row r="121" spans="1:47">
      <c r="A121" s="23" t="s">
        <v>412</v>
      </c>
      <c r="B121" s="19" t="s">
        <v>413</v>
      </c>
      <c r="C121" s="19" t="s">
        <v>392</v>
      </c>
      <c r="D121" s="20">
        <f t="shared" si="4"/>
        <v>0</v>
      </c>
      <c r="E121" s="22">
        <v>0</v>
      </c>
      <c r="F121" s="22">
        <v>0</v>
      </c>
      <c r="G121" s="22">
        <v>0</v>
      </c>
      <c r="H121" s="22">
        <v>0</v>
      </c>
      <c r="I121" s="22">
        <v>0</v>
      </c>
      <c r="J121" s="22">
        <v>0</v>
      </c>
      <c r="K121" s="22">
        <v>0</v>
      </c>
      <c r="L121" s="22">
        <v>0</v>
      </c>
      <c r="M121" s="22">
        <v>0</v>
      </c>
      <c r="N121" s="22">
        <v>0</v>
      </c>
      <c r="O121" s="22">
        <v>0</v>
      </c>
      <c r="P121" s="22">
        <v>0</v>
      </c>
      <c r="Q121" s="22">
        <v>0</v>
      </c>
      <c r="R121" s="22">
        <v>0</v>
      </c>
      <c r="S121" s="22">
        <v>0</v>
      </c>
      <c r="T121" s="22">
        <v>0</v>
      </c>
      <c r="U121" s="22">
        <v>0</v>
      </c>
      <c r="V121" s="22">
        <v>0</v>
      </c>
      <c r="W121" s="22">
        <v>0</v>
      </c>
      <c r="X121" s="22">
        <v>0</v>
      </c>
      <c r="Y121" s="22">
        <v>0</v>
      </c>
      <c r="Z121" s="22">
        <v>0</v>
      </c>
      <c r="AA121" s="22">
        <v>0</v>
      </c>
      <c r="AB121" s="22">
        <v>0</v>
      </c>
      <c r="AC121" s="22">
        <v>0</v>
      </c>
      <c r="AD121" s="22">
        <v>0</v>
      </c>
      <c r="AE121" s="22">
        <v>0</v>
      </c>
      <c r="AF121" s="22">
        <v>0</v>
      </c>
      <c r="AG121" s="22">
        <v>0</v>
      </c>
      <c r="AH121" s="22">
        <v>0</v>
      </c>
      <c r="AI121" s="22">
        <v>0</v>
      </c>
      <c r="AJ121" s="22">
        <v>0</v>
      </c>
      <c r="AK121" s="22">
        <v>0</v>
      </c>
      <c r="AL121" s="22">
        <v>0</v>
      </c>
      <c r="AM121" s="22">
        <v>0</v>
      </c>
      <c r="AN121" s="22">
        <v>0</v>
      </c>
      <c r="AO121" s="22">
        <v>0</v>
      </c>
      <c r="AP121" s="68"/>
      <c r="AT121" s="81"/>
      <c r="AU121"/>
    </row>
    <row r="122" spans="1:47">
      <c r="A122" s="23" t="s">
        <v>414</v>
      </c>
      <c r="B122" s="19" t="s">
        <v>415</v>
      </c>
      <c r="C122" s="19" t="s">
        <v>392</v>
      </c>
      <c r="D122" s="20">
        <f t="shared" si="4"/>
        <v>0</v>
      </c>
      <c r="E122" s="22">
        <v>0</v>
      </c>
      <c r="F122" s="22">
        <v>0</v>
      </c>
      <c r="G122" s="22">
        <v>0</v>
      </c>
      <c r="H122" s="22">
        <v>0</v>
      </c>
      <c r="I122" s="22">
        <v>0</v>
      </c>
      <c r="J122" s="22">
        <v>0</v>
      </c>
      <c r="K122" s="22">
        <v>0</v>
      </c>
      <c r="L122" s="22">
        <v>0</v>
      </c>
      <c r="M122" s="22">
        <v>0</v>
      </c>
      <c r="N122" s="22">
        <v>0</v>
      </c>
      <c r="O122" s="22">
        <v>0</v>
      </c>
      <c r="P122" s="22">
        <v>0</v>
      </c>
      <c r="Q122" s="22">
        <v>0</v>
      </c>
      <c r="R122" s="22">
        <v>0</v>
      </c>
      <c r="S122" s="22">
        <v>0</v>
      </c>
      <c r="T122" s="22">
        <v>0</v>
      </c>
      <c r="U122" s="22">
        <v>0</v>
      </c>
      <c r="V122" s="22">
        <v>0</v>
      </c>
      <c r="W122" s="22">
        <v>0</v>
      </c>
      <c r="X122" s="22">
        <v>0</v>
      </c>
      <c r="Y122" s="22">
        <v>0</v>
      </c>
      <c r="Z122" s="22">
        <v>0</v>
      </c>
      <c r="AA122" s="22">
        <v>0</v>
      </c>
      <c r="AB122" s="22">
        <v>0</v>
      </c>
      <c r="AC122" s="22">
        <v>0</v>
      </c>
      <c r="AD122" s="22">
        <v>0</v>
      </c>
      <c r="AE122" s="22">
        <v>0</v>
      </c>
      <c r="AF122" s="22">
        <v>0</v>
      </c>
      <c r="AG122" s="22">
        <v>0</v>
      </c>
      <c r="AH122" s="22">
        <v>0</v>
      </c>
      <c r="AI122" s="22">
        <v>0</v>
      </c>
      <c r="AJ122" s="22">
        <v>0</v>
      </c>
      <c r="AK122" s="22">
        <v>0</v>
      </c>
      <c r="AL122" s="22">
        <v>0</v>
      </c>
      <c r="AM122" s="22">
        <v>0</v>
      </c>
      <c r="AN122" s="22">
        <v>0</v>
      </c>
      <c r="AO122" s="22">
        <v>0</v>
      </c>
      <c r="AP122" s="68"/>
      <c r="AT122" s="81"/>
      <c r="AU122"/>
    </row>
    <row r="123" spans="1:47">
      <c r="A123" s="23" t="s">
        <v>416</v>
      </c>
      <c r="B123" s="19" t="s">
        <v>417</v>
      </c>
      <c r="C123" s="19" t="s">
        <v>392</v>
      </c>
      <c r="D123" s="20">
        <f t="shared" si="4"/>
        <v>0</v>
      </c>
      <c r="E123" s="22">
        <v>0</v>
      </c>
      <c r="F123" s="22">
        <v>0</v>
      </c>
      <c r="G123" s="22">
        <v>0</v>
      </c>
      <c r="H123" s="22">
        <v>0</v>
      </c>
      <c r="I123" s="22">
        <v>0</v>
      </c>
      <c r="J123" s="22">
        <v>0</v>
      </c>
      <c r="K123" s="22">
        <v>0</v>
      </c>
      <c r="L123" s="22">
        <v>0</v>
      </c>
      <c r="M123" s="22">
        <v>0</v>
      </c>
      <c r="N123" s="22">
        <v>0</v>
      </c>
      <c r="O123" s="22">
        <v>0</v>
      </c>
      <c r="P123" s="22">
        <v>0</v>
      </c>
      <c r="Q123" s="22">
        <v>0</v>
      </c>
      <c r="R123" s="22">
        <v>0</v>
      </c>
      <c r="S123" s="22">
        <v>0</v>
      </c>
      <c r="T123" s="22">
        <v>0</v>
      </c>
      <c r="U123" s="22">
        <v>0</v>
      </c>
      <c r="V123" s="22">
        <v>0</v>
      </c>
      <c r="W123" s="22">
        <v>0</v>
      </c>
      <c r="X123" s="22">
        <v>0</v>
      </c>
      <c r="Y123" s="22">
        <v>0</v>
      </c>
      <c r="Z123" s="22">
        <v>0</v>
      </c>
      <c r="AA123" s="22">
        <v>0</v>
      </c>
      <c r="AB123" s="22">
        <v>0</v>
      </c>
      <c r="AC123" s="22">
        <v>0</v>
      </c>
      <c r="AD123" s="22">
        <v>0</v>
      </c>
      <c r="AE123" s="22">
        <v>0</v>
      </c>
      <c r="AF123" s="22">
        <v>0</v>
      </c>
      <c r="AG123" s="22">
        <v>0</v>
      </c>
      <c r="AH123" s="22">
        <v>0</v>
      </c>
      <c r="AI123" s="22">
        <v>0</v>
      </c>
      <c r="AJ123" s="22">
        <v>0</v>
      </c>
      <c r="AK123" s="22">
        <v>0</v>
      </c>
      <c r="AL123" s="22">
        <v>0</v>
      </c>
      <c r="AM123" s="22">
        <v>0</v>
      </c>
      <c r="AN123" s="22">
        <v>0</v>
      </c>
      <c r="AO123" s="22">
        <v>0</v>
      </c>
      <c r="AP123" s="68"/>
      <c r="AT123" s="81"/>
      <c r="AU123"/>
    </row>
    <row r="124" spans="1:47">
      <c r="A124" s="23" t="s">
        <v>418</v>
      </c>
      <c r="B124" s="19" t="s">
        <v>419</v>
      </c>
      <c r="C124" s="19" t="s">
        <v>392</v>
      </c>
      <c r="D124" s="20">
        <f t="shared" si="4"/>
        <v>0</v>
      </c>
      <c r="E124" s="22">
        <v>0</v>
      </c>
      <c r="F124" s="22">
        <v>0</v>
      </c>
      <c r="G124" s="22">
        <v>0</v>
      </c>
      <c r="H124" s="22">
        <v>0</v>
      </c>
      <c r="I124" s="22">
        <v>0</v>
      </c>
      <c r="J124" s="22">
        <v>0</v>
      </c>
      <c r="K124" s="22">
        <v>0</v>
      </c>
      <c r="L124" s="22">
        <v>0</v>
      </c>
      <c r="M124" s="22">
        <v>0</v>
      </c>
      <c r="N124" s="22">
        <v>0</v>
      </c>
      <c r="O124" s="22">
        <v>0</v>
      </c>
      <c r="P124" s="22">
        <v>0</v>
      </c>
      <c r="Q124" s="22">
        <v>0</v>
      </c>
      <c r="R124" s="22">
        <v>0</v>
      </c>
      <c r="S124" s="22">
        <v>0</v>
      </c>
      <c r="T124" s="22">
        <v>0</v>
      </c>
      <c r="U124" s="22">
        <v>0</v>
      </c>
      <c r="V124" s="22">
        <v>0</v>
      </c>
      <c r="W124" s="22">
        <v>0</v>
      </c>
      <c r="X124" s="22">
        <v>0</v>
      </c>
      <c r="Y124" s="22">
        <v>0</v>
      </c>
      <c r="Z124" s="22">
        <v>0</v>
      </c>
      <c r="AA124" s="22">
        <v>0</v>
      </c>
      <c r="AB124" s="22">
        <v>0</v>
      </c>
      <c r="AC124" s="22">
        <v>0</v>
      </c>
      <c r="AD124" s="22">
        <v>0</v>
      </c>
      <c r="AE124" s="22">
        <v>0</v>
      </c>
      <c r="AF124" s="22">
        <v>0</v>
      </c>
      <c r="AG124" s="22">
        <v>0</v>
      </c>
      <c r="AH124" s="22">
        <v>0</v>
      </c>
      <c r="AI124" s="22">
        <v>0</v>
      </c>
      <c r="AJ124" s="22">
        <v>0</v>
      </c>
      <c r="AK124" s="22">
        <v>0</v>
      </c>
      <c r="AL124" s="22">
        <v>0</v>
      </c>
      <c r="AM124" s="22">
        <v>0</v>
      </c>
      <c r="AN124" s="22">
        <v>0</v>
      </c>
      <c r="AO124" s="22">
        <v>0</v>
      </c>
      <c r="AP124" s="68"/>
      <c r="AT124" s="81"/>
      <c r="AU124"/>
    </row>
    <row r="125" spans="1:47">
      <c r="A125" s="23" t="s">
        <v>420</v>
      </c>
      <c r="B125" s="19" t="s">
        <v>421</v>
      </c>
      <c r="C125" s="19" t="s">
        <v>392</v>
      </c>
      <c r="D125" s="20">
        <f t="shared" si="4"/>
        <v>1</v>
      </c>
      <c r="E125" s="22">
        <v>1</v>
      </c>
      <c r="F125" s="22">
        <v>0</v>
      </c>
      <c r="G125" s="22">
        <v>0</v>
      </c>
      <c r="H125" s="22">
        <v>0</v>
      </c>
      <c r="I125" s="22">
        <v>0</v>
      </c>
      <c r="J125" s="22">
        <v>0</v>
      </c>
      <c r="K125" s="22">
        <v>0</v>
      </c>
      <c r="L125" s="22">
        <v>0</v>
      </c>
      <c r="M125" s="22">
        <v>0</v>
      </c>
      <c r="N125" s="22">
        <v>0</v>
      </c>
      <c r="O125" s="22">
        <v>0</v>
      </c>
      <c r="P125" s="22">
        <v>0</v>
      </c>
      <c r="Q125" s="22">
        <v>0</v>
      </c>
      <c r="R125" s="22">
        <v>0</v>
      </c>
      <c r="S125" s="22">
        <v>0</v>
      </c>
      <c r="T125" s="22">
        <v>0</v>
      </c>
      <c r="U125" s="22">
        <v>0</v>
      </c>
      <c r="V125" s="22">
        <v>0</v>
      </c>
      <c r="W125" s="22">
        <v>0</v>
      </c>
      <c r="X125" s="22">
        <v>0</v>
      </c>
      <c r="Y125" s="22">
        <v>0</v>
      </c>
      <c r="Z125" s="22">
        <v>0</v>
      </c>
      <c r="AA125" s="22">
        <v>0</v>
      </c>
      <c r="AB125" s="22">
        <v>0</v>
      </c>
      <c r="AC125" s="22">
        <v>0</v>
      </c>
      <c r="AD125" s="22">
        <v>0</v>
      </c>
      <c r="AE125" s="22">
        <v>0</v>
      </c>
      <c r="AF125" s="22">
        <v>0</v>
      </c>
      <c r="AG125" s="22">
        <v>0</v>
      </c>
      <c r="AH125" s="22">
        <v>0</v>
      </c>
      <c r="AI125" s="22">
        <v>0</v>
      </c>
      <c r="AJ125" s="22">
        <v>0</v>
      </c>
      <c r="AK125" s="22">
        <v>0</v>
      </c>
      <c r="AL125" s="22">
        <v>0</v>
      </c>
      <c r="AM125" s="22">
        <v>0</v>
      </c>
      <c r="AN125" s="22">
        <v>0</v>
      </c>
      <c r="AO125" s="22">
        <v>0</v>
      </c>
      <c r="AP125" s="68"/>
      <c r="AT125" s="81"/>
      <c r="AU125"/>
    </row>
    <row r="126" spans="1:47">
      <c r="A126" s="23" t="s">
        <v>422</v>
      </c>
      <c r="B126" s="19" t="s">
        <v>423</v>
      </c>
      <c r="C126" s="19" t="s">
        <v>392</v>
      </c>
      <c r="D126" s="20">
        <f t="shared" si="4"/>
        <v>0</v>
      </c>
      <c r="E126" s="22">
        <v>0</v>
      </c>
      <c r="F126" s="22">
        <v>0</v>
      </c>
      <c r="G126" s="22">
        <v>0</v>
      </c>
      <c r="H126" s="22">
        <v>0</v>
      </c>
      <c r="I126" s="22">
        <v>0</v>
      </c>
      <c r="J126" s="22">
        <v>0</v>
      </c>
      <c r="K126" s="22">
        <v>0</v>
      </c>
      <c r="L126" s="22">
        <v>0</v>
      </c>
      <c r="M126" s="22">
        <v>0</v>
      </c>
      <c r="N126" s="22">
        <v>0</v>
      </c>
      <c r="O126" s="22">
        <v>0</v>
      </c>
      <c r="P126" s="22">
        <v>0</v>
      </c>
      <c r="Q126" s="22">
        <v>0</v>
      </c>
      <c r="R126" s="22">
        <v>0</v>
      </c>
      <c r="S126" s="22">
        <v>0</v>
      </c>
      <c r="T126" s="22">
        <v>0</v>
      </c>
      <c r="U126" s="22">
        <v>0</v>
      </c>
      <c r="V126" s="22">
        <v>0</v>
      </c>
      <c r="W126" s="22">
        <v>0</v>
      </c>
      <c r="X126" s="22">
        <v>0</v>
      </c>
      <c r="Y126" s="22">
        <v>0</v>
      </c>
      <c r="Z126" s="22">
        <v>0</v>
      </c>
      <c r="AA126" s="22">
        <v>0</v>
      </c>
      <c r="AB126" s="22">
        <v>0</v>
      </c>
      <c r="AC126" s="22">
        <v>0</v>
      </c>
      <c r="AD126" s="22">
        <v>0</v>
      </c>
      <c r="AE126" s="22">
        <v>0</v>
      </c>
      <c r="AF126" s="22">
        <v>0</v>
      </c>
      <c r="AG126" s="22">
        <v>0</v>
      </c>
      <c r="AH126" s="22">
        <v>0</v>
      </c>
      <c r="AI126" s="22">
        <v>0</v>
      </c>
      <c r="AJ126" s="22">
        <v>0</v>
      </c>
      <c r="AK126" s="22">
        <v>0</v>
      </c>
      <c r="AL126" s="22">
        <v>0</v>
      </c>
      <c r="AM126" s="22">
        <v>0</v>
      </c>
      <c r="AN126" s="22">
        <v>0</v>
      </c>
      <c r="AO126" s="22">
        <v>0</v>
      </c>
      <c r="AP126" s="68"/>
      <c r="AT126" s="81"/>
      <c r="AU126"/>
    </row>
    <row r="127" spans="1:47">
      <c r="A127" s="23" t="s">
        <v>424</v>
      </c>
      <c r="B127" s="19" t="s">
        <v>425</v>
      </c>
      <c r="C127" s="19" t="s">
        <v>285</v>
      </c>
      <c r="D127" s="20">
        <f t="shared" si="4"/>
        <v>0</v>
      </c>
      <c r="E127" s="22">
        <v>0</v>
      </c>
      <c r="F127" s="22">
        <v>0</v>
      </c>
      <c r="G127" s="22">
        <v>0</v>
      </c>
      <c r="H127" s="22">
        <v>0</v>
      </c>
      <c r="I127" s="22">
        <v>0</v>
      </c>
      <c r="J127" s="22">
        <v>0</v>
      </c>
      <c r="K127" s="22">
        <v>0</v>
      </c>
      <c r="L127" s="22">
        <v>0</v>
      </c>
      <c r="M127" s="22">
        <v>0</v>
      </c>
      <c r="N127" s="22">
        <v>0</v>
      </c>
      <c r="O127" s="22">
        <v>0</v>
      </c>
      <c r="P127" s="22">
        <v>0</v>
      </c>
      <c r="Q127" s="22">
        <v>0</v>
      </c>
      <c r="R127" s="22">
        <v>0</v>
      </c>
      <c r="S127" s="22">
        <v>0</v>
      </c>
      <c r="T127" s="22">
        <v>0</v>
      </c>
      <c r="U127" s="22">
        <v>0</v>
      </c>
      <c r="V127" s="22">
        <v>0</v>
      </c>
      <c r="W127" s="22">
        <v>0</v>
      </c>
      <c r="X127" s="22">
        <v>0</v>
      </c>
      <c r="Y127" s="22">
        <v>0</v>
      </c>
      <c r="Z127" s="22">
        <v>0</v>
      </c>
      <c r="AA127" s="22">
        <v>0</v>
      </c>
      <c r="AB127" s="22">
        <v>0</v>
      </c>
      <c r="AC127" s="22">
        <v>0</v>
      </c>
      <c r="AD127" s="22">
        <v>0</v>
      </c>
      <c r="AE127" s="22">
        <v>0</v>
      </c>
      <c r="AF127" s="22">
        <v>0</v>
      </c>
      <c r="AG127" s="22">
        <v>0</v>
      </c>
      <c r="AH127" s="22">
        <v>0</v>
      </c>
      <c r="AI127" s="22">
        <v>0</v>
      </c>
      <c r="AJ127" s="22">
        <v>0</v>
      </c>
      <c r="AK127" s="22">
        <v>0</v>
      </c>
      <c r="AL127" s="22">
        <v>0</v>
      </c>
      <c r="AM127" s="22">
        <v>0</v>
      </c>
      <c r="AN127" s="22">
        <v>0</v>
      </c>
      <c r="AO127" s="22">
        <v>0</v>
      </c>
      <c r="AP127" s="68"/>
      <c r="AT127" s="81"/>
      <c r="AU127"/>
    </row>
    <row r="128" spans="1:47">
      <c r="A128" s="24" t="s">
        <v>426</v>
      </c>
      <c r="B128" s="25"/>
      <c r="C128" s="25"/>
      <c r="D128" s="16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28"/>
      <c r="AI128" s="28"/>
      <c r="AJ128" s="28"/>
      <c r="AK128" s="28"/>
      <c r="AL128" s="28"/>
      <c r="AM128" s="28"/>
      <c r="AN128" s="28"/>
      <c r="AO128" s="28"/>
      <c r="AP128" s="67"/>
      <c r="AT128" s="81"/>
      <c r="AU128"/>
    </row>
    <row r="129" spans="1:47">
      <c r="A129" s="23"/>
      <c r="B129" s="19" t="s">
        <v>427</v>
      </c>
      <c r="C129" s="19" t="s">
        <v>428</v>
      </c>
      <c r="D129" s="20">
        <f t="shared" ref="D129:D132" si="5">SUM(E129:AO129)</f>
        <v>101999</v>
      </c>
      <c r="E129" s="22">
        <v>45719</v>
      </c>
      <c r="F129" s="22">
        <v>6279</v>
      </c>
      <c r="G129" s="22">
        <v>1805</v>
      </c>
      <c r="H129" s="22">
        <v>1266</v>
      </c>
      <c r="I129" s="22">
        <v>1129</v>
      </c>
      <c r="J129" s="22">
        <v>851</v>
      </c>
      <c r="K129" s="22">
        <v>2824</v>
      </c>
      <c r="L129" s="22">
        <v>2466</v>
      </c>
      <c r="M129" s="22">
        <v>1234</v>
      </c>
      <c r="N129" s="22">
        <v>1115</v>
      </c>
      <c r="O129" s="22">
        <v>436</v>
      </c>
      <c r="P129" s="22">
        <v>717</v>
      </c>
      <c r="Q129" s="22">
        <v>251</v>
      </c>
      <c r="R129" s="22">
        <v>1043</v>
      </c>
      <c r="S129" s="22">
        <v>78</v>
      </c>
      <c r="T129" s="22">
        <v>48</v>
      </c>
      <c r="U129" s="22">
        <v>69</v>
      </c>
      <c r="V129" s="22">
        <v>195</v>
      </c>
      <c r="W129" s="22">
        <v>74</v>
      </c>
      <c r="X129" s="22">
        <v>387</v>
      </c>
      <c r="Y129" s="22">
        <v>900</v>
      </c>
      <c r="Z129" s="22">
        <v>767</v>
      </c>
      <c r="AA129" s="22">
        <v>424</v>
      </c>
      <c r="AB129" s="22">
        <v>226</v>
      </c>
      <c r="AC129" s="22">
        <v>436</v>
      </c>
      <c r="AD129" s="22">
        <v>23</v>
      </c>
      <c r="AE129" s="22">
        <v>63</v>
      </c>
      <c r="AF129" s="22">
        <v>8367</v>
      </c>
      <c r="AG129" s="22">
        <v>7594</v>
      </c>
      <c r="AH129" s="22">
        <v>678</v>
      </c>
      <c r="AI129" s="22">
        <v>130</v>
      </c>
      <c r="AJ129" s="22">
        <v>633</v>
      </c>
      <c r="AK129" s="22">
        <v>57</v>
      </c>
      <c r="AL129" s="22">
        <v>80</v>
      </c>
      <c r="AM129" s="22">
        <v>958</v>
      </c>
      <c r="AN129" s="22">
        <v>265</v>
      </c>
      <c r="AO129" s="22">
        <v>12412</v>
      </c>
      <c r="AP129" s="67"/>
      <c r="AT129" s="81"/>
      <c r="AU129"/>
    </row>
    <row r="130" spans="1:47">
      <c r="A130" s="23"/>
      <c r="B130" s="19" t="s">
        <v>429</v>
      </c>
      <c r="C130" s="19" t="s">
        <v>428</v>
      </c>
      <c r="D130" s="20">
        <f t="shared" si="5"/>
        <v>101999</v>
      </c>
      <c r="E130" s="22">
        <v>45719</v>
      </c>
      <c r="F130" s="22">
        <v>6279</v>
      </c>
      <c r="G130" s="22">
        <v>1805</v>
      </c>
      <c r="H130" s="22">
        <v>1266</v>
      </c>
      <c r="I130" s="22">
        <v>1129</v>
      </c>
      <c r="J130" s="22">
        <v>851</v>
      </c>
      <c r="K130" s="22">
        <v>2824</v>
      </c>
      <c r="L130" s="22">
        <v>2466</v>
      </c>
      <c r="M130" s="22">
        <v>1234</v>
      </c>
      <c r="N130" s="22">
        <v>1115</v>
      </c>
      <c r="O130" s="22">
        <v>436</v>
      </c>
      <c r="P130" s="22">
        <v>717</v>
      </c>
      <c r="Q130" s="22">
        <v>251</v>
      </c>
      <c r="R130" s="22">
        <v>1043</v>
      </c>
      <c r="S130" s="22">
        <v>78</v>
      </c>
      <c r="T130" s="22">
        <v>48</v>
      </c>
      <c r="U130" s="22">
        <v>69</v>
      </c>
      <c r="V130" s="22">
        <v>195</v>
      </c>
      <c r="W130" s="22">
        <v>74</v>
      </c>
      <c r="X130" s="22">
        <v>387</v>
      </c>
      <c r="Y130" s="22">
        <v>900</v>
      </c>
      <c r="Z130" s="22">
        <v>767</v>
      </c>
      <c r="AA130" s="22">
        <v>424</v>
      </c>
      <c r="AB130" s="22">
        <v>226</v>
      </c>
      <c r="AC130" s="22">
        <v>436</v>
      </c>
      <c r="AD130" s="22">
        <v>23</v>
      </c>
      <c r="AE130" s="22">
        <v>63</v>
      </c>
      <c r="AF130" s="22">
        <v>8367</v>
      </c>
      <c r="AG130" s="22">
        <v>7594</v>
      </c>
      <c r="AH130" s="22">
        <v>678</v>
      </c>
      <c r="AI130" s="22">
        <v>130</v>
      </c>
      <c r="AJ130" s="22">
        <v>633</v>
      </c>
      <c r="AK130" s="22">
        <v>57</v>
      </c>
      <c r="AL130" s="22">
        <v>80</v>
      </c>
      <c r="AM130" s="22">
        <v>958</v>
      </c>
      <c r="AN130" s="22">
        <v>265</v>
      </c>
      <c r="AO130" s="22">
        <v>12412</v>
      </c>
      <c r="AP130" s="67"/>
      <c r="AT130" s="81"/>
      <c r="AU130"/>
    </row>
    <row r="131" spans="1:47">
      <c r="A131" s="23"/>
      <c r="B131" s="19" t="s">
        <v>430</v>
      </c>
      <c r="C131" s="19" t="s">
        <v>428</v>
      </c>
      <c r="D131" s="20">
        <f t="shared" si="5"/>
        <v>101999</v>
      </c>
      <c r="E131" s="22">
        <v>45719</v>
      </c>
      <c r="F131" s="22">
        <v>6279</v>
      </c>
      <c r="G131" s="22">
        <v>1805</v>
      </c>
      <c r="H131" s="22">
        <v>1266</v>
      </c>
      <c r="I131" s="22">
        <v>1129</v>
      </c>
      <c r="J131" s="22">
        <v>851</v>
      </c>
      <c r="K131" s="22">
        <v>2824</v>
      </c>
      <c r="L131" s="22">
        <v>2466</v>
      </c>
      <c r="M131" s="22">
        <v>1234</v>
      </c>
      <c r="N131" s="22">
        <v>1115</v>
      </c>
      <c r="O131" s="22">
        <v>436</v>
      </c>
      <c r="P131" s="22">
        <v>717</v>
      </c>
      <c r="Q131" s="22">
        <v>251</v>
      </c>
      <c r="R131" s="22">
        <v>1043</v>
      </c>
      <c r="S131" s="22">
        <v>78</v>
      </c>
      <c r="T131" s="22">
        <v>48</v>
      </c>
      <c r="U131" s="22">
        <v>69</v>
      </c>
      <c r="V131" s="22">
        <v>195</v>
      </c>
      <c r="W131" s="22">
        <v>74</v>
      </c>
      <c r="X131" s="22">
        <v>387</v>
      </c>
      <c r="Y131" s="22">
        <v>900</v>
      </c>
      <c r="Z131" s="22">
        <v>767</v>
      </c>
      <c r="AA131" s="22">
        <v>424</v>
      </c>
      <c r="AB131" s="22">
        <v>226</v>
      </c>
      <c r="AC131" s="22">
        <v>436</v>
      </c>
      <c r="AD131" s="22">
        <v>23</v>
      </c>
      <c r="AE131" s="22">
        <v>63</v>
      </c>
      <c r="AF131" s="22">
        <v>8367</v>
      </c>
      <c r="AG131" s="22">
        <v>7594</v>
      </c>
      <c r="AH131" s="22">
        <v>678</v>
      </c>
      <c r="AI131" s="22">
        <v>130</v>
      </c>
      <c r="AJ131" s="22">
        <v>633</v>
      </c>
      <c r="AK131" s="22">
        <v>57</v>
      </c>
      <c r="AL131" s="22">
        <v>80</v>
      </c>
      <c r="AM131" s="22">
        <v>958</v>
      </c>
      <c r="AN131" s="22">
        <v>265</v>
      </c>
      <c r="AO131" s="22">
        <v>12412</v>
      </c>
      <c r="AP131" s="67"/>
      <c r="AT131" s="81"/>
      <c r="AU131"/>
    </row>
    <row r="132" spans="1:47">
      <c r="A132" s="23"/>
      <c r="B132" s="19" t="s">
        <v>431</v>
      </c>
      <c r="C132" s="19" t="s">
        <v>428</v>
      </c>
      <c r="D132" s="20">
        <f t="shared" si="5"/>
        <v>101999</v>
      </c>
      <c r="E132" s="22">
        <v>45719</v>
      </c>
      <c r="F132" s="22">
        <v>6279</v>
      </c>
      <c r="G132" s="22">
        <v>1805</v>
      </c>
      <c r="H132" s="22">
        <v>1266</v>
      </c>
      <c r="I132" s="22">
        <v>1129</v>
      </c>
      <c r="J132" s="22">
        <v>851</v>
      </c>
      <c r="K132" s="22">
        <v>2824</v>
      </c>
      <c r="L132" s="22">
        <v>2466</v>
      </c>
      <c r="M132" s="22">
        <v>1234</v>
      </c>
      <c r="N132" s="22">
        <v>1115</v>
      </c>
      <c r="O132" s="22">
        <v>436</v>
      </c>
      <c r="P132" s="22">
        <v>717</v>
      </c>
      <c r="Q132" s="22">
        <v>251</v>
      </c>
      <c r="R132" s="22">
        <v>1043</v>
      </c>
      <c r="S132" s="22">
        <v>78</v>
      </c>
      <c r="T132" s="22">
        <v>48</v>
      </c>
      <c r="U132" s="22">
        <v>69</v>
      </c>
      <c r="V132" s="22">
        <v>195</v>
      </c>
      <c r="W132" s="22">
        <v>74</v>
      </c>
      <c r="X132" s="22">
        <v>387</v>
      </c>
      <c r="Y132" s="22">
        <v>900</v>
      </c>
      <c r="Z132" s="22">
        <v>767</v>
      </c>
      <c r="AA132" s="22">
        <v>424</v>
      </c>
      <c r="AB132" s="22">
        <v>226</v>
      </c>
      <c r="AC132" s="22">
        <v>436</v>
      </c>
      <c r="AD132" s="22">
        <v>23</v>
      </c>
      <c r="AE132" s="22">
        <v>63</v>
      </c>
      <c r="AF132" s="22">
        <v>8367</v>
      </c>
      <c r="AG132" s="22">
        <v>7594</v>
      </c>
      <c r="AH132" s="22">
        <v>678</v>
      </c>
      <c r="AI132" s="22">
        <v>130</v>
      </c>
      <c r="AJ132" s="22">
        <v>633</v>
      </c>
      <c r="AK132" s="22">
        <v>57</v>
      </c>
      <c r="AL132" s="22">
        <v>80</v>
      </c>
      <c r="AM132" s="22">
        <v>958</v>
      </c>
      <c r="AN132" s="22">
        <v>265</v>
      </c>
      <c r="AO132" s="22">
        <v>12412</v>
      </c>
      <c r="AP132" s="67"/>
      <c r="AT132" s="81"/>
      <c r="AU132"/>
    </row>
    <row r="133" spans="1:47">
      <c r="A133" s="24" t="s">
        <v>432</v>
      </c>
      <c r="B133" s="25"/>
      <c r="C133" s="25"/>
      <c r="D133" s="16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  <c r="AG133" s="28"/>
      <c r="AH133" s="28"/>
      <c r="AI133" s="28"/>
      <c r="AJ133" s="28"/>
      <c r="AK133" s="28"/>
      <c r="AL133" s="28"/>
      <c r="AM133" s="28"/>
      <c r="AN133" s="28"/>
      <c r="AO133" s="28"/>
      <c r="AU133"/>
    </row>
    <row r="134" spans="1:47">
      <c r="A134" s="23"/>
      <c r="B134" s="19" t="s">
        <v>433</v>
      </c>
      <c r="C134" s="19" t="s">
        <v>434</v>
      </c>
      <c r="D134" s="20">
        <f t="shared" ref="D134:D136" si="6">SUM(E134:AO134)</f>
        <v>92548</v>
      </c>
      <c r="E134" s="22">
        <v>62903</v>
      </c>
      <c r="F134" s="22">
        <v>2004</v>
      </c>
      <c r="G134" s="22">
        <v>6001</v>
      </c>
      <c r="H134" s="22" t="s">
        <v>683</v>
      </c>
      <c r="I134" s="22" t="s">
        <v>683</v>
      </c>
      <c r="J134" s="22" t="s">
        <v>683</v>
      </c>
      <c r="K134" s="22" t="s">
        <v>683</v>
      </c>
      <c r="L134" s="22" t="s">
        <v>683</v>
      </c>
      <c r="M134" s="22" t="s">
        <v>683</v>
      </c>
      <c r="N134" s="22" t="s">
        <v>683</v>
      </c>
      <c r="O134" s="22" t="s">
        <v>683</v>
      </c>
      <c r="P134" s="22" t="s">
        <v>683</v>
      </c>
      <c r="Q134" s="22">
        <v>609</v>
      </c>
      <c r="R134" s="22">
        <v>310</v>
      </c>
      <c r="S134" s="22">
        <v>61</v>
      </c>
      <c r="T134" s="22" t="s">
        <v>683</v>
      </c>
      <c r="U134" s="22" t="s">
        <v>683</v>
      </c>
      <c r="V134" s="22" t="s">
        <v>683</v>
      </c>
      <c r="W134" s="22" t="s">
        <v>683</v>
      </c>
      <c r="X134" s="22" t="s">
        <v>683</v>
      </c>
      <c r="Y134" s="22" t="s">
        <v>683</v>
      </c>
      <c r="Z134" s="22">
        <v>241</v>
      </c>
      <c r="AA134" s="22" t="s">
        <v>683</v>
      </c>
      <c r="AB134" s="22" t="s">
        <v>683</v>
      </c>
      <c r="AC134" s="22" t="s">
        <v>683</v>
      </c>
      <c r="AD134" s="22">
        <v>0</v>
      </c>
      <c r="AE134" s="22" t="s">
        <v>683</v>
      </c>
      <c r="AF134" s="22">
        <v>11897</v>
      </c>
      <c r="AG134" s="22">
        <v>6757</v>
      </c>
      <c r="AH134" s="22">
        <v>1529</v>
      </c>
      <c r="AI134" s="22">
        <v>14</v>
      </c>
      <c r="AJ134" s="22">
        <v>190</v>
      </c>
      <c r="AK134" s="22">
        <v>32</v>
      </c>
      <c r="AL134" s="22" t="s">
        <v>683</v>
      </c>
      <c r="AM134" s="22" t="s">
        <v>683</v>
      </c>
      <c r="AN134" s="22" t="s">
        <v>683</v>
      </c>
      <c r="AO134" s="22" t="s">
        <v>683</v>
      </c>
      <c r="AU134"/>
    </row>
    <row r="135" spans="1:47">
      <c r="A135" s="23"/>
      <c r="B135" s="19" t="s">
        <v>435</v>
      </c>
      <c r="C135" s="19" t="s">
        <v>434</v>
      </c>
      <c r="D135" s="20">
        <f t="shared" si="6"/>
        <v>98696</v>
      </c>
      <c r="E135" s="22">
        <v>67364</v>
      </c>
      <c r="F135" s="22">
        <v>2204</v>
      </c>
      <c r="G135" s="22">
        <v>5493</v>
      </c>
      <c r="H135" s="22" t="s">
        <v>683</v>
      </c>
      <c r="I135" s="22" t="s">
        <v>683</v>
      </c>
      <c r="J135" s="22" t="s">
        <v>683</v>
      </c>
      <c r="K135" s="22" t="s">
        <v>683</v>
      </c>
      <c r="L135" s="22" t="s">
        <v>683</v>
      </c>
      <c r="M135" s="22" t="s">
        <v>683</v>
      </c>
      <c r="N135" s="22" t="s">
        <v>683</v>
      </c>
      <c r="O135" s="22" t="s">
        <v>683</v>
      </c>
      <c r="P135" s="22" t="s">
        <v>683</v>
      </c>
      <c r="Q135" s="22">
        <v>613</v>
      </c>
      <c r="R135" s="22">
        <v>84</v>
      </c>
      <c r="S135" s="22">
        <v>74</v>
      </c>
      <c r="T135" s="22" t="s">
        <v>683</v>
      </c>
      <c r="U135" s="22" t="s">
        <v>683</v>
      </c>
      <c r="V135" s="22" t="s">
        <v>683</v>
      </c>
      <c r="W135" s="22" t="s">
        <v>683</v>
      </c>
      <c r="X135" s="22" t="s">
        <v>683</v>
      </c>
      <c r="Y135" s="22" t="s">
        <v>683</v>
      </c>
      <c r="Z135" s="22">
        <v>365</v>
      </c>
      <c r="AA135" s="22" t="s">
        <v>683</v>
      </c>
      <c r="AB135" s="22" t="s">
        <v>683</v>
      </c>
      <c r="AC135" s="22" t="s">
        <v>683</v>
      </c>
      <c r="AD135" s="22">
        <v>0</v>
      </c>
      <c r="AE135" s="22" t="s">
        <v>683</v>
      </c>
      <c r="AF135" s="22">
        <v>13656</v>
      </c>
      <c r="AG135" s="22">
        <v>6944</v>
      </c>
      <c r="AH135" s="22">
        <v>1241</v>
      </c>
      <c r="AI135" s="22">
        <v>160</v>
      </c>
      <c r="AJ135" s="22">
        <v>472</v>
      </c>
      <c r="AK135" s="22">
        <v>26</v>
      </c>
      <c r="AL135" s="22" t="s">
        <v>683</v>
      </c>
      <c r="AM135" s="22" t="s">
        <v>683</v>
      </c>
      <c r="AN135" s="22" t="s">
        <v>683</v>
      </c>
      <c r="AO135" s="22" t="s">
        <v>683</v>
      </c>
      <c r="AU135"/>
    </row>
    <row r="136" spans="1:47">
      <c r="A136" s="23"/>
      <c r="B136" s="19" t="s">
        <v>436</v>
      </c>
      <c r="C136" s="19" t="s">
        <v>434</v>
      </c>
      <c r="D136" s="20">
        <f t="shared" si="6"/>
        <v>115811</v>
      </c>
      <c r="E136" s="22">
        <v>74125</v>
      </c>
      <c r="F136" s="22">
        <v>2367</v>
      </c>
      <c r="G136" s="22">
        <v>9573</v>
      </c>
      <c r="H136" s="22" t="s">
        <v>683</v>
      </c>
      <c r="I136" s="22" t="s">
        <v>683</v>
      </c>
      <c r="J136" s="22" t="s">
        <v>683</v>
      </c>
      <c r="K136" s="22" t="s">
        <v>683</v>
      </c>
      <c r="L136" s="22" t="s">
        <v>683</v>
      </c>
      <c r="M136" s="22" t="s">
        <v>683</v>
      </c>
      <c r="N136" s="22" t="s">
        <v>683</v>
      </c>
      <c r="O136" s="22" t="s">
        <v>683</v>
      </c>
      <c r="P136" s="22" t="s">
        <v>683</v>
      </c>
      <c r="Q136" s="22">
        <v>591</v>
      </c>
      <c r="R136" s="22">
        <v>4</v>
      </c>
      <c r="S136" s="22">
        <v>38</v>
      </c>
      <c r="T136" s="22" t="s">
        <v>683</v>
      </c>
      <c r="U136" s="22" t="s">
        <v>683</v>
      </c>
      <c r="V136" s="22" t="s">
        <v>683</v>
      </c>
      <c r="W136" s="22" t="s">
        <v>683</v>
      </c>
      <c r="X136" s="22" t="s">
        <v>683</v>
      </c>
      <c r="Y136" s="22" t="s">
        <v>683</v>
      </c>
      <c r="Z136" s="22">
        <v>374</v>
      </c>
      <c r="AA136" s="22" t="s">
        <v>683</v>
      </c>
      <c r="AB136" s="22" t="s">
        <v>683</v>
      </c>
      <c r="AC136" s="22" t="s">
        <v>683</v>
      </c>
      <c r="AD136" s="22">
        <v>10</v>
      </c>
      <c r="AE136" s="22" t="s">
        <v>683</v>
      </c>
      <c r="AF136" s="22">
        <v>17785</v>
      </c>
      <c r="AG136" s="22">
        <v>9289</v>
      </c>
      <c r="AH136" s="22">
        <v>1062</v>
      </c>
      <c r="AI136" s="22">
        <v>128</v>
      </c>
      <c r="AJ136" s="22">
        <v>429</v>
      </c>
      <c r="AK136" s="22">
        <v>36</v>
      </c>
      <c r="AL136" s="22" t="s">
        <v>683</v>
      </c>
      <c r="AM136" s="22" t="s">
        <v>683</v>
      </c>
      <c r="AN136" s="22" t="s">
        <v>683</v>
      </c>
      <c r="AO136" s="22" t="s">
        <v>683</v>
      </c>
      <c r="AU136"/>
    </row>
    <row r="137" spans="1:47">
      <c r="D137" s="39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Q137" s="70"/>
    </row>
    <row r="138" spans="1:47">
      <c r="D138" s="39"/>
      <c r="AU138"/>
    </row>
    <row r="139" spans="1:47">
      <c r="D139" s="39"/>
    </row>
    <row r="176" spans="46:47">
      <c r="AT176" s="44"/>
      <c r="AU176" s="44"/>
    </row>
    <row r="177" spans="46:47">
      <c r="AT177" s="44"/>
      <c r="AU177" s="44"/>
    </row>
    <row r="178" spans="46:47">
      <c r="AT178" s="44"/>
      <c r="AU178" s="44"/>
    </row>
    <row r="179" spans="46:47">
      <c r="AT179" s="44"/>
      <c r="AU179" s="44"/>
    </row>
    <row r="180" spans="46:47">
      <c r="AT180" s="44"/>
      <c r="AU180" s="44"/>
    </row>
    <row r="181" spans="46:47">
      <c r="AT181" s="44"/>
      <c r="AU181" s="44"/>
    </row>
    <row r="182" spans="46:47">
      <c r="AT182" s="44"/>
      <c r="AU182" s="44"/>
    </row>
    <row r="183" spans="46:47">
      <c r="AT183" s="44"/>
      <c r="AU183" s="44"/>
    </row>
    <row r="184" spans="46:47">
      <c r="AT184" s="44"/>
      <c r="AU184" s="44"/>
    </row>
    <row r="185" spans="46:47">
      <c r="AT185" s="44"/>
      <c r="AU185" s="44"/>
    </row>
    <row r="186" spans="46:47">
      <c r="AT186" s="44"/>
      <c r="AU186" s="44"/>
    </row>
    <row r="187" spans="46:47">
      <c r="AT187" s="44"/>
      <c r="AU187" s="44"/>
    </row>
    <row r="188" spans="46:47">
      <c r="AT188" s="44"/>
      <c r="AU188" s="44"/>
    </row>
    <row r="189" spans="46:47">
      <c r="AT189" s="44"/>
      <c r="AU189" s="44"/>
    </row>
    <row r="190" spans="46:47">
      <c r="AT190" s="44"/>
      <c r="AU190" s="44"/>
    </row>
    <row r="191" spans="46:47">
      <c r="AT191" s="44"/>
      <c r="AU191" s="44"/>
    </row>
    <row r="192" spans="46:47">
      <c r="AT192" s="44"/>
      <c r="AU192" s="44"/>
    </row>
    <row r="193" spans="46:47">
      <c r="AT193" s="44"/>
      <c r="AU193" s="44"/>
    </row>
    <row r="194" spans="46:47">
      <c r="AT194" s="44"/>
      <c r="AU194" s="44"/>
    </row>
    <row r="195" spans="46:47">
      <c r="AT195" s="44"/>
      <c r="AU195" s="44"/>
    </row>
    <row r="196" spans="46:47">
      <c r="AT196" s="44"/>
      <c r="AU196" s="44"/>
    </row>
    <row r="197" spans="46:47">
      <c r="AT197" s="44"/>
      <c r="AU197" s="44"/>
    </row>
    <row r="198" spans="46:47">
      <c r="AT198" s="44"/>
      <c r="AU198" s="44"/>
    </row>
    <row r="199" spans="46:47">
      <c r="AT199" s="44"/>
      <c r="AU199" s="44"/>
    </row>
    <row r="200" spans="46:47">
      <c r="AT200" s="44"/>
      <c r="AU200" s="44"/>
    </row>
    <row r="201" spans="46:47">
      <c r="AT201" s="44"/>
      <c r="AU201" s="44"/>
    </row>
    <row r="202" spans="46:47">
      <c r="AT202" s="44"/>
      <c r="AU202" s="44"/>
    </row>
    <row r="203" spans="46:47">
      <c r="AT203" s="44"/>
      <c r="AU203" s="44"/>
    </row>
    <row r="204" spans="46:47">
      <c r="AT204" s="44"/>
      <c r="AU204" s="44"/>
    </row>
    <row r="205" spans="46:47">
      <c r="AT205" s="44"/>
      <c r="AU205" s="44"/>
    </row>
    <row r="206" spans="46:47">
      <c r="AT206" s="44"/>
      <c r="AU206" s="44"/>
    </row>
    <row r="207" spans="46:47">
      <c r="AT207" s="44"/>
      <c r="AU207" s="44"/>
    </row>
    <row r="208" spans="46:47">
      <c r="AT208" s="44"/>
      <c r="AU208" s="44"/>
    </row>
    <row r="209" spans="46:47">
      <c r="AT209" s="44"/>
      <c r="AU209" s="44"/>
    </row>
    <row r="210" spans="46:47">
      <c r="AT210" s="44"/>
      <c r="AU210" s="44"/>
    </row>
    <row r="211" spans="46:47">
      <c r="AT211" s="44"/>
      <c r="AU211" s="44"/>
    </row>
    <row r="212" spans="46:47">
      <c r="AT212" s="44"/>
      <c r="AU212" s="44"/>
    </row>
    <row r="213" spans="46:47">
      <c r="AT213" s="44"/>
      <c r="AU213" s="44"/>
    </row>
    <row r="214" spans="46:47">
      <c r="AT214" s="44"/>
      <c r="AU214" s="44"/>
    </row>
    <row r="215" spans="46:47">
      <c r="AT215" s="44"/>
      <c r="AU215" s="44"/>
    </row>
    <row r="217" spans="46:47">
      <c r="AT217" s="44"/>
      <c r="AU217" s="44"/>
    </row>
  </sheetData>
  <mergeCells count="2">
    <mergeCell ref="A1:C7"/>
    <mergeCell ref="E71:AO71"/>
  </mergeCells>
  <pageMargins left="0.70866141732283472" right="0.70866141732283472" top="0.74803149606299213" bottom="0.74803149606299213" header="0.31496062992125984" footer="0.31496062992125984"/>
  <pageSetup paperSize="8" scale="16" fitToHeight="5" orientation="landscape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25859-9E8E-4E91-B109-13A75F63CFF1}">
  <sheetPr codeName="Sheet9">
    <pageSetUpPr fitToPage="1"/>
  </sheetPr>
  <dimension ref="A1:AN217"/>
  <sheetViews>
    <sheetView showGridLines="0" tabSelected="1" zoomScale="80" zoomScaleNormal="80" zoomScaleSheetLayoutView="84" workbookViewId="0">
      <selection activeCell="B8" sqref="B8"/>
    </sheetView>
  </sheetViews>
  <sheetFormatPr defaultRowHeight="16.5"/>
  <cols>
    <col min="1" max="1" width="27.7109375" style="4" customWidth="1"/>
    <col min="2" max="2" width="57.42578125" style="30" customWidth="1"/>
    <col min="3" max="3" width="29.5703125" style="30" bestFit="1" customWidth="1"/>
    <col min="4" max="4" width="28.5703125" style="31" customWidth="1"/>
    <col min="5" max="5" width="16.5703125" style="32" bestFit="1" customWidth="1"/>
    <col min="6" max="6" width="22" style="32" bestFit="1" customWidth="1"/>
    <col min="7" max="7" width="20.42578125" style="32" bestFit="1" customWidth="1"/>
    <col min="8" max="8" width="27.85546875" style="32" bestFit="1" customWidth="1"/>
    <col min="9" max="9" width="22" style="32" bestFit="1" customWidth="1"/>
    <col min="10" max="10" width="33.28515625" style="32" bestFit="1" customWidth="1"/>
    <col min="11" max="11" width="29.42578125" style="32" bestFit="1" customWidth="1"/>
    <col min="12" max="12" width="20.5703125" style="32" bestFit="1" customWidth="1"/>
    <col min="13" max="13" width="18.5703125" style="32" bestFit="1" customWidth="1"/>
    <col min="14" max="14" width="24.42578125" style="32" bestFit="1" customWidth="1"/>
    <col min="15" max="15" width="22.85546875" style="32" bestFit="1" customWidth="1"/>
    <col min="16" max="16" width="15" style="32" bestFit="1" customWidth="1"/>
    <col min="17" max="17" width="23.28515625" style="32" bestFit="1" customWidth="1"/>
    <col min="18" max="18" width="24.85546875" style="32" bestFit="1" customWidth="1"/>
    <col min="19" max="19" width="28.140625" style="32" customWidth="1"/>
    <col min="20" max="20" width="22.28515625" style="32" bestFit="1" customWidth="1"/>
    <col min="21" max="21" width="23.42578125" style="32" bestFit="1" customWidth="1"/>
    <col min="22" max="22" width="21.7109375" style="66" bestFit="1" customWidth="1"/>
    <col min="23" max="24" width="21.7109375" style="32" bestFit="1" customWidth="1"/>
    <col min="25" max="25" width="24.5703125" style="32" bestFit="1" customWidth="1"/>
    <col min="26" max="26" width="32.28515625" style="32" bestFit="1" customWidth="1"/>
    <col min="27" max="27" width="22.5703125" style="32" bestFit="1" customWidth="1"/>
    <col min="28" max="31" width="21.7109375" style="32" bestFit="1" customWidth="1"/>
    <col min="32" max="32" width="22.85546875" style="32" bestFit="1" customWidth="1"/>
    <col min="33" max="33" width="27" style="32" customWidth="1"/>
    <col min="34" max="34" width="23.42578125" style="32" bestFit="1" customWidth="1"/>
    <col min="35" max="35" width="11.5703125" style="50" bestFit="1" customWidth="1"/>
    <col min="36" max="36" width="15.85546875" style="67" bestFit="1" customWidth="1"/>
    <col min="37" max="37" width="18.5703125" style="76" bestFit="1" customWidth="1"/>
    <col min="39" max="40" width="25.7109375" style="33" customWidth="1"/>
    <col min="41" max="183" width="8.7109375" style="41"/>
    <col min="184" max="184" width="24.5703125" style="41" customWidth="1"/>
    <col min="185" max="185" width="59.5703125" style="41" customWidth="1"/>
    <col min="186" max="186" width="23.140625" style="41" customWidth="1"/>
    <col min="187" max="187" width="14.85546875" style="41" bestFit="1" customWidth="1"/>
    <col min="188" max="189" width="20.42578125" style="41" customWidth="1"/>
    <col min="190" max="190" width="17.42578125" style="41" customWidth="1"/>
    <col min="191" max="191" width="11.5703125" style="41" bestFit="1" customWidth="1"/>
    <col min="192" max="192" width="16.140625" style="41" customWidth="1"/>
    <col min="193" max="193" width="8.7109375" style="41"/>
    <col min="194" max="194" width="14.140625" style="41" bestFit="1" customWidth="1"/>
    <col min="195" max="439" width="8.7109375" style="41"/>
    <col min="440" max="440" width="24.5703125" style="41" customWidth="1"/>
    <col min="441" max="441" width="59.5703125" style="41" customWidth="1"/>
    <col min="442" max="442" width="23.140625" style="41" customWidth="1"/>
    <col min="443" max="443" width="14.85546875" style="41" bestFit="1" customWidth="1"/>
    <col min="444" max="445" width="20.42578125" style="41" customWidth="1"/>
    <col min="446" max="446" width="17.42578125" style="41" customWidth="1"/>
    <col min="447" max="447" width="11.5703125" style="41" bestFit="1" customWidth="1"/>
    <col min="448" max="448" width="16.140625" style="41" customWidth="1"/>
    <col min="449" max="449" width="8.7109375" style="41"/>
    <col min="450" max="450" width="14.140625" style="41" bestFit="1" customWidth="1"/>
    <col min="451" max="695" width="8.7109375" style="41"/>
    <col min="696" max="696" width="24.5703125" style="41" customWidth="1"/>
    <col min="697" max="697" width="59.5703125" style="41" customWidth="1"/>
    <col min="698" max="698" width="23.140625" style="41" customWidth="1"/>
    <col min="699" max="699" width="14.85546875" style="41" bestFit="1" customWidth="1"/>
    <col min="700" max="701" width="20.42578125" style="41" customWidth="1"/>
    <col min="702" max="702" width="17.42578125" style="41" customWidth="1"/>
    <col min="703" max="703" width="11.5703125" style="41" bestFit="1" customWidth="1"/>
    <col min="704" max="704" width="16.140625" style="41" customWidth="1"/>
    <col min="705" max="705" width="8.7109375" style="41"/>
    <col min="706" max="706" width="14.140625" style="41" bestFit="1" customWidth="1"/>
    <col min="707" max="951" width="8.7109375" style="41"/>
    <col min="952" max="952" width="24.5703125" style="41" customWidth="1"/>
    <col min="953" max="953" width="59.5703125" style="41" customWidth="1"/>
    <col min="954" max="954" width="23.140625" style="41" customWidth="1"/>
    <col min="955" max="955" width="14.85546875" style="41" bestFit="1" customWidth="1"/>
    <col min="956" max="957" width="20.42578125" style="41" customWidth="1"/>
    <col min="958" max="958" width="17.42578125" style="41" customWidth="1"/>
    <col min="959" max="959" width="11.5703125" style="41" bestFit="1" customWidth="1"/>
    <col min="960" max="960" width="16.140625" style="41" customWidth="1"/>
    <col min="961" max="961" width="8.7109375" style="41"/>
    <col min="962" max="962" width="14.140625" style="41" bestFit="1" customWidth="1"/>
    <col min="963" max="1207" width="8.7109375" style="41"/>
    <col min="1208" max="1208" width="24.5703125" style="41" customWidth="1"/>
    <col min="1209" max="1209" width="59.5703125" style="41" customWidth="1"/>
    <col min="1210" max="1210" width="23.140625" style="41" customWidth="1"/>
    <col min="1211" max="1211" width="14.85546875" style="41" bestFit="1" customWidth="1"/>
    <col min="1212" max="1213" width="20.42578125" style="41" customWidth="1"/>
    <col min="1214" max="1214" width="17.42578125" style="41" customWidth="1"/>
    <col min="1215" max="1215" width="11.5703125" style="41" bestFit="1" customWidth="1"/>
    <col min="1216" max="1216" width="16.140625" style="41" customWidth="1"/>
    <col min="1217" max="1217" width="8.7109375" style="41"/>
    <col min="1218" max="1218" width="14.140625" style="41" bestFit="1" customWidth="1"/>
    <col min="1219" max="1463" width="8.7109375" style="41"/>
    <col min="1464" max="1464" width="24.5703125" style="41" customWidth="1"/>
    <col min="1465" max="1465" width="59.5703125" style="41" customWidth="1"/>
    <col min="1466" max="1466" width="23.140625" style="41" customWidth="1"/>
    <col min="1467" max="1467" width="14.85546875" style="41" bestFit="1" customWidth="1"/>
    <col min="1468" max="1469" width="20.42578125" style="41" customWidth="1"/>
    <col min="1470" max="1470" width="17.42578125" style="41" customWidth="1"/>
    <col min="1471" max="1471" width="11.5703125" style="41" bestFit="1" customWidth="1"/>
    <col min="1472" max="1472" width="16.140625" style="41" customWidth="1"/>
    <col min="1473" max="1473" width="8.7109375" style="41"/>
    <col min="1474" max="1474" width="14.140625" style="41" bestFit="1" customWidth="1"/>
    <col min="1475" max="1719" width="8.7109375" style="41"/>
    <col min="1720" max="1720" width="24.5703125" style="41" customWidth="1"/>
    <col min="1721" max="1721" width="59.5703125" style="41" customWidth="1"/>
    <col min="1722" max="1722" width="23.140625" style="41" customWidth="1"/>
    <col min="1723" max="1723" width="14.85546875" style="41" bestFit="1" customWidth="1"/>
    <col min="1724" max="1725" width="20.42578125" style="41" customWidth="1"/>
    <col min="1726" max="1726" width="17.42578125" style="41" customWidth="1"/>
    <col min="1727" max="1727" width="11.5703125" style="41" bestFit="1" customWidth="1"/>
    <col min="1728" max="1728" width="16.140625" style="41" customWidth="1"/>
    <col min="1729" max="1729" width="8.7109375" style="41"/>
    <col min="1730" max="1730" width="14.140625" style="41" bestFit="1" customWidth="1"/>
    <col min="1731" max="1975" width="8.7109375" style="41"/>
    <col min="1976" max="1976" width="24.5703125" style="41" customWidth="1"/>
    <col min="1977" max="1977" width="59.5703125" style="41" customWidth="1"/>
    <col min="1978" max="1978" width="23.140625" style="41" customWidth="1"/>
    <col min="1979" max="1979" width="14.85546875" style="41" bestFit="1" customWidth="1"/>
    <col min="1980" max="1981" width="20.42578125" style="41" customWidth="1"/>
    <col min="1982" max="1982" width="17.42578125" style="41" customWidth="1"/>
    <col min="1983" max="1983" width="11.5703125" style="41" bestFit="1" customWidth="1"/>
    <col min="1984" max="1984" width="16.140625" style="41" customWidth="1"/>
    <col min="1985" max="1985" width="8.7109375" style="41"/>
    <col min="1986" max="1986" width="14.140625" style="41" bestFit="1" customWidth="1"/>
    <col min="1987" max="2231" width="8.7109375" style="41"/>
    <col min="2232" max="2232" width="24.5703125" style="41" customWidth="1"/>
    <col min="2233" max="2233" width="59.5703125" style="41" customWidth="1"/>
    <col min="2234" max="2234" width="23.140625" style="41" customWidth="1"/>
    <col min="2235" max="2235" width="14.85546875" style="41" bestFit="1" customWidth="1"/>
    <col min="2236" max="2237" width="20.42578125" style="41" customWidth="1"/>
    <col min="2238" max="2238" width="17.42578125" style="41" customWidth="1"/>
    <col min="2239" max="2239" width="11.5703125" style="41" bestFit="1" customWidth="1"/>
    <col min="2240" max="2240" width="16.140625" style="41" customWidth="1"/>
    <col min="2241" max="2241" width="8.7109375" style="41"/>
    <col min="2242" max="2242" width="14.140625" style="41" bestFit="1" customWidth="1"/>
    <col min="2243" max="2487" width="8.7109375" style="41"/>
    <col min="2488" max="2488" width="24.5703125" style="41" customWidth="1"/>
    <col min="2489" max="2489" width="59.5703125" style="41" customWidth="1"/>
    <col min="2490" max="2490" width="23.140625" style="41" customWidth="1"/>
    <col min="2491" max="2491" width="14.85546875" style="41" bestFit="1" customWidth="1"/>
    <col min="2492" max="2493" width="20.42578125" style="41" customWidth="1"/>
    <col min="2494" max="2494" width="17.42578125" style="41" customWidth="1"/>
    <col min="2495" max="2495" width="11.5703125" style="41" bestFit="1" customWidth="1"/>
    <col min="2496" max="2496" width="16.140625" style="41" customWidth="1"/>
    <col min="2497" max="2497" width="8.7109375" style="41"/>
    <col min="2498" max="2498" width="14.140625" style="41" bestFit="1" customWidth="1"/>
    <col min="2499" max="2743" width="8.7109375" style="41"/>
    <col min="2744" max="2744" width="24.5703125" style="41" customWidth="1"/>
    <col min="2745" max="2745" width="59.5703125" style="41" customWidth="1"/>
    <col min="2746" max="2746" width="23.140625" style="41" customWidth="1"/>
    <col min="2747" max="2747" width="14.85546875" style="41" bestFit="1" customWidth="1"/>
    <col min="2748" max="2749" width="20.42578125" style="41" customWidth="1"/>
    <col min="2750" max="2750" width="17.42578125" style="41" customWidth="1"/>
    <col min="2751" max="2751" width="11.5703125" style="41" bestFit="1" customWidth="1"/>
    <col min="2752" max="2752" width="16.140625" style="41" customWidth="1"/>
    <col min="2753" max="2753" width="8.7109375" style="41"/>
    <col min="2754" max="2754" width="14.140625" style="41" bestFit="1" customWidth="1"/>
    <col min="2755" max="2999" width="8.7109375" style="41"/>
    <col min="3000" max="3000" width="24.5703125" style="41" customWidth="1"/>
    <col min="3001" max="3001" width="59.5703125" style="41" customWidth="1"/>
    <col min="3002" max="3002" width="23.140625" style="41" customWidth="1"/>
    <col min="3003" max="3003" width="14.85546875" style="41" bestFit="1" customWidth="1"/>
    <col min="3004" max="3005" width="20.42578125" style="41" customWidth="1"/>
    <col min="3006" max="3006" width="17.42578125" style="41" customWidth="1"/>
    <col min="3007" max="3007" width="11.5703125" style="41" bestFit="1" customWidth="1"/>
    <col min="3008" max="3008" width="16.140625" style="41" customWidth="1"/>
    <col min="3009" max="3009" width="8.7109375" style="41"/>
    <col min="3010" max="3010" width="14.140625" style="41" bestFit="1" customWidth="1"/>
    <col min="3011" max="3255" width="8.7109375" style="41"/>
    <col min="3256" max="3256" width="24.5703125" style="41" customWidth="1"/>
    <col min="3257" max="3257" width="59.5703125" style="41" customWidth="1"/>
    <col min="3258" max="3258" width="23.140625" style="41" customWidth="1"/>
    <col min="3259" max="3259" width="14.85546875" style="41" bestFit="1" customWidth="1"/>
    <col min="3260" max="3261" width="20.42578125" style="41" customWidth="1"/>
    <col min="3262" max="3262" width="17.42578125" style="41" customWidth="1"/>
    <col min="3263" max="3263" width="11.5703125" style="41" bestFit="1" customWidth="1"/>
    <col min="3264" max="3264" width="16.140625" style="41" customWidth="1"/>
    <col min="3265" max="3265" width="8.7109375" style="41"/>
    <col min="3266" max="3266" width="14.140625" style="41" bestFit="1" customWidth="1"/>
    <col min="3267" max="3511" width="8.7109375" style="41"/>
    <col min="3512" max="3512" width="24.5703125" style="41" customWidth="1"/>
    <col min="3513" max="3513" width="59.5703125" style="41" customWidth="1"/>
    <col min="3514" max="3514" width="23.140625" style="41" customWidth="1"/>
    <col min="3515" max="3515" width="14.85546875" style="41" bestFit="1" customWidth="1"/>
    <col min="3516" max="3517" width="20.42578125" style="41" customWidth="1"/>
    <col min="3518" max="3518" width="17.42578125" style="41" customWidth="1"/>
    <col min="3519" max="3519" width="11.5703125" style="41" bestFit="1" customWidth="1"/>
    <col min="3520" max="3520" width="16.140625" style="41" customWidth="1"/>
    <col min="3521" max="3521" width="8.7109375" style="41"/>
    <col min="3522" max="3522" width="14.140625" style="41" bestFit="1" customWidth="1"/>
    <col min="3523" max="3767" width="8.7109375" style="41"/>
    <col min="3768" max="3768" width="24.5703125" style="41" customWidth="1"/>
    <col min="3769" max="3769" width="59.5703125" style="41" customWidth="1"/>
    <col min="3770" max="3770" width="23.140625" style="41" customWidth="1"/>
    <col min="3771" max="3771" width="14.85546875" style="41" bestFit="1" customWidth="1"/>
    <col min="3772" max="3773" width="20.42578125" style="41" customWidth="1"/>
    <col min="3774" max="3774" width="17.42578125" style="41" customWidth="1"/>
    <col min="3775" max="3775" width="11.5703125" style="41" bestFit="1" customWidth="1"/>
    <col min="3776" max="3776" width="16.140625" style="41" customWidth="1"/>
    <col min="3777" max="3777" width="8.7109375" style="41"/>
    <col min="3778" max="3778" width="14.140625" style="41" bestFit="1" customWidth="1"/>
    <col min="3779" max="4023" width="8.7109375" style="41"/>
    <col min="4024" max="4024" width="24.5703125" style="41" customWidth="1"/>
    <col min="4025" max="4025" width="59.5703125" style="41" customWidth="1"/>
    <col min="4026" max="4026" width="23.140625" style="41" customWidth="1"/>
    <col min="4027" max="4027" width="14.85546875" style="41" bestFit="1" customWidth="1"/>
    <col min="4028" max="4029" width="20.42578125" style="41" customWidth="1"/>
    <col min="4030" max="4030" width="17.42578125" style="41" customWidth="1"/>
    <col min="4031" max="4031" width="11.5703125" style="41" bestFit="1" customWidth="1"/>
    <col min="4032" max="4032" width="16.140625" style="41" customWidth="1"/>
    <col min="4033" max="4033" width="8.7109375" style="41"/>
    <col min="4034" max="4034" width="14.140625" style="41" bestFit="1" customWidth="1"/>
    <col min="4035" max="4279" width="8.7109375" style="41"/>
    <col min="4280" max="4280" width="24.5703125" style="41" customWidth="1"/>
    <col min="4281" max="4281" width="59.5703125" style="41" customWidth="1"/>
    <col min="4282" max="4282" width="23.140625" style="41" customWidth="1"/>
    <col min="4283" max="4283" width="14.85546875" style="41" bestFit="1" customWidth="1"/>
    <col min="4284" max="4285" width="20.42578125" style="41" customWidth="1"/>
    <col min="4286" max="4286" width="17.42578125" style="41" customWidth="1"/>
    <col min="4287" max="4287" width="11.5703125" style="41" bestFit="1" customWidth="1"/>
    <col min="4288" max="4288" width="16.140625" style="41" customWidth="1"/>
    <col min="4289" max="4289" width="8.7109375" style="41"/>
    <col min="4290" max="4290" width="14.140625" style="41" bestFit="1" customWidth="1"/>
    <col min="4291" max="4535" width="8.7109375" style="41"/>
    <col min="4536" max="4536" width="24.5703125" style="41" customWidth="1"/>
    <col min="4537" max="4537" width="59.5703125" style="41" customWidth="1"/>
    <col min="4538" max="4538" width="23.140625" style="41" customWidth="1"/>
    <col min="4539" max="4539" width="14.85546875" style="41" bestFit="1" customWidth="1"/>
    <col min="4540" max="4541" width="20.42578125" style="41" customWidth="1"/>
    <col min="4542" max="4542" width="17.42578125" style="41" customWidth="1"/>
    <col min="4543" max="4543" width="11.5703125" style="41" bestFit="1" customWidth="1"/>
    <col min="4544" max="4544" width="16.140625" style="41" customWidth="1"/>
    <col min="4545" max="4545" width="8.7109375" style="41"/>
    <col min="4546" max="4546" width="14.140625" style="41" bestFit="1" customWidth="1"/>
    <col min="4547" max="4791" width="8.7109375" style="41"/>
    <col min="4792" max="4792" width="24.5703125" style="41" customWidth="1"/>
    <col min="4793" max="4793" width="59.5703125" style="41" customWidth="1"/>
    <col min="4794" max="4794" width="23.140625" style="41" customWidth="1"/>
    <col min="4795" max="4795" width="14.85546875" style="41" bestFit="1" customWidth="1"/>
    <col min="4796" max="4797" width="20.42578125" style="41" customWidth="1"/>
    <col min="4798" max="4798" width="17.42578125" style="41" customWidth="1"/>
    <col min="4799" max="4799" width="11.5703125" style="41" bestFit="1" customWidth="1"/>
    <col min="4800" max="4800" width="16.140625" style="41" customWidth="1"/>
    <col min="4801" max="4801" width="8.7109375" style="41"/>
    <col min="4802" max="4802" width="14.140625" style="41" bestFit="1" customWidth="1"/>
    <col min="4803" max="5047" width="8.7109375" style="41"/>
    <col min="5048" max="5048" width="24.5703125" style="41" customWidth="1"/>
    <col min="5049" max="5049" width="59.5703125" style="41" customWidth="1"/>
    <col min="5050" max="5050" width="23.140625" style="41" customWidth="1"/>
    <col min="5051" max="5051" width="14.85546875" style="41" bestFit="1" customWidth="1"/>
    <col min="5052" max="5053" width="20.42578125" style="41" customWidth="1"/>
    <col min="5054" max="5054" width="17.42578125" style="41" customWidth="1"/>
    <col min="5055" max="5055" width="11.5703125" style="41" bestFit="1" customWidth="1"/>
    <col min="5056" max="5056" width="16.140625" style="41" customWidth="1"/>
    <col min="5057" max="5057" width="8.7109375" style="41"/>
    <col min="5058" max="5058" width="14.140625" style="41" bestFit="1" customWidth="1"/>
    <col min="5059" max="5303" width="8.7109375" style="41"/>
    <col min="5304" max="5304" width="24.5703125" style="41" customWidth="1"/>
    <col min="5305" max="5305" width="59.5703125" style="41" customWidth="1"/>
    <col min="5306" max="5306" width="23.140625" style="41" customWidth="1"/>
    <col min="5307" max="5307" width="14.85546875" style="41" bestFit="1" customWidth="1"/>
    <col min="5308" max="5309" width="20.42578125" style="41" customWidth="1"/>
    <col min="5310" max="5310" width="17.42578125" style="41" customWidth="1"/>
    <col min="5311" max="5311" width="11.5703125" style="41" bestFit="1" customWidth="1"/>
    <col min="5312" max="5312" width="16.140625" style="41" customWidth="1"/>
    <col min="5313" max="5313" width="8.7109375" style="41"/>
    <col min="5314" max="5314" width="14.140625" style="41" bestFit="1" customWidth="1"/>
    <col min="5315" max="5559" width="8.7109375" style="41"/>
    <col min="5560" max="5560" width="24.5703125" style="41" customWidth="1"/>
    <col min="5561" max="5561" width="59.5703125" style="41" customWidth="1"/>
    <col min="5562" max="5562" width="23.140625" style="41" customWidth="1"/>
    <col min="5563" max="5563" width="14.85546875" style="41" bestFit="1" customWidth="1"/>
    <col min="5564" max="5565" width="20.42578125" style="41" customWidth="1"/>
    <col min="5566" max="5566" width="17.42578125" style="41" customWidth="1"/>
    <col min="5567" max="5567" width="11.5703125" style="41" bestFit="1" customWidth="1"/>
    <col min="5568" max="5568" width="16.140625" style="41" customWidth="1"/>
    <col min="5569" max="5569" width="8.7109375" style="41"/>
    <col min="5570" max="5570" width="14.140625" style="41" bestFit="1" customWidth="1"/>
    <col min="5571" max="5815" width="8.7109375" style="41"/>
    <col min="5816" max="5816" width="24.5703125" style="41" customWidth="1"/>
    <col min="5817" max="5817" width="59.5703125" style="41" customWidth="1"/>
    <col min="5818" max="5818" width="23.140625" style="41" customWidth="1"/>
    <col min="5819" max="5819" width="14.85546875" style="41" bestFit="1" customWidth="1"/>
    <col min="5820" max="5821" width="20.42578125" style="41" customWidth="1"/>
    <col min="5822" max="5822" width="17.42578125" style="41" customWidth="1"/>
    <col min="5823" max="5823" width="11.5703125" style="41" bestFit="1" customWidth="1"/>
    <col min="5824" max="5824" width="16.140625" style="41" customWidth="1"/>
    <col min="5825" max="5825" width="8.7109375" style="41"/>
    <col min="5826" max="5826" width="14.140625" style="41" bestFit="1" customWidth="1"/>
    <col min="5827" max="6071" width="8.7109375" style="41"/>
    <col min="6072" max="6072" width="24.5703125" style="41" customWidth="1"/>
    <col min="6073" max="6073" width="59.5703125" style="41" customWidth="1"/>
    <col min="6074" max="6074" width="23.140625" style="41" customWidth="1"/>
    <col min="6075" max="6075" width="14.85546875" style="41" bestFit="1" customWidth="1"/>
    <col min="6076" max="6077" width="20.42578125" style="41" customWidth="1"/>
    <col min="6078" max="6078" width="17.42578125" style="41" customWidth="1"/>
    <col min="6079" max="6079" width="11.5703125" style="41" bestFit="1" customWidth="1"/>
    <col min="6080" max="6080" width="16.140625" style="41" customWidth="1"/>
    <col min="6081" max="6081" width="8.7109375" style="41"/>
    <col min="6082" max="6082" width="14.140625" style="41" bestFit="1" customWidth="1"/>
    <col min="6083" max="6327" width="8.7109375" style="41"/>
    <col min="6328" max="6328" width="24.5703125" style="41" customWidth="1"/>
    <col min="6329" max="6329" width="59.5703125" style="41" customWidth="1"/>
    <col min="6330" max="6330" width="23.140625" style="41" customWidth="1"/>
    <col min="6331" max="6331" width="14.85546875" style="41" bestFit="1" customWidth="1"/>
    <col min="6332" max="6333" width="20.42578125" style="41" customWidth="1"/>
    <col min="6334" max="6334" width="17.42578125" style="41" customWidth="1"/>
    <col min="6335" max="6335" width="11.5703125" style="41" bestFit="1" customWidth="1"/>
    <col min="6336" max="6336" width="16.140625" style="41" customWidth="1"/>
    <col min="6337" max="6337" width="8.7109375" style="41"/>
    <col min="6338" max="6338" width="14.140625" style="41" bestFit="1" customWidth="1"/>
    <col min="6339" max="6583" width="8.7109375" style="41"/>
    <col min="6584" max="6584" width="24.5703125" style="41" customWidth="1"/>
    <col min="6585" max="6585" width="59.5703125" style="41" customWidth="1"/>
    <col min="6586" max="6586" width="23.140625" style="41" customWidth="1"/>
    <col min="6587" max="6587" width="14.85546875" style="41" bestFit="1" customWidth="1"/>
    <col min="6588" max="6589" width="20.42578125" style="41" customWidth="1"/>
    <col min="6590" max="6590" width="17.42578125" style="41" customWidth="1"/>
    <col min="6591" max="6591" width="11.5703125" style="41" bestFit="1" customWidth="1"/>
    <col min="6592" max="6592" width="16.140625" style="41" customWidth="1"/>
    <col min="6593" max="6593" width="8.7109375" style="41"/>
    <col min="6594" max="6594" width="14.140625" style="41" bestFit="1" customWidth="1"/>
    <col min="6595" max="6839" width="8.7109375" style="41"/>
    <col min="6840" max="6840" width="24.5703125" style="41" customWidth="1"/>
    <col min="6841" max="6841" width="59.5703125" style="41" customWidth="1"/>
    <col min="6842" max="6842" width="23.140625" style="41" customWidth="1"/>
    <col min="6843" max="6843" width="14.85546875" style="41" bestFit="1" customWidth="1"/>
    <col min="6844" max="6845" width="20.42578125" style="41" customWidth="1"/>
    <col min="6846" max="6846" width="17.42578125" style="41" customWidth="1"/>
    <col min="6847" max="6847" width="11.5703125" style="41" bestFit="1" customWidth="1"/>
    <col min="6848" max="6848" width="16.140625" style="41" customWidth="1"/>
    <col min="6849" max="6849" width="8.7109375" style="41"/>
    <col min="6850" max="6850" width="14.140625" style="41" bestFit="1" customWidth="1"/>
    <col min="6851" max="7095" width="8.7109375" style="41"/>
    <col min="7096" max="7096" width="24.5703125" style="41" customWidth="1"/>
    <col min="7097" max="7097" width="59.5703125" style="41" customWidth="1"/>
    <col min="7098" max="7098" width="23.140625" style="41" customWidth="1"/>
    <col min="7099" max="7099" width="14.85546875" style="41" bestFit="1" customWidth="1"/>
    <col min="7100" max="7101" width="20.42578125" style="41" customWidth="1"/>
    <col min="7102" max="7102" width="17.42578125" style="41" customWidth="1"/>
    <col min="7103" max="7103" width="11.5703125" style="41" bestFit="1" customWidth="1"/>
    <col min="7104" max="7104" width="16.140625" style="41" customWidth="1"/>
    <col min="7105" max="7105" width="8.7109375" style="41"/>
    <col min="7106" max="7106" width="14.140625" style="41" bestFit="1" customWidth="1"/>
    <col min="7107" max="7351" width="8.7109375" style="41"/>
    <col min="7352" max="7352" width="24.5703125" style="41" customWidth="1"/>
    <col min="7353" max="7353" width="59.5703125" style="41" customWidth="1"/>
    <col min="7354" max="7354" width="23.140625" style="41" customWidth="1"/>
    <col min="7355" max="7355" width="14.85546875" style="41" bestFit="1" customWidth="1"/>
    <col min="7356" max="7357" width="20.42578125" style="41" customWidth="1"/>
    <col min="7358" max="7358" width="17.42578125" style="41" customWidth="1"/>
    <col min="7359" max="7359" width="11.5703125" style="41" bestFit="1" customWidth="1"/>
    <col min="7360" max="7360" width="16.140625" style="41" customWidth="1"/>
    <col min="7361" max="7361" width="8.7109375" style="41"/>
    <col min="7362" max="7362" width="14.140625" style="41" bestFit="1" customWidth="1"/>
    <col min="7363" max="7607" width="8.7109375" style="41"/>
    <col min="7608" max="7608" width="24.5703125" style="41" customWidth="1"/>
    <col min="7609" max="7609" width="59.5703125" style="41" customWidth="1"/>
    <col min="7610" max="7610" width="23.140625" style="41" customWidth="1"/>
    <col min="7611" max="7611" width="14.85546875" style="41" bestFit="1" customWidth="1"/>
    <col min="7612" max="7613" width="20.42578125" style="41" customWidth="1"/>
    <col min="7614" max="7614" width="17.42578125" style="41" customWidth="1"/>
    <col min="7615" max="7615" width="11.5703125" style="41" bestFit="1" customWidth="1"/>
    <col min="7616" max="7616" width="16.140625" style="41" customWidth="1"/>
    <col min="7617" max="7617" width="8.7109375" style="41"/>
    <col min="7618" max="7618" width="14.140625" style="41" bestFit="1" customWidth="1"/>
    <col min="7619" max="7863" width="8.7109375" style="41"/>
    <col min="7864" max="7864" width="24.5703125" style="41" customWidth="1"/>
    <col min="7865" max="7865" width="59.5703125" style="41" customWidth="1"/>
    <col min="7866" max="7866" width="23.140625" style="41" customWidth="1"/>
    <col min="7867" max="7867" width="14.85546875" style="41" bestFit="1" customWidth="1"/>
    <col min="7868" max="7869" width="20.42578125" style="41" customWidth="1"/>
    <col min="7870" max="7870" width="17.42578125" style="41" customWidth="1"/>
    <col min="7871" max="7871" width="11.5703125" style="41" bestFit="1" customWidth="1"/>
    <col min="7872" max="7872" width="16.140625" style="41" customWidth="1"/>
    <col min="7873" max="7873" width="8.7109375" style="41"/>
    <col min="7874" max="7874" width="14.140625" style="41" bestFit="1" customWidth="1"/>
    <col min="7875" max="8119" width="8.7109375" style="41"/>
    <col min="8120" max="8120" width="24.5703125" style="41" customWidth="1"/>
    <col min="8121" max="8121" width="59.5703125" style="41" customWidth="1"/>
    <col min="8122" max="8122" width="23.140625" style="41" customWidth="1"/>
    <col min="8123" max="8123" width="14.85546875" style="41" bestFit="1" customWidth="1"/>
    <col min="8124" max="8125" width="20.42578125" style="41" customWidth="1"/>
    <col min="8126" max="8126" width="17.42578125" style="41" customWidth="1"/>
    <col min="8127" max="8127" width="11.5703125" style="41" bestFit="1" customWidth="1"/>
    <col min="8128" max="8128" width="16.140625" style="41" customWidth="1"/>
    <col min="8129" max="8129" width="8.7109375" style="41"/>
    <col min="8130" max="8130" width="14.140625" style="41" bestFit="1" customWidth="1"/>
    <col min="8131" max="8375" width="8.7109375" style="41"/>
    <col min="8376" max="8376" width="24.5703125" style="41" customWidth="1"/>
    <col min="8377" max="8377" width="59.5703125" style="41" customWidth="1"/>
    <col min="8378" max="8378" width="23.140625" style="41" customWidth="1"/>
    <col min="8379" max="8379" width="14.85546875" style="41" bestFit="1" customWidth="1"/>
    <col min="8380" max="8381" width="20.42578125" style="41" customWidth="1"/>
    <col min="8382" max="8382" width="17.42578125" style="41" customWidth="1"/>
    <col min="8383" max="8383" width="11.5703125" style="41" bestFit="1" customWidth="1"/>
    <col min="8384" max="8384" width="16.140625" style="41" customWidth="1"/>
    <col min="8385" max="8385" width="8.7109375" style="41"/>
    <col min="8386" max="8386" width="14.140625" style="41" bestFit="1" customWidth="1"/>
    <col min="8387" max="8631" width="8.7109375" style="41"/>
    <col min="8632" max="8632" width="24.5703125" style="41" customWidth="1"/>
    <col min="8633" max="8633" width="59.5703125" style="41" customWidth="1"/>
    <col min="8634" max="8634" width="23.140625" style="41" customWidth="1"/>
    <col min="8635" max="8635" width="14.85546875" style="41" bestFit="1" customWidth="1"/>
    <col min="8636" max="8637" width="20.42578125" style="41" customWidth="1"/>
    <col min="8638" max="8638" width="17.42578125" style="41" customWidth="1"/>
    <col min="8639" max="8639" width="11.5703125" style="41" bestFit="1" customWidth="1"/>
    <col min="8640" max="8640" width="16.140625" style="41" customWidth="1"/>
    <col min="8641" max="8641" width="8.7109375" style="41"/>
    <col min="8642" max="8642" width="14.140625" style="41" bestFit="1" customWidth="1"/>
    <col min="8643" max="8887" width="8.7109375" style="41"/>
    <col min="8888" max="8888" width="24.5703125" style="41" customWidth="1"/>
    <col min="8889" max="8889" width="59.5703125" style="41" customWidth="1"/>
    <col min="8890" max="8890" width="23.140625" style="41" customWidth="1"/>
    <col min="8891" max="8891" width="14.85546875" style="41" bestFit="1" customWidth="1"/>
    <col min="8892" max="8893" width="20.42578125" style="41" customWidth="1"/>
    <col min="8894" max="8894" width="17.42578125" style="41" customWidth="1"/>
    <col min="8895" max="8895" width="11.5703125" style="41" bestFit="1" customWidth="1"/>
    <col min="8896" max="8896" width="16.140625" style="41" customWidth="1"/>
    <col min="8897" max="8897" width="8.7109375" style="41"/>
    <col min="8898" max="8898" width="14.140625" style="41" bestFit="1" customWidth="1"/>
    <col min="8899" max="9143" width="8.7109375" style="41"/>
    <col min="9144" max="9144" width="24.5703125" style="41" customWidth="1"/>
    <col min="9145" max="9145" width="59.5703125" style="41" customWidth="1"/>
    <col min="9146" max="9146" width="23.140625" style="41" customWidth="1"/>
    <col min="9147" max="9147" width="14.85546875" style="41" bestFit="1" customWidth="1"/>
    <col min="9148" max="9149" width="20.42578125" style="41" customWidth="1"/>
    <col min="9150" max="9150" width="17.42578125" style="41" customWidth="1"/>
    <col min="9151" max="9151" width="11.5703125" style="41" bestFit="1" customWidth="1"/>
    <col min="9152" max="9152" width="16.140625" style="41" customWidth="1"/>
    <col min="9153" max="9153" width="8.7109375" style="41"/>
    <col min="9154" max="9154" width="14.140625" style="41" bestFit="1" customWidth="1"/>
    <col min="9155" max="9399" width="8.7109375" style="41"/>
    <col min="9400" max="9400" width="24.5703125" style="41" customWidth="1"/>
    <col min="9401" max="9401" width="59.5703125" style="41" customWidth="1"/>
    <col min="9402" max="9402" width="23.140625" style="41" customWidth="1"/>
    <col min="9403" max="9403" width="14.85546875" style="41" bestFit="1" customWidth="1"/>
    <col min="9404" max="9405" width="20.42578125" style="41" customWidth="1"/>
    <col min="9406" max="9406" width="17.42578125" style="41" customWidth="1"/>
    <col min="9407" max="9407" width="11.5703125" style="41" bestFit="1" customWidth="1"/>
    <col min="9408" max="9408" width="16.140625" style="41" customWidth="1"/>
    <col min="9409" max="9409" width="8.7109375" style="41"/>
    <col min="9410" max="9410" width="14.140625" style="41" bestFit="1" customWidth="1"/>
    <col min="9411" max="9655" width="8.7109375" style="41"/>
    <col min="9656" max="9656" width="24.5703125" style="41" customWidth="1"/>
    <col min="9657" max="9657" width="59.5703125" style="41" customWidth="1"/>
    <col min="9658" max="9658" width="23.140625" style="41" customWidth="1"/>
    <col min="9659" max="9659" width="14.85546875" style="41" bestFit="1" customWidth="1"/>
    <col min="9660" max="9661" width="20.42578125" style="41" customWidth="1"/>
    <col min="9662" max="9662" width="17.42578125" style="41" customWidth="1"/>
    <col min="9663" max="9663" width="11.5703125" style="41" bestFit="1" customWidth="1"/>
    <col min="9664" max="9664" width="16.140625" style="41" customWidth="1"/>
    <col min="9665" max="9665" width="8.7109375" style="41"/>
    <col min="9666" max="9666" width="14.140625" style="41" bestFit="1" customWidth="1"/>
    <col min="9667" max="9911" width="8.7109375" style="41"/>
    <col min="9912" max="9912" width="24.5703125" style="41" customWidth="1"/>
    <col min="9913" max="9913" width="59.5703125" style="41" customWidth="1"/>
    <col min="9914" max="9914" width="23.140625" style="41" customWidth="1"/>
    <col min="9915" max="9915" width="14.85546875" style="41" bestFit="1" customWidth="1"/>
    <col min="9916" max="9917" width="20.42578125" style="41" customWidth="1"/>
    <col min="9918" max="9918" width="17.42578125" style="41" customWidth="1"/>
    <col min="9919" max="9919" width="11.5703125" style="41" bestFit="1" customWidth="1"/>
    <col min="9920" max="9920" width="16.140625" style="41" customWidth="1"/>
    <col min="9921" max="9921" width="8.7109375" style="41"/>
    <col min="9922" max="9922" width="14.140625" style="41" bestFit="1" customWidth="1"/>
    <col min="9923" max="10167" width="8.7109375" style="41"/>
    <col min="10168" max="10168" width="24.5703125" style="41" customWidth="1"/>
    <col min="10169" max="10169" width="59.5703125" style="41" customWidth="1"/>
    <col min="10170" max="10170" width="23.140625" style="41" customWidth="1"/>
    <col min="10171" max="10171" width="14.85546875" style="41" bestFit="1" customWidth="1"/>
    <col min="10172" max="10173" width="20.42578125" style="41" customWidth="1"/>
    <col min="10174" max="10174" width="17.42578125" style="41" customWidth="1"/>
    <col min="10175" max="10175" width="11.5703125" style="41" bestFit="1" customWidth="1"/>
    <col min="10176" max="10176" width="16.140625" style="41" customWidth="1"/>
    <col min="10177" max="10177" width="8.7109375" style="41"/>
    <col min="10178" max="10178" width="14.140625" style="41" bestFit="1" customWidth="1"/>
    <col min="10179" max="10423" width="8.7109375" style="41"/>
    <col min="10424" max="10424" width="24.5703125" style="41" customWidth="1"/>
    <col min="10425" max="10425" width="59.5703125" style="41" customWidth="1"/>
    <col min="10426" max="10426" width="23.140625" style="41" customWidth="1"/>
    <col min="10427" max="10427" width="14.85546875" style="41" bestFit="1" customWidth="1"/>
    <col min="10428" max="10429" width="20.42578125" style="41" customWidth="1"/>
    <col min="10430" max="10430" width="17.42578125" style="41" customWidth="1"/>
    <col min="10431" max="10431" width="11.5703125" style="41" bestFit="1" customWidth="1"/>
    <col min="10432" max="10432" width="16.140625" style="41" customWidth="1"/>
    <col min="10433" max="10433" width="8.7109375" style="41"/>
    <col min="10434" max="10434" width="14.140625" style="41" bestFit="1" customWidth="1"/>
    <col min="10435" max="10679" width="8.7109375" style="41"/>
    <col min="10680" max="10680" width="24.5703125" style="41" customWidth="1"/>
    <col min="10681" max="10681" width="59.5703125" style="41" customWidth="1"/>
    <col min="10682" max="10682" width="23.140625" style="41" customWidth="1"/>
    <col min="10683" max="10683" width="14.85546875" style="41" bestFit="1" customWidth="1"/>
    <col min="10684" max="10685" width="20.42578125" style="41" customWidth="1"/>
    <col min="10686" max="10686" width="17.42578125" style="41" customWidth="1"/>
    <col min="10687" max="10687" width="11.5703125" style="41" bestFit="1" customWidth="1"/>
    <col min="10688" max="10688" width="16.140625" style="41" customWidth="1"/>
    <col min="10689" max="10689" width="8.7109375" style="41"/>
    <col min="10690" max="10690" width="14.140625" style="41" bestFit="1" customWidth="1"/>
    <col min="10691" max="10935" width="8.7109375" style="41"/>
    <col min="10936" max="10936" width="24.5703125" style="41" customWidth="1"/>
    <col min="10937" max="10937" width="59.5703125" style="41" customWidth="1"/>
    <col min="10938" max="10938" width="23.140625" style="41" customWidth="1"/>
    <col min="10939" max="10939" width="14.85546875" style="41" bestFit="1" customWidth="1"/>
    <col min="10940" max="10941" width="20.42578125" style="41" customWidth="1"/>
    <col min="10942" max="10942" width="17.42578125" style="41" customWidth="1"/>
    <col min="10943" max="10943" width="11.5703125" style="41" bestFit="1" customWidth="1"/>
    <col min="10944" max="10944" width="16.140625" style="41" customWidth="1"/>
    <col min="10945" max="10945" width="8.7109375" style="41"/>
    <col min="10946" max="10946" width="14.140625" style="41" bestFit="1" customWidth="1"/>
    <col min="10947" max="11191" width="8.7109375" style="41"/>
    <col min="11192" max="11192" width="24.5703125" style="41" customWidth="1"/>
    <col min="11193" max="11193" width="59.5703125" style="41" customWidth="1"/>
    <col min="11194" max="11194" width="23.140625" style="41" customWidth="1"/>
    <col min="11195" max="11195" width="14.85546875" style="41" bestFit="1" customWidth="1"/>
    <col min="11196" max="11197" width="20.42578125" style="41" customWidth="1"/>
    <col min="11198" max="11198" width="17.42578125" style="41" customWidth="1"/>
    <col min="11199" max="11199" width="11.5703125" style="41" bestFit="1" customWidth="1"/>
    <col min="11200" max="11200" width="16.140625" style="41" customWidth="1"/>
    <col min="11201" max="11201" width="8.7109375" style="41"/>
    <col min="11202" max="11202" width="14.140625" style="41" bestFit="1" customWidth="1"/>
    <col min="11203" max="11447" width="8.7109375" style="41"/>
    <col min="11448" max="11448" width="24.5703125" style="41" customWidth="1"/>
    <col min="11449" max="11449" width="59.5703125" style="41" customWidth="1"/>
    <col min="11450" max="11450" width="23.140625" style="41" customWidth="1"/>
    <col min="11451" max="11451" width="14.85546875" style="41" bestFit="1" customWidth="1"/>
    <col min="11452" max="11453" width="20.42578125" style="41" customWidth="1"/>
    <col min="11454" max="11454" width="17.42578125" style="41" customWidth="1"/>
    <col min="11455" max="11455" width="11.5703125" style="41" bestFit="1" customWidth="1"/>
    <col min="11456" max="11456" width="16.140625" style="41" customWidth="1"/>
    <col min="11457" max="11457" width="8.7109375" style="41"/>
    <col min="11458" max="11458" width="14.140625" style="41" bestFit="1" customWidth="1"/>
    <col min="11459" max="11703" width="8.7109375" style="41"/>
    <col min="11704" max="11704" width="24.5703125" style="41" customWidth="1"/>
    <col min="11705" max="11705" width="59.5703125" style="41" customWidth="1"/>
    <col min="11706" max="11706" width="23.140625" style="41" customWidth="1"/>
    <col min="11707" max="11707" width="14.85546875" style="41" bestFit="1" customWidth="1"/>
    <col min="11708" max="11709" width="20.42578125" style="41" customWidth="1"/>
    <col min="11710" max="11710" width="17.42578125" style="41" customWidth="1"/>
    <col min="11711" max="11711" width="11.5703125" style="41" bestFit="1" customWidth="1"/>
    <col min="11712" max="11712" width="16.140625" style="41" customWidth="1"/>
    <col min="11713" max="11713" width="8.7109375" style="41"/>
    <col min="11714" max="11714" width="14.140625" style="41" bestFit="1" customWidth="1"/>
    <col min="11715" max="11959" width="8.7109375" style="41"/>
    <col min="11960" max="11960" width="24.5703125" style="41" customWidth="1"/>
    <col min="11961" max="11961" width="59.5703125" style="41" customWidth="1"/>
    <col min="11962" max="11962" width="23.140625" style="41" customWidth="1"/>
    <col min="11963" max="11963" width="14.85546875" style="41" bestFit="1" customWidth="1"/>
    <col min="11964" max="11965" width="20.42578125" style="41" customWidth="1"/>
    <col min="11966" max="11966" width="17.42578125" style="41" customWidth="1"/>
    <col min="11967" max="11967" width="11.5703125" style="41" bestFit="1" customWidth="1"/>
    <col min="11968" max="11968" width="16.140625" style="41" customWidth="1"/>
    <col min="11969" max="11969" width="8.7109375" style="41"/>
    <col min="11970" max="11970" width="14.140625" style="41" bestFit="1" customWidth="1"/>
    <col min="11971" max="12215" width="8.7109375" style="41"/>
    <col min="12216" max="12216" width="24.5703125" style="41" customWidth="1"/>
    <col min="12217" max="12217" width="59.5703125" style="41" customWidth="1"/>
    <col min="12218" max="12218" width="23.140625" style="41" customWidth="1"/>
    <col min="12219" max="12219" width="14.85546875" style="41" bestFit="1" customWidth="1"/>
    <col min="12220" max="12221" width="20.42578125" style="41" customWidth="1"/>
    <col min="12222" max="12222" width="17.42578125" style="41" customWidth="1"/>
    <col min="12223" max="12223" width="11.5703125" style="41" bestFit="1" customWidth="1"/>
    <col min="12224" max="12224" width="16.140625" style="41" customWidth="1"/>
    <col min="12225" max="12225" width="8.7109375" style="41"/>
    <col min="12226" max="12226" width="14.140625" style="41" bestFit="1" customWidth="1"/>
    <col min="12227" max="12471" width="8.7109375" style="41"/>
    <col min="12472" max="12472" width="24.5703125" style="41" customWidth="1"/>
    <col min="12473" max="12473" width="59.5703125" style="41" customWidth="1"/>
    <col min="12474" max="12474" width="23.140625" style="41" customWidth="1"/>
    <col min="12475" max="12475" width="14.85546875" style="41" bestFit="1" customWidth="1"/>
    <col min="12476" max="12477" width="20.42578125" style="41" customWidth="1"/>
    <col min="12478" max="12478" width="17.42578125" style="41" customWidth="1"/>
    <col min="12479" max="12479" width="11.5703125" style="41" bestFit="1" customWidth="1"/>
    <col min="12480" max="12480" width="16.140625" style="41" customWidth="1"/>
    <col min="12481" max="12481" width="8.7109375" style="41"/>
    <col min="12482" max="12482" width="14.140625" style="41" bestFit="1" customWidth="1"/>
    <col min="12483" max="12727" width="8.7109375" style="41"/>
    <col min="12728" max="12728" width="24.5703125" style="41" customWidth="1"/>
    <col min="12729" max="12729" width="59.5703125" style="41" customWidth="1"/>
    <col min="12730" max="12730" width="23.140625" style="41" customWidth="1"/>
    <col min="12731" max="12731" width="14.85546875" style="41" bestFit="1" customWidth="1"/>
    <col min="12732" max="12733" width="20.42578125" style="41" customWidth="1"/>
    <col min="12734" max="12734" width="17.42578125" style="41" customWidth="1"/>
    <col min="12735" max="12735" width="11.5703125" style="41" bestFit="1" customWidth="1"/>
    <col min="12736" max="12736" width="16.140625" style="41" customWidth="1"/>
    <col min="12737" max="12737" width="8.7109375" style="41"/>
    <col min="12738" max="12738" width="14.140625" style="41" bestFit="1" customWidth="1"/>
    <col min="12739" max="12983" width="8.7109375" style="41"/>
    <col min="12984" max="12984" width="24.5703125" style="41" customWidth="1"/>
    <col min="12985" max="12985" width="59.5703125" style="41" customWidth="1"/>
    <col min="12986" max="12986" width="23.140625" style="41" customWidth="1"/>
    <col min="12987" max="12987" width="14.85546875" style="41" bestFit="1" customWidth="1"/>
    <col min="12988" max="12989" width="20.42578125" style="41" customWidth="1"/>
    <col min="12990" max="12990" width="17.42578125" style="41" customWidth="1"/>
    <col min="12991" max="12991" width="11.5703125" style="41" bestFit="1" customWidth="1"/>
    <col min="12992" max="12992" width="16.140625" style="41" customWidth="1"/>
    <col min="12993" max="12993" width="8.7109375" style="41"/>
    <col min="12994" max="12994" width="14.140625" style="41" bestFit="1" customWidth="1"/>
    <col min="12995" max="13239" width="8.7109375" style="41"/>
    <col min="13240" max="13240" width="24.5703125" style="41" customWidth="1"/>
    <col min="13241" max="13241" width="59.5703125" style="41" customWidth="1"/>
    <col min="13242" max="13242" width="23.140625" style="41" customWidth="1"/>
    <col min="13243" max="13243" width="14.85546875" style="41" bestFit="1" customWidth="1"/>
    <col min="13244" max="13245" width="20.42578125" style="41" customWidth="1"/>
    <col min="13246" max="13246" width="17.42578125" style="41" customWidth="1"/>
    <col min="13247" max="13247" width="11.5703125" style="41" bestFit="1" customWidth="1"/>
    <col min="13248" max="13248" width="16.140625" style="41" customWidth="1"/>
    <col min="13249" max="13249" width="8.7109375" style="41"/>
    <col min="13250" max="13250" width="14.140625" style="41" bestFit="1" customWidth="1"/>
    <col min="13251" max="13495" width="8.7109375" style="41"/>
    <col min="13496" max="13496" width="24.5703125" style="41" customWidth="1"/>
    <col min="13497" max="13497" width="59.5703125" style="41" customWidth="1"/>
    <col min="13498" max="13498" width="23.140625" style="41" customWidth="1"/>
    <col min="13499" max="13499" width="14.85546875" style="41" bestFit="1" customWidth="1"/>
    <col min="13500" max="13501" width="20.42578125" style="41" customWidth="1"/>
    <col min="13502" max="13502" width="17.42578125" style="41" customWidth="1"/>
    <col min="13503" max="13503" width="11.5703125" style="41" bestFit="1" customWidth="1"/>
    <col min="13504" max="13504" width="16.140625" style="41" customWidth="1"/>
    <col min="13505" max="13505" width="8.7109375" style="41"/>
    <col min="13506" max="13506" width="14.140625" style="41" bestFit="1" customWidth="1"/>
    <col min="13507" max="13751" width="8.7109375" style="41"/>
    <col min="13752" max="13752" width="24.5703125" style="41" customWidth="1"/>
    <col min="13753" max="13753" width="59.5703125" style="41" customWidth="1"/>
    <col min="13754" max="13754" width="23.140625" style="41" customWidth="1"/>
    <col min="13755" max="13755" width="14.85546875" style="41" bestFit="1" customWidth="1"/>
    <col min="13756" max="13757" width="20.42578125" style="41" customWidth="1"/>
    <col min="13758" max="13758" width="17.42578125" style="41" customWidth="1"/>
    <col min="13759" max="13759" width="11.5703125" style="41" bestFit="1" customWidth="1"/>
    <col min="13760" max="13760" width="16.140625" style="41" customWidth="1"/>
    <col min="13761" max="13761" width="8.7109375" style="41"/>
    <col min="13762" max="13762" width="14.140625" style="41" bestFit="1" customWidth="1"/>
    <col min="13763" max="14007" width="8.7109375" style="41"/>
    <col min="14008" max="14008" width="24.5703125" style="41" customWidth="1"/>
    <col min="14009" max="14009" width="59.5703125" style="41" customWidth="1"/>
    <col min="14010" max="14010" width="23.140625" style="41" customWidth="1"/>
    <col min="14011" max="14011" width="14.85546875" style="41" bestFit="1" customWidth="1"/>
    <col min="14012" max="14013" width="20.42578125" style="41" customWidth="1"/>
    <col min="14014" max="14014" width="17.42578125" style="41" customWidth="1"/>
    <col min="14015" max="14015" width="11.5703125" style="41" bestFit="1" customWidth="1"/>
    <col min="14016" max="14016" width="16.140625" style="41" customWidth="1"/>
    <col min="14017" max="14017" width="8.7109375" style="41"/>
    <col min="14018" max="14018" width="14.140625" style="41" bestFit="1" customWidth="1"/>
    <col min="14019" max="14263" width="8.7109375" style="41"/>
    <col min="14264" max="14264" width="24.5703125" style="41" customWidth="1"/>
    <col min="14265" max="14265" width="59.5703125" style="41" customWidth="1"/>
    <col min="14266" max="14266" width="23.140625" style="41" customWidth="1"/>
    <col min="14267" max="14267" width="14.85546875" style="41" bestFit="1" customWidth="1"/>
    <col min="14268" max="14269" width="20.42578125" style="41" customWidth="1"/>
    <col min="14270" max="14270" width="17.42578125" style="41" customWidth="1"/>
    <col min="14271" max="14271" width="11.5703125" style="41" bestFit="1" customWidth="1"/>
    <col min="14272" max="14272" width="16.140625" style="41" customWidth="1"/>
    <col min="14273" max="14273" width="8.7109375" style="41"/>
    <col min="14274" max="14274" width="14.140625" style="41" bestFit="1" customWidth="1"/>
    <col min="14275" max="14519" width="8.7109375" style="41"/>
    <col min="14520" max="14520" width="24.5703125" style="41" customWidth="1"/>
    <col min="14521" max="14521" width="59.5703125" style="41" customWidth="1"/>
    <col min="14522" max="14522" width="23.140625" style="41" customWidth="1"/>
    <col min="14523" max="14523" width="14.85546875" style="41" bestFit="1" customWidth="1"/>
    <col min="14524" max="14525" width="20.42578125" style="41" customWidth="1"/>
    <col min="14526" max="14526" width="17.42578125" style="41" customWidth="1"/>
    <col min="14527" max="14527" width="11.5703125" style="41" bestFit="1" customWidth="1"/>
    <col min="14528" max="14528" width="16.140625" style="41" customWidth="1"/>
    <col min="14529" max="14529" width="8.7109375" style="41"/>
    <col min="14530" max="14530" width="14.140625" style="41" bestFit="1" customWidth="1"/>
    <col min="14531" max="14775" width="8.7109375" style="41"/>
    <col min="14776" max="14776" width="24.5703125" style="41" customWidth="1"/>
    <col min="14777" max="14777" width="59.5703125" style="41" customWidth="1"/>
    <col min="14778" max="14778" width="23.140625" style="41" customWidth="1"/>
    <col min="14779" max="14779" width="14.85546875" style="41" bestFit="1" customWidth="1"/>
    <col min="14780" max="14781" width="20.42578125" style="41" customWidth="1"/>
    <col min="14782" max="14782" width="17.42578125" style="41" customWidth="1"/>
    <col min="14783" max="14783" width="11.5703125" style="41" bestFit="1" customWidth="1"/>
    <col min="14784" max="14784" width="16.140625" style="41" customWidth="1"/>
    <col min="14785" max="14785" width="8.7109375" style="41"/>
    <col min="14786" max="14786" width="14.140625" style="41" bestFit="1" customWidth="1"/>
    <col min="14787" max="15031" width="8.7109375" style="41"/>
    <col min="15032" max="15032" width="24.5703125" style="41" customWidth="1"/>
    <col min="15033" max="15033" width="59.5703125" style="41" customWidth="1"/>
    <col min="15034" max="15034" width="23.140625" style="41" customWidth="1"/>
    <col min="15035" max="15035" width="14.85546875" style="41" bestFit="1" customWidth="1"/>
    <col min="15036" max="15037" width="20.42578125" style="41" customWidth="1"/>
    <col min="15038" max="15038" width="17.42578125" style="41" customWidth="1"/>
    <col min="15039" max="15039" width="11.5703125" style="41" bestFit="1" customWidth="1"/>
    <col min="15040" max="15040" width="16.140625" style="41" customWidth="1"/>
    <col min="15041" max="15041" width="8.7109375" style="41"/>
    <col min="15042" max="15042" width="14.140625" style="41" bestFit="1" customWidth="1"/>
    <col min="15043" max="15287" width="8.7109375" style="41"/>
    <col min="15288" max="15288" width="24.5703125" style="41" customWidth="1"/>
    <col min="15289" max="15289" width="59.5703125" style="41" customWidth="1"/>
    <col min="15290" max="15290" width="23.140625" style="41" customWidth="1"/>
    <col min="15291" max="15291" width="14.85546875" style="41" bestFit="1" customWidth="1"/>
    <col min="15292" max="15293" width="20.42578125" style="41" customWidth="1"/>
    <col min="15294" max="15294" width="17.42578125" style="41" customWidth="1"/>
    <col min="15295" max="15295" width="11.5703125" style="41" bestFit="1" customWidth="1"/>
    <col min="15296" max="15296" width="16.140625" style="41" customWidth="1"/>
    <col min="15297" max="15297" width="8.7109375" style="41"/>
    <col min="15298" max="15298" width="14.140625" style="41" bestFit="1" customWidth="1"/>
    <col min="15299" max="15543" width="8.7109375" style="41"/>
    <col min="15544" max="15544" width="24.5703125" style="41" customWidth="1"/>
    <col min="15545" max="15545" width="59.5703125" style="41" customWidth="1"/>
    <col min="15546" max="15546" width="23.140625" style="41" customWidth="1"/>
    <col min="15547" max="15547" width="14.85546875" style="41" bestFit="1" customWidth="1"/>
    <col min="15548" max="15549" width="20.42578125" style="41" customWidth="1"/>
    <col min="15550" max="15550" width="17.42578125" style="41" customWidth="1"/>
    <col min="15551" max="15551" width="11.5703125" style="41" bestFit="1" customWidth="1"/>
    <col min="15552" max="15552" width="16.140625" style="41" customWidth="1"/>
    <col min="15553" max="15553" width="8.7109375" style="41"/>
    <col min="15554" max="15554" width="14.140625" style="41" bestFit="1" customWidth="1"/>
    <col min="15555" max="15799" width="8.7109375" style="41"/>
    <col min="15800" max="15800" width="24.5703125" style="41" customWidth="1"/>
    <col min="15801" max="15801" width="59.5703125" style="41" customWidth="1"/>
    <col min="15802" max="15802" width="23.140625" style="41" customWidth="1"/>
    <col min="15803" max="15803" width="14.85546875" style="41" bestFit="1" customWidth="1"/>
    <col min="15804" max="15805" width="20.42578125" style="41" customWidth="1"/>
    <col min="15806" max="15806" width="17.42578125" style="41" customWidth="1"/>
    <col min="15807" max="15807" width="11.5703125" style="41" bestFit="1" customWidth="1"/>
    <col min="15808" max="15808" width="16.140625" style="41" customWidth="1"/>
    <col min="15809" max="15809" width="8.7109375" style="41"/>
    <col min="15810" max="15810" width="14.140625" style="41" bestFit="1" customWidth="1"/>
    <col min="15811" max="16055" width="8.7109375" style="41"/>
    <col min="16056" max="16056" width="24.5703125" style="41" customWidth="1"/>
    <col min="16057" max="16057" width="59.5703125" style="41" customWidth="1"/>
    <col min="16058" max="16058" width="23.140625" style="41" customWidth="1"/>
    <col min="16059" max="16059" width="14.85546875" style="41" bestFit="1" customWidth="1"/>
    <col min="16060" max="16061" width="20.42578125" style="41" customWidth="1"/>
    <col min="16062" max="16062" width="17.42578125" style="41" customWidth="1"/>
    <col min="16063" max="16063" width="11.5703125" style="41" bestFit="1" customWidth="1"/>
    <col min="16064" max="16064" width="16.140625" style="41" customWidth="1"/>
    <col min="16065" max="16065" width="8.7109375" style="41"/>
    <col min="16066" max="16066" width="14.140625" style="41" bestFit="1" customWidth="1"/>
    <col min="16067" max="16384" width="8.7109375" style="41"/>
  </cols>
  <sheetData>
    <row r="1" spans="1:40" ht="15.95" customHeight="1">
      <c r="A1" s="85" t="s">
        <v>1313</v>
      </c>
      <c r="B1" s="86"/>
      <c r="C1" s="87"/>
      <c r="D1" s="40" t="s">
        <v>1</v>
      </c>
      <c r="E1" s="2">
        <v>1</v>
      </c>
      <c r="F1" s="2">
        <v>2</v>
      </c>
      <c r="G1" s="2">
        <v>3</v>
      </c>
      <c r="H1" s="2">
        <v>4</v>
      </c>
      <c r="I1" s="2">
        <v>5</v>
      </c>
      <c r="J1" s="2">
        <v>6</v>
      </c>
      <c r="K1" s="2">
        <v>7</v>
      </c>
      <c r="L1" s="2">
        <v>8</v>
      </c>
      <c r="M1" s="2">
        <v>9</v>
      </c>
      <c r="N1" s="2">
        <v>10</v>
      </c>
      <c r="O1" s="2">
        <v>11</v>
      </c>
      <c r="P1" s="2">
        <v>12</v>
      </c>
      <c r="Q1" s="2">
        <v>13</v>
      </c>
      <c r="R1" s="2">
        <v>14</v>
      </c>
      <c r="S1" s="2">
        <v>15</v>
      </c>
      <c r="T1" s="2">
        <v>16</v>
      </c>
      <c r="U1" s="2">
        <v>17</v>
      </c>
      <c r="V1" s="60">
        <v>18</v>
      </c>
      <c r="W1" s="2">
        <v>19</v>
      </c>
      <c r="X1" s="2">
        <v>20</v>
      </c>
      <c r="Y1" s="2">
        <v>21</v>
      </c>
      <c r="Z1" s="2">
        <v>22</v>
      </c>
      <c r="AA1" s="2">
        <v>23</v>
      </c>
      <c r="AB1" s="2">
        <v>24</v>
      </c>
      <c r="AC1" s="2">
        <v>25</v>
      </c>
      <c r="AD1" s="2">
        <v>26</v>
      </c>
      <c r="AE1" s="2">
        <v>27</v>
      </c>
      <c r="AF1" s="2">
        <v>28</v>
      </c>
      <c r="AG1" s="2">
        <v>29</v>
      </c>
      <c r="AH1" s="2">
        <v>30</v>
      </c>
    </row>
    <row r="2" spans="1:40" ht="15.95" customHeight="1">
      <c r="A2" s="88"/>
      <c r="B2" s="89"/>
      <c r="C2" s="90"/>
      <c r="D2" s="40" t="s">
        <v>2</v>
      </c>
      <c r="E2" s="5" t="s">
        <v>1314</v>
      </c>
      <c r="F2" s="5" t="s">
        <v>1315</v>
      </c>
      <c r="G2" s="5" t="s">
        <v>1316</v>
      </c>
      <c r="H2" s="5" t="s">
        <v>1317</v>
      </c>
      <c r="I2" s="5" t="s">
        <v>1318</v>
      </c>
      <c r="J2" s="5" t="s">
        <v>1319</v>
      </c>
      <c r="K2" s="5" t="s">
        <v>1320</v>
      </c>
      <c r="L2" s="5" t="s">
        <v>1321</v>
      </c>
      <c r="M2" s="5" t="s">
        <v>1322</v>
      </c>
      <c r="N2" s="5" t="s">
        <v>1323</v>
      </c>
      <c r="O2" s="5" t="s">
        <v>1324</v>
      </c>
      <c r="P2" s="5" t="s">
        <v>1325</v>
      </c>
      <c r="Q2" s="5" t="s">
        <v>1326</v>
      </c>
      <c r="R2" s="5" t="s">
        <v>1327</v>
      </c>
      <c r="S2" s="5" t="s">
        <v>1328</v>
      </c>
      <c r="T2" s="5" t="s">
        <v>1329</v>
      </c>
      <c r="U2" s="5" t="s">
        <v>1330</v>
      </c>
      <c r="V2" s="54" t="s">
        <v>1331</v>
      </c>
      <c r="W2" s="5" t="s">
        <v>1332</v>
      </c>
      <c r="X2" s="5" t="s">
        <v>1333</v>
      </c>
      <c r="Y2" s="5" t="s">
        <v>1334</v>
      </c>
      <c r="Z2" s="5" t="s">
        <v>1335</v>
      </c>
      <c r="AA2" s="5" t="s">
        <v>1336</v>
      </c>
      <c r="AB2" s="5" t="s">
        <v>1337</v>
      </c>
      <c r="AC2" s="5" t="s">
        <v>1338</v>
      </c>
      <c r="AD2" s="5" t="s">
        <v>1339</v>
      </c>
      <c r="AE2" s="5" t="s">
        <v>1340</v>
      </c>
      <c r="AF2" s="5" t="s">
        <v>1341</v>
      </c>
      <c r="AG2" s="5" t="s">
        <v>1342</v>
      </c>
      <c r="AH2" s="5" t="s">
        <v>1343</v>
      </c>
      <c r="AM2" s="35"/>
      <c r="AN2" s="35"/>
    </row>
    <row r="3" spans="1:40" s="71" customFormat="1">
      <c r="A3" s="88"/>
      <c r="B3" s="89"/>
      <c r="C3" s="90"/>
      <c r="D3" s="40" t="s">
        <v>11</v>
      </c>
      <c r="E3" s="7" t="s">
        <v>1344</v>
      </c>
      <c r="F3" s="7" t="s">
        <v>1344</v>
      </c>
      <c r="G3" s="7" t="s">
        <v>1344</v>
      </c>
      <c r="H3" s="7" t="s">
        <v>1344</v>
      </c>
      <c r="I3" s="7" t="s">
        <v>1344</v>
      </c>
      <c r="J3" s="7" t="s">
        <v>1344</v>
      </c>
      <c r="K3" s="7" t="s">
        <v>1344</v>
      </c>
      <c r="L3" s="7" t="s">
        <v>1345</v>
      </c>
      <c r="M3" s="7" t="s">
        <v>1345</v>
      </c>
      <c r="N3" s="7" t="s">
        <v>1345</v>
      </c>
      <c r="O3" s="7" t="s">
        <v>1346</v>
      </c>
      <c r="P3" s="7" t="s">
        <v>1344</v>
      </c>
      <c r="Q3" s="7" t="s">
        <v>1347</v>
      </c>
      <c r="R3" s="7" t="s">
        <v>1347</v>
      </c>
      <c r="S3" s="7" t="s">
        <v>1347</v>
      </c>
      <c r="T3" s="7" t="s">
        <v>1347</v>
      </c>
      <c r="U3" s="7" t="s">
        <v>1347</v>
      </c>
      <c r="V3" s="7" t="s">
        <v>1347</v>
      </c>
      <c r="W3" s="7" t="s">
        <v>1347</v>
      </c>
      <c r="X3" s="7" t="s">
        <v>1347</v>
      </c>
      <c r="Y3" s="7" t="s">
        <v>1347</v>
      </c>
      <c r="Z3" s="7" t="s">
        <v>1347</v>
      </c>
      <c r="AA3" s="7" t="s">
        <v>1347</v>
      </c>
      <c r="AB3" s="7" t="s">
        <v>1347</v>
      </c>
      <c r="AC3" s="7" t="s">
        <v>1347</v>
      </c>
      <c r="AD3" s="7" t="s">
        <v>1347</v>
      </c>
      <c r="AE3" s="7" t="s">
        <v>1347</v>
      </c>
      <c r="AF3" s="7" t="s">
        <v>1347</v>
      </c>
      <c r="AG3" s="7" t="s">
        <v>1347</v>
      </c>
      <c r="AH3" s="7" t="s">
        <v>1348</v>
      </c>
      <c r="AI3" s="53"/>
      <c r="AJ3" s="67"/>
      <c r="AK3" s="76"/>
      <c r="AL3"/>
      <c r="AM3" s="33"/>
      <c r="AN3" s="33"/>
    </row>
    <row r="4" spans="1:40" ht="48">
      <c r="A4" s="88"/>
      <c r="B4" s="89"/>
      <c r="C4" s="90"/>
      <c r="D4" s="40" t="s">
        <v>14</v>
      </c>
      <c r="E4" s="38" t="s">
        <v>1349</v>
      </c>
      <c r="F4" s="38" t="s">
        <v>1350</v>
      </c>
      <c r="G4" s="38" t="s">
        <v>1351</v>
      </c>
      <c r="H4" s="38" t="s">
        <v>1352</v>
      </c>
      <c r="I4" s="38" t="s">
        <v>1353</v>
      </c>
      <c r="J4" s="38" t="s">
        <v>1354</v>
      </c>
      <c r="K4" s="38" t="s">
        <v>1355</v>
      </c>
      <c r="L4" s="38" t="s">
        <v>1356</v>
      </c>
      <c r="M4" s="38" t="s">
        <v>1357</v>
      </c>
      <c r="N4" s="38" t="s">
        <v>1358</v>
      </c>
      <c r="O4" s="6" t="s">
        <v>1359</v>
      </c>
      <c r="P4" s="38" t="s">
        <v>1349</v>
      </c>
      <c r="Q4" s="38" t="s">
        <v>1360</v>
      </c>
      <c r="R4" s="38" t="s">
        <v>1361</v>
      </c>
      <c r="S4" s="38" t="s">
        <v>1362</v>
      </c>
      <c r="T4" s="38" t="s">
        <v>1363</v>
      </c>
      <c r="U4" s="38" t="s">
        <v>1364</v>
      </c>
      <c r="V4" s="38" t="s">
        <v>1365</v>
      </c>
      <c r="W4" s="38" t="s">
        <v>1366</v>
      </c>
      <c r="X4" s="38" t="s">
        <v>1367</v>
      </c>
      <c r="Y4" s="6" t="s">
        <v>1368</v>
      </c>
      <c r="Z4" s="38" t="s">
        <v>1369</v>
      </c>
      <c r="AA4" s="38" t="s">
        <v>1370</v>
      </c>
      <c r="AB4" s="38" t="s">
        <v>1371</v>
      </c>
      <c r="AC4" s="38" t="s">
        <v>1372</v>
      </c>
      <c r="AD4" s="38" t="s">
        <v>1373</v>
      </c>
      <c r="AE4" s="38" t="s">
        <v>1374</v>
      </c>
      <c r="AF4" s="38" t="s">
        <v>1375</v>
      </c>
      <c r="AG4" s="38" t="s">
        <v>1376</v>
      </c>
      <c r="AH4" s="38" t="s">
        <v>1377</v>
      </c>
    </row>
    <row r="5" spans="1:40" ht="15.95" customHeight="1">
      <c r="A5" s="88"/>
      <c r="B5" s="89"/>
      <c r="C5" s="90"/>
      <c r="D5" s="40" t="s">
        <v>122</v>
      </c>
      <c r="E5" s="7" t="s">
        <v>1378</v>
      </c>
      <c r="F5" s="7" t="s">
        <v>126</v>
      </c>
      <c r="G5" s="7" t="s">
        <v>130</v>
      </c>
      <c r="H5" s="7" t="s">
        <v>125</v>
      </c>
      <c r="I5" s="7" t="s">
        <v>130</v>
      </c>
      <c r="J5" s="7" t="s">
        <v>125</v>
      </c>
      <c r="K5" s="7" t="s">
        <v>123</v>
      </c>
      <c r="L5" s="7" t="s">
        <v>126</v>
      </c>
      <c r="M5" s="7" t="s">
        <v>126</v>
      </c>
      <c r="N5" s="7" t="s">
        <v>126</v>
      </c>
      <c r="O5" s="7" t="s">
        <v>130</v>
      </c>
      <c r="P5" s="7" t="s">
        <v>123</v>
      </c>
      <c r="Q5" s="7" t="s">
        <v>123</v>
      </c>
      <c r="R5" s="7" t="s">
        <v>125</v>
      </c>
      <c r="S5" s="7" t="s">
        <v>123</v>
      </c>
      <c r="T5" s="7" t="s">
        <v>1379</v>
      </c>
      <c r="U5" s="7" t="s">
        <v>125</v>
      </c>
      <c r="V5" s="7" t="s">
        <v>130</v>
      </c>
      <c r="W5" s="7" t="s">
        <v>124</v>
      </c>
      <c r="X5" s="7" t="s">
        <v>666</v>
      </c>
      <c r="Y5" s="7" t="s">
        <v>123</v>
      </c>
      <c r="Z5" s="7" t="s">
        <v>123</v>
      </c>
      <c r="AA5" s="7" t="s">
        <v>126</v>
      </c>
      <c r="AB5" s="7" t="s">
        <v>126</v>
      </c>
      <c r="AC5" s="7" t="s">
        <v>123</v>
      </c>
      <c r="AD5" s="7" t="s">
        <v>1380</v>
      </c>
      <c r="AE5" s="7" t="s">
        <v>1380</v>
      </c>
      <c r="AF5" s="7" t="s">
        <v>1380</v>
      </c>
      <c r="AG5" s="7" t="s">
        <v>1380</v>
      </c>
      <c r="AH5" s="7" t="s">
        <v>126</v>
      </c>
    </row>
    <row r="6" spans="1:40" ht="32.1">
      <c r="A6" s="88"/>
      <c r="B6" s="89"/>
      <c r="C6" s="90"/>
      <c r="D6" s="40" t="s">
        <v>134</v>
      </c>
      <c r="E6" s="9" t="s">
        <v>135</v>
      </c>
      <c r="F6" s="9" t="s">
        <v>135</v>
      </c>
      <c r="G6" s="9" t="s">
        <v>135</v>
      </c>
      <c r="H6" s="9" t="s">
        <v>135</v>
      </c>
      <c r="I6" s="9" t="s">
        <v>135</v>
      </c>
      <c r="J6" s="9" t="s">
        <v>135</v>
      </c>
      <c r="K6" s="9" t="s">
        <v>135</v>
      </c>
      <c r="L6" s="9" t="s">
        <v>135</v>
      </c>
      <c r="M6" s="9" t="s">
        <v>135</v>
      </c>
      <c r="N6" s="9" t="s">
        <v>135</v>
      </c>
      <c r="O6" s="9" t="s">
        <v>135</v>
      </c>
      <c r="P6" s="9" t="s">
        <v>135</v>
      </c>
      <c r="Q6" s="9" t="s">
        <v>135</v>
      </c>
      <c r="R6" s="9" t="s">
        <v>135</v>
      </c>
      <c r="S6" s="9" t="s">
        <v>135</v>
      </c>
      <c r="T6" s="9" t="s">
        <v>1381</v>
      </c>
      <c r="U6" s="9" t="s">
        <v>135</v>
      </c>
      <c r="V6" s="59" t="s">
        <v>135</v>
      </c>
      <c r="W6" s="9" t="s">
        <v>135</v>
      </c>
      <c r="X6" s="9" t="s">
        <v>135</v>
      </c>
      <c r="Y6" s="9" t="s">
        <v>135</v>
      </c>
      <c r="Z6" s="9" t="s">
        <v>135</v>
      </c>
      <c r="AA6" s="9" t="s">
        <v>135</v>
      </c>
      <c r="AB6" s="9" t="s">
        <v>135</v>
      </c>
      <c r="AC6" s="9" t="s">
        <v>135</v>
      </c>
      <c r="AD6" s="9" t="s">
        <v>1381</v>
      </c>
      <c r="AE6" s="9" t="s">
        <v>1381</v>
      </c>
      <c r="AF6" s="9" t="s">
        <v>135</v>
      </c>
      <c r="AG6" s="9" t="s">
        <v>135</v>
      </c>
      <c r="AH6" s="9" t="s">
        <v>135</v>
      </c>
    </row>
    <row r="7" spans="1:40" ht="32.1">
      <c r="A7" s="91"/>
      <c r="B7" s="92"/>
      <c r="C7" s="93"/>
      <c r="D7" s="40" t="s">
        <v>147</v>
      </c>
      <c r="E7" s="9" t="s">
        <v>148</v>
      </c>
      <c r="F7" s="9" t="s">
        <v>148</v>
      </c>
      <c r="G7" s="9" t="s">
        <v>148</v>
      </c>
      <c r="H7" s="9" t="s">
        <v>148</v>
      </c>
      <c r="I7" s="9" t="s">
        <v>148</v>
      </c>
      <c r="J7" s="9" t="s">
        <v>148</v>
      </c>
      <c r="K7" s="9" t="s">
        <v>148</v>
      </c>
      <c r="L7" s="9" t="s">
        <v>148</v>
      </c>
      <c r="M7" s="9" t="s">
        <v>148</v>
      </c>
      <c r="N7" s="9" t="s">
        <v>148</v>
      </c>
      <c r="O7" s="9" t="s">
        <v>148</v>
      </c>
      <c r="P7" s="9" t="s">
        <v>148</v>
      </c>
      <c r="Q7" s="9" t="s">
        <v>148</v>
      </c>
      <c r="R7" s="9" t="s">
        <v>148</v>
      </c>
      <c r="S7" s="9" t="s">
        <v>148</v>
      </c>
      <c r="T7" s="9" t="s">
        <v>148</v>
      </c>
      <c r="U7" s="9" t="s">
        <v>148</v>
      </c>
      <c r="V7" s="59" t="s">
        <v>148</v>
      </c>
      <c r="W7" s="9" t="s">
        <v>148</v>
      </c>
      <c r="X7" s="9" t="s">
        <v>148</v>
      </c>
      <c r="Y7" s="9" t="s">
        <v>148</v>
      </c>
      <c r="Z7" s="9" t="s">
        <v>148</v>
      </c>
      <c r="AA7" s="9" t="s">
        <v>148</v>
      </c>
      <c r="AB7" s="9" t="s">
        <v>148</v>
      </c>
      <c r="AC7" s="9" t="s">
        <v>148</v>
      </c>
      <c r="AD7" s="9" t="s">
        <v>148</v>
      </c>
      <c r="AE7" s="9" t="s">
        <v>148</v>
      </c>
      <c r="AF7" s="9" t="s">
        <v>148</v>
      </c>
      <c r="AG7" s="9" t="s">
        <v>148</v>
      </c>
      <c r="AH7" s="9" t="s">
        <v>148</v>
      </c>
      <c r="AL7" s="58"/>
    </row>
    <row r="8" spans="1:40" ht="14.45" customHeight="1">
      <c r="A8" s="10" t="s">
        <v>151</v>
      </c>
      <c r="B8" s="11" t="s">
        <v>152</v>
      </c>
      <c r="C8" s="11" t="s">
        <v>153</v>
      </c>
      <c r="D8" s="12" t="s">
        <v>154</v>
      </c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61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</row>
    <row r="9" spans="1:40" ht="14.45" customHeight="1">
      <c r="A9" s="14" t="s">
        <v>155</v>
      </c>
      <c r="B9" s="15"/>
      <c r="C9" s="15"/>
      <c r="D9" s="16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62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51"/>
      <c r="AJ9" s="69"/>
    </row>
    <row r="10" spans="1:40" ht="14.45" customHeight="1">
      <c r="A10" s="19" t="s">
        <v>156</v>
      </c>
      <c r="B10" s="19" t="s">
        <v>157</v>
      </c>
      <c r="C10" s="19" t="s">
        <v>158</v>
      </c>
      <c r="D10" s="20">
        <f>SUM(E10:AH10)</f>
        <v>11</v>
      </c>
      <c r="E10" s="21">
        <v>0</v>
      </c>
      <c r="F10" s="21">
        <v>0</v>
      </c>
      <c r="G10" s="21">
        <v>0</v>
      </c>
      <c r="H10" s="21">
        <v>5</v>
      </c>
      <c r="I10" s="21">
        <v>0</v>
      </c>
      <c r="J10" s="21">
        <v>0</v>
      </c>
      <c r="K10" s="21">
        <v>0</v>
      </c>
      <c r="L10" s="21">
        <v>0</v>
      </c>
      <c r="M10" s="21">
        <v>1</v>
      </c>
      <c r="N10" s="21">
        <v>0</v>
      </c>
      <c r="O10" s="21">
        <v>0</v>
      </c>
      <c r="P10" s="21">
        <v>0</v>
      </c>
      <c r="Q10" s="21">
        <v>1</v>
      </c>
      <c r="R10" s="21">
        <v>0</v>
      </c>
      <c r="S10" s="21">
        <v>1</v>
      </c>
      <c r="T10" s="21">
        <v>1</v>
      </c>
      <c r="U10" s="21">
        <v>0</v>
      </c>
      <c r="V10" s="21">
        <v>0</v>
      </c>
      <c r="W10" s="21">
        <v>0</v>
      </c>
      <c r="X10" s="21">
        <v>0</v>
      </c>
      <c r="Y10" s="21">
        <v>1</v>
      </c>
      <c r="Z10" s="21">
        <v>0</v>
      </c>
      <c r="AA10" s="21">
        <v>0</v>
      </c>
      <c r="AB10" s="21">
        <v>0</v>
      </c>
      <c r="AC10" s="21">
        <v>0</v>
      </c>
      <c r="AD10" s="21">
        <v>0</v>
      </c>
      <c r="AE10" s="21">
        <v>1</v>
      </c>
      <c r="AF10" s="21">
        <v>0</v>
      </c>
      <c r="AG10" s="21">
        <v>0</v>
      </c>
      <c r="AH10" s="21">
        <v>0</v>
      </c>
      <c r="AI10" s="67"/>
      <c r="AM10" s="80"/>
      <c r="AN10"/>
    </row>
    <row r="11" spans="1:40" ht="14.45" customHeight="1">
      <c r="A11" s="19" t="s">
        <v>156</v>
      </c>
      <c r="B11" s="19" t="s">
        <v>159</v>
      </c>
      <c r="C11" s="19" t="s">
        <v>158</v>
      </c>
      <c r="D11" s="20">
        <f t="shared" ref="D11:D76" si="0">SUM(E11:AH11)</f>
        <v>16</v>
      </c>
      <c r="E11" s="21">
        <v>0</v>
      </c>
      <c r="F11" s="21">
        <v>0</v>
      </c>
      <c r="G11" s="21">
        <v>0</v>
      </c>
      <c r="H11" s="21">
        <v>1</v>
      </c>
      <c r="I11" s="21">
        <v>0</v>
      </c>
      <c r="J11" s="21">
        <v>0</v>
      </c>
      <c r="K11" s="21">
        <v>1</v>
      </c>
      <c r="L11" s="21">
        <v>0</v>
      </c>
      <c r="M11" s="21">
        <v>3</v>
      </c>
      <c r="N11" s="21">
        <v>1</v>
      </c>
      <c r="O11" s="21">
        <v>2</v>
      </c>
      <c r="P11" s="21">
        <v>0</v>
      </c>
      <c r="Q11" s="21">
        <v>0</v>
      </c>
      <c r="R11" s="21">
        <v>1</v>
      </c>
      <c r="S11" s="21">
        <v>0</v>
      </c>
      <c r="T11" s="21">
        <v>0</v>
      </c>
      <c r="U11" s="21">
        <v>1</v>
      </c>
      <c r="V11" s="21">
        <v>1</v>
      </c>
      <c r="W11" s="21">
        <v>0</v>
      </c>
      <c r="X11" s="21">
        <v>1</v>
      </c>
      <c r="Y11" s="21">
        <v>0</v>
      </c>
      <c r="Z11" s="21">
        <v>0</v>
      </c>
      <c r="AA11" s="21">
        <v>0</v>
      </c>
      <c r="AB11" s="21">
        <v>1</v>
      </c>
      <c r="AC11" s="21">
        <v>1</v>
      </c>
      <c r="AD11" s="21">
        <v>0</v>
      </c>
      <c r="AE11" s="21">
        <v>0</v>
      </c>
      <c r="AF11" s="21">
        <v>0</v>
      </c>
      <c r="AG11" s="21">
        <v>0</v>
      </c>
      <c r="AH11" s="21">
        <v>2</v>
      </c>
      <c r="AI11" s="67"/>
      <c r="AM11" s="81"/>
      <c r="AN11"/>
    </row>
    <row r="12" spans="1:40" ht="14.45" customHeight="1">
      <c r="A12" s="19" t="s">
        <v>156</v>
      </c>
      <c r="B12" s="19" t="s">
        <v>160</v>
      </c>
      <c r="C12" s="19" t="s">
        <v>158</v>
      </c>
      <c r="D12" s="20">
        <f t="shared" si="0"/>
        <v>15</v>
      </c>
      <c r="E12" s="21">
        <v>0</v>
      </c>
      <c r="F12" s="21">
        <v>0</v>
      </c>
      <c r="G12" s="21">
        <v>2</v>
      </c>
      <c r="H12" s="21">
        <v>3</v>
      </c>
      <c r="I12" s="21">
        <v>2</v>
      </c>
      <c r="J12" s="21">
        <v>0</v>
      </c>
      <c r="K12" s="21">
        <v>2</v>
      </c>
      <c r="L12" s="21">
        <v>2</v>
      </c>
      <c r="M12" s="21">
        <v>0</v>
      </c>
      <c r="N12" s="21">
        <v>0</v>
      </c>
      <c r="O12" s="21">
        <v>0</v>
      </c>
      <c r="P12" s="21">
        <v>2</v>
      </c>
      <c r="Q12" s="21">
        <v>0</v>
      </c>
      <c r="R12" s="21">
        <v>0</v>
      </c>
      <c r="S12" s="21">
        <v>0</v>
      </c>
      <c r="T12" s="21">
        <v>0</v>
      </c>
      <c r="U12" s="21">
        <v>0</v>
      </c>
      <c r="V12" s="21">
        <v>0</v>
      </c>
      <c r="W12" s="21">
        <v>2</v>
      </c>
      <c r="X12" s="21">
        <v>0</v>
      </c>
      <c r="Y12" s="21">
        <v>0</v>
      </c>
      <c r="Z12" s="21">
        <v>0</v>
      </c>
      <c r="AA12" s="21">
        <v>0</v>
      </c>
      <c r="AB12" s="21">
        <v>0</v>
      </c>
      <c r="AC12" s="21">
        <v>0</v>
      </c>
      <c r="AD12" s="21">
        <v>0</v>
      </c>
      <c r="AE12" s="21">
        <v>0</v>
      </c>
      <c r="AF12" s="21">
        <v>0</v>
      </c>
      <c r="AG12" s="21">
        <v>0</v>
      </c>
      <c r="AH12" s="21">
        <v>0</v>
      </c>
      <c r="AI12" s="67"/>
      <c r="AM12" s="81"/>
      <c r="AN12"/>
    </row>
    <row r="13" spans="1:40">
      <c r="A13" s="19" t="s">
        <v>156</v>
      </c>
      <c r="B13" s="19" t="s">
        <v>161</v>
      </c>
      <c r="C13" s="19" t="s">
        <v>158</v>
      </c>
      <c r="D13" s="20">
        <f t="shared" si="0"/>
        <v>15</v>
      </c>
      <c r="E13" s="21">
        <v>2</v>
      </c>
      <c r="F13" s="21">
        <v>3</v>
      </c>
      <c r="G13" s="21">
        <v>2</v>
      </c>
      <c r="H13" s="21">
        <v>0</v>
      </c>
      <c r="I13" s="21">
        <v>0</v>
      </c>
      <c r="J13" s="21">
        <v>2</v>
      </c>
      <c r="K13" s="21">
        <v>0</v>
      </c>
      <c r="L13" s="21">
        <v>0</v>
      </c>
      <c r="M13" s="21">
        <v>0</v>
      </c>
      <c r="N13" s="21">
        <v>0</v>
      </c>
      <c r="O13" s="21">
        <v>0</v>
      </c>
      <c r="P13" s="21">
        <v>4</v>
      </c>
      <c r="Q13" s="21">
        <v>0</v>
      </c>
      <c r="R13" s="21">
        <v>0</v>
      </c>
      <c r="S13" s="21">
        <v>0</v>
      </c>
      <c r="T13" s="21">
        <v>0</v>
      </c>
      <c r="U13" s="21">
        <v>0</v>
      </c>
      <c r="V13" s="21">
        <v>2</v>
      </c>
      <c r="W13" s="21">
        <v>0</v>
      </c>
      <c r="X13" s="21">
        <v>0</v>
      </c>
      <c r="Y13" s="21">
        <v>0</v>
      </c>
      <c r="Z13" s="21">
        <v>0</v>
      </c>
      <c r="AA13" s="21">
        <v>0</v>
      </c>
      <c r="AB13" s="21">
        <v>0</v>
      </c>
      <c r="AC13" s="21">
        <v>0</v>
      </c>
      <c r="AD13" s="21">
        <v>0</v>
      </c>
      <c r="AE13" s="21">
        <v>0</v>
      </c>
      <c r="AF13" s="21">
        <v>0</v>
      </c>
      <c r="AG13" s="21">
        <v>0</v>
      </c>
      <c r="AH13" s="21">
        <v>0</v>
      </c>
      <c r="AI13" s="67"/>
      <c r="AM13" s="81"/>
      <c r="AN13"/>
    </row>
    <row r="14" spans="1:40">
      <c r="A14" s="19" t="s">
        <v>162</v>
      </c>
      <c r="B14" s="19" t="s">
        <v>163</v>
      </c>
      <c r="C14" s="19" t="s">
        <v>164</v>
      </c>
      <c r="D14" s="20">
        <f t="shared" si="0"/>
        <v>7424</v>
      </c>
      <c r="E14" s="21">
        <v>0</v>
      </c>
      <c r="F14" s="21">
        <v>0</v>
      </c>
      <c r="G14" s="21">
        <v>207</v>
      </c>
      <c r="H14" s="21">
        <v>5262</v>
      </c>
      <c r="I14" s="21">
        <v>0</v>
      </c>
      <c r="J14" s="21">
        <v>5</v>
      </c>
      <c r="K14" s="21">
        <v>0</v>
      </c>
      <c r="L14" s="21">
        <v>0</v>
      </c>
      <c r="M14" s="21">
        <v>1950</v>
      </c>
      <c r="N14" s="21">
        <v>0</v>
      </c>
      <c r="O14" s="21">
        <v>0</v>
      </c>
      <c r="P14" s="21">
        <v>0</v>
      </c>
      <c r="Q14" s="21">
        <v>0</v>
      </c>
      <c r="R14" s="21">
        <v>0</v>
      </c>
      <c r="S14" s="21">
        <v>0</v>
      </c>
      <c r="T14" s="21">
        <v>0</v>
      </c>
      <c r="U14" s="21">
        <v>0</v>
      </c>
      <c r="V14" s="21">
        <v>0</v>
      </c>
      <c r="W14" s="21">
        <v>0</v>
      </c>
      <c r="X14" s="21">
        <v>0</v>
      </c>
      <c r="Y14" s="21">
        <v>0</v>
      </c>
      <c r="Z14" s="21">
        <v>0</v>
      </c>
      <c r="AA14" s="21">
        <v>0</v>
      </c>
      <c r="AB14" s="21">
        <v>0</v>
      </c>
      <c r="AC14" s="21">
        <v>0</v>
      </c>
      <c r="AD14" s="21">
        <v>0</v>
      </c>
      <c r="AE14" s="21">
        <v>0</v>
      </c>
      <c r="AF14" s="21">
        <v>0</v>
      </c>
      <c r="AG14" s="21">
        <v>0</v>
      </c>
      <c r="AH14" s="21">
        <v>0</v>
      </c>
      <c r="AI14" s="67"/>
      <c r="AM14" s="81"/>
      <c r="AN14"/>
    </row>
    <row r="15" spans="1:40">
      <c r="A15" s="19" t="s">
        <v>165</v>
      </c>
      <c r="B15" s="19" t="s">
        <v>166</v>
      </c>
      <c r="C15" s="19" t="s">
        <v>167</v>
      </c>
      <c r="D15" s="20">
        <f t="shared" si="0"/>
        <v>27</v>
      </c>
      <c r="E15" s="21">
        <v>3</v>
      </c>
      <c r="F15" s="21">
        <v>2</v>
      </c>
      <c r="G15" s="21">
        <v>2</v>
      </c>
      <c r="H15" s="21">
        <v>2</v>
      </c>
      <c r="I15" s="21">
        <v>0</v>
      </c>
      <c r="J15" s="21">
        <v>4</v>
      </c>
      <c r="K15" s="21">
        <v>0</v>
      </c>
      <c r="L15" s="21">
        <v>2</v>
      </c>
      <c r="M15" s="21">
        <v>1</v>
      </c>
      <c r="N15" s="21">
        <v>0</v>
      </c>
      <c r="O15" s="21">
        <v>0</v>
      </c>
      <c r="P15" s="21">
        <v>6</v>
      </c>
      <c r="Q15" s="21">
        <v>1</v>
      </c>
      <c r="R15" s="21">
        <v>1</v>
      </c>
      <c r="S15" s="21">
        <v>0</v>
      </c>
      <c r="T15" s="21">
        <v>0</v>
      </c>
      <c r="U15" s="21">
        <v>1</v>
      </c>
      <c r="V15" s="21">
        <v>1</v>
      </c>
      <c r="W15" s="21">
        <v>0</v>
      </c>
      <c r="X15" s="21">
        <v>0</v>
      </c>
      <c r="Y15" s="21">
        <v>1</v>
      </c>
      <c r="Z15" s="21">
        <v>0</v>
      </c>
      <c r="AA15" s="21">
        <v>0</v>
      </c>
      <c r="AB15" s="21">
        <v>0</v>
      </c>
      <c r="AC15" s="21">
        <v>0</v>
      </c>
      <c r="AD15" s="21">
        <v>0</v>
      </c>
      <c r="AE15" s="21">
        <v>0</v>
      </c>
      <c r="AF15" s="21">
        <v>0</v>
      </c>
      <c r="AG15" s="21">
        <v>0</v>
      </c>
      <c r="AH15" s="21">
        <v>0</v>
      </c>
      <c r="AI15" s="67"/>
      <c r="AM15" s="81"/>
      <c r="AN15"/>
    </row>
    <row r="16" spans="1:40">
      <c r="A16" s="19" t="s">
        <v>168</v>
      </c>
      <c r="B16" s="19" t="s">
        <v>169</v>
      </c>
      <c r="C16" s="19" t="s">
        <v>170</v>
      </c>
      <c r="D16" s="20">
        <f t="shared" si="0"/>
        <v>7</v>
      </c>
      <c r="E16" s="21">
        <v>1</v>
      </c>
      <c r="F16" s="21">
        <v>0</v>
      </c>
      <c r="G16" s="21">
        <v>4</v>
      </c>
      <c r="H16" s="21">
        <v>2</v>
      </c>
      <c r="I16" s="21">
        <v>0</v>
      </c>
      <c r="J16" s="21">
        <v>0</v>
      </c>
      <c r="K16" s="21">
        <v>0</v>
      </c>
      <c r="L16" s="21">
        <v>0</v>
      </c>
      <c r="M16" s="21">
        <v>0</v>
      </c>
      <c r="N16" s="21">
        <v>0</v>
      </c>
      <c r="O16" s="21">
        <v>0</v>
      </c>
      <c r="P16" s="21">
        <v>0</v>
      </c>
      <c r="Q16" s="21">
        <v>0</v>
      </c>
      <c r="R16" s="21">
        <v>0</v>
      </c>
      <c r="S16" s="21">
        <v>0</v>
      </c>
      <c r="T16" s="21">
        <v>0</v>
      </c>
      <c r="U16" s="21">
        <v>0</v>
      </c>
      <c r="V16" s="21">
        <v>0</v>
      </c>
      <c r="W16" s="21">
        <v>0</v>
      </c>
      <c r="X16" s="21">
        <v>0</v>
      </c>
      <c r="Y16" s="21">
        <v>0</v>
      </c>
      <c r="Z16" s="21">
        <v>0</v>
      </c>
      <c r="AA16" s="21">
        <v>0</v>
      </c>
      <c r="AB16" s="21">
        <v>0</v>
      </c>
      <c r="AC16" s="21">
        <v>0</v>
      </c>
      <c r="AD16" s="21">
        <v>0</v>
      </c>
      <c r="AE16" s="21">
        <v>0</v>
      </c>
      <c r="AF16" s="21">
        <v>0</v>
      </c>
      <c r="AG16" s="21">
        <v>0</v>
      </c>
      <c r="AH16" s="21">
        <v>0</v>
      </c>
      <c r="AI16" s="67"/>
      <c r="AM16" s="81"/>
      <c r="AN16"/>
    </row>
    <row r="17" spans="1:40">
      <c r="A17" s="19" t="s">
        <v>168</v>
      </c>
      <c r="B17" s="19" t="s">
        <v>171</v>
      </c>
      <c r="C17" s="19" t="s">
        <v>170</v>
      </c>
      <c r="D17" s="20">
        <f t="shared" si="0"/>
        <v>54</v>
      </c>
      <c r="E17" s="21">
        <v>0</v>
      </c>
      <c r="F17" s="21">
        <v>6</v>
      </c>
      <c r="G17" s="21">
        <v>24</v>
      </c>
      <c r="H17" s="21">
        <v>0</v>
      </c>
      <c r="I17" s="21">
        <v>6</v>
      </c>
      <c r="J17" s="21">
        <v>3</v>
      </c>
      <c r="K17" s="21">
        <v>2</v>
      </c>
      <c r="L17" s="21">
        <v>0</v>
      </c>
      <c r="M17" s="21">
        <v>0</v>
      </c>
      <c r="N17" s="21">
        <v>0</v>
      </c>
      <c r="O17" s="21">
        <v>1</v>
      </c>
      <c r="P17" s="21">
        <v>7</v>
      </c>
      <c r="Q17" s="21">
        <v>0</v>
      </c>
      <c r="R17" s="21">
        <v>0</v>
      </c>
      <c r="S17" s="21">
        <v>2</v>
      </c>
      <c r="T17" s="21">
        <v>0</v>
      </c>
      <c r="U17" s="21">
        <v>0</v>
      </c>
      <c r="V17" s="21">
        <v>1</v>
      </c>
      <c r="W17" s="21">
        <v>2</v>
      </c>
      <c r="X17" s="21">
        <v>0</v>
      </c>
      <c r="Y17" s="21">
        <v>0</v>
      </c>
      <c r="Z17" s="21">
        <v>0</v>
      </c>
      <c r="AA17" s="21">
        <v>0</v>
      </c>
      <c r="AB17" s="21">
        <v>0</v>
      </c>
      <c r="AC17" s="21">
        <v>0</v>
      </c>
      <c r="AD17" s="21">
        <v>0</v>
      </c>
      <c r="AE17" s="21">
        <v>0</v>
      </c>
      <c r="AF17" s="21">
        <v>0</v>
      </c>
      <c r="AG17" s="21">
        <v>0</v>
      </c>
      <c r="AH17" s="21">
        <v>0</v>
      </c>
      <c r="AI17" s="67"/>
      <c r="AM17" s="81"/>
      <c r="AN17"/>
    </row>
    <row r="18" spans="1:40">
      <c r="A18" s="19" t="s">
        <v>168</v>
      </c>
      <c r="B18" s="19" t="s">
        <v>172</v>
      </c>
      <c r="C18" s="19" t="s">
        <v>170</v>
      </c>
      <c r="D18" s="20">
        <f t="shared" si="0"/>
        <v>2</v>
      </c>
      <c r="E18" s="21">
        <v>0</v>
      </c>
      <c r="F18" s="21">
        <v>0</v>
      </c>
      <c r="G18" s="21">
        <v>2</v>
      </c>
      <c r="H18" s="21">
        <v>0</v>
      </c>
      <c r="I18" s="21">
        <v>0</v>
      </c>
      <c r="J18" s="21">
        <v>0</v>
      </c>
      <c r="K18" s="21">
        <v>0</v>
      </c>
      <c r="L18" s="21">
        <v>0</v>
      </c>
      <c r="M18" s="21">
        <v>0</v>
      </c>
      <c r="N18" s="21">
        <v>0</v>
      </c>
      <c r="O18" s="21">
        <v>0</v>
      </c>
      <c r="P18" s="21">
        <v>0</v>
      </c>
      <c r="Q18" s="21">
        <v>0</v>
      </c>
      <c r="R18" s="21">
        <v>0</v>
      </c>
      <c r="S18" s="21">
        <v>0</v>
      </c>
      <c r="T18" s="21">
        <v>0</v>
      </c>
      <c r="U18" s="21">
        <v>0</v>
      </c>
      <c r="V18" s="21">
        <v>0</v>
      </c>
      <c r="W18" s="21">
        <v>0</v>
      </c>
      <c r="X18" s="21">
        <v>0</v>
      </c>
      <c r="Y18" s="21">
        <v>0</v>
      </c>
      <c r="Z18" s="21">
        <v>0</v>
      </c>
      <c r="AA18" s="21">
        <v>0</v>
      </c>
      <c r="AB18" s="21">
        <v>0</v>
      </c>
      <c r="AC18" s="21">
        <v>0</v>
      </c>
      <c r="AD18" s="21">
        <v>0</v>
      </c>
      <c r="AE18" s="21">
        <v>0</v>
      </c>
      <c r="AF18" s="21">
        <v>0</v>
      </c>
      <c r="AG18" s="21">
        <v>0</v>
      </c>
      <c r="AH18" s="21">
        <v>0</v>
      </c>
      <c r="AI18" s="67"/>
      <c r="AM18" s="81"/>
      <c r="AN18"/>
    </row>
    <row r="19" spans="1:40">
      <c r="A19" s="19" t="s">
        <v>173</v>
      </c>
      <c r="B19" s="19" t="s">
        <v>174</v>
      </c>
      <c r="C19" s="19" t="s">
        <v>175</v>
      </c>
      <c r="D19" s="20">
        <f t="shared" si="0"/>
        <v>6</v>
      </c>
      <c r="E19" s="21">
        <v>0</v>
      </c>
      <c r="F19" s="21">
        <v>2</v>
      </c>
      <c r="G19" s="21">
        <v>0</v>
      </c>
      <c r="H19" s="21">
        <v>0</v>
      </c>
      <c r="I19" s="21">
        <v>0</v>
      </c>
      <c r="J19" s="21">
        <v>1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3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67"/>
      <c r="AM19" s="81"/>
      <c r="AN19"/>
    </row>
    <row r="20" spans="1:40">
      <c r="A20" s="19" t="s">
        <v>176</v>
      </c>
      <c r="B20" s="19" t="s">
        <v>177</v>
      </c>
      <c r="C20" s="19" t="s">
        <v>178</v>
      </c>
      <c r="D20" s="20">
        <f t="shared" si="0"/>
        <v>5</v>
      </c>
      <c r="E20" s="21">
        <v>0</v>
      </c>
      <c r="F20" s="21">
        <v>0</v>
      </c>
      <c r="G20" s="21">
        <v>2</v>
      </c>
      <c r="H20" s="21">
        <v>0</v>
      </c>
      <c r="I20" s="21">
        <v>1</v>
      </c>
      <c r="J20" s="21">
        <v>1</v>
      </c>
      <c r="K20" s="21">
        <v>0</v>
      </c>
      <c r="L20" s="21">
        <v>0</v>
      </c>
      <c r="M20" s="21">
        <v>0</v>
      </c>
      <c r="N20" s="21">
        <v>0</v>
      </c>
      <c r="O20" s="21">
        <v>0</v>
      </c>
      <c r="P20" s="21">
        <v>1</v>
      </c>
      <c r="Q20" s="21">
        <v>0</v>
      </c>
      <c r="R20" s="21">
        <v>0</v>
      </c>
      <c r="S20" s="21">
        <v>0</v>
      </c>
      <c r="T20" s="21">
        <v>0</v>
      </c>
      <c r="U20" s="21">
        <v>0</v>
      </c>
      <c r="V20" s="21">
        <v>0</v>
      </c>
      <c r="W20" s="21">
        <v>0</v>
      </c>
      <c r="X20" s="21">
        <v>0</v>
      </c>
      <c r="Y20" s="21">
        <v>0</v>
      </c>
      <c r="Z20" s="21">
        <v>0</v>
      </c>
      <c r="AA20" s="21">
        <v>0</v>
      </c>
      <c r="AB20" s="21">
        <v>0</v>
      </c>
      <c r="AC20" s="21">
        <v>0</v>
      </c>
      <c r="AD20" s="21">
        <v>0</v>
      </c>
      <c r="AE20" s="21">
        <v>0</v>
      </c>
      <c r="AF20" s="21">
        <v>0</v>
      </c>
      <c r="AG20" s="21">
        <v>0</v>
      </c>
      <c r="AH20" s="21">
        <v>0</v>
      </c>
      <c r="AI20" s="67"/>
      <c r="AM20" s="81"/>
      <c r="AN20"/>
    </row>
    <row r="21" spans="1:40">
      <c r="A21" s="19" t="s">
        <v>179</v>
      </c>
      <c r="B21" s="19" t="s">
        <v>180</v>
      </c>
      <c r="C21" s="19" t="s">
        <v>181</v>
      </c>
      <c r="D21" s="20">
        <f t="shared" si="0"/>
        <v>23652</v>
      </c>
      <c r="E21" s="21">
        <v>0</v>
      </c>
      <c r="F21" s="21">
        <v>7884</v>
      </c>
      <c r="G21" s="21">
        <v>7884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1">
        <v>0</v>
      </c>
      <c r="N21" s="21">
        <v>0</v>
      </c>
      <c r="O21" s="21">
        <v>0</v>
      </c>
      <c r="P21" s="21">
        <v>7884</v>
      </c>
      <c r="Q21" s="21">
        <v>0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  <c r="W21" s="21">
        <v>0</v>
      </c>
      <c r="X21" s="21">
        <v>0</v>
      </c>
      <c r="Y21" s="21">
        <v>0</v>
      </c>
      <c r="Z21" s="21">
        <v>0</v>
      </c>
      <c r="AA21" s="21">
        <v>0</v>
      </c>
      <c r="AB21" s="21">
        <v>0</v>
      </c>
      <c r="AC21" s="21">
        <v>0</v>
      </c>
      <c r="AD21" s="21">
        <v>0</v>
      </c>
      <c r="AE21" s="21">
        <v>0</v>
      </c>
      <c r="AF21" s="21">
        <v>0</v>
      </c>
      <c r="AG21" s="21">
        <v>0</v>
      </c>
      <c r="AH21" s="21">
        <v>0</v>
      </c>
      <c r="AI21" s="67"/>
      <c r="AM21" s="81"/>
      <c r="AN21"/>
    </row>
    <row r="22" spans="1:40">
      <c r="A22" s="19" t="s">
        <v>182</v>
      </c>
      <c r="B22" s="19" t="s">
        <v>183</v>
      </c>
      <c r="C22" s="19" t="s">
        <v>181</v>
      </c>
      <c r="D22" s="20">
        <f t="shared" si="0"/>
        <v>0</v>
      </c>
      <c r="E22" s="21">
        <v>0</v>
      </c>
      <c r="F22" s="21">
        <v>0</v>
      </c>
      <c r="G22" s="21">
        <v>0</v>
      </c>
      <c r="H22" s="21">
        <v>0</v>
      </c>
      <c r="I22" s="21">
        <v>0</v>
      </c>
      <c r="J22" s="21">
        <v>0</v>
      </c>
      <c r="K22" s="21">
        <v>0</v>
      </c>
      <c r="L22" s="21">
        <v>0</v>
      </c>
      <c r="M22" s="21">
        <v>0</v>
      </c>
      <c r="N22" s="21">
        <v>0</v>
      </c>
      <c r="O22" s="21">
        <v>0</v>
      </c>
      <c r="P22" s="21">
        <v>0</v>
      </c>
      <c r="Q22" s="21">
        <v>0</v>
      </c>
      <c r="R22" s="21">
        <v>0</v>
      </c>
      <c r="S22" s="21">
        <v>0</v>
      </c>
      <c r="T22" s="21">
        <v>0</v>
      </c>
      <c r="U22" s="21">
        <v>0</v>
      </c>
      <c r="V22" s="21">
        <v>0</v>
      </c>
      <c r="W22" s="21">
        <v>0</v>
      </c>
      <c r="X22" s="21">
        <v>0</v>
      </c>
      <c r="Y22" s="21">
        <v>0</v>
      </c>
      <c r="Z22" s="21">
        <v>0</v>
      </c>
      <c r="AA22" s="21">
        <v>0</v>
      </c>
      <c r="AB22" s="21">
        <v>0</v>
      </c>
      <c r="AC22" s="21">
        <v>0</v>
      </c>
      <c r="AD22" s="21">
        <v>0</v>
      </c>
      <c r="AE22" s="21">
        <v>0</v>
      </c>
      <c r="AF22" s="21">
        <v>0</v>
      </c>
      <c r="AG22" s="21">
        <v>0</v>
      </c>
      <c r="AH22" s="21">
        <v>0</v>
      </c>
      <c r="AI22" s="68"/>
      <c r="AM22" s="81"/>
      <c r="AN22"/>
    </row>
    <row r="23" spans="1:40">
      <c r="A23" s="19" t="s">
        <v>182</v>
      </c>
      <c r="B23" s="19" t="s">
        <v>184</v>
      </c>
      <c r="C23" s="19" t="s">
        <v>181</v>
      </c>
      <c r="D23" s="20">
        <f t="shared" si="0"/>
        <v>23652</v>
      </c>
      <c r="E23" s="21">
        <v>0</v>
      </c>
      <c r="F23" s="21">
        <v>7884</v>
      </c>
      <c r="G23" s="21">
        <v>7884</v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  <c r="M23" s="21">
        <v>0</v>
      </c>
      <c r="N23" s="21">
        <v>0</v>
      </c>
      <c r="O23" s="21">
        <v>0</v>
      </c>
      <c r="P23" s="21">
        <v>7884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21">
        <v>0</v>
      </c>
      <c r="Y23" s="21">
        <v>0</v>
      </c>
      <c r="Z23" s="21">
        <v>0</v>
      </c>
      <c r="AA23" s="21">
        <v>0</v>
      </c>
      <c r="AB23" s="21">
        <v>0</v>
      </c>
      <c r="AC23" s="21">
        <v>0</v>
      </c>
      <c r="AD23" s="21">
        <v>0</v>
      </c>
      <c r="AE23" s="21">
        <v>0</v>
      </c>
      <c r="AF23" s="21">
        <v>0</v>
      </c>
      <c r="AG23" s="21">
        <v>0</v>
      </c>
      <c r="AH23" s="21">
        <v>0</v>
      </c>
      <c r="AI23" s="67"/>
      <c r="AM23" s="81"/>
      <c r="AN23"/>
    </row>
    <row r="24" spans="1:40">
      <c r="A24" s="19" t="s">
        <v>185</v>
      </c>
      <c r="B24" s="19" t="s">
        <v>186</v>
      </c>
      <c r="C24" s="19" t="s">
        <v>187</v>
      </c>
      <c r="D24" s="20">
        <f t="shared" si="0"/>
        <v>40</v>
      </c>
      <c r="E24" s="21">
        <v>11</v>
      </c>
      <c r="F24" s="21">
        <v>1</v>
      </c>
      <c r="G24" s="21">
        <v>9</v>
      </c>
      <c r="H24" s="21">
        <v>1</v>
      </c>
      <c r="I24" s="21">
        <v>3</v>
      </c>
      <c r="J24" s="21">
        <v>2</v>
      </c>
      <c r="K24" s="21">
        <v>4</v>
      </c>
      <c r="L24" s="21">
        <v>0</v>
      </c>
      <c r="M24" s="21">
        <v>0</v>
      </c>
      <c r="N24" s="21">
        <v>0</v>
      </c>
      <c r="O24" s="21">
        <v>0</v>
      </c>
      <c r="P24" s="21">
        <v>3</v>
      </c>
      <c r="Q24" s="21">
        <v>0</v>
      </c>
      <c r="R24" s="21">
        <v>0</v>
      </c>
      <c r="S24" s="21">
        <v>1</v>
      </c>
      <c r="T24" s="21">
        <v>0</v>
      </c>
      <c r="U24" s="21">
        <v>0</v>
      </c>
      <c r="V24" s="21">
        <v>3</v>
      </c>
      <c r="W24" s="21">
        <v>0</v>
      </c>
      <c r="X24" s="21">
        <v>0</v>
      </c>
      <c r="Y24" s="21">
        <v>0</v>
      </c>
      <c r="Z24" s="21">
        <v>0</v>
      </c>
      <c r="AA24" s="21">
        <v>0</v>
      </c>
      <c r="AB24" s="21">
        <v>0</v>
      </c>
      <c r="AC24" s="21">
        <v>0</v>
      </c>
      <c r="AD24" s="21">
        <v>0</v>
      </c>
      <c r="AE24" s="21">
        <v>0</v>
      </c>
      <c r="AF24" s="21">
        <v>1</v>
      </c>
      <c r="AG24" s="21">
        <v>1</v>
      </c>
      <c r="AH24" s="21">
        <v>0</v>
      </c>
      <c r="AI24" s="67"/>
      <c r="AM24" s="81"/>
      <c r="AN24"/>
    </row>
    <row r="25" spans="1:40">
      <c r="A25" s="19" t="s">
        <v>185</v>
      </c>
      <c r="B25" s="19" t="s">
        <v>188</v>
      </c>
      <c r="C25" s="19" t="s">
        <v>187</v>
      </c>
      <c r="D25" s="20">
        <f t="shared" si="0"/>
        <v>9</v>
      </c>
      <c r="E25" s="21">
        <v>3</v>
      </c>
      <c r="F25" s="21">
        <v>0</v>
      </c>
      <c r="G25" s="21">
        <v>1</v>
      </c>
      <c r="H25" s="21">
        <v>2</v>
      </c>
      <c r="I25" s="21">
        <v>0</v>
      </c>
      <c r="J25" s="21">
        <v>0</v>
      </c>
      <c r="K25" s="21">
        <v>0</v>
      </c>
      <c r="L25" s="21">
        <v>1</v>
      </c>
      <c r="M25" s="21">
        <v>0</v>
      </c>
      <c r="N25" s="21">
        <v>0</v>
      </c>
      <c r="O25" s="21">
        <v>0</v>
      </c>
      <c r="P25" s="21">
        <v>0</v>
      </c>
      <c r="Q25" s="21">
        <v>0</v>
      </c>
      <c r="R25" s="21">
        <v>0</v>
      </c>
      <c r="S25" s="21">
        <v>0</v>
      </c>
      <c r="T25" s="21">
        <v>0</v>
      </c>
      <c r="U25" s="21">
        <v>0</v>
      </c>
      <c r="V25" s="21">
        <v>1</v>
      </c>
      <c r="W25" s="21">
        <v>1</v>
      </c>
      <c r="X25" s="21">
        <v>0</v>
      </c>
      <c r="Y25" s="21">
        <v>0</v>
      </c>
      <c r="Z25" s="21">
        <v>0</v>
      </c>
      <c r="AA25" s="21">
        <v>0</v>
      </c>
      <c r="AB25" s="21">
        <v>0</v>
      </c>
      <c r="AC25" s="21">
        <v>0</v>
      </c>
      <c r="AD25" s="21">
        <v>0</v>
      </c>
      <c r="AE25" s="21">
        <v>0</v>
      </c>
      <c r="AF25" s="21">
        <v>0</v>
      </c>
      <c r="AG25" s="21">
        <v>0</v>
      </c>
      <c r="AH25" s="21">
        <v>0</v>
      </c>
      <c r="AI25" s="67"/>
      <c r="AM25" s="81"/>
      <c r="AN25"/>
    </row>
    <row r="26" spans="1:40">
      <c r="A26" s="19" t="s">
        <v>185</v>
      </c>
      <c r="B26" s="19" t="s">
        <v>189</v>
      </c>
      <c r="C26" s="19" t="s">
        <v>187</v>
      </c>
      <c r="D26" s="20">
        <f t="shared" si="0"/>
        <v>4</v>
      </c>
      <c r="E26" s="21">
        <v>0</v>
      </c>
      <c r="F26" s="21">
        <v>3</v>
      </c>
      <c r="G26" s="21">
        <v>0</v>
      </c>
      <c r="H26" s="21">
        <v>0</v>
      </c>
      <c r="I26" s="21">
        <v>0</v>
      </c>
      <c r="J26" s="21">
        <v>0</v>
      </c>
      <c r="K26" s="21">
        <v>0</v>
      </c>
      <c r="L26" s="21">
        <v>0</v>
      </c>
      <c r="M26" s="21">
        <v>0</v>
      </c>
      <c r="N26" s="21">
        <v>0</v>
      </c>
      <c r="O26" s="21">
        <v>0</v>
      </c>
      <c r="P26" s="21">
        <v>1</v>
      </c>
      <c r="Q26" s="21">
        <v>0</v>
      </c>
      <c r="R26" s="21">
        <v>0</v>
      </c>
      <c r="S26" s="21">
        <v>0</v>
      </c>
      <c r="T26" s="21">
        <v>0</v>
      </c>
      <c r="U26" s="21">
        <v>0</v>
      </c>
      <c r="V26" s="21">
        <v>0</v>
      </c>
      <c r="W26" s="21">
        <v>0</v>
      </c>
      <c r="X26" s="21">
        <v>0</v>
      </c>
      <c r="Y26" s="21">
        <v>0</v>
      </c>
      <c r="Z26" s="21">
        <v>0</v>
      </c>
      <c r="AA26" s="21">
        <v>0</v>
      </c>
      <c r="AB26" s="21">
        <v>0</v>
      </c>
      <c r="AC26" s="21">
        <v>0</v>
      </c>
      <c r="AD26" s="21">
        <v>0</v>
      </c>
      <c r="AE26" s="21">
        <v>0</v>
      </c>
      <c r="AF26" s="21">
        <v>0</v>
      </c>
      <c r="AG26" s="21">
        <v>0</v>
      </c>
      <c r="AH26" s="21">
        <v>0</v>
      </c>
      <c r="AI26" s="67"/>
      <c r="AM26" s="81"/>
      <c r="AN26"/>
    </row>
    <row r="27" spans="1:40">
      <c r="A27" s="19" t="s">
        <v>185</v>
      </c>
      <c r="B27" s="19" t="s">
        <v>190</v>
      </c>
      <c r="C27" s="19" t="s">
        <v>187</v>
      </c>
      <c r="D27" s="20">
        <f t="shared" si="0"/>
        <v>0</v>
      </c>
      <c r="E27" s="21">
        <v>0</v>
      </c>
      <c r="F27" s="21">
        <v>0</v>
      </c>
      <c r="G27" s="21">
        <v>0</v>
      </c>
      <c r="H27" s="21">
        <v>0</v>
      </c>
      <c r="I27" s="21">
        <v>0</v>
      </c>
      <c r="J27" s="21">
        <v>0</v>
      </c>
      <c r="K27" s="21">
        <v>0</v>
      </c>
      <c r="L27" s="21">
        <v>0</v>
      </c>
      <c r="M27" s="21">
        <v>0</v>
      </c>
      <c r="N27" s="21">
        <v>0</v>
      </c>
      <c r="O27" s="21">
        <v>0</v>
      </c>
      <c r="P27" s="21">
        <v>0</v>
      </c>
      <c r="Q27" s="21">
        <v>0</v>
      </c>
      <c r="R27" s="21">
        <v>0</v>
      </c>
      <c r="S27" s="21">
        <v>0</v>
      </c>
      <c r="T27" s="21">
        <v>0</v>
      </c>
      <c r="U27" s="21">
        <v>0</v>
      </c>
      <c r="V27" s="21">
        <v>0</v>
      </c>
      <c r="W27" s="21">
        <v>0</v>
      </c>
      <c r="X27" s="21">
        <v>0</v>
      </c>
      <c r="Y27" s="21">
        <v>0</v>
      </c>
      <c r="Z27" s="21">
        <v>0</v>
      </c>
      <c r="AA27" s="21">
        <v>0</v>
      </c>
      <c r="AB27" s="21">
        <v>0</v>
      </c>
      <c r="AC27" s="21">
        <v>0</v>
      </c>
      <c r="AD27" s="21">
        <v>0</v>
      </c>
      <c r="AE27" s="21">
        <v>0</v>
      </c>
      <c r="AF27" s="21">
        <v>0</v>
      </c>
      <c r="AG27" s="21">
        <v>0</v>
      </c>
      <c r="AH27" s="21">
        <v>0</v>
      </c>
      <c r="AI27" s="67"/>
      <c r="AM27" s="81"/>
      <c r="AN27"/>
    </row>
    <row r="28" spans="1:40">
      <c r="A28" s="19" t="s">
        <v>191</v>
      </c>
      <c r="B28" s="19" t="s">
        <v>192</v>
      </c>
      <c r="C28" s="19" t="s">
        <v>193</v>
      </c>
      <c r="D28" s="20">
        <f t="shared" si="0"/>
        <v>5</v>
      </c>
      <c r="E28" s="21">
        <v>0</v>
      </c>
      <c r="F28" s="21">
        <v>1</v>
      </c>
      <c r="G28" s="21">
        <v>1</v>
      </c>
      <c r="H28" s="21">
        <v>0</v>
      </c>
      <c r="I28" s="21">
        <v>0</v>
      </c>
      <c r="J28" s="21">
        <v>2</v>
      </c>
      <c r="K28" s="21">
        <v>0</v>
      </c>
      <c r="L28" s="21">
        <v>0</v>
      </c>
      <c r="M28" s="21">
        <v>0</v>
      </c>
      <c r="N28" s="21">
        <v>0</v>
      </c>
      <c r="O28" s="21">
        <v>0</v>
      </c>
      <c r="P28" s="21">
        <v>1</v>
      </c>
      <c r="Q28" s="21">
        <v>0</v>
      </c>
      <c r="R28" s="21">
        <v>0</v>
      </c>
      <c r="S28" s="21">
        <v>0</v>
      </c>
      <c r="T28" s="21">
        <v>0</v>
      </c>
      <c r="U28" s="21">
        <v>0</v>
      </c>
      <c r="V28" s="21">
        <v>0</v>
      </c>
      <c r="W28" s="21">
        <v>0</v>
      </c>
      <c r="X28" s="21">
        <v>0</v>
      </c>
      <c r="Y28" s="21">
        <v>0</v>
      </c>
      <c r="Z28" s="21">
        <v>0</v>
      </c>
      <c r="AA28" s="21">
        <v>0</v>
      </c>
      <c r="AB28" s="21">
        <v>0</v>
      </c>
      <c r="AC28" s="21">
        <v>0</v>
      </c>
      <c r="AD28" s="21">
        <v>0</v>
      </c>
      <c r="AE28" s="21">
        <v>0</v>
      </c>
      <c r="AF28" s="21">
        <v>0</v>
      </c>
      <c r="AG28" s="21">
        <v>0</v>
      </c>
      <c r="AH28" s="21">
        <v>0</v>
      </c>
      <c r="AI28" s="67"/>
      <c r="AM28" s="81"/>
      <c r="AN28"/>
    </row>
    <row r="29" spans="1:40" ht="32.1">
      <c r="A29" s="19" t="s">
        <v>194</v>
      </c>
      <c r="B29" s="19" t="s">
        <v>195</v>
      </c>
      <c r="C29" s="19" t="s">
        <v>196</v>
      </c>
      <c r="D29" s="20">
        <f t="shared" si="0"/>
        <v>119401.26</v>
      </c>
      <c r="E29" s="21">
        <v>20678.509999999998</v>
      </c>
      <c r="F29" s="21">
        <v>1520.05</v>
      </c>
      <c r="G29" s="21">
        <v>21086.04</v>
      </c>
      <c r="H29" s="21">
        <v>7620.99</v>
      </c>
      <c r="I29" s="21">
        <v>5866.55</v>
      </c>
      <c r="J29" s="21">
        <v>12958.42</v>
      </c>
      <c r="K29" s="21">
        <v>16329.21</v>
      </c>
      <c r="L29" s="21">
        <v>1394.57</v>
      </c>
      <c r="M29" s="21">
        <v>4063.01</v>
      </c>
      <c r="N29" s="21">
        <v>2047.49</v>
      </c>
      <c r="O29" s="21">
        <v>4457.2299999999996</v>
      </c>
      <c r="P29" s="21">
        <v>522.54</v>
      </c>
      <c r="Q29" s="21">
        <v>181.18</v>
      </c>
      <c r="R29" s="21">
        <v>220</v>
      </c>
      <c r="S29" s="21">
        <v>234.46</v>
      </c>
      <c r="T29" s="21">
        <v>159.32</v>
      </c>
      <c r="U29" s="21">
        <v>660.58</v>
      </c>
      <c r="V29" s="21">
        <v>12674.69</v>
      </c>
      <c r="W29" s="21">
        <v>620.87</v>
      </c>
      <c r="X29" s="21">
        <v>1050.3</v>
      </c>
      <c r="Y29" s="21">
        <v>160.51</v>
      </c>
      <c r="Z29" s="21">
        <v>331.48</v>
      </c>
      <c r="AA29" s="21">
        <v>608.39</v>
      </c>
      <c r="AB29" s="21">
        <v>1467.81</v>
      </c>
      <c r="AC29" s="21">
        <v>473.14</v>
      </c>
      <c r="AD29" s="21">
        <v>32.14</v>
      </c>
      <c r="AE29" s="21">
        <v>64.69</v>
      </c>
      <c r="AF29" s="21">
        <v>1034.3900000000001</v>
      </c>
      <c r="AG29" s="21">
        <v>158.35</v>
      </c>
      <c r="AH29" s="21">
        <v>724.35</v>
      </c>
      <c r="AI29" s="67"/>
      <c r="AM29" s="81"/>
      <c r="AN29"/>
    </row>
    <row r="30" spans="1:40">
      <c r="A30" s="19" t="s">
        <v>197</v>
      </c>
      <c r="B30" s="19" t="s">
        <v>198</v>
      </c>
      <c r="C30" s="19" t="s">
        <v>199</v>
      </c>
      <c r="D30" s="20">
        <f t="shared" si="0"/>
        <v>503</v>
      </c>
      <c r="E30" s="21">
        <v>86</v>
      </c>
      <c r="F30" s="21">
        <v>0</v>
      </c>
      <c r="G30" s="21">
        <v>65</v>
      </c>
      <c r="H30" s="21">
        <v>65</v>
      </c>
      <c r="I30" s="21">
        <v>15</v>
      </c>
      <c r="J30" s="21">
        <v>21</v>
      </c>
      <c r="K30" s="21">
        <v>38</v>
      </c>
      <c r="L30" s="21">
        <v>67</v>
      </c>
      <c r="M30" s="21">
        <v>0</v>
      </c>
      <c r="N30" s="21">
        <v>9</v>
      </c>
      <c r="O30" s="21">
        <v>2</v>
      </c>
      <c r="P30" s="21">
        <v>0</v>
      </c>
      <c r="Q30" s="21">
        <v>0</v>
      </c>
      <c r="R30" s="21">
        <v>0</v>
      </c>
      <c r="S30" s="21">
        <v>16</v>
      </c>
      <c r="T30" s="21">
        <v>2</v>
      </c>
      <c r="U30" s="21">
        <v>5</v>
      </c>
      <c r="V30" s="21">
        <v>70</v>
      </c>
      <c r="W30" s="21">
        <v>0</v>
      </c>
      <c r="X30" s="21">
        <v>0</v>
      </c>
      <c r="Y30" s="21">
        <v>0</v>
      </c>
      <c r="Z30" s="21">
        <v>0</v>
      </c>
      <c r="AA30" s="21">
        <v>0</v>
      </c>
      <c r="AB30" s="21">
        <v>0</v>
      </c>
      <c r="AC30" s="21">
        <v>0</v>
      </c>
      <c r="AD30" s="21">
        <v>0</v>
      </c>
      <c r="AE30" s="21">
        <v>0</v>
      </c>
      <c r="AF30" s="21">
        <v>22</v>
      </c>
      <c r="AG30" s="21">
        <v>7</v>
      </c>
      <c r="AH30" s="21">
        <v>13</v>
      </c>
      <c r="AI30" s="67"/>
      <c r="AM30" s="81"/>
      <c r="AN30"/>
    </row>
    <row r="31" spans="1:40">
      <c r="A31" s="19" t="s">
        <v>200</v>
      </c>
      <c r="B31" s="19" t="s">
        <v>201</v>
      </c>
      <c r="C31" s="19" t="s">
        <v>202</v>
      </c>
      <c r="D31" s="20">
        <f t="shared" si="0"/>
        <v>11</v>
      </c>
      <c r="E31" s="21">
        <v>0</v>
      </c>
      <c r="F31" s="21">
        <v>0</v>
      </c>
      <c r="G31" s="21">
        <v>0</v>
      </c>
      <c r="H31" s="21">
        <v>0</v>
      </c>
      <c r="I31" s="21">
        <v>0</v>
      </c>
      <c r="J31" s="21">
        <v>1</v>
      </c>
      <c r="K31" s="21">
        <v>2</v>
      </c>
      <c r="L31" s="21">
        <v>6</v>
      </c>
      <c r="M31" s="21">
        <v>0</v>
      </c>
      <c r="N31" s="21">
        <v>0</v>
      </c>
      <c r="O31" s="21">
        <v>0</v>
      </c>
      <c r="P31" s="21">
        <v>2</v>
      </c>
      <c r="Q31" s="21">
        <v>0</v>
      </c>
      <c r="R31" s="21">
        <v>0</v>
      </c>
      <c r="S31" s="21">
        <v>0</v>
      </c>
      <c r="T31" s="21">
        <v>0</v>
      </c>
      <c r="U31" s="21">
        <v>0</v>
      </c>
      <c r="V31" s="21">
        <v>0</v>
      </c>
      <c r="W31" s="21">
        <v>0</v>
      </c>
      <c r="X31" s="21">
        <v>0</v>
      </c>
      <c r="Y31" s="21">
        <v>0</v>
      </c>
      <c r="Z31" s="21">
        <v>0</v>
      </c>
      <c r="AA31" s="21">
        <v>0</v>
      </c>
      <c r="AB31" s="21">
        <v>0</v>
      </c>
      <c r="AC31" s="21">
        <v>0</v>
      </c>
      <c r="AD31" s="21">
        <v>0</v>
      </c>
      <c r="AE31" s="21">
        <v>0</v>
      </c>
      <c r="AF31" s="21">
        <v>0</v>
      </c>
      <c r="AG31" s="21">
        <v>0</v>
      </c>
      <c r="AH31" s="21">
        <v>0</v>
      </c>
      <c r="AI31" s="67"/>
      <c r="AM31" s="81"/>
      <c r="AN31"/>
    </row>
    <row r="32" spans="1:40">
      <c r="A32" s="19" t="s">
        <v>203</v>
      </c>
      <c r="B32" s="19" t="s">
        <v>204</v>
      </c>
      <c r="C32" s="19" t="s">
        <v>205</v>
      </c>
      <c r="D32" s="20">
        <f t="shared" si="0"/>
        <v>1483</v>
      </c>
      <c r="E32" s="21">
        <v>30</v>
      </c>
      <c r="F32" s="21">
        <v>30</v>
      </c>
      <c r="G32" s="21">
        <v>340</v>
      </c>
      <c r="H32" s="21">
        <v>55</v>
      </c>
      <c r="I32" s="21">
        <v>103</v>
      </c>
      <c r="J32" s="21">
        <v>283</v>
      </c>
      <c r="K32" s="21">
        <v>208</v>
      </c>
      <c r="L32" s="21">
        <v>4</v>
      </c>
      <c r="M32" s="21">
        <v>40</v>
      </c>
      <c r="N32" s="21">
        <v>49</v>
      </c>
      <c r="O32" s="21">
        <v>50</v>
      </c>
      <c r="P32" s="21">
        <v>25</v>
      </c>
      <c r="Q32" s="21">
        <v>1</v>
      </c>
      <c r="R32" s="21">
        <v>7</v>
      </c>
      <c r="S32" s="21">
        <v>12</v>
      </c>
      <c r="T32" s="21">
        <v>2</v>
      </c>
      <c r="U32" s="21">
        <v>2</v>
      </c>
      <c r="V32" s="21">
        <v>80</v>
      </c>
      <c r="W32" s="21">
        <v>15</v>
      </c>
      <c r="X32" s="21">
        <v>20</v>
      </c>
      <c r="Y32" s="21">
        <v>2</v>
      </c>
      <c r="Z32" s="21">
        <v>13</v>
      </c>
      <c r="AA32" s="21">
        <v>0</v>
      </c>
      <c r="AB32" s="21">
        <v>46</v>
      </c>
      <c r="AC32" s="21">
        <v>20</v>
      </c>
      <c r="AD32" s="21">
        <v>1</v>
      </c>
      <c r="AE32" s="21">
        <v>0</v>
      </c>
      <c r="AF32" s="21">
        <v>17</v>
      </c>
      <c r="AG32" s="21">
        <v>0</v>
      </c>
      <c r="AH32" s="21">
        <v>28</v>
      </c>
      <c r="AI32" s="67"/>
      <c r="AM32" s="81"/>
      <c r="AN32"/>
    </row>
    <row r="33" spans="1:40">
      <c r="A33" s="19" t="s">
        <v>206</v>
      </c>
      <c r="B33" s="19" t="s">
        <v>207</v>
      </c>
      <c r="C33" s="19" t="s">
        <v>208</v>
      </c>
      <c r="D33" s="20">
        <f t="shared" si="0"/>
        <v>61</v>
      </c>
      <c r="E33" s="21">
        <v>1</v>
      </c>
      <c r="F33" s="21">
        <v>9</v>
      </c>
      <c r="G33" s="21">
        <v>13</v>
      </c>
      <c r="H33" s="21">
        <v>0</v>
      </c>
      <c r="I33" s="21">
        <v>3</v>
      </c>
      <c r="J33" s="21">
        <v>2</v>
      </c>
      <c r="K33" s="21">
        <v>4</v>
      </c>
      <c r="L33" s="21">
        <v>1</v>
      </c>
      <c r="M33" s="21">
        <v>0</v>
      </c>
      <c r="N33" s="21">
        <v>0</v>
      </c>
      <c r="O33" s="21">
        <v>0</v>
      </c>
      <c r="P33" s="21">
        <v>22</v>
      </c>
      <c r="Q33" s="21">
        <v>0</v>
      </c>
      <c r="R33" s="21">
        <v>0</v>
      </c>
      <c r="S33" s="21">
        <v>2</v>
      </c>
      <c r="T33" s="21">
        <v>0</v>
      </c>
      <c r="U33" s="21">
        <v>0</v>
      </c>
      <c r="V33" s="21">
        <v>0</v>
      </c>
      <c r="W33" s="21">
        <v>4</v>
      </c>
      <c r="X33" s="21">
        <v>0</v>
      </c>
      <c r="Y33" s="21">
        <v>0</v>
      </c>
      <c r="Z33" s="21">
        <v>0</v>
      </c>
      <c r="AA33" s="21">
        <v>0</v>
      </c>
      <c r="AB33" s="21">
        <v>0</v>
      </c>
      <c r="AC33" s="21">
        <v>0</v>
      </c>
      <c r="AD33" s="21">
        <v>0</v>
      </c>
      <c r="AE33" s="21">
        <v>0</v>
      </c>
      <c r="AF33" s="21">
        <v>0</v>
      </c>
      <c r="AG33" s="21">
        <v>0</v>
      </c>
      <c r="AH33" s="21">
        <v>0</v>
      </c>
      <c r="AI33" s="67"/>
      <c r="AM33" s="81"/>
      <c r="AN33"/>
    </row>
    <row r="34" spans="1:40">
      <c r="A34" s="19" t="s">
        <v>206</v>
      </c>
      <c r="B34" s="19" t="s">
        <v>209</v>
      </c>
      <c r="C34" s="19" t="s">
        <v>208</v>
      </c>
      <c r="D34" s="20">
        <f t="shared" si="0"/>
        <v>54</v>
      </c>
      <c r="E34" s="21">
        <v>9</v>
      </c>
      <c r="F34" s="21">
        <v>6</v>
      </c>
      <c r="G34" s="21">
        <v>8</v>
      </c>
      <c r="H34" s="21">
        <v>4</v>
      </c>
      <c r="I34" s="21">
        <v>0</v>
      </c>
      <c r="J34" s="21">
        <v>5</v>
      </c>
      <c r="K34" s="21">
        <v>0</v>
      </c>
      <c r="L34" s="21">
        <v>0</v>
      </c>
      <c r="M34" s="21">
        <v>0</v>
      </c>
      <c r="N34" s="21">
        <v>0</v>
      </c>
      <c r="O34" s="21">
        <v>0</v>
      </c>
      <c r="P34" s="21">
        <v>19</v>
      </c>
      <c r="Q34" s="21">
        <v>0</v>
      </c>
      <c r="R34" s="21">
        <v>0</v>
      </c>
      <c r="S34" s="21">
        <v>0</v>
      </c>
      <c r="T34" s="21">
        <v>0</v>
      </c>
      <c r="U34" s="21">
        <v>0</v>
      </c>
      <c r="V34" s="21">
        <v>3</v>
      </c>
      <c r="W34" s="21">
        <v>0</v>
      </c>
      <c r="X34" s="21">
        <v>0</v>
      </c>
      <c r="Y34" s="21">
        <v>0</v>
      </c>
      <c r="Z34" s="21">
        <v>0</v>
      </c>
      <c r="AA34" s="21">
        <v>0</v>
      </c>
      <c r="AB34" s="21">
        <v>0</v>
      </c>
      <c r="AC34" s="21">
        <v>0</v>
      </c>
      <c r="AD34" s="21">
        <v>0</v>
      </c>
      <c r="AE34" s="21">
        <v>0</v>
      </c>
      <c r="AF34" s="21">
        <v>0</v>
      </c>
      <c r="AG34" s="21">
        <v>0</v>
      </c>
      <c r="AH34" s="21">
        <v>0</v>
      </c>
      <c r="AI34" s="67"/>
      <c r="AM34" s="81"/>
      <c r="AN34"/>
    </row>
    <row r="35" spans="1:40">
      <c r="A35" s="19" t="s">
        <v>210</v>
      </c>
      <c r="B35" s="19" t="s">
        <v>211</v>
      </c>
      <c r="C35" s="19" t="s">
        <v>212</v>
      </c>
      <c r="D35" s="20">
        <f t="shared" si="0"/>
        <v>0</v>
      </c>
      <c r="E35" s="21">
        <v>0</v>
      </c>
      <c r="F35" s="21">
        <v>0</v>
      </c>
      <c r="G35" s="21">
        <v>0</v>
      </c>
      <c r="H35" s="21">
        <v>0</v>
      </c>
      <c r="I35" s="21">
        <v>0</v>
      </c>
      <c r="J35" s="21">
        <v>0</v>
      </c>
      <c r="K35" s="21">
        <v>0</v>
      </c>
      <c r="L35" s="21">
        <v>0</v>
      </c>
      <c r="M35" s="21">
        <v>0</v>
      </c>
      <c r="N35" s="21">
        <v>0</v>
      </c>
      <c r="O35" s="21">
        <v>0</v>
      </c>
      <c r="P35" s="21">
        <v>0</v>
      </c>
      <c r="Q35" s="21">
        <v>0</v>
      </c>
      <c r="R35" s="21">
        <v>0</v>
      </c>
      <c r="S35" s="21">
        <v>0</v>
      </c>
      <c r="T35" s="21">
        <v>0</v>
      </c>
      <c r="U35" s="21">
        <v>0</v>
      </c>
      <c r="V35" s="21">
        <v>0</v>
      </c>
      <c r="W35" s="21">
        <v>0</v>
      </c>
      <c r="X35" s="21">
        <v>0</v>
      </c>
      <c r="Y35" s="21">
        <v>0</v>
      </c>
      <c r="Z35" s="21">
        <v>0</v>
      </c>
      <c r="AA35" s="21">
        <v>0</v>
      </c>
      <c r="AB35" s="21">
        <v>0</v>
      </c>
      <c r="AC35" s="21">
        <v>0</v>
      </c>
      <c r="AD35" s="21">
        <v>0</v>
      </c>
      <c r="AE35" s="21">
        <v>0</v>
      </c>
      <c r="AF35" s="21">
        <v>0</v>
      </c>
      <c r="AG35" s="21">
        <v>0</v>
      </c>
      <c r="AH35" s="21">
        <v>0</v>
      </c>
      <c r="AI35" s="68"/>
      <c r="AM35" s="81"/>
      <c r="AN35"/>
    </row>
    <row r="36" spans="1:40" ht="32.1">
      <c r="A36" s="19" t="s">
        <v>213</v>
      </c>
      <c r="B36" s="19" t="s">
        <v>214</v>
      </c>
      <c r="C36" s="19" t="s">
        <v>215</v>
      </c>
      <c r="D36" s="20">
        <f t="shared" si="0"/>
        <v>95058.95000000007</v>
      </c>
      <c r="E36" s="21">
        <v>2831.5999999999985</v>
      </c>
      <c r="F36" s="21">
        <v>30108.090000000018</v>
      </c>
      <c r="G36" s="21">
        <v>16663.120000000043</v>
      </c>
      <c r="H36" s="21">
        <v>1425.66</v>
      </c>
      <c r="I36" s="21">
        <v>1111.3999999999999</v>
      </c>
      <c r="J36" s="21">
        <v>2042.6200000000003</v>
      </c>
      <c r="K36" s="21">
        <v>1686.9400000000007</v>
      </c>
      <c r="L36" s="21">
        <v>1985.4099999999999</v>
      </c>
      <c r="M36" s="21">
        <v>0</v>
      </c>
      <c r="N36" s="21">
        <v>0</v>
      </c>
      <c r="O36" s="21">
        <v>0</v>
      </c>
      <c r="P36" s="21">
        <v>30489.530000000002</v>
      </c>
      <c r="Q36" s="21">
        <v>0</v>
      </c>
      <c r="R36" s="21">
        <v>0</v>
      </c>
      <c r="S36" s="21">
        <v>1019.7399999999998</v>
      </c>
      <c r="T36" s="21">
        <v>0</v>
      </c>
      <c r="U36" s="21">
        <v>0</v>
      </c>
      <c r="V36" s="21">
        <v>3144.8599999999992</v>
      </c>
      <c r="W36" s="21">
        <v>2549.98</v>
      </c>
      <c r="X36" s="21">
        <v>0</v>
      </c>
      <c r="Y36" s="21">
        <v>0</v>
      </c>
      <c r="Z36" s="21">
        <v>0</v>
      </c>
      <c r="AA36" s="21">
        <v>0</v>
      </c>
      <c r="AB36" s="21">
        <v>0</v>
      </c>
      <c r="AC36" s="21">
        <v>0</v>
      </c>
      <c r="AD36" s="21">
        <v>0</v>
      </c>
      <c r="AE36" s="21">
        <v>0</v>
      </c>
      <c r="AF36" s="21">
        <v>0</v>
      </c>
      <c r="AG36" s="21">
        <v>0</v>
      </c>
      <c r="AH36" s="21">
        <v>0</v>
      </c>
      <c r="AI36" s="67"/>
      <c r="AM36" s="81"/>
      <c r="AN36"/>
    </row>
    <row r="37" spans="1:40" ht="32.1">
      <c r="A37" s="19" t="s">
        <v>216</v>
      </c>
      <c r="B37" s="19" t="s">
        <v>217</v>
      </c>
      <c r="C37" s="19" t="s">
        <v>218</v>
      </c>
      <c r="D37" s="20">
        <f t="shared" si="0"/>
        <v>372</v>
      </c>
      <c r="E37" s="21">
        <v>0</v>
      </c>
      <c r="F37" s="21">
        <v>144</v>
      </c>
      <c r="G37" s="21">
        <v>36</v>
      </c>
      <c r="H37" s="21">
        <v>0</v>
      </c>
      <c r="I37" s="21">
        <v>24</v>
      </c>
      <c r="J37" s="21">
        <v>84</v>
      </c>
      <c r="K37" s="21">
        <v>0</v>
      </c>
      <c r="L37" s="21">
        <v>0</v>
      </c>
      <c r="M37" s="21">
        <v>0</v>
      </c>
      <c r="N37" s="21">
        <v>0</v>
      </c>
      <c r="O37" s="21">
        <v>0</v>
      </c>
      <c r="P37" s="21">
        <v>84</v>
      </c>
      <c r="Q37" s="21">
        <v>0</v>
      </c>
      <c r="R37" s="21">
        <v>0</v>
      </c>
      <c r="S37" s="21">
        <v>0</v>
      </c>
      <c r="T37" s="21">
        <v>0</v>
      </c>
      <c r="U37" s="21">
        <v>0</v>
      </c>
      <c r="V37" s="21">
        <v>0</v>
      </c>
      <c r="W37" s="21">
        <v>0</v>
      </c>
      <c r="X37" s="21">
        <v>0</v>
      </c>
      <c r="Y37" s="21">
        <v>0</v>
      </c>
      <c r="Z37" s="21">
        <v>0</v>
      </c>
      <c r="AA37" s="21">
        <v>0</v>
      </c>
      <c r="AB37" s="21">
        <v>0</v>
      </c>
      <c r="AC37" s="21">
        <v>0</v>
      </c>
      <c r="AD37" s="21">
        <v>0</v>
      </c>
      <c r="AE37" s="21">
        <v>0</v>
      </c>
      <c r="AF37" s="21">
        <v>0</v>
      </c>
      <c r="AG37" s="21">
        <v>0</v>
      </c>
      <c r="AH37" s="21">
        <v>0</v>
      </c>
      <c r="AI37" s="68"/>
      <c r="AM37" s="81"/>
      <c r="AN37"/>
    </row>
    <row r="38" spans="1:40" ht="48">
      <c r="A38" s="23" t="s">
        <v>216</v>
      </c>
      <c r="B38" s="19" t="s">
        <v>219</v>
      </c>
      <c r="C38" s="19" t="s">
        <v>218</v>
      </c>
      <c r="D38" s="20">
        <f t="shared" si="0"/>
        <v>321</v>
      </c>
      <c r="E38" s="21">
        <v>0</v>
      </c>
      <c r="F38" s="21">
        <v>104</v>
      </c>
      <c r="G38" s="21">
        <v>78</v>
      </c>
      <c r="H38" s="21">
        <v>0</v>
      </c>
      <c r="I38" s="21">
        <v>24</v>
      </c>
      <c r="J38" s="21">
        <v>60</v>
      </c>
      <c r="K38" s="21">
        <v>0</v>
      </c>
      <c r="L38" s="21">
        <v>0</v>
      </c>
      <c r="M38" s="21">
        <v>0</v>
      </c>
      <c r="N38" s="21">
        <v>0</v>
      </c>
      <c r="O38" s="21">
        <v>0</v>
      </c>
      <c r="P38" s="21">
        <v>55</v>
      </c>
      <c r="Q38" s="21">
        <v>0</v>
      </c>
      <c r="R38" s="21">
        <v>0</v>
      </c>
      <c r="S38" s="21">
        <v>0</v>
      </c>
      <c r="T38" s="21">
        <v>0</v>
      </c>
      <c r="U38" s="21">
        <v>0</v>
      </c>
      <c r="V38" s="21">
        <v>0</v>
      </c>
      <c r="W38" s="21">
        <v>0</v>
      </c>
      <c r="X38" s="21">
        <v>0</v>
      </c>
      <c r="Y38" s="21">
        <v>0</v>
      </c>
      <c r="Z38" s="21">
        <v>0</v>
      </c>
      <c r="AA38" s="21">
        <v>0</v>
      </c>
      <c r="AB38" s="21">
        <v>0</v>
      </c>
      <c r="AC38" s="21">
        <v>0</v>
      </c>
      <c r="AD38" s="21">
        <v>0</v>
      </c>
      <c r="AE38" s="21">
        <v>0</v>
      </c>
      <c r="AF38" s="21">
        <v>0</v>
      </c>
      <c r="AG38" s="21">
        <v>0</v>
      </c>
      <c r="AH38" s="21">
        <v>0</v>
      </c>
      <c r="AI38" s="68"/>
      <c r="AM38" s="81"/>
      <c r="AN38"/>
    </row>
    <row r="39" spans="1:40" ht="48">
      <c r="A39" s="23" t="s">
        <v>216</v>
      </c>
      <c r="B39" s="19" t="s">
        <v>220</v>
      </c>
      <c r="C39" s="19" t="s">
        <v>218</v>
      </c>
      <c r="D39" s="20">
        <f t="shared" si="0"/>
        <v>321</v>
      </c>
      <c r="E39" s="21">
        <v>0</v>
      </c>
      <c r="F39" s="21">
        <v>104</v>
      </c>
      <c r="G39" s="21">
        <v>78</v>
      </c>
      <c r="H39" s="21">
        <v>0</v>
      </c>
      <c r="I39" s="21">
        <v>24</v>
      </c>
      <c r="J39" s="21">
        <v>60</v>
      </c>
      <c r="K39" s="21">
        <v>0</v>
      </c>
      <c r="L39" s="21">
        <v>0</v>
      </c>
      <c r="M39" s="21">
        <v>0</v>
      </c>
      <c r="N39" s="21">
        <v>0</v>
      </c>
      <c r="O39" s="21">
        <v>0</v>
      </c>
      <c r="P39" s="21">
        <v>55</v>
      </c>
      <c r="Q39" s="21">
        <v>0</v>
      </c>
      <c r="R39" s="21">
        <v>0</v>
      </c>
      <c r="S39" s="21">
        <v>0</v>
      </c>
      <c r="T39" s="21">
        <v>0</v>
      </c>
      <c r="U39" s="21">
        <v>0</v>
      </c>
      <c r="V39" s="21">
        <v>0</v>
      </c>
      <c r="W39" s="21">
        <v>0</v>
      </c>
      <c r="X39" s="21">
        <v>0</v>
      </c>
      <c r="Y39" s="21">
        <v>0</v>
      </c>
      <c r="Z39" s="21">
        <v>0</v>
      </c>
      <c r="AA39" s="21">
        <v>0</v>
      </c>
      <c r="AB39" s="21">
        <v>0</v>
      </c>
      <c r="AC39" s="21">
        <v>0</v>
      </c>
      <c r="AD39" s="21">
        <v>0</v>
      </c>
      <c r="AE39" s="21">
        <v>0</v>
      </c>
      <c r="AF39" s="21">
        <v>0</v>
      </c>
      <c r="AG39" s="21">
        <v>0</v>
      </c>
      <c r="AH39" s="21">
        <v>0</v>
      </c>
      <c r="AI39" s="68"/>
      <c r="AM39" s="81"/>
      <c r="AN39"/>
    </row>
    <row r="40" spans="1:40" ht="32.1">
      <c r="A40" s="23"/>
      <c r="B40" s="19" t="s">
        <v>221</v>
      </c>
      <c r="C40" s="19" t="s">
        <v>222</v>
      </c>
      <c r="D40" s="20">
        <f t="shared" si="0"/>
        <v>0</v>
      </c>
      <c r="E40" s="21">
        <v>0</v>
      </c>
      <c r="F40" s="21">
        <v>0</v>
      </c>
      <c r="G40" s="21">
        <v>0</v>
      </c>
      <c r="H40" s="21">
        <v>0</v>
      </c>
      <c r="I40" s="21">
        <v>0</v>
      </c>
      <c r="J40" s="21">
        <v>0</v>
      </c>
      <c r="K40" s="21">
        <v>0</v>
      </c>
      <c r="L40" s="21">
        <v>0</v>
      </c>
      <c r="M40" s="21">
        <v>0</v>
      </c>
      <c r="N40" s="21">
        <v>0</v>
      </c>
      <c r="O40" s="21">
        <v>0</v>
      </c>
      <c r="P40" s="21">
        <v>0</v>
      </c>
      <c r="Q40" s="21">
        <v>0</v>
      </c>
      <c r="R40" s="21">
        <v>0</v>
      </c>
      <c r="S40" s="21">
        <v>0</v>
      </c>
      <c r="T40" s="21">
        <v>0</v>
      </c>
      <c r="U40" s="21">
        <v>0</v>
      </c>
      <c r="V40" s="21">
        <v>0</v>
      </c>
      <c r="W40" s="21">
        <v>0</v>
      </c>
      <c r="X40" s="21">
        <v>0</v>
      </c>
      <c r="Y40" s="21">
        <v>0</v>
      </c>
      <c r="Z40" s="21">
        <v>0</v>
      </c>
      <c r="AA40" s="21">
        <v>0</v>
      </c>
      <c r="AB40" s="21">
        <v>0</v>
      </c>
      <c r="AC40" s="21">
        <v>0</v>
      </c>
      <c r="AD40" s="21">
        <v>0</v>
      </c>
      <c r="AE40" s="21">
        <v>0</v>
      </c>
      <c r="AF40" s="21">
        <v>0</v>
      </c>
      <c r="AG40" s="21">
        <v>0</v>
      </c>
      <c r="AH40" s="21">
        <v>0</v>
      </c>
      <c r="AI40" s="68"/>
      <c r="AM40" s="81"/>
      <c r="AN40"/>
    </row>
    <row r="41" spans="1:40">
      <c r="A41" s="23" t="s">
        <v>223</v>
      </c>
      <c r="B41" s="19" t="s">
        <v>224</v>
      </c>
      <c r="C41" s="19" t="s">
        <v>225</v>
      </c>
      <c r="D41" s="20">
        <f t="shared" si="0"/>
        <v>5</v>
      </c>
      <c r="E41" s="21">
        <v>1</v>
      </c>
      <c r="F41" s="21">
        <v>0</v>
      </c>
      <c r="G41" s="21">
        <v>4</v>
      </c>
      <c r="H41" s="21">
        <v>0</v>
      </c>
      <c r="I41" s="21">
        <v>0</v>
      </c>
      <c r="J41" s="21">
        <v>0</v>
      </c>
      <c r="K41" s="21">
        <v>0</v>
      </c>
      <c r="L41" s="21">
        <v>0</v>
      </c>
      <c r="M41" s="21">
        <v>0</v>
      </c>
      <c r="N41" s="21">
        <v>0</v>
      </c>
      <c r="O41" s="21">
        <v>0</v>
      </c>
      <c r="P41" s="21">
        <v>0</v>
      </c>
      <c r="Q41" s="21">
        <v>0</v>
      </c>
      <c r="R41" s="21">
        <v>0</v>
      </c>
      <c r="S41" s="21">
        <v>0</v>
      </c>
      <c r="T41" s="21">
        <v>0</v>
      </c>
      <c r="U41" s="21">
        <v>0</v>
      </c>
      <c r="V41" s="21">
        <v>0</v>
      </c>
      <c r="W41" s="21">
        <v>0</v>
      </c>
      <c r="X41" s="21">
        <v>0</v>
      </c>
      <c r="Y41" s="21">
        <v>0</v>
      </c>
      <c r="Z41" s="21">
        <v>0</v>
      </c>
      <c r="AA41" s="21">
        <v>0</v>
      </c>
      <c r="AB41" s="21">
        <v>0</v>
      </c>
      <c r="AC41" s="21">
        <v>0</v>
      </c>
      <c r="AD41" s="21">
        <v>0</v>
      </c>
      <c r="AE41" s="21">
        <v>0</v>
      </c>
      <c r="AF41" s="21">
        <v>0</v>
      </c>
      <c r="AG41" s="21">
        <v>0</v>
      </c>
      <c r="AH41" s="21">
        <v>0</v>
      </c>
      <c r="AI41" s="68"/>
      <c r="AM41" s="81"/>
      <c r="AN41"/>
    </row>
    <row r="42" spans="1:40" ht="32.1">
      <c r="A42" s="23"/>
      <c r="B42" s="19" t="s">
        <v>226</v>
      </c>
      <c r="C42" s="27" t="s">
        <v>227</v>
      </c>
      <c r="D42" s="20">
        <f t="shared" si="0"/>
        <v>1</v>
      </c>
      <c r="E42" s="21">
        <v>0</v>
      </c>
      <c r="F42" s="21">
        <v>0</v>
      </c>
      <c r="G42" s="21">
        <v>0</v>
      </c>
      <c r="H42" s="21">
        <v>0</v>
      </c>
      <c r="I42" s="21">
        <v>0</v>
      </c>
      <c r="J42" s="21">
        <v>0</v>
      </c>
      <c r="K42" s="21">
        <v>0</v>
      </c>
      <c r="L42" s="21">
        <v>0</v>
      </c>
      <c r="M42" s="21">
        <v>0</v>
      </c>
      <c r="N42" s="21">
        <v>0</v>
      </c>
      <c r="O42" s="21">
        <v>0</v>
      </c>
      <c r="P42" s="21">
        <v>1</v>
      </c>
      <c r="Q42" s="21">
        <v>0</v>
      </c>
      <c r="R42" s="21">
        <v>0</v>
      </c>
      <c r="S42" s="21">
        <v>0</v>
      </c>
      <c r="T42" s="21">
        <v>0</v>
      </c>
      <c r="U42" s="21">
        <v>0</v>
      </c>
      <c r="V42" s="21">
        <v>0</v>
      </c>
      <c r="W42" s="21">
        <v>0</v>
      </c>
      <c r="X42" s="21">
        <v>0</v>
      </c>
      <c r="Y42" s="21">
        <v>0</v>
      </c>
      <c r="Z42" s="21">
        <v>0</v>
      </c>
      <c r="AA42" s="21">
        <v>0</v>
      </c>
      <c r="AB42" s="21">
        <v>0</v>
      </c>
      <c r="AC42" s="21">
        <v>0</v>
      </c>
      <c r="AD42" s="21">
        <v>0</v>
      </c>
      <c r="AE42" s="21">
        <v>0</v>
      </c>
      <c r="AF42" s="21">
        <v>0</v>
      </c>
      <c r="AG42" s="21">
        <v>0</v>
      </c>
      <c r="AH42" s="21">
        <v>0</v>
      </c>
      <c r="AI42" s="68"/>
      <c r="AM42" s="81"/>
      <c r="AN42"/>
    </row>
    <row r="43" spans="1:40">
      <c r="A43" s="23" t="s">
        <v>228</v>
      </c>
      <c r="B43" s="19" t="s">
        <v>229</v>
      </c>
      <c r="C43" s="19" t="s">
        <v>230</v>
      </c>
      <c r="D43" s="20">
        <f t="shared" si="0"/>
        <v>4</v>
      </c>
      <c r="E43" s="21">
        <v>0</v>
      </c>
      <c r="F43" s="21">
        <v>1</v>
      </c>
      <c r="G43" s="21">
        <v>1</v>
      </c>
      <c r="H43" s="21">
        <v>0</v>
      </c>
      <c r="I43" s="21">
        <v>1</v>
      </c>
      <c r="J43" s="21">
        <v>0</v>
      </c>
      <c r="K43" s="21">
        <v>0</v>
      </c>
      <c r="L43" s="21">
        <v>0</v>
      </c>
      <c r="M43" s="21">
        <v>0</v>
      </c>
      <c r="N43" s="21">
        <v>0</v>
      </c>
      <c r="O43" s="21">
        <v>0</v>
      </c>
      <c r="P43" s="21">
        <v>1</v>
      </c>
      <c r="Q43" s="21">
        <v>0</v>
      </c>
      <c r="R43" s="21">
        <v>0</v>
      </c>
      <c r="S43" s="21">
        <v>0</v>
      </c>
      <c r="T43" s="21">
        <v>0</v>
      </c>
      <c r="U43" s="21">
        <v>0</v>
      </c>
      <c r="V43" s="21">
        <v>0</v>
      </c>
      <c r="W43" s="21">
        <v>0</v>
      </c>
      <c r="X43" s="21">
        <v>0</v>
      </c>
      <c r="Y43" s="21">
        <v>0</v>
      </c>
      <c r="Z43" s="21">
        <v>0</v>
      </c>
      <c r="AA43" s="21">
        <v>0</v>
      </c>
      <c r="AB43" s="21">
        <v>0</v>
      </c>
      <c r="AC43" s="21">
        <v>0</v>
      </c>
      <c r="AD43" s="21">
        <v>0</v>
      </c>
      <c r="AE43" s="21">
        <v>0</v>
      </c>
      <c r="AF43" s="21">
        <v>0</v>
      </c>
      <c r="AG43" s="21">
        <v>0</v>
      </c>
      <c r="AH43" s="21">
        <v>0</v>
      </c>
      <c r="AI43" s="67"/>
      <c r="AM43" s="81"/>
      <c r="AN43"/>
    </row>
    <row r="44" spans="1:40">
      <c r="A44" s="24" t="s">
        <v>231</v>
      </c>
      <c r="B44" s="25"/>
      <c r="C44" s="25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63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67"/>
      <c r="AM44" s="81"/>
      <c r="AN44"/>
    </row>
    <row r="45" spans="1:40">
      <c r="A45" s="23" t="s">
        <v>232</v>
      </c>
      <c r="B45" s="19" t="s">
        <v>233</v>
      </c>
      <c r="C45" s="19" t="s">
        <v>196</v>
      </c>
      <c r="D45" s="20">
        <f t="shared" si="0"/>
        <v>358313.49</v>
      </c>
      <c r="E45" s="21">
        <v>34063.96</v>
      </c>
      <c r="F45" s="21">
        <v>45385.17</v>
      </c>
      <c r="G45" s="21">
        <v>65025.87</v>
      </c>
      <c r="H45" s="21">
        <v>19905.38</v>
      </c>
      <c r="I45" s="21">
        <v>9126.76</v>
      </c>
      <c r="J45" s="21">
        <v>23214.84</v>
      </c>
      <c r="K45" s="21">
        <v>25801.13</v>
      </c>
      <c r="L45" s="21">
        <v>6281.43</v>
      </c>
      <c r="M45" s="21">
        <v>5966.79</v>
      </c>
      <c r="N45" s="21">
        <v>5881.6</v>
      </c>
      <c r="O45" s="21">
        <v>11139.24</v>
      </c>
      <c r="P45" s="21">
        <v>47280.82</v>
      </c>
      <c r="Q45" s="21">
        <v>346.02</v>
      </c>
      <c r="R45" s="21">
        <v>246.15</v>
      </c>
      <c r="S45" s="21">
        <v>2161.0100000000002</v>
      </c>
      <c r="T45" s="21">
        <v>394.06</v>
      </c>
      <c r="U45" s="21">
        <v>713.76</v>
      </c>
      <c r="V45" s="21">
        <v>29954.400000000001</v>
      </c>
      <c r="W45" s="21">
        <v>5897.93</v>
      </c>
      <c r="X45" s="21">
        <v>2244.65</v>
      </c>
      <c r="Y45" s="21">
        <v>325.8</v>
      </c>
      <c r="Z45" s="21">
        <v>354.72</v>
      </c>
      <c r="AA45" s="21">
        <v>622.05999999999995</v>
      </c>
      <c r="AB45" s="21">
        <v>2011.32</v>
      </c>
      <c r="AC45" s="21">
        <v>1165.23</v>
      </c>
      <c r="AD45" s="21">
        <v>32.14</v>
      </c>
      <c r="AE45" s="21">
        <v>65.290000000000006</v>
      </c>
      <c r="AF45" s="21">
        <v>10928.23</v>
      </c>
      <c r="AG45" s="21">
        <v>158.35</v>
      </c>
      <c r="AH45" s="21">
        <v>1619.38</v>
      </c>
      <c r="AI45" s="67"/>
      <c r="AM45" s="81"/>
      <c r="AN45"/>
    </row>
    <row r="46" spans="1:40">
      <c r="A46" s="23" t="s">
        <v>234</v>
      </c>
      <c r="B46" s="19" t="s">
        <v>235</v>
      </c>
      <c r="C46" s="19" t="s">
        <v>236</v>
      </c>
      <c r="D46" s="20">
        <f t="shared" si="0"/>
        <v>1186</v>
      </c>
      <c r="E46" s="21">
        <v>390</v>
      </c>
      <c r="F46" s="21">
        <v>102</v>
      </c>
      <c r="G46" s="21">
        <v>107</v>
      </c>
      <c r="H46" s="21">
        <v>102</v>
      </c>
      <c r="I46" s="21">
        <v>15</v>
      </c>
      <c r="J46" s="21">
        <v>148</v>
      </c>
      <c r="K46" s="21">
        <v>108</v>
      </c>
      <c r="L46" s="21">
        <v>28</v>
      </c>
      <c r="M46" s="21">
        <v>10</v>
      </c>
      <c r="N46" s="21">
        <v>0</v>
      </c>
      <c r="O46" s="21">
        <v>18</v>
      </c>
      <c r="P46" s="21">
        <v>45</v>
      </c>
      <c r="Q46" s="21">
        <v>0</v>
      </c>
      <c r="R46" s="21">
        <v>14</v>
      </c>
      <c r="S46" s="21">
        <v>12</v>
      </c>
      <c r="T46" s="21"/>
      <c r="U46" s="21"/>
      <c r="V46" s="21">
        <v>20</v>
      </c>
      <c r="W46" s="21">
        <v>15</v>
      </c>
      <c r="X46" s="21">
        <v>9</v>
      </c>
      <c r="Y46" s="21">
        <v>0</v>
      </c>
      <c r="Z46" s="21">
        <v>4</v>
      </c>
      <c r="AA46" s="21">
        <v>0</v>
      </c>
      <c r="AB46" s="21">
        <v>4</v>
      </c>
      <c r="AC46" s="21">
        <v>4</v>
      </c>
      <c r="AD46" s="21">
        <v>0</v>
      </c>
      <c r="AE46" s="21">
        <v>0</v>
      </c>
      <c r="AF46" s="21">
        <v>8</v>
      </c>
      <c r="AG46" s="21">
        <v>8</v>
      </c>
      <c r="AH46" s="21">
        <v>15</v>
      </c>
      <c r="AI46" s="67"/>
      <c r="AM46" s="81"/>
      <c r="AN46"/>
    </row>
    <row r="47" spans="1:40">
      <c r="A47" s="23" t="s">
        <v>237</v>
      </c>
      <c r="B47" s="19" t="s">
        <v>238</v>
      </c>
      <c r="C47" s="19" t="s">
        <v>239</v>
      </c>
      <c r="D47" s="20">
        <f t="shared" si="0"/>
        <v>1237</v>
      </c>
      <c r="E47" s="22">
        <v>85</v>
      </c>
      <c r="F47" s="22">
        <v>255</v>
      </c>
      <c r="G47" s="22">
        <v>325</v>
      </c>
      <c r="H47" s="22">
        <v>8</v>
      </c>
      <c r="I47" s="22">
        <v>17</v>
      </c>
      <c r="J47" s="22">
        <v>146</v>
      </c>
      <c r="K47" s="22">
        <v>42</v>
      </c>
      <c r="L47" s="21">
        <v>0</v>
      </c>
      <c r="M47" s="22">
        <v>11</v>
      </c>
      <c r="N47" s="21">
        <v>0</v>
      </c>
      <c r="O47" s="21">
        <v>0</v>
      </c>
      <c r="P47" s="22">
        <v>324</v>
      </c>
      <c r="Q47" s="21">
        <v>0</v>
      </c>
      <c r="R47" s="21">
        <v>0</v>
      </c>
      <c r="S47" s="21">
        <v>0</v>
      </c>
      <c r="T47" s="21">
        <v>0</v>
      </c>
      <c r="U47" s="21">
        <v>0</v>
      </c>
      <c r="V47" s="21">
        <v>0</v>
      </c>
      <c r="W47" s="22">
        <v>24</v>
      </c>
      <c r="X47" s="21">
        <v>0</v>
      </c>
      <c r="Y47" s="21">
        <v>0</v>
      </c>
      <c r="Z47" s="21">
        <v>0</v>
      </c>
      <c r="AA47" s="21">
        <v>0</v>
      </c>
      <c r="AB47" s="21">
        <v>0</v>
      </c>
      <c r="AC47" s="21">
        <v>0</v>
      </c>
      <c r="AD47" s="21">
        <v>0</v>
      </c>
      <c r="AE47" s="21">
        <v>0</v>
      </c>
      <c r="AF47" s="21">
        <v>0</v>
      </c>
      <c r="AG47" s="21">
        <v>0</v>
      </c>
      <c r="AH47" s="21">
        <v>0</v>
      </c>
      <c r="AI47" s="67"/>
      <c r="AM47" s="81"/>
      <c r="AN47"/>
    </row>
    <row r="48" spans="1:40">
      <c r="A48" s="23" t="s">
        <v>240</v>
      </c>
      <c r="B48" s="19" t="s">
        <v>241</v>
      </c>
      <c r="C48" s="19" t="s">
        <v>242</v>
      </c>
      <c r="D48" s="20">
        <f t="shared" si="0"/>
        <v>0</v>
      </c>
      <c r="E48" s="21">
        <v>0</v>
      </c>
      <c r="F48" s="21">
        <v>0</v>
      </c>
      <c r="G48" s="21">
        <v>0</v>
      </c>
      <c r="H48" s="21">
        <v>0</v>
      </c>
      <c r="I48" s="21">
        <v>0</v>
      </c>
      <c r="J48" s="21">
        <v>0</v>
      </c>
      <c r="K48" s="21">
        <v>0</v>
      </c>
      <c r="L48" s="21">
        <v>0</v>
      </c>
      <c r="M48" s="21">
        <v>0</v>
      </c>
      <c r="N48" s="21">
        <v>0</v>
      </c>
      <c r="O48" s="21">
        <v>0</v>
      </c>
      <c r="P48" s="21">
        <v>0</v>
      </c>
      <c r="Q48" s="21">
        <v>0</v>
      </c>
      <c r="R48" s="21">
        <v>0</v>
      </c>
      <c r="S48" s="21">
        <v>0</v>
      </c>
      <c r="T48" s="21">
        <v>0</v>
      </c>
      <c r="U48" s="21">
        <v>0</v>
      </c>
      <c r="V48" s="21">
        <v>0</v>
      </c>
      <c r="W48" s="21">
        <v>0</v>
      </c>
      <c r="X48" s="21">
        <v>0</v>
      </c>
      <c r="Y48" s="21">
        <v>0</v>
      </c>
      <c r="Z48" s="21">
        <v>0</v>
      </c>
      <c r="AA48" s="21">
        <v>0</v>
      </c>
      <c r="AB48" s="21">
        <v>0</v>
      </c>
      <c r="AC48" s="21">
        <v>0</v>
      </c>
      <c r="AD48" s="21">
        <v>0</v>
      </c>
      <c r="AE48" s="21">
        <v>0</v>
      </c>
      <c r="AF48" s="21">
        <v>0</v>
      </c>
      <c r="AG48" s="21">
        <v>0</v>
      </c>
      <c r="AH48" s="21">
        <v>0</v>
      </c>
      <c r="AI48" s="68"/>
      <c r="AM48" s="81"/>
      <c r="AN48"/>
    </row>
    <row r="49" spans="1:40">
      <c r="A49" s="23" t="s">
        <v>243</v>
      </c>
      <c r="B49" s="19" t="s">
        <v>244</v>
      </c>
      <c r="C49" s="19" t="s">
        <v>245</v>
      </c>
      <c r="D49" s="20">
        <f t="shared" si="0"/>
        <v>1567.04</v>
      </c>
      <c r="E49" s="21">
        <v>0</v>
      </c>
      <c r="F49" s="22">
        <v>346.3</v>
      </c>
      <c r="G49" s="22">
        <v>345</v>
      </c>
      <c r="H49" s="21">
        <v>0</v>
      </c>
      <c r="I49" s="22">
        <v>180</v>
      </c>
      <c r="J49" s="21">
        <v>0</v>
      </c>
      <c r="K49" s="21">
        <v>0</v>
      </c>
      <c r="L49" s="22">
        <v>20</v>
      </c>
      <c r="M49" s="21">
        <v>0</v>
      </c>
      <c r="N49" s="21">
        <v>0</v>
      </c>
      <c r="O49" s="21">
        <v>0</v>
      </c>
      <c r="P49" s="21">
        <v>0</v>
      </c>
      <c r="Q49" s="21">
        <v>0</v>
      </c>
      <c r="R49" s="21">
        <v>0</v>
      </c>
      <c r="S49" s="21">
        <v>0</v>
      </c>
      <c r="T49" s="21">
        <v>0</v>
      </c>
      <c r="U49" s="21">
        <v>0</v>
      </c>
      <c r="V49" s="21">
        <v>0</v>
      </c>
      <c r="W49" s="21">
        <v>0</v>
      </c>
      <c r="X49" s="21">
        <v>0</v>
      </c>
      <c r="Y49" s="21">
        <v>0</v>
      </c>
      <c r="Z49" s="21">
        <v>0</v>
      </c>
      <c r="AA49" s="21">
        <v>0</v>
      </c>
      <c r="AB49" s="22">
        <v>480.1</v>
      </c>
      <c r="AC49" s="21">
        <v>0</v>
      </c>
      <c r="AD49" s="21">
        <v>0</v>
      </c>
      <c r="AE49" s="21">
        <v>0</v>
      </c>
      <c r="AF49" s="21">
        <v>0</v>
      </c>
      <c r="AG49" s="21">
        <v>0</v>
      </c>
      <c r="AH49" s="22">
        <v>195.64</v>
      </c>
      <c r="AI49" s="68"/>
      <c r="AM49" s="81"/>
      <c r="AN49"/>
    </row>
    <row r="50" spans="1:40">
      <c r="A50" s="23" t="s">
        <v>246</v>
      </c>
      <c r="B50" s="19" t="s">
        <v>247</v>
      </c>
      <c r="C50" s="19" t="s">
        <v>248</v>
      </c>
      <c r="D50" s="20">
        <f t="shared" si="0"/>
        <v>8</v>
      </c>
      <c r="E50" s="21">
        <v>0</v>
      </c>
      <c r="F50" s="22">
        <v>1</v>
      </c>
      <c r="G50" s="22">
        <v>1</v>
      </c>
      <c r="H50" s="21">
        <v>0</v>
      </c>
      <c r="I50" s="22">
        <v>1</v>
      </c>
      <c r="J50" s="22">
        <v>1</v>
      </c>
      <c r="K50" s="21">
        <v>0</v>
      </c>
      <c r="L50" s="22">
        <v>1</v>
      </c>
      <c r="M50" s="22">
        <v>2</v>
      </c>
      <c r="N50" s="21">
        <v>0</v>
      </c>
      <c r="O50" s="21">
        <v>0</v>
      </c>
      <c r="P50" s="22">
        <v>1</v>
      </c>
      <c r="Q50" s="21">
        <v>0</v>
      </c>
      <c r="R50" s="21">
        <v>0</v>
      </c>
      <c r="S50" s="21">
        <v>0</v>
      </c>
      <c r="T50" s="21">
        <v>0</v>
      </c>
      <c r="U50" s="21">
        <v>0</v>
      </c>
      <c r="V50" s="21">
        <v>0</v>
      </c>
      <c r="W50" s="21">
        <v>0</v>
      </c>
      <c r="X50" s="21">
        <v>0</v>
      </c>
      <c r="Y50" s="21">
        <v>0</v>
      </c>
      <c r="Z50" s="21">
        <v>0</v>
      </c>
      <c r="AA50" s="21">
        <v>0</v>
      </c>
      <c r="AB50" s="21">
        <v>0</v>
      </c>
      <c r="AC50" s="21">
        <v>0</v>
      </c>
      <c r="AD50" s="21">
        <v>0</v>
      </c>
      <c r="AE50" s="21">
        <v>0</v>
      </c>
      <c r="AF50" s="21">
        <v>0</v>
      </c>
      <c r="AG50" s="21">
        <v>0</v>
      </c>
      <c r="AH50" s="21">
        <v>0</v>
      </c>
      <c r="AI50" s="68"/>
      <c r="AM50" s="81"/>
      <c r="AN50"/>
    </row>
    <row r="51" spans="1:40">
      <c r="A51" s="23" t="s">
        <v>249</v>
      </c>
      <c r="B51" s="19" t="s">
        <v>250</v>
      </c>
      <c r="C51" s="19" t="s">
        <v>236</v>
      </c>
      <c r="D51" s="20">
        <f t="shared" si="0"/>
        <v>2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2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68"/>
      <c r="AM51" s="81"/>
      <c r="AN51"/>
    </row>
    <row r="52" spans="1:40">
      <c r="A52" s="23" t="s">
        <v>251</v>
      </c>
      <c r="B52" s="19" t="s">
        <v>252</v>
      </c>
      <c r="C52" s="19" t="s">
        <v>253</v>
      </c>
      <c r="D52" s="20">
        <f t="shared" si="0"/>
        <v>33</v>
      </c>
      <c r="E52" s="22">
        <v>4</v>
      </c>
      <c r="F52" s="22">
        <v>5</v>
      </c>
      <c r="G52" s="22">
        <v>4</v>
      </c>
      <c r="H52" s="22">
        <v>3</v>
      </c>
      <c r="I52" s="22">
        <v>2</v>
      </c>
      <c r="J52" s="22">
        <v>2</v>
      </c>
      <c r="K52" s="22">
        <v>2</v>
      </c>
      <c r="L52" s="22">
        <v>2</v>
      </c>
      <c r="M52" s="21">
        <v>0</v>
      </c>
      <c r="N52" s="21">
        <v>0</v>
      </c>
      <c r="O52" s="21">
        <v>0</v>
      </c>
      <c r="P52" s="22">
        <v>7</v>
      </c>
      <c r="Q52" s="21">
        <v>0</v>
      </c>
      <c r="R52" s="21">
        <v>0</v>
      </c>
      <c r="S52" s="21">
        <v>0</v>
      </c>
      <c r="T52" s="21">
        <v>0</v>
      </c>
      <c r="U52" s="21">
        <v>0</v>
      </c>
      <c r="V52" s="21">
        <v>1</v>
      </c>
      <c r="W52" s="21">
        <v>0</v>
      </c>
      <c r="X52" s="21">
        <v>0</v>
      </c>
      <c r="Y52" s="21">
        <v>0</v>
      </c>
      <c r="Z52" s="21">
        <v>0</v>
      </c>
      <c r="AA52" s="21">
        <v>0</v>
      </c>
      <c r="AB52" s="21">
        <v>0</v>
      </c>
      <c r="AC52" s="21">
        <v>0</v>
      </c>
      <c r="AD52" s="21">
        <v>0</v>
      </c>
      <c r="AE52" s="21">
        <v>0</v>
      </c>
      <c r="AF52" s="21">
        <v>0</v>
      </c>
      <c r="AG52" s="21">
        <v>0</v>
      </c>
      <c r="AH52" s="22">
        <v>1</v>
      </c>
      <c r="AI52" s="68"/>
      <c r="AM52" s="81"/>
      <c r="AN52"/>
    </row>
    <row r="53" spans="1:40">
      <c r="A53" s="23" t="s">
        <v>254</v>
      </c>
      <c r="B53" s="19" t="s">
        <v>255</v>
      </c>
      <c r="C53" s="19" t="s">
        <v>256</v>
      </c>
      <c r="D53" s="20">
        <f t="shared" si="0"/>
        <v>12</v>
      </c>
      <c r="E53" s="21">
        <v>0</v>
      </c>
      <c r="F53" s="22">
        <v>2</v>
      </c>
      <c r="G53" s="22">
        <v>2</v>
      </c>
      <c r="H53" s="22">
        <v>1</v>
      </c>
      <c r="I53" s="21">
        <v>0</v>
      </c>
      <c r="J53" s="22">
        <v>1</v>
      </c>
      <c r="K53" s="22">
        <v>1</v>
      </c>
      <c r="L53" s="21">
        <v>0</v>
      </c>
      <c r="M53" s="21">
        <v>0</v>
      </c>
      <c r="N53" s="21">
        <v>0</v>
      </c>
      <c r="O53" s="21">
        <v>0</v>
      </c>
      <c r="P53" s="22">
        <v>3</v>
      </c>
      <c r="Q53" s="21">
        <v>0</v>
      </c>
      <c r="R53" s="21">
        <v>0</v>
      </c>
      <c r="S53" s="21">
        <v>0</v>
      </c>
      <c r="T53" s="21">
        <v>0</v>
      </c>
      <c r="U53" s="21">
        <v>0</v>
      </c>
      <c r="V53" s="21">
        <v>2</v>
      </c>
      <c r="W53" s="21">
        <v>0</v>
      </c>
      <c r="X53" s="21">
        <v>0</v>
      </c>
      <c r="Y53" s="21">
        <v>0</v>
      </c>
      <c r="Z53" s="21">
        <v>0</v>
      </c>
      <c r="AA53" s="21">
        <v>0</v>
      </c>
      <c r="AB53" s="21">
        <v>0</v>
      </c>
      <c r="AC53" s="21">
        <v>0</v>
      </c>
      <c r="AD53" s="21">
        <v>0</v>
      </c>
      <c r="AE53" s="21">
        <v>0</v>
      </c>
      <c r="AF53" s="21">
        <v>0</v>
      </c>
      <c r="AG53" s="21">
        <v>0</v>
      </c>
      <c r="AH53" s="21">
        <v>0</v>
      </c>
      <c r="AI53" s="68"/>
      <c r="AM53" s="81"/>
      <c r="AN53"/>
    </row>
    <row r="54" spans="1:40">
      <c r="A54" s="23" t="s">
        <v>257</v>
      </c>
      <c r="B54" s="19" t="s">
        <v>258</v>
      </c>
      <c r="C54" s="19" t="s">
        <v>259</v>
      </c>
      <c r="D54" s="20">
        <f t="shared" si="0"/>
        <v>13</v>
      </c>
      <c r="E54" s="21">
        <v>2</v>
      </c>
      <c r="F54" s="21">
        <v>0</v>
      </c>
      <c r="G54" s="21">
        <v>1</v>
      </c>
      <c r="H54" s="21">
        <v>1</v>
      </c>
      <c r="I54" s="21">
        <v>1</v>
      </c>
      <c r="J54" s="21">
        <v>2</v>
      </c>
      <c r="K54" s="21">
        <v>1</v>
      </c>
      <c r="L54" s="21">
        <v>1</v>
      </c>
      <c r="M54" s="21">
        <v>1</v>
      </c>
      <c r="N54" s="21">
        <v>1</v>
      </c>
      <c r="O54" s="21">
        <v>0</v>
      </c>
      <c r="P54" s="21">
        <v>0</v>
      </c>
      <c r="Q54" s="21">
        <v>0</v>
      </c>
      <c r="R54" s="21">
        <v>0</v>
      </c>
      <c r="S54" s="21">
        <v>0</v>
      </c>
      <c r="T54" s="21">
        <v>0</v>
      </c>
      <c r="U54" s="21">
        <v>0</v>
      </c>
      <c r="V54" s="21">
        <v>0</v>
      </c>
      <c r="W54" s="21">
        <v>1</v>
      </c>
      <c r="X54" s="21">
        <v>0</v>
      </c>
      <c r="Y54" s="21">
        <v>0</v>
      </c>
      <c r="Z54" s="21">
        <v>0</v>
      </c>
      <c r="AA54" s="21">
        <v>0</v>
      </c>
      <c r="AB54" s="21">
        <v>0</v>
      </c>
      <c r="AC54" s="21">
        <v>0</v>
      </c>
      <c r="AD54" s="21">
        <v>0</v>
      </c>
      <c r="AE54" s="21">
        <v>0</v>
      </c>
      <c r="AF54" s="21">
        <v>0</v>
      </c>
      <c r="AG54" s="21">
        <v>0</v>
      </c>
      <c r="AH54" s="21">
        <v>1</v>
      </c>
      <c r="AI54" s="67"/>
      <c r="AM54" s="81"/>
      <c r="AN54"/>
    </row>
    <row r="55" spans="1:40">
      <c r="A55" s="23" t="s">
        <v>257</v>
      </c>
      <c r="B55" s="19" t="s">
        <v>260</v>
      </c>
      <c r="C55" s="19" t="s">
        <v>259</v>
      </c>
      <c r="D55" s="20">
        <f t="shared" si="0"/>
        <v>4</v>
      </c>
      <c r="E55" s="21">
        <v>0</v>
      </c>
      <c r="F55" s="22">
        <v>2</v>
      </c>
      <c r="G55" s="21">
        <v>0</v>
      </c>
      <c r="H55" s="21">
        <v>0</v>
      </c>
      <c r="I55" s="22">
        <v>1</v>
      </c>
      <c r="J55" s="22">
        <v>1</v>
      </c>
      <c r="K55" s="21">
        <v>0</v>
      </c>
      <c r="L55" s="21">
        <v>0</v>
      </c>
      <c r="M55" s="21">
        <v>0</v>
      </c>
      <c r="N55" s="21">
        <v>0</v>
      </c>
      <c r="O55" s="21">
        <v>0</v>
      </c>
      <c r="P55" s="21">
        <v>0</v>
      </c>
      <c r="Q55" s="21">
        <v>0</v>
      </c>
      <c r="R55" s="21">
        <v>0</v>
      </c>
      <c r="S55" s="21">
        <v>0</v>
      </c>
      <c r="T55" s="21">
        <v>0</v>
      </c>
      <c r="U55" s="21">
        <v>0</v>
      </c>
      <c r="V55" s="21">
        <v>0</v>
      </c>
      <c r="W55" s="21">
        <v>0</v>
      </c>
      <c r="X55" s="21">
        <v>0</v>
      </c>
      <c r="Y55" s="21">
        <v>0</v>
      </c>
      <c r="Z55" s="21">
        <v>0</v>
      </c>
      <c r="AA55" s="21">
        <v>0</v>
      </c>
      <c r="AB55" s="21">
        <v>0</v>
      </c>
      <c r="AC55" s="21">
        <v>0</v>
      </c>
      <c r="AD55" s="21">
        <v>0</v>
      </c>
      <c r="AE55" s="21">
        <v>0</v>
      </c>
      <c r="AF55" s="21">
        <v>0</v>
      </c>
      <c r="AG55" s="21">
        <v>0</v>
      </c>
      <c r="AH55" s="21">
        <v>0</v>
      </c>
      <c r="AI55" s="67"/>
      <c r="AM55" s="81"/>
      <c r="AN55"/>
    </row>
    <row r="56" spans="1:40">
      <c r="A56" s="23" t="s">
        <v>257</v>
      </c>
      <c r="B56" s="19" t="s">
        <v>261</v>
      </c>
      <c r="C56" s="19" t="s">
        <v>259</v>
      </c>
      <c r="D56" s="20">
        <f t="shared" si="0"/>
        <v>2</v>
      </c>
      <c r="E56" s="21">
        <v>0</v>
      </c>
      <c r="F56" s="21">
        <v>0</v>
      </c>
      <c r="G56" s="22">
        <v>2</v>
      </c>
      <c r="H56" s="21">
        <v>0</v>
      </c>
      <c r="I56" s="21">
        <v>0</v>
      </c>
      <c r="J56" s="21">
        <v>0</v>
      </c>
      <c r="K56" s="21">
        <v>0</v>
      </c>
      <c r="L56" s="21">
        <v>0</v>
      </c>
      <c r="M56" s="21">
        <v>0</v>
      </c>
      <c r="N56" s="21">
        <v>0</v>
      </c>
      <c r="O56" s="21">
        <v>0</v>
      </c>
      <c r="P56" s="21">
        <v>0</v>
      </c>
      <c r="Q56" s="21">
        <v>0</v>
      </c>
      <c r="R56" s="21">
        <v>0</v>
      </c>
      <c r="S56" s="21">
        <v>0</v>
      </c>
      <c r="T56" s="21">
        <v>0</v>
      </c>
      <c r="U56" s="21">
        <v>0</v>
      </c>
      <c r="V56" s="21">
        <v>0</v>
      </c>
      <c r="W56" s="21">
        <v>0</v>
      </c>
      <c r="X56" s="21">
        <v>0</v>
      </c>
      <c r="Y56" s="21">
        <v>0</v>
      </c>
      <c r="Z56" s="21">
        <v>0</v>
      </c>
      <c r="AA56" s="21">
        <v>0</v>
      </c>
      <c r="AB56" s="21">
        <v>0</v>
      </c>
      <c r="AC56" s="21">
        <v>0</v>
      </c>
      <c r="AD56" s="21">
        <v>0</v>
      </c>
      <c r="AE56" s="21">
        <v>0</v>
      </c>
      <c r="AF56" s="21">
        <v>0</v>
      </c>
      <c r="AG56" s="21">
        <v>0</v>
      </c>
      <c r="AH56" s="21">
        <v>0</v>
      </c>
      <c r="AI56" s="67"/>
      <c r="AM56" s="81"/>
      <c r="AN56"/>
    </row>
    <row r="57" spans="1:40">
      <c r="A57" s="23" t="s">
        <v>262</v>
      </c>
      <c r="B57" s="19" t="s">
        <v>263</v>
      </c>
      <c r="C57" s="19" t="s">
        <v>259</v>
      </c>
      <c r="D57" s="20">
        <f t="shared" si="0"/>
        <v>8</v>
      </c>
      <c r="E57" s="21">
        <v>0</v>
      </c>
      <c r="F57" s="21">
        <v>0</v>
      </c>
      <c r="G57" s="21">
        <v>0</v>
      </c>
      <c r="H57" s="21">
        <v>0</v>
      </c>
      <c r="I57" s="21">
        <v>0</v>
      </c>
      <c r="J57" s="21">
        <v>0</v>
      </c>
      <c r="K57" s="21">
        <v>0</v>
      </c>
      <c r="L57" s="21">
        <v>0</v>
      </c>
      <c r="M57" s="21">
        <v>0</v>
      </c>
      <c r="N57" s="21">
        <v>0</v>
      </c>
      <c r="O57" s="21">
        <v>0</v>
      </c>
      <c r="P57" s="22">
        <v>4</v>
      </c>
      <c r="Q57" s="21">
        <v>0</v>
      </c>
      <c r="R57" s="21">
        <v>0</v>
      </c>
      <c r="S57" s="21">
        <v>0</v>
      </c>
      <c r="T57" s="21">
        <v>0</v>
      </c>
      <c r="U57" s="21">
        <v>0</v>
      </c>
      <c r="V57" s="21">
        <v>2</v>
      </c>
      <c r="W57" s="22">
        <v>2</v>
      </c>
      <c r="X57" s="21">
        <v>0</v>
      </c>
      <c r="Y57" s="21">
        <v>0</v>
      </c>
      <c r="Z57" s="21">
        <v>0</v>
      </c>
      <c r="AA57" s="21">
        <v>0</v>
      </c>
      <c r="AB57" s="21">
        <v>0</v>
      </c>
      <c r="AC57" s="21">
        <v>0</v>
      </c>
      <c r="AD57" s="21">
        <v>0</v>
      </c>
      <c r="AE57" s="21">
        <v>0</v>
      </c>
      <c r="AF57" s="21">
        <v>0</v>
      </c>
      <c r="AG57" s="21">
        <v>0</v>
      </c>
      <c r="AH57" s="21">
        <v>0</v>
      </c>
      <c r="AI57" s="67"/>
      <c r="AM57" s="81"/>
      <c r="AN57"/>
    </row>
    <row r="58" spans="1:40">
      <c r="A58" s="23"/>
      <c r="B58" s="19" t="s">
        <v>264</v>
      </c>
      <c r="C58" s="19" t="s">
        <v>265</v>
      </c>
      <c r="D58" s="20">
        <f t="shared" si="0"/>
        <v>16</v>
      </c>
      <c r="E58" s="21">
        <v>0</v>
      </c>
      <c r="F58" s="22">
        <v>0</v>
      </c>
      <c r="G58" s="22">
        <v>4</v>
      </c>
      <c r="H58" s="21">
        <v>0</v>
      </c>
      <c r="I58" s="22">
        <v>2</v>
      </c>
      <c r="J58" s="22">
        <v>1</v>
      </c>
      <c r="K58" s="22">
        <v>1</v>
      </c>
      <c r="L58" s="22">
        <v>1</v>
      </c>
      <c r="M58" s="22">
        <v>1</v>
      </c>
      <c r="N58" s="22">
        <v>1</v>
      </c>
      <c r="O58" s="21">
        <v>0</v>
      </c>
      <c r="P58" s="22">
        <v>3</v>
      </c>
      <c r="Q58" s="21">
        <v>0</v>
      </c>
      <c r="R58" s="21">
        <v>0</v>
      </c>
      <c r="S58" s="21">
        <v>0</v>
      </c>
      <c r="T58" s="21">
        <v>0</v>
      </c>
      <c r="U58" s="21">
        <v>0</v>
      </c>
      <c r="V58" s="21">
        <v>0</v>
      </c>
      <c r="W58" s="21">
        <v>0</v>
      </c>
      <c r="X58" s="21">
        <v>0</v>
      </c>
      <c r="Y58" s="21">
        <v>0</v>
      </c>
      <c r="Z58" s="21">
        <v>0</v>
      </c>
      <c r="AA58" s="21">
        <v>0</v>
      </c>
      <c r="AB58" s="21">
        <v>0</v>
      </c>
      <c r="AC58" s="22">
        <v>1</v>
      </c>
      <c r="AD58" s="21">
        <v>0</v>
      </c>
      <c r="AE58" s="21">
        <v>0</v>
      </c>
      <c r="AF58" s="22">
        <v>1</v>
      </c>
      <c r="AG58" s="21">
        <v>0</v>
      </c>
      <c r="AH58" s="21">
        <v>0</v>
      </c>
      <c r="AI58" s="67"/>
      <c r="AM58" s="81"/>
      <c r="AN58"/>
    </row>
    <row r="59" spans="1:40">
      <c r="A59" s="23" t="s">
        <v>262</v>
      </c>
      <c r="B59" s="19" t="s">
        <v>266</v>
      </c>
      <c r="C59" s="19" t="s">
        <v>265</v>
      </c>
      <c r="D59" s="20">
        <f t="shared" si="0"/>
        <v>19</v>
      </c>
      <c r="E59" s="21">
        <v>4</v>
      </c>
      <c r="F59" s="21">
        <v>0</v>
      </c>
      <c r="G59" s="21">
        <v>11</v>
      </c>
      <c r="H59" s="21">
        <v>0</v>
      </c>
      <c r="I59" s="21">
        <v>1</v>
      </c>
      <c r="J59" s="21">
        <v>0</v>
      </c>
      <c r="K59" s="21">
        <v>2</v>
      </c>
      <c r="L59" s="21">
        <v>0</v>
      </c>
      <c r="M59" s="21">
        <v>0</v>
      </c>
      <c r="N59" s="21">
        <v>0</v>
      </c>
      <c r="O59" s="21">
        <v>0</v>
      </c>
      <c r="P59" s="21">
        <v>0</v>
      </c>
      <c r="Q59" s="21">
        <v>0</v>
      </c>
      <c r="R59" s="21">
        <v>0</v>
      </c>
      <c r="S59" s="21">
        <v>0</v>
      </c>
      <c r="T59" s="21">
        <v>0</v>
      </c>
      <c r="U59" s="21">
        <v>0</v>
      </c>
      <c r="V59" s="21">
        <v>0</v>
      </c>
      <c r="W59" s="21">
        <v>1</v>
      </c>
      <c r="X59" s="21">
        <v>0</v>
      </c>
      <c r="Y59" s="21">
        <v>0</v>
      </c>
      <c r="Z59" s="21">
        <v>0</v>
      </c>
      <c r="AA59" s="21">
        <v>0</v>
      </c>
      <c r="AB59" s="21">
        <v>0</v>
      </c>
      <c r="AC59" s="21">
        <v>0</v>
      </c>
      <c r="AD59" s="21">
        <v>0</v>
      </c>
      <c r="AE59" s="21">
        <v>0</v>
      </c>
      <c r="AF59" s="21">
        <v>0</v>
      </c>
      <c r="AG59" s="21">
        <v>0</v>
      </c>
      <c r="AH59" s="21">
        <v>0</v>
      </c>
      <c r="AI59" s="67"/>
      <c r="AM59" s="81"/>
      <c r="AN59"/>
    </row>
    <row r="60" spans="1:40">
      <c r="A60" s="23" t="s">
        <v>262</v>
      </c>
      <c r="B60" s="19" t="s">
        <v>267</v>
      </c>
      <c r="C60" s="19" t="s">
        <v>265</v>
      </c>
      <c r="D60" s="20">
        <f t="shared" si="0"/>
        <v>3</v>
      </c>
      <c r="E60" s="21">
        <v>0</v>
      </c>
      <c r="F60" s="21">
        <v>0</v>
      </c>
      <c r="G60" s="22">
        <v>2</v>
      </c>
      <c r="H60" s="21">
        <v>0</v>
      </c>
      <c r="I60" s="22">
        <v>1</v>
      </c>
      <c r="J60" s="21">
        <v>0</v>
      </c>
      <c r="K60" s="21">
        <v>0</v>
      </c>
      <c r="L60" s="21">
        <v>0</v>
      </c>
      <c r="M60" s="21">
        <v>0</v>
      </c>
      <c r="N60" s="21">
        <v>0</v>
      </c>
      <c r="O60" s="21">
        <v>0</v>
      </c>
      <c r="P60" s="21">
        <v>0</v>
      </c>
      <c r="Q60" s="21">
        <v>0</v>
      </c>
      <c r="R60" s="21">
        <v>0</v>
      </c>
      <c r="S60" s="21">
        <v>0</v>
      </c>
      <c r="T60" s="21">
        <v>0</v>
      </c>
      <c r="U60" s="21">
        <v>0</v>
      </c>
      <c r="V60" s="21">
        <v>0</v>
      </c>
      <c r="W60" s="21">
        <v>0</v>
      </c>
      <c r="X60" s="21">
        <v>0</v>
      </c>
      <c r="Y60" s="21">
        <v>0</v>
      </c>
      <c r="Z60" s="21">
        <v>0</v>
      </c>
      <c r="AA60" s="21">
        <v>0</v>
      </c>
      <c r="AB60" s="21">
        <v>0</v>
      </c>
      <c r="AC60" s="21">
        <v>0</v>
      </c>
      <c r="AD60" s="21">
        <v>0</v>
      </c>
      <c r="AE60" s="21">
        <v>0</v>
      </c>
      <c r="AF60" s="21">
        <v>0</v>
      </c>
      <c r="AG60" s="21">
        <v>0</v>
      </c>
      <c r="AH60" s="21">
        <v>0</v>
      </c>
      <c r="AI60" s="67"/>
      <c r="AM60" s="81"/>
      <c r="AN60"/>
    </row>
    <row r="61" spans="1:40">
      <c r="A61" s="23" t="s">
        <v>262</v>
      </c>
      <c r="B61" s="19" t="s">
        <v>268</v>
      </c>
      <c r="C61" s="19" t="s">
        <v>265</v>
      </c>
      <c r="D61" s="20">
        <f t="shared" si="0"/>
        <v>12</v>
      </c>
      <c r="E61" s="21">
        <v>0</v>
      </c>
      <c r="F61" s="22">
        <v>2</v>
      </c>
      <c r="G61" s="21">
        <v>0</v>
      </c>
      <c r="H61" s="21">
        <v>0</v>
      </c>
      <c r="I61" s="21">
        <v>0</v>
      </c>
      <c r="J61" s="22">
        <v>3</v>
      </c>
      <c r="K61" s="21">
        <v>0</v>
      </c>
      <c r="L61" s="21">
        <v>0</v>
      </c>
      <c r="M61" s="21">
        <v>0</v>
      </c>
      <c r="N61" s="21">
        <v>0</v>
      </c>
      <c r="O61" s="21">
        <v>0</v>
      </c>
      <c r="P61" s="22">
        <v>7</v>
      </c>
      <c r="Q61" s="21">
        <v>0</v>
      </c>
      <c r="R61" s="21">
        <v>0</v>
      </c>
      <c r="S61" s="21">
        <v>0</v>
      </c>
      <c r="T61" s="21">
        <v>0</v>
      </c>
      <c r="U61" s="21">
        <v>0</v>
      </c>
      <c r="V61" s="21">
        <v>0</v>
      </c>
      <c r="W61" s="21">
        <v>0</v>
      </c>
      <c r="X61" s="21">
        <v>0</v>
      </c>
      <c r="Y61" s="21">
        <v>0</v>
      </c>
      <c r="Z61" s="21">
        <v>0</v>
      </c>
      <c r="AA61" s="21">
        <v>0</v>
      </c>
      <c r="AB61" s="21">
        <v>0</v>
      </c>
      <c r="AC61" s="21">
        <v>0</v>
      </c>
      <c r="AD61" s="21">
        <v>0</v>
      </c>
      <c r="AE61" s="21">
        <v>0</v>
      </c>
      <c r="AF61" s="21">
        <v>0</v>
      </c>
      <c r="AG61" s="21">
        <v>0</v>
      </c>
      <c r="AH61" s="21">
        <v>0</v>
      </c>
      <c r="AI61" s="67"/>
      <c r="AM61" s="81"/>
      <c r="AN61"/>
    </row>
    <row r="62" spans="1:40">
      <c r="A62" s="23" t="s">
        <v>262</v>
      </c>
      <c r="B62" s="19" t="s">
        <v>269</v>
      </c>
      <c r="C62" s="19" t="s">
        <v>265</v>
      </c>
      <c r="D62" s="20">
        <f t="shared" si="0"/>
        <v>0</v>
      </c>
      <c r="E62" s="21">
        <v>0</v>
      </c>
      <c r="F62" s="21">
        <v>0</v>
      </c>
      <c r="G62" s="21">
        <v>0</v>
      </c>
      <c r="H62" s="21">
        <v>0</v>
      </c>
      <c r="I62" s="21">
        <v>0</v>
      </c>
      <c r="J62" s="21">
        <v>0</v>
      </c>
      <c r="K62" s="21">
        <v>0</v>
      </c>
      <c r="L62" s="21">
        <v>0</v>
      </c>
      <c r="M62" s="21">
        <v>0</v>
      </c>
      <c r="N62" s="21">
        <v>0</v>
      </c>
      <c r="O62" s="21">
        <v>0</v>
      </c>
      <c r="P62" s="21">
        <v>0</v>
      </c>
      <c r="Q62" s="21">
        <v>0</v>
      </c>
      <c r="R62" s="21">
        <v>0</v>
      </c>
      <c r="S62" s="21">
        <v>0</v>
      </c>
      <c r="T62" s="21">
        <v>0</v>
      </c>
      <c r="U62" s="21">
        <v>0</v>
      </c>
      <c r="V62" s="21">
        <v>0</v>
      </c>
      <c r="W62" s="21">
        <v>0</v>
      </c>
      <c r="X62" s="21">
        <v>0</v>
      </c>
      <c r="Y62" s="21">
        <v>0</v>
      </c>
      <c r="Z62" s="21">
        <v>0</v>
      </c>
      <c r="AA62" s="21">
        <v>0</v>
      </c>
      <c r="AB62" s="21">
        <v>0</v>
      </c>
      <c r="AC62" s="21">
        <v>0</v>
      </c>
      <c r="AD62" s="21">
        <v>0</v>
      </c>
      <c r="AE62" s="21">
        <v>0</v>
      </c>
      <c r="AF62" s="21">
        <v>0</v>
      </c>
      <c r="AG62" s="21">
        <v>0</v>
      </c>
      <c r="AH62" s="21">
        <v>0</v>
      </c>
      <c r="AI62" s="67"/>
      <c r="AM62" s="81"/>
      <c r="AN62"/>
    </row>
    <row r="63" spans="1:40">
      <c r="A63" s="23" t="s">
        <v>270</v>
      </c>
      <c r="B63" s="19" t="s">
        <v>271</v>
      </c>
      <c r="C63" s="19" t="s">
        <v>272</v>
      </c>
      <c r="D63" s="20">
        <f t="shared" si="0"/>
        <v>10.5</v>
      </c>
      <c r="E63" s="21">
        <v>0</v>
      </c>
      <c r="F63" s="21">
        <v>0</v>
      </c>
      <c r="G63" s="22">
        <v>10.5</v>
      </c>
      <c r="H63" s="21">
        <v>0</v>
      </c>
      <c r="I63" s="21">
        <v>0</v>
      </c>
      <c r="J63" s="21">
        <v>0</v>
      </c>
      <c r="K63" s="21">
        <v>0</v>
      </c>
      <c r="L63" s="21">
        <v>0</v>
      </c>
      <c r="M63" s="21">
        <v>0</v>
      </c>
      <c r="N63" s="21">
        <v>0</v>
      </c>
      <c r="O63" s="21">
        <v>0</v>
      </c>
      <c r="P63" s="21">
        <v>0</v>
      </c>
      <c r="Q63" s="21">
        <v>0</v>
      </c>
      <c r="R63" s="21">
        <v>0</v>
      </c>
      <c r="S63" s="21">
        <v>0</v>
      </c>
      <c r="T63" s="21">
        <v>0</v>
      </c>
      <c r="U63" s="21">
        <v>0</v>
      </c>
      <c r="V63" s="21">
        <v>0</v>
      </c>
      <c r="W63" s="21">
        <v>0</v>
      </c>
      <c r="X63" s="21">
        <v>0</v>
      </c>
      <c r="Y63" s="21">
        <v>0</v>
      </c>
      <c r="Z63" s="21">
        <v>0</v>
      </c>
      <c r="AA63" s="21">
        <v>0</v>
      </c>
      <c r="AB63" s="21">
        <v>0</v>
      </c>
      <c r="AC63" s="21">
        <v>0</v>
      </c>
      <c r="AD63" s="21">
        <v>0</v>
      </c>
      <c r="AE63" s="21">
        <v>0</v>
      </c>
      <c r="AF63" s="21">
        <v>0</v>
      </c>
      <c r="AG63" s="21">
        <v>0</v>
      </c>
      <c r="AH63" s="21">
        <v>0</v>
      </c>
      <c r="AI63" s="67"/>
      <c r="AM63" s="81"/>
      <c r="AN63"/>
    </row>
    <row r="64" spans="1:40">
      <c r="A64" s="23" t="s">
        <v>273</v>
      </c>
      <c r="B64" s="19" t="s">
        <v>274</v>
      </c>
      <c r="C64" s="19" t="s">
        <v>275</v>
      </c>
      <c r="D64" s="20">
        <f t="shared" si="0"/>
        <v>149</v>
      </c>
      <c r="E64" s="21">
        <v>5</v>
      </c>
      <c r="F64" s="21">
        <v>40</v>
      </c>
      <c r="G64" s="21">
        <v>18</v>
      </c>
      <c r="H64" s="21">
        <v>0</v>
      </c>
      <c r="I64" s="21">
        <v>2</v>
      </c>
      <c r="J64" s="21">
        <v>8</v>
      </c>
      <c r="K64" s="21">
        <v>0</v>
      </c>
      <c r="L64" s="21">
        <v>0</v>
      </c>
      <c r="M64" s="21">
        <v>0</v>
      </c>
      <c r="N64" s="21">
        <v>0</v>
      </c>
      <c r="O64" s="21">
        <v>0</v>
      </c>
      <c r="P64" s="21">
        <v>74</v>
      </c>
      <c r="Q64" s="21">
        <v>1</v>
      </c>
      <c r="R64" s="21">
        <v>0</v>
      </c>
      <c r="S64" s="21">
        <v>0</v>
      </c>
      <c r="T64" s="21">
        <v>0</v>
      </c>
      <c r="U64" s="21">
        <v>0</v>
      </c>
      <c r="V64" s="21">
        <v>1</v>
      </c>
      <c r="W64" s="21">
        <v>0</v>
      </c>
      <c r="X64" s="21">
        <v>0</v>
      </c>
      <c r="Y64" s="21">
        <v>0</v>
      </c>
      <c r="Z64" s="21">
        <v>0</v>
      </c>
      <c r="AA64" s="21">
        <v>0</v>
      </c>
      <c r="AB64" s="21">
        <v>0</v>
      </c>
      <c r="AC64" s="21">
        <v>0</v>
      </c>
      <c r="AD64" s="21">
        <v>0</v>
      </c>
      <c r="AE64" s="21">
        <v>0</v>
      </c>
      <c r="AF64" s="21">
        <v>0</v>
      </c>
      <c r="AG64" s="21">
        <v>0</v>
      </c>
      <c r="AH64" s="21">
        <v>0</v>
      </c>
      <c r="AI64" s="67"/>
      <c r="AM64" s="81"/>
      <c r="AN64"/>
    </row>
    <row r="65" spans="1:40">
      <c r="A65" s="23" t="s">
        <v>273</v>
      </c>
      <c r="B65" s="19" t="s">
        <v>276</v>
      </c>
      <c r="C65" s="19" t="s">
        <v>196</v>
      </c>
      <c r="D65" s="20">
        <f t="shared" si="0"/>
        <v>358313.49</v>
      </c>
      <c r="E65" s="22">
        <v>34063.96</v>
      </c>
      <c r="F65" s="22">
        <v>45385.17</v>
      </c>
      <c r="G65" s="22">
        <v>65025.87</v>
      </c>
      <c r="H65" s="22">
        <v>19905.38</v>
      </c>
      <c r="I65" s="22">
        <v>9126.76</v>
      </c>
      <c r="J65" s="22">
        <v>23214.84</v>
      </c>
      <c r="K65" s="22">
        <v>25801.13</v>
      </c>
      <c r="L65" s="22">
        <v>6281.43</v>
      </c>
      <c r="M65" s="22">
        <v>5966.79</v>
      </c>
      <c r="N65" s="22">
        <v>5881.6</v>
      </c>
      <c r="O65" s="22">
        <v>11139.24</v>
      </c>
      <c r="P65" s="22">
        <v>47280.82</v>
      </c>
      <c r="Q65" s="22">
        <v>346.02</v>
      </c>
      <c r="R65" s="22">
        <v>246.15</v>
      </c>
      <c r="S65" s="22">
        <v>2161.0100000000002</v>
      </c>
      <c r="T65" s="22">
        <v>394.06</v>
      </c>
      <c r="U65" s="22">
        <v>713.76</v>
      </c>
      <c r="V65" s="21">
        <v>29954.400000000001</v>
      </c>
      <c r="W65" s="22">
        <v>5897.93</v>
      </c>
      <c r="X65" s="22">
        <v>2244.65</v>
      </c>
      <c r="Y65" s="22">
        <v>325.8</v>
      </c>
      <c r="Z65" s="22">
        <v>354.72</v>
      </c>
      <c r="AA65" s="22">
        <v>622.05999999999995</v>
      </c>
      <c r="AB65" s="22">
        <v>2011.32</v>
      </c>
      <c r="AC65" s="22">
        <v>1165.23</v>
      </c>
      <c r="AD65" s="22">
        <v>32.14</v>
      </c>
      <c r="AE65" s="22">
        <v>65.290000000000006</v>
      </c>
      <c r="AF65" s="22">
        <v>10928.23</v>
      </c>
      <c r="AG65" s="22">
        <v>158.35</v>
      </c>
      <c r="AH65" s="22">
        <v>1619.38</v>
      </c>
      <c r="AI65" s="67"/>
      <c r="AM65" s="81"/>
      <c r="AN65"/>
    </row>
    <row r="66" spans="1:40">
      <c r="A66" s="23" t="s">
        <v>277</v>
      </c>
      <c r="B66" s="19" t="s">
        <v>278</v>
      </c>
      <c r="C66" s="19" t="s">
        <v>279</v>
      </c>
      <c r="D66" s="20">
        <f t="shared" si="0"/>
        <v>15</v>
      </c>
      <c r="E66" s="22">
        <v>2</v>
      </c>
      <c r="F66" s="22">
        <v>2</v>
      </c>
      <c r="G66" s="22">
        <v>1</v>
      </c>
      <c r="H66" s="22">
        <v>1</v>
      </c>
      <c r="I66" s="22">
        <v>1</v>
      </c>
      <c r="J66" s="22">
        <v>1</v>
      </c>
      <c r="K66" s="22">
        <v>1</v>
      </c>
      <c r="L66" s="22">
        <v>1</v>
      </c>
      <c r="M66" s="21">
        <v>0</v>
      </c>
      <c r="N66" s="21">
        <v>0</v>
      </c>
      <c r="O66" s="21">
        <v>0</v>
      </c>
      <c r="P66" s="22">
        <v>3</v>
      </c>
      <c r="Q66" s="21">
        <v>0</v>
      </c>
      <c r="R66" s="21">
        <v>0</v>
      </c>
      <c r="S66" s="21">
        <v>0</v>
      </c>
      <c r="T66" s="21">
        <v>0</v>
      </c>
      <c r="U66" s="21">
        <v>0</v>
      </c>
      <c r="V66" s="21">
        <v>1</v>
      </c>
      <c r="W66" s="21">
        <v>0</v>
      </c>
      <c r="X66" s="21">
        <v>0</v>
      </c>
      <c r="Y66" s="21">
        <v>0</v>
      </c>
      <c r="Z66" s="21">
        <v>0</v>
      </c>
      <c r="AA66" s="21">
        <v>0</v>
      </c>
      <c r="AB66" s="21">
        <v>0</v>
      </c>
      <c r="AC66" s="21">
        <v>0</v>
      </c>
      <c r="AD66" s="21">
        <v>0</v>
      </c>
      <c r="AE66" s="21">
        <v>0</v>
      </c>
      <c r="AF66" s="21">
        <v>0</v>
      </c>
      <c r="AG66" s="21">
        <v>0</v>
      </c>
      <c r="AH66" s="22">
        <v>1</v>
      </c>
      <c r="AI66" s="67"/>
      <c r="AM66" s="81"/>
      <c r="AN66"/>
    </row>
    <row r="67" spans="1:40">
      <c r="A67" s="23" t="s">
        <v>280</v>
      </c>
      <c r="B67" s="19" t="s">
        <v>281</v>
      </c>
      <c r="C67" s="19" t="s">
        <v>282</v>
      </c>
      <c r="D67" s="20">
        <f t="shared" si="0"/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68"/>
      <c r="AM67" s="81"/>
      <c r="AN67"/>
    </row>
    <row r="68" spans="1:40">
      <c r="A68" s="23" t="s">
        <v>283</v>
      </c>
      <c r="B68" s="19" t="s">
        <v>284</v>
      </c>
      <c r="C68" s="19" t="s">
        <v>285</v>
      </c>
      <c r="D68" s="20">
        <f t="shared" si="0"/>
        <v>3</v>
      </c>
      <c r="E68" s="21">
        <v>0</v>
      </c>
      <c r="F68" s="22">
        <v>1</v>
      </c>
      <c r="G68" s="22">
        <v>1</v>
      </c>
      <c r="H68" s="21">
        <v>0</v>
      </c>
      <c r="I68" s="21">
        <v>0</v>
      </c>
      <c r="J68" s="22">
        <v>1</v>
      </c>
      <c r="K68" s="21">
        <v>0</v>
      </c>
      <c r="L68" s="21">
        <v>0</v>
      </c>
      <c r="M68" s="21">
        <v>0</v>
      </c>
      <c r="N68" s="21">
        <v>0</v>
      </c>
      <c r="O68" s="21">
        <v>0</v>
      </c>
      <c r="P68" s="21">
        <v>0</v>
      </c>
      <c r="Q68" s="21">
        <v>0</v>
      </c>
      <c r="R68" s="21">
        <v>0</v>
      </c>
      <c r="S68" s="21">
        <v>0</v>
      </c>
      <c r="T68" s="21">
        <v>0</v>
      </c>
      <c r="U68" s="21">
        <v>0</v>
      </c>
      <c r="V68" s="21">
        <v>0</v>
      </c>
      <c r="W68" s="21">
        <v>0</v>
      </c>
      <c r="X68" s="21">
        <v>0</v>
      </c>
      <c r="Y68" s="21">
        <v>0</v>
      </c>
      <c r="Z68" s="21">
        <v>0</v>
      </c>
      <c r="AA68" s="21">
        <v>0</v>
      </c>
      <c r="AB68" s="21">
        <v>0</v>
      </c>
      <c r="AC68" s="21">
        <v>0</v>
      </c>
      <c r="AD68" s="21">
        <v>0</v>
      </c>
      <c r="AE68" s="21">
        <v>0</v>
      </c>
      <c r="AF68" s="21">
        <v>0</v>
      </c>
      <c r="AG68" s="21">
        <v>0</v>
      </c>
      <c r="AH68" s="21">
        <v>0</v>
      </c>
      <c r="AI68" s="67"/>
      <c r="AM68" s="81"/>
      <c r="AN68"/>
    </row>
    <row r="69" spans="1:40">
      <c r="A69" s="23"/>
      <c r="B69" s="19" t="s">
        <v>286</v>
      </c>
      <c r="C69" s="19" t="s">
        <v>287</v>
      </c>
      <c r="D69" s="20">
        <f t="shared" si="0"/>
        <v>1</v>
      </c>
      <c r="E69" s="21">
        <v>0</v>
      </c>
      <c r="F69" s="21">
        <v>0</v>
      </c>
      <c r="G69" s="21">
        <v>0</v>
      </c>
      <c r="H69" s="21">
        <v>0</v>
      </c>
      <c r="I69" s="21">
        <v>0</v>
      </c>
      <c r="J69" s="21">
        <v>0</v>
      </c>
      <c r="K69" s="21">
        <v>0</v>
      </c>
      <c r="L69" s="21">
        <v>0</v>
      </c>
      <c r="M69" s="21">
        <v>0</v>
      </c>
      <c r="N69" s="21">
        <v>0</v>
      </c>
      <c r="O69" s="21">
        <v>0</v>
      </c>
      <c r="P69" s="22">
        <v>1</v>
      </c>
      <c r="Q69" s="21">
        <v>0</v>
      </c>
      <c r="R69" s="21">
        <v>0</v>
      </c>
      <c r="S69" s="21">
        <v>0</v>
      </c>
      <c r="T69" s="21">
        <v>0</v>
      </c>
      <c r="U69" s="21">
        <v>0</v>
      </c>
      <c r="V69" s="21">
        <v>0</v>
      </c>
      <c r="W69" s="21">
        <v>0</v>
      </c>
      <c r="X69" s="21">
        <v>0</v>
      </c>
      <c r="Y69" s="21">
        <v>0</v>
      </c>
      <c r="Z69" s="21">
        <v>0</v>
      </c>
      <c r="AA69" s="21">
        <v>0</v>
      </c>
      <c r="AB69" s="21">
        <v>0</v>
      </c>
      <c r="AC69" s="21">
        <v>0</v>
      </c>
      <c r="AD69" s="21">
        <v>0</v>
      </c>
      <c r="AE69" s="21">
        <v>0</v>
      </c>
      <c r="AF69" s="21">
        <v>0</v>
      </c>
      <c r="AG69" s="21">
        <v>0</v>
      </c>
      <c r="AH69" s="21">
        <v>0</v>
      </c>
      <c r="AI69" s="68"/>
      <c r="AM69" s="81"/>
      <c r="AN69"/>
    </row>
    <row r="70" spans="1:40" ht="32.1">
      <c r="A70" s="23"/>
      <c r="B70" s="19" t="s">
        <v>288</v>
      </c>
      <c r="C70" s="19" t="s">
        <v>227</v>
      </c>
      <c r="D70" s="20">
        <f t="shared" si="0"/>
        <v>5</v>
      </c>
      <c r="E70" s="22">
        <v>1</v>
      </c>
      <c r="F70" s="22">
        <v>1</v>
      </c>
      <c r="G70" s="22">
        <v>1</v>
      </c>
      <c r="H70" s="21">
        <v>0</v>
      </c>
      <c r="I70" s="21">
        <v>0</v>
      </c>
      <c r="J70" s="22">
        <v>1</v>
      </c>
      <c r="K70" s="21">
        <v>0</v>
      </c>
      <c r="L70" s="21">
        <v>0</v>
      </c>
      <c r="M70" s="21">
        <v>0</v>
      </c>
      <c r="N70" s="21">
        <v>0</v>
      </c>
      <c r="O70" s="21">
        <v>0</v>
      </c>
      <c r="P70" s="22">
        <v>1</v>
      </c>
      <c r="Q70" s="21">
        <v>0</v>
      </c>
      <c r="R70" s="21">
        <v>0</v>
      </c>
      <c r="S70" s="21">
        <v>0</v>
      </c>
      <c r="T70" s="21">
        <v>0</v>
      </c>
      <c r="U70" s="21">
        <v>0</v>
      </c>
      <c r="V70" s="21">
        <v>0</v>
      </c>
      <c r="W70" s="21">
        <v>0</v>
      </c>
      <c r="X70" s="21">
        <v>0</v>
      </c>
      <c r="Y70" s="21">
        <v>0</v>
      </c>
      <c r="Z70" s="21">
        <v>0</v>
      </c>
      <c r="AA70" s="21">
        <v>0</v>
      </c>
      <c r="AB70" s="21">
        <v>0</v>
      </c>
      <c r="AC70" s="21">
        <v>0</v>
      </c>
      <c r="AD70" s="21">
        <v>0</v>
      </c>
      <c r="AE70" s="21">
        <v>0</v>
      </c>
      <c r="AF70" s="21">
        <v>0</v>
      </c>
      <c r="AG70" s="21">
        <v>0</v>
      </c>
      <c r="AH70" s="21">
        <v>0</v>
      </c>
      <c r="AI70" s="68"/>
      <c r="AM70" s="81"/>
      <c r="AN70"/>
    </row>
    <row r="71" spans="1:40">
      <c r="A71" s="23" t="s">
        <v>289</v>
      </c>
      <c r="B71" s="19" t="s">
        <v>290</v>
      </c>
      <c r="C71" s="27" t="s">
        <v>248</v>
      </c>
      <c r="D71" s="20">
        <f t="shared" si="0"/>
        <v>12</v>
      </c>
      <c r="E71" s="94">
        <v>12</v>
      </c>
      <c r="F71" s="95"/>
      <c r="G71" s="95"/>
      <c r="H71" s="95"/>
      <c r="I71" s="95"/>
      <c r="J71" s="95"/>
      <c r="K71" s="95"/>
      <c r="L71" s="95"/>
      <c r="M71" s="9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Z71" s="95"/>
      <c r="AA71" s="95"/>
      <c r="AB71" s="95"/>
      <c r="AC71" s="95"/>
      <c r="AD71" s="95"/>
      <c r="AE71" s="95"/>
      <c r="AF71" s="95"/>
      <c r="AG71" s="95"/>
      <c r="AH71" s="96"/>
      <c r="AI71" s="68"/>
      <c r="AM71" s="81"/>
      <c r="AN71"/>
    </row>
    <row r="72" spans="1:40">
      <c r="A72" s="23" t="s">
        <v>289</v>
      </c>
      <c r="B72" s="19" t="s">
        <v>291</v>
      </c>
      <c r="C72" s="27" t="s">
        <v>248</v>
      </c>
      <c r="D72" s="20">
        <f t="shared" si="0"/>
        <v>11</v>
      </c>
      <c r="E72" s="94">
        <v>11</v>
      </c>
      <c r="F72" s="95"/>
      <c r="G72" s="95"/>
      <c r="H72" s="95"/>
      <c r="I72" s="95"/>
      <c r="J72" s="95"/>
      <c r="K72" s="95"/>
      <c r="L72" s="95"/>
      <c r="M72" s="9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Z72" s="95"/>
      <c r="AA72" s="95"/>
      <c r="AB72" s="95"/>
      <c r="AC72" s="95"/>
      <c r="AD72" s="95"/>
      <c r="AE72" s="95"/>
      <c r="AF72" s="95"/>
      <c r="AG72" s="95"/>
      <c r="AH72" s="96"/>
      <c r="AI72" s="68"/>
      <c r="AM72" s="81"/>
      <c r="AN72"/>
    </row>
    <row r="73" spans="1:40">
      <c r="A73" s="26" t="s">
        <v>292</v>
      </c>
      <c r="B73" s="27" t="s">
        <v>293</v>
      </c>
      <c r="C73" s="27" t="s">
        <v>294</v>
      </c>
      <c r="D73" s="20">
        <f t="shared" si="0"/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68"/>
      <c r="AM73" s="81"/>
      <c r="AN73"/>
    </row>
    <row r="74" spans="1:40">
      <c r="A74" s="26" t="s">
        <v>295</v>
      </c>
      <c r="B74" s="27" t="s">
        <v>296</v>
      </c>
      <c r="C74" s="27" t="s">
        <v>297</v>
      </c>
      <c r="D74" s="20">
        <f t="shared" si="0"/>
        <v>0</v>
      </c>
      <c r="E74" s="21">
        <v>0</v>
      </c>
      <c r="F74" s="21">
        <v>0</v>
      </c>
      <c r="G74" s="21">
        <v>0</v>
      </c>
      <c r="H74" s="21">
        <v>0</v>
      </c>
      <c r="I74" s="21">
        <v>0</v>
      </c>
      <c r="J74" s="21">
        <v>0</v>
      </c>
      <c r="K74" s="21">
        <v>0</v>
      </c>
      <c r="L74" s="21">
        <v>0</v>
      </c>
      <c r="M74" s="21">
        <v>0</v>
      </c>
      <c r="N74" s="21">
        <v>0</v>
      </c>
      <c r="O74" s="21">
        <v>0</v>
      </c>
      <c r="P74" s="21">
        <v>0</v>
      </c>
      <c r="Q74" s="21">
        <v>0</v>
      </c>
      <c r="R74" s="21">
        <v>0</v>
      </c>
      <c r="S74" s="21">
        <v>0</v>
      </c>
      <c r="T74" s="21">
        <v>0</v>
      </c>
      <c r="U74" s="21">
        <v>0</v>
      </c>
      <c r="V74" s="21">
        <v>0</v>
      </c>
      <c r="W74" s="21">
        <v>0</v>
      </c>
      <c r="X74" s="21">
        <v>0</v>
      </c>
      <c r="Y74" s="21">
        <v>0</v>
      </c>
      <c r="Z74" s="21">
        <v>0</v>
      </c>
      <c r="AA74" s="21">
        <v>0</v>
      </c>
      <c r="AB74" s="21">
        <v>0</v>
      </c>
      <c r="AC74" s="21">
        <v>0</v>
      </c>
      <c r="AD74" s="21">
        <v>0</v>
      </c>
      <c r="AE74" s="21">
        <v>0</v>
      </c>
      <c r="AF74" s="21">
        <v>0</v>
      </c>
      <c r="AG74" s="21">
        <v>0</v>
      </c>
      <c r="AH74" s="21">
        <v>0</v>
      </c>
      <c r="AI74" s="67"/>
      <c r="AM74" s="81"/>
      <c r="AN74"/>
    </row>
    <row r="75" spans="1:40">
      <c r="A75" s="24" t="s">
        <v>298</v>
      </c>
      <c r="B75" s="25"/>
      <c r="C75" s="25"/>
      <c r="D75" s="16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64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67"/>
      <c r="AM75" s="81"/>
      <c r="AN75"/>
    </row>
    <row r="76" spans="1:40">
      <c r="A76" s="23" t="s">
        <v>299</v>
      </c>
      <c r="B76" s="19" t="s">
        <v>300</v>
      </c>
      <c r="C76" s="19" t="s">
        <v>301</v>
      </c>
      <c r="D76" s="20">
        <f t="shared" si="0"/>
        <v>26</v>
      </c>
      <c r="E76" s="22">
        <v>2</v>
      </c>
      <c r="F76" s="22">
        <v>2</v>
      </c>
      <c r="G76" s="22">
        <v>4</v>
      </c>
      <c r="H76" s="22">
        <v>4</v>
      </c>
      <c r="I76" s="22">
        <v>1</v>
      </c>
      <c r="J76" s="22">
        <v>2</v>
      </c>
      <c r="K76" s="22">
        <v>1</v>
      </c>
      <c r="L76" s="22">
        <v>2</v>
      </c>
      <c r="M76" s="22">
        <v>1</v>
      </c>
      <c r="N76" s="22">
        <v>3</v>
      </c>
      <c r="O76" s="22">
        <v>1</v>
      </c>
      <c r="P76" s="22">
        <v>2</v>
      </c>
      <c r="Q76" s="21">
        <v>0</v>
      </c>
      <c r="R76" s="21">
        <v>0</v>
      </c>
      <c r="S76" s="21">
        <v>0</v>
      </c>
      <c r="T76" s="21">
        <v>0</v>
      </c>
      <c r="U76" s="21">
        <v>0</v>
      </c>
      <c r="V76" s="21">
        <v>1</v>
      </c>
      <c r="W76" s="21">
        <v>0</v>
      </c>
      <c r="X76" s="21">
        <v>0</v>
      </c>
      <c r="Y76" s="21">
        <v>0</v>
      </c>
      <c r="Z76" s="21">
        <v>0</v>
      </c>
      <c r="AA76" s="21">
        <v>0</v>
      </c>
      <c r="AB76" s="21">
        <v>0</v>
      </c>
      <c r="AC76" s="21">
        <v>0</v>
      </c>
      <c r="AD76" s="21">
        <v>0</v>
      </c>
      <c r="AE76" s="21">
        <v>0</v>
      </c>
      <c r="AF76" s="21">
        <v>0</v>
      </c>
      <c r="AG76" s="21">
        <v>0</v>
      </c>
      <c r="AH76" s="21">
        <v>0</v>
      </c>
      <c r="AI76" s="67"/>
      <c r="AM76" s="81"/>
      <c r="AN76"/>
    </row>
    <row r="77" spans="1:40">
      <c r="A77" s="23" t="s">
        <v>302</v>
      </c>
      <c r="B77" s="19" t="s">
        <v>303</v>
      </c>
      <c r="C77" s="19" t="s">
        <v>304</v>
      </c>
      <c r="D77" s="20">
        <f t="shared" ref="D77:D87" si="1">SUM(E77:AH77)</f>
        <v>1</v>
      </c>
      <c r="E77" s="22">
        <v>1</v>
      </c>
      <c r="F77" s="21">
        <v>0</v>
      </c>
      <c r="G77" s="21">
        <v>0</v>
      </c>
      <c r="H77" s="21">
        <v>0</v>
      </c>
      <c r="I77" s="21">
        <v>0</v>
      </c>
      <c r="J77" s="21">
        <v>0</v>
      </c>
      <c r="K77" s="21">
        <v>0</v>
      </c>
      <c r="L77" s="21">
        <v>0</v>
      </c>
      <c r="M77" s="21">
        <v>0</v>
      </c>
      <c r="N77" s="21">
        <v>0</v>
      </c>
      <c r="O77" s="21">
        <v>0</v>
      </c>
      <c r="P77" s="21">
        <v>0</v>
      </c>
      <c r="Q77" s="21">
        <v>0</v>
      </c>
      <c r="R77" s="21">
        <v>0</v>
      </c>
      <c r="S77" s="21">
        <v>0</v>
      </c>
      <c r="T77" s="21">
        <v>0</v>
      </c>
      <c r="U77" s="21">
        <v>0</v>
      </c>
      <c r="V77" s="21">
        <v>0</v>
      </c>
      <c r="W77" s="21">
        <v>0</v>
      </c>
      <c r="X77" s="21">
        <v>0</v>
      </c>
      <c r="Y77" s="21">
        <v>0</v>
      </c>
      <c r="Z77" s="21">
        <v>0</v>
      </c>
      <c r="AA77" s="21">
        <v>0</v>
      </c>
      <c r="AB77" s="21">
        <v>0</v>
      </c>
      <c r="AC77" s="21">
        <v>0</v>
      </c>
      <c r="AD77" s="21">
        <v>0</v>
      </c>
      <c r="AE77" s="21">
        <v>0</v>
      </c>
      <c r="AF77" s="21">
        <v>0</v>
      </c>
      <c r="AG77" s="21">
        <v>0</v>
      </c>
      <c r="AH77" s="21">
        <v>0</v>
      </c>
      <c r="AI77" s="68"/>
      <c r="AM77" s="81"/>
      <c r="AN77"/>
    </row>
    <row r="78" spans="1:40">
      <c r="A78" s="23" t="s">
        <v>305</v>
      </c>
      <c r="B78" s="19" t="s">
        <v>306</v>
      </c>
      <c r="C78" s="19" t="s">
        <v>307</v>
      </c>
      <c r="D78" s="20">
        <f t="shared" si="1"/>
        <v>19</v>
      </c>
      <c r="E78" s="21">
        <v>0</v>
      </c>
      <c r="F78" s="22">
        <v>4</v>
      </c>
      <c r="G78" s="22">
        <v>2</v>
      </c>
      <c r="H78" s="22">
        <v>2</v>
      </c>
      <c r="I78" s="22">
        <v>3</v>
      </c>
      <c r="J78" s="22">
        <v>1</v>
      </c>
      <c r="K78" s="22">
        <v>2</v>
      </c>
      <c r="L78" s="21">
        <v>0</v>
      </c>
      <c r="M78" s="21">
        <v>0</v>
      </c>
      <c r="N78" s="21">
        <v>0</v>
      </c>
      <c r="O78" s="22">
        <v>1</v>
      </c>
      <c r="P78" s="22">
        <v>1</v>
      </c>
      <c r="Q78" s="21">
        <v>0</v>
      </c>
      <c r="R78" s="21">
        <v>0</v>
      </c>
      <c r="S78" s="21">
        <v>0</v>
      </c>
      <c r="T78" s="21">
        <v>0</v>
      </c>
      <c r="U78" s="21">
        <v>0</v>
      </c>
      <c r="V78" s="21">
        <v>2</v>
      </c>
      <c r="W78" s="22">
        <v>1</v>
      </c>
      <c r="X78" s="21">
        <v>0</v>
      </c>
      <c r="Y78" s="21">
        <v>0</v>
      </c>
      <c r="Z78" s="21">
        <v>0</v>
      </c>
      <c r="AA78" s="21">
        <v>0</v>
      </c>
      <c r="AB78" s="21">
        <v>0</v>
      </c>
      <c r="AC78" s="21">
        <v>0</v>
      </c>
      <c r="AD78" s="21">
        <v>0</v>
      </c>
      <c r="AE78" s="21">
        <v>0</v>
      </c>
      <c r="AF78" s="21">
        <v>0</v>
      </c>
      <c r="AG78" s="21">
        <v>0</v>
      </c>
      <c r="AH78" s="21">
        <v>0</v>
      </c>
      <c r="AI78" s="67"/>
      <c r="AM78" s="81"/>
      <c r="AN78"/>
    </row>
    <row r="79" spans="1:40" ht="25.5" customHeight="1">
      <c r="A79" s="23" t="s">
        <v>305</v>
      </c>
      <c r="B79" s="19" t="s">
        <v>308</v>
      </c>
      <c r="C79" s="19" t="s">
        <v>309</v>
      </c>
      <c r="D79" s="20">
        <f t="shared" si="1"/>
        <v>11</v>
      </c>
      <c r="E79" s="22">
        <v>1</v>
      </c>
      <c r="F79" s="22">
        <v>2</v>
      </c>
      <c r="G79" s="22">
        <v>2</v>
      </c>
      <c r="H79" s="21">
        <v>0</v>
      </c>
      <c r="I79" s="22">
        <v>3</v>
      </c>
      <c r="J79" s="22">
        <v>1</v>
      </c>
      <c r="K79" s="22">
        <v>0</v>
      </c>
      <c r="L79" s="21">
        <v>0</v>
      </c>
      <c r="M79" s="21">
        <v>0</v>
      </c>
      <c r="N79" s="21">
        <v>0</v>
      </c>
      <c r="O79" s="21">
        <v>0</v>
      </c>
      <c r="P79" s="22">
        <v>2</v>
      </c>
      <c r="Q79" s="21">
        <v>0</v>
      </c>
      <c r="R79" s="21">
        <v>0</v>
      </c>
      <c r="S79" s="21">
        <v>0</v>
      </c>
      <c r="T79" s="21">
        <v>0</v>
      </c>
      <c r="U79" s="21">
        <v>0</v>
      </c>
      <c r="V79" s="21">
        <v>0</v>
      </c>
      <c r="W79" s="21">
        <v>0</v>
      </c>
      <c r="X79" s="21">
        <v>0</v>
      </c>
      <c r="Y79" s="21">
        <v>0</v>
      </c>
      <c r="Z79" s="21">
        <v>0</v>
      </c>
      <c r="AA79" s="21">
        <v>0</v>
      </c>
      <c r="AB79" s="21">
        <v>0</v>
      </c>
      <c r="AC79" s="21">
        <v>0</v>
      </c>
      <c r="AD79" s="21">
        <v>0</v>
      </c>
      <c r="AE79" s="21">
        <v>0</v>
      </c>
      <c r="AF79" s="21">
        <v>0</v>
      </c>
      <c r="AG79" s="21">
        <v>0</v>
      </c>
      <c r="AH79" s="21">
        <v>0</v>
      </c>
      <c r="AI79" s="67"/>
      <c r="AM79" s="81"/>
      <c r="AN79"/>
    </row>
    <row r="80" spans="1:40">
      <c r="A80" s="23" t="s">
        <v>310</v>
      </c>
      <c r="B80" s="19" t="s">
        <v>311</v>
      </c>
      <c r="C80" s="19" t="s">
        <v>312</v>
      </c>
      <c r="D80" s="20">
        <f t="shared" si="1"/>
        <v>4</v>
      </c>
      <c r="E80" s="22">
        <v>0</v>
      </c>
      <c r="F80" s="22">
        <v>0</v>
      </c>
      <c r="G80" s="22">
        <v>1</v>
      </c>
      <c r="H80" s="22">
        <v>1</v>
      </c>
      <c r="I80" s="21">
        <v>0</v>
      </c>
      <c r="J80" s="21">
        <v>0</v>
      </c>
      <c r="K80" s="21">
        <v>0</v>
      </c>
      <c r="L80" s="21">
        <v>0</v>
      </c>
      <c r="M80" s="21">
        <v>0</v>
      </c>
      <c r="N80" s="21">
        <v>0</v>
      </c>
      <c r="O80" s="21">
        <v>0</v>
      </c>
      <c r="P80" s="22">
        <v>1</v>
      </c>
      <c r="Q80" s="21">
        <v>0</v>
      </c>
      <c r="R80" s="21">
        <v>0</v>
      </c>
      <c r="S80" s="21">
        <v>0</v>
      </c>
      <c r="T80" s="21">
        <v>0</v>
      </c>
      <c r="U80" s="21">
        <v>0</v>
      </c>
      <c r="V80" s="21">
        <v>0</v>
      </c>
      <c r="W80" s="22">
        <v>1</v>
      </c>
      <c r="X80" s="21">
        <v>0</v>
      </c>
      <c r="Y80" s="21">
        <v>0</v>
      </c>
      <c r="Z80" s="21">
        <v>0</v>
      </c>
      <c r="AA80" s="21">
        <v>0</v>
      </c>
      <c r="AB80" s="21">
        <v>0</v>
      </c>
      <c r="AC80" s="21">
        <v>0</v>
      </c>
      <c r="AD80" s="21">
        <v>0</v>
      </c>
      <c r="AE80" s="21">
        <v>0</v>
      </c>
      <c r="AF80" s="21">
        <v>0</v>
      </c>
      <c r="AG80" s="21">
        <v>0</v>
      </c>
      <c r="AH80" s="21">
        <v>0</v>
      </c>
      <c r="AI80" s="67"/>
      <c r="AM80" s="81"/>
      <c r="AN80"/>
    </row>
    <row r="81" spans="1:40">
      <c r="A81" s="23" t="s">
        <v>313</v>
      </c>
      <c r="B81" s="19" t="s">
        <v>314</v>
      </c>
      <c r="C81" s="19" t="s">
        <v>196</v>
      </c>
      <c r="D81" s="20">
        <f t="shared" si="1"/>
        <v>358313.49</v>
      </c>
      <c r="E81" s="21">
        <v>34063.96</v>
      </c>
      <c r="F81" s="21">
        <v>45385.17</v>
      </c>
      <c r="G81" s="21">
        <v>65025.87</v>
      </c>
      <c r="H81" s="21">
        <v>19905.38</v>
      </c>
      <c r="I81" s="21">
        <v>9126.76</v>
      </c>
      <c r="J81" s="21">
        <v>23214.84</v>
      </c>
      <c r="K81" s="21">
        <v>25801.13</v>
      </c>
      <c r="L81" s="21">
        <v>6281.43</v>
      </c>
      <c r="M81" s="21">
        <v>5966.79</v>
      </c>
      <c r="N81" s="21">
        <v>5881.6</v>
      </c>
      <c r="O81" s="21">
        <v>11139.24</v>
      </c>
      <c r="P81" s="21">
        <v>47280.82</v>
      </c>
      <c r="Q81" s="21">
        <v>346.02</v>
      </c>
      <c r="R81" s="21">
        <v>246.15</v>
      </c>
      <c r="S81" s="21">
        <v>2161.0100000000002</v>
      </c>
      <c r="T81" s="21">
        <v>394.06</v>
      </c>
      <c r="U81" s="21">
        <v>713.76</v>
      </c>
      <c r="V81" s="21">
        <v>29954.400000000001</v>
      </c>
      <c r="W81" s="21">
        <v>5897.93</v>
      </c>
      <c r="X81" s="21">
        <v>2244.65</v>
      </c>
      <c r="Y81" s="21">
        <v>325.8</v>
      </c>
      <c r="Z81" s="21">
        <v>354.72</v>
      </c>
      <c r="AA81" s="21">
        <v>622.05999999999995</v>
      </c>
      <c r="AB81" s="21">
        <v>2011.32</v>
      </c>
      <c r="AC81" s="21">
        <v>1165.23</v>
      </c>
      <c r="AD81" s="21">
        <v>32.14</v>
      </c>
      <c r="AE81" s="21">
        <v>65.290000000000006</v>
      </c>
      <c r="AF81" s="21">
        <v>10928.23</v>
      </c>
      <c r="AG81" s="21">
        <v>158.35</v>
      </c>
      <c r="AH81" s="21">
        <v>1619.38</v>
      </c>
      <c r="AI81" s="67"/>
      <c r="AM81" s="81"/>
      <c r="AN81"/>
    </row>
    <row r="82" spans="1:40" ht="32.1">
      <c r="A82" s="23" t="s">
        <v>315</v>
      </c>
      <c r="B82" s="19" t="s">
        <v>316</v>
      </c>
      <c r="C82" s="19" t="s">
        <v>317</v>
      </c>
      <c r="D82" s="20">
        <f t="shared" si="1"/>
        <v>16</v>
      </c>
      <c r="E82" s="22">
        <v>5</v>
      </c>
      <c r="F82" s="22">
        <v>1</v>
      </c>
      <c r="G82" s="22">
        <v>4</v>
      </c>
      <c r="H82" s="22">
        <v>1</v>
      </c>
      <c r="I82" s="22">
        <v>1</v>
      </c>
      <c r="J82" s="22">
        <v>1</v>
      </c>
      <c r="K82" s="22">
        <v>2</v>
      </c>
      <c r="L82" s="22">
        <v>1</v>
      </c>
      <c r="M82" s="21">
        <v>0</v>
      </c>
      <c r="N82" s="21">
        <v>0</v>
      </c>
      <c r="O82" s="21">
        <v>0</v>
      </c>
      <c r="P82" s="21">
        <v>0</v>
      </c>
      <c r="Q82" s="21">
        <v>0</v>
      </c>
      <c r="R82" s="21">
        <v>0</v>
      </c>
      <c r="S82" s="21">
        <v>0</v>
      </c>
      <c r="T82" s="21">
        <v>0</v>
      </c>
      <c r="U82" s="21">
        <v>0</v>
      </c>
      <c r="V82" s="21">
        <v>0</v>
      </c>
      <c r="W82" s="21">
        <v>0</v>
      </c>
      <c r="X82" s="21">
        <v>0</v>
      </c>
      <c r="Y82" s="21">
        <v>0</v>
      </c>
      <c r="Z82" s="21">
        <v>0</v>
      </c>
      <c r="AA82" s="21">
        <v>0</v>
      </c>
      <c r="AB82" s="21">
        <v>0</v>
      </c>
      <c r="AC82" s="21">
        <v>0</v>
      </c>
      <c r="AD82" s="21">
        <v>0</v>
      </c>
      <c r="AE82" s="21">
        <v>0</v>
      </c>
      <c r="AF82" s="21">
        <v>0</v>
      </c>
      <c r="AG82" s="21">
        <v>0</v>
      </c>
      <c r="AH82" s="21">
        <v>0</v>
      </c>
      <c r="AI82" s="68"/>
      <c r="AM82" s="81"/>
      <c r="AN82"/>
    </row>
    <row r="83" spans="1:40">
      <c r="A83" s="23" t="s">
        <v>318</v>
      </c>
      <c r="B83" s="19" t="s">
        <v>319</v>
      </c>
      <c r="C83" s="19" t="s">
        <v>320</v>
      </c>
      <c r="D83" s="20">
        <f t="shared" si="1"/>
        <v>97</v>
      </c>
      <c r="E83" s="21">
        <v>0</v>
      </c>
      <c r="F83" s="22">
        <v>10</v>
      </c>
      <c r="G83" s="22">
        <v>10</v>
      </c>
      <c r="H83" s="22">
        <v>10</v>
      </c>
      <c r="I83" s="22">
        <v>7</v>
      </c>
      <c r="J83" s="22">
        <v>10</v>
      </c>
      <c r="K83" s="22">
        <v>10</v>
      </c>
      <c r="L83" s="22">
        <v>10</v>
      </c>
      <c r="M83" s="22">
        <v>5</v>
      </c>
      <c r="N83" s="22">
        <v>5</v>
      </c>
      <c r="O83" s="21">
        <v>0</v>
      </c>
      <c r="P83" s="22">
        <v>10</v>
      </c>
      <c r="Q83" s="21">
        <v>0</v>
      </c>
      <c r="R83" s="21">
        <v>0</v>
      </c>
      <c r="S83" s="21">
        <v>0</v>
      </c>
      <c r="T83" s="21">
        <v>0</v>
      </c>
      <c r="U83" s="21">
        <v>0</v>
      </c>
      <c r="V83" s="21">
        <v>0</v>
      </c>
      <c r="W83" s="22">
        <v>10</v>
      </c>
      <c r="X83" s="21">
        <v>0</v>
      </c>
      <c r="Y83" s="21">
        <v>0</v>
      </c>
      <c r="Z83" s="21">
        <v>0</v>
      </c>
      <c r="AA83" s="21">
        <v>0</v>
      </c>
      <c r="AB83" s="21">
        <v>0</v>
      </c>
      <c r="AC83" s="21">
        <v>0</v>
      </c>
      <c r="AD83" s="21">
        <v>0</v>
      </c>
      <c r="AE83" s="21">
        <v>0</v>
      </c>
      <c r="AF83" s="21">
        <v>0</v>
      </c>
      <c r="AG83" s="21">
        <v>0</v>
      </c>
      <c r="AH83" s="21">
        <v>0</v>
      </c>
      <c r="AI83" s="68"/>
      <c r="AM83" s="81"/>
      <c r="AN83"/>
    </row>
    <row r="84" spans="1:40">
      <c r="A84" s="23" t="s">
        <v>321</v>
      </c>
      <c r="B84" s="19" t="s">
        <v>322</v>
      </c>
      <c r="C84" s="19" t="s">
        <v>323</v>
      </c>
      <c r="D84" s="20">
        <f t="shared" si="1"/>
        <v>0</v>
      </c>
      <c r="E84" s="21">
        <v>0</v>
      </c>
      <c r="F84" s="21">
        <v>0</v>
      </c>
      <c r="G84" s="21">
        <v>0</v>
      </c>
      <c r="H84" s="21">
        <v>0</v>
      </c>
      <c r="I84" s="21">
        <v>0</v>
      </c>
      <c r="J84" s="21">
        <v>0</v>
      </c>
      <c r="K84" s="21">
        <v>0</v>
      </c>
      <c r="L84" s="21">
        <v>0</v>
      </c>
      <c r="M84" s="21">
        <v>0</v>
      </c>
      <c r="N84" s="21">
        <v>0</v>
      </c>
      <c r="O84" s="21">
        <v>0</v>
      </c>
      <c r="P84" s="21">
        <v>0</v>
      </c>
      <c r="Q84" s="21">
        <v>0</v>
      </c>
      <c r="R84" s="21">
        <v>0</v>
      </c>
      <c r="S84" s="21">
        <v>0</v>
      </c>
      <c r="T84" s="21">
        <v>0</v>
      </c>
      <c r="U84" s="21">
        <v>0</v>
      </c>
      <c r="V84" s="21">
        <v>0</v>
      </c>
      <c r="W84" s="21">
        <v>0</v>
      </c>
      <c r="X84" s="21">
        <v>0</v>
      </c>
      <c r="Y84" s="21">
        <v>0</v>
      </c>
      <c r="Z84" s="21">
        <v>0</v>
      </c>
      <c r="AA84" s="21">
        <v>0</v>
      </c>
      <c r="AB84" s="21">
        <v>0</v>
      </c>
      <c r="AC84" s="21">
        <v>0</v>
      </c>
      <c r="AD84" s="21">
        <v>0</v>
      </c>
      <c r="AE84" s="21">
        <v>0</v>
      </c>
      <c r="AF84" s="21">
        <v>0</v>
      </c>
      <c r="AG84" s="21">
        <v>0</v>
      </c>
      <c r="AH84" s="21">
        <v>0</v>
      </c>
      <c r="AI84" s="68"/>
      <c r="AM84" s="81"/>
      <c r="AN84"/>
    </row>
    <row r="85" spans="1:40">
      <c r="A85" s="23" t="s">
        <v>324</v>
      </c>
      <c r="B85" s="19" t="s">
        <v>325</v>
      </c>
      <c r="C85" s="19" t="s">
        <v>326</v>
      </c>
      <c r="D85" s="20">
        <f t="shared" si="1"/>
        <v>0</v>
      </c>
      <c r="E85" s="21">
        <v>0</v>
      </c>
      <c r="F85" s="21">
        <v>0</v>
      </c>
      <c r="G85" s="21">
        <v>0</v>
      </c>
      <c r="H85" s="21">
        <v>0</v>
      </c>
      <c r="I85" s="21">
        <v>0</v>
      </c>
      <c r="J85" s="21">
        <v>0</v>
      </c>
      <c r="K85" s="21">
        <v>0</v>
      </c>
      <c r="L85" s="21">
        <v>0</v>
      </c>
      <c r="M85" s="21">
        <v>0</v>
      </c>
      <c r="N85" s="21">
        <v>0</v>
      </c>
      <c r="O85" s="21">
        <v>0</v>
      </c>
      <c r="P85" s="21">
        <v>0</v>
      </c>
      <c r="Q85" s="21">
        <v>0</v>
      </c>
      <c r="R85" s="21">
        <v>0</v>
      </c>
      <c r="S85" s="21">
        <v>0</v>
      </c>
      <c r="T85" s="21">
        <v>0</v>
      </c>
      <c r="U85" s="21">
        <v>0</v>
      </c>
      <c r="V85" s="21">
        <v>0</v>
      </c>
      <c r="W85" s="21">
        <v>0</v>
      </c>
      <c r="X85" s="21">
        <v>0</v>
      </c>
      <c r="Y85" s="21">
        <v>0</v>
      </c>
      <c r="Z85" s="21">
        <v>0</v>
      </c>
      <c r="AA85" s="21">
        <v>0</v>
      </c>
      <c r="AB85" s="21">
        <v>0</v>
      </c>
      <c r="AC85" s="21">
        <v>0</v>
      </c>
      <c r="AD85" s="21">
        <v>0</v>
      </c>
      <c r="AE85" s="21">
        <v>0</v>
      </c>
      <c r="AF85" s="21">
        <v>0</v>
      </c>
      <c r="AG85" s="21">
        <v>0</v>
      </c>
      <c r="AH85" s="21">
        <v>0</v>
      </c>
      <c r="AI85" s="68"/>
      <c r="AM85" s="81"/>
      <c r="AN85"/>
    </row>
    <row r="86" spans="1:40">
      <c r="A86" s="23" t="s">
        <v>327</v>
      </c>
      <c r="B86" s="19" t="s">
        <v>328</v>
      </c>
      <c r="C86" s="19" t="s">
        <v>329</v>
      </c>
      <c r="D86" s="20">
        <f t="shared" si="1"/>
        <v>0</v>
      </c>
      <c r="E86" s="21">
        <v>0</v>
      </c>
      <c r="F86" s="21">
        <v>0</v>
      </c>
      <c r="G86" s="21">
        <v>0</v>
      </c>
      <c r="H86" s="21">
        <v>0</v>
      </c>
      <c r="I86" s="21">
        <v>0</v>
      </c>
      <c r="J86" s="21">
        <v>0</v>
      </c>
      <c r="K86" s="21">
        <v>0</v>
      </c>
      <c r="L86" s="21">
        <v>0</v>
      </c>
      <c r="M86" s="21">
        <v>0</v>
      </c>
      <c r="N86" s="21">
        <v>0</v>
      </c>
      <c r="O86" s="21">
        <v>0</v>
      </c>
      <c r="P86" s="21">
        <v>0</v>
      </c>
      <c r="Q86" s="21">
        <v>0</v>
      </c>
      <c r="R86" s="21">
        <v>0</v>
      </c>
      <c r="S86" s="21">
        <v>0</v>
      </c>
      <c r="T86" s="21">
        <v>0</v>
      </c>
      <c r="U86" s="21">
        <v>0</v>
      </c>
      <c r="V86" s="21">
        <v>0</v>
      </c>
      <c r="W86" s="21">
        <v>0</v>
      </c>
      <c r="X86" s="21">
        <v>0</v>
      </c>
      <c r="Y86" s="21">
        <v>0</v>
      </c>
      <c r="Z86" s="21">
        <v>0</v>
      </c>
      <c r="AA86" s="21">
        <v>0</v>
      </c>
      <c r="AB86" s="21">
        <v>0</v>
      </c>
      <c r="AC86" s="21">
        <v>0</v>
      </c>
      <c r="AD86" s="21">
        <v>0</v>
      </c>
      <c r="AE86" s="21">
        <v>0</v>
      </c>
      <c r="AF86" s="21">
        <v>0</v>
      </c>
      <c r="AG86" s="21">
        <v>0</v>
      </c>
      <c r="AH86" s="21">
        <v>0</v>
      </c>
      <c r="AI86" s="68"/>
      <c r="AM86" s="81"/>
      <c r="AN86"/>
    </row>
    <row r="87" spans="1:40">
      <c r="A87" s="23" t="s">
        <v>330</v>
      </c>
      <c r="B87" s="19" t="s">
        <v>331</v>
      </c>
      <c r="C87" s="19" t="s">
        <v>332</v>
      </c>
      <c r="D87" s="20">
        <f t="shared" si="1"/>
        <v>0</v>
      </c>
      <c r="E87" s="21">
        <v>0</v>
      </c>
      <c r="F87" s="21">
        <v>0</v>
      </c>
      <c r="G87" s="21">
        <v>0</v>
      </c>
      <c r="H87" s="21">
        <v>0</v>
      </c>
      <c r="I87" s="21">
        <v>0</v>
      </c>
      <c r="J87" s="21">
        <v>0</v>
      </c>
      <c r="K87" s="21">
        <v>0</v>
      </c>
      <c r="L87" s="21">
        <v>0</v>
      </c>
      <c r="M87" s="21">
        <v>0</v>
      </c>
      <c r="N87" s="21">
        <v>0</v>
      </c>
      <c r="O87" s="21">
        <v>0</v>
      </c>
      <c r="P87" s="21">
        <v>0</v>
      </c>
      <c r="Q87" s="21">
        <v>0</v>
      </c>
      <c r="R87" s="21">
        <v>0</v>
      </c>
      <c r="S87" s="21">
        <v>0</v>
      </c>
      <c r="T87" s="21">
        <v>0</v>
      </c>
      <c r="U87" s="21">
        <v>0</v>
      </c>
      <c r="V87" s="21">
        <v>0</v>
      </c>
      <c r="W87" s="21">
        <v>0</v>
      </c>
      <c r="X87" s="21">
        <v>0</v>
      </c>
      <c r="Y87" s="21">
        <v>0</v>
      </c>
      <c r="Z87" s="21">
        <v>0</v>
      </c>
      <c r="AA87" s="21">
        <v>0</v>
      </c>
      <c r="AB87" s="21">
        <v>0</v>
      </c>
      <c r="AC87" s="21">
        <v>0</v>
      </c>
      <c r="AD87" s="21">
        <v>0</v>
      </c>
      <c r="AE87" s="21">
        <v>0</v>
      </c>
      <c r="AF87" s="21">
        <v>0</v>
      </c>
      <c r="AG87" s="21">
        <v>0</v>
      </c>
      <c r="AH87" s="21">
        <v>0</v>
      </c>
      <c r="AI87" s="68"/>
      <c r="AM87" s="81"/>
      <c r="AN87"/>
    </row>
    <row r="88" spans="1:40">
      <c r="A88" s="24" t="s">
        <v>333</v>
      </c>
      <c r="B88" s="25"/>
      <c r="C88" s="25"/>
      <c r="D88" s="16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64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67"/>
      <c r="AM88" s="81"/>
      <c r="AN88"/>
    </row>
    <row r="89" spans="1:40">
      <c r="A89" s="19" t="s">
        <v>334</v>
      </c>
      <c r="B89" s="19" t="s">
        <v>335</v>
      </c>
      <c r="C89" s="19" t="s">
        <v>336</v>
      </c>
      <c r="D89" s="20">
        <f t="shared" ref="D89:D102" si="2">SUM(E89:AH89)</f>
        <v>358313.49</v>
      </c>
      <c r="E89" s="22">
        <v>34063.96</v>
      </c>
      <c r="F89" s="22">
        <v>45385.17</v>
      </c>
      <c r="G89" s="22">
        <v>65025.87</v>
      </c>
      <c r="H89" s="22">
        <v>19905.38</v>
      </c>
      <c r="I89" s="22">
        <v>9126.76</v>
      </c>
      <c r="J89" s="22">
        <v>23214.84</v>
      </c>
      <c r="K89" s="22">
        <v>25801.13</v>
      </c>
      <c r="L89" s="22">
        <v>6281.43</v>
      </c>
      <c r="M89" s="22">
        <v>5966.79</v>
      </c>
      <c r="N89" s="22">
        <v>5881.6</v>
      </c>
      <c r="O89" s="22">
        <v>11139.24</v>
      </c>
      <c r="P89" s="22">
        <v>47280.82</v>
      </c>
      <c r="Q89" s="22">
        <v>346.02</v>
      </c>
      <c r="R89" s="22">
        <v>246.15</v>
      </c>
      <c r="S89" s="22">
        <v>2161.0100000000002</v>
      </c>
      <c r="T89" s="22">
        <v>394.06</v>
      </c>
      <c r="U89" s="22">
        <v>713.76</v>
      </c>
      <c r="V89" s="21">
        <v>29954.400000000001</v>
      </c>
      <c r="W89" s="22">
        <v>5897.93</v>
      </c>
      <c r="X89" s="22">
        <v>2244.65</v>
      </c>
      <c r="Y89" s="22">
        <v>325.8</v>
      </c>
      <c r="Z89" s="22">
        <v>354.72</v>
      </c>
      <c r="AA89" s="22">
        <v>622.05999999999995</v>
      </c>
      <c r="AB89" s="22">
        <v>2011.32</v>
      </c>
      <c r="AC89" s="22">
        <v>1165.23</v>
      </c>
      <c r="AD89" s="22">
        <v>32.14</v>
      </c>
      <c r="AE89" s="22">
        <v>65.290000000000006</v>
      </c>
      <c r="AF89" s="22">
        <v>10928.23</v>
      </c>
      <c r="AG89" s="22">
        <v>158.35</v>
      </c>
      <c r="AH89" s="22">
        <v>1619.38</v>
      </c>
      <c r="AI89" s="67"/>
      <c r="AM89" s="81"/>
      <c r="AN89"/>
    </row>
    <row r="90" spans="1:40">
      <c r="A90" s="19" t="s">
        <v>337</v>
      </c>
      <c r="B90" s="19" t="s">
        <v>338</v>
      </c>
      <c r="C90" s="19" t="s">
        <v>336</v>
      </c>
      <c r="D90" s="20">
        <f t="shared" si="2"/>
        <v>358313.49</v>
      </c>
      <c r="E90" s="22">
        <v>34063.96</v>
      </c>
      <c r="F90" s="22">
        <v>45385.17</v>
      </c>
      <c r="G90" s="22">
        <v>65025.87</v>
      </c>
      <c r="H90" s="22">
        <v>19905.38</v>
      </c>
      <c r="I90" s="22">
        <v>9126.76</v>
      </c>
      <c r="J90" s="22">
        <v>23214.84</v>
      </c>
      <c r="K90" s="22">
        <v>25801.13</v>
      </c>
      <c r="L90" s="22">
        <v>6281.43</v>
      </c>
      <c r="M90" s="22">
        <v>5966.79</v>
      </c>
      <c r="N90" s="22">
        <v>5881.6</v>
      </c>
      <c r="O90" s="22">
        <v>11139.24</v>
      </c>
      <c r="P90" s="22">
        <v>47280.82</v>
      </c>
      <c r="Q90" s="22">
        <v>346.02</v>
      </c>
      <c r="R90" s="22">
        <v>246.15</v>
      </c>
      <c r="S90" s="22">
        <v>2161.0100000000002</v>
      </c>
      <c r="T90" s="22">
        <v>394.06</v>
      </c>
      <c r="U90" s="22">
        <v>713.76</v>
      </c>
      <c r="V90" s="21">
        <v>29954.400000000001</v>
      </c>
      <c r="W90" s="22">
        <v>5897.93</v>
      </c>
      <c r="X90" s="22">
        <v>2244.65</v>
      </c>
      <c r="Y90" s="22">
        <v>325.8</v>
      </c>
      <c r="Z90" s="22">
        <v>354.72</v>
      </c>
      <c r="AA90" s="22">
        <v>622.05999999999995</v>
      </c>
      <c r="AB90" s="22">
        <v>2011.32</v>
      </c>
      <c r="AC90" s="22">
        <v>1165.23</v>
      </c>
      <c r="AD90" s="22">
        <v>32.14</v>
      </c>
      <c r="AE90" s="22">
        <v>65.290000000000006</v>
      </c>
      <c r="AF90" s="22">
        <v>10928.23</v>
      </c>
      <c r="AG90" s="22">
        <v>158.35</v>
      </c>
      <c r="AH90" s="22">
        <v>1619.38</v>
      </c>
      <c r="AI90" s="67"/>
      <c r="AM90" s="81"/>
      <c r="AN90"/>
    </row>
    <row r="91" spans="1:40">
      <c r="A91" s="23" t="s">
        <v>339</v>
      </c>
      <c r="B91" s="19" t="s">
        <v>340</v>
      </c>
      <c r="C91" s="19" t="s">
        <v>196</v>
      </c>
      <c r="D91" s="20">
        <f t="shared" si="2"/>
        <v>358313.49</v>
      </c>
      <c r="E91" s="22">
        <v>34063.96</v>
      </c>
      <c r="F91" s="22">
        <v>45385.17</v>
      </c>
      <c r="G91" s="22">
        <v>65025.87</v>
      </c>
      <c r="H91" s="22">
        <v>19905.38</v>
      </c>
      <c r="I91" s="22">
        <v>9126.76</v>
      </c>
      <c r="J91" s="22">
        <v>23214.84</v>
      </c>
      <c r="K91" s="22">
        <v>25801.13</v>
      </c>
      <c r="L91" s="22">
        <v>6281.43</v>
      </c>
      <c r="M91" s="22">
        <v>5966.79</v>
      </c>
      <c r="N91" s="22">
        <v>5881.6</v>
      </c>
      <c r="O91" s="22">
        <v>11139.24</v>
      </c>
      <c r="P91" s="22">
        <v>47280.82</v>
      </c>
      <c r="Q91" s="22">
        <v>346.02</v>
      </c>
      <c r="R91" s="22">
        <v>246.15</v>
      </c>
      <c r="S91" s="22">
        <v>2161.0100000000002</v>
      </c>
      <c r="T91" s="22">
        <v>394.06</v>
      </c>
      <c r="U91" s="22">
        <v>713.76</v>
      </c>
      <c r="V91" s="21">
        <v>29954.400000000001</v>
      </c>
      <c r="W91" s="22">
        <v>5897.93</v>
      </c>
      <c r="X91" s="22">
        <v>2244.65</v>
      </c>
      <c r="Y91" s="22">
        <v>325.8</v>
      </c>
      <c r="Z91" s="22">
        <v>354.72</v>
      </c>
      <c r="AA91" s="22">
        <v>622.05999999999995</v>
      </c>
      <c r="AB91" s="22">
        <v>2011.32</v>
      </c>
      <c r="AC91" s="22">
        <v>1165.23</v>
      </c>
      <c r="AD91" s="22">
        <v>32.14</v>
      </c>
      <c r="AE91" s="22">
        <v>65.290000000000006</v>
      </c>
      <c r="AF91" s="22">
        <v>10928.23</v>
      </c>
      <c r="AG91" s="22">
        <v>158.35</v>
      </c>
      <c r="AH91" s="22">
        <v>1619.38</v>
      </c>
      <c r="AI91" s="67"/>
      <c r="AM91" s="81"/>
      <c r="AN91"/>
    </row>
    <row r="92" spans="1:40">
      <c r="A92" s="23" t="s">
        <v>341</v>
      </c>
      <c r="B92" s="19" t="s">
        <v>342</v>
      </c>
      <c r="C92" s="19" t="s">
        <v>196</v>
      </c>
      <c r="D92" s="20">
        <f t="shared" si="2"/>
        <v>358313.49</v>
      </c>
      <c r="E92" s="22">
        <v>34063.96</v>
      </c>
      <c r="F92" s="22">
        <v>45385.17</v>
      </c>
      <c r="G92" s="22">
        <v>65025.87</v>
      </c>
      <c r="H92" s="22">
        <v>19905.38</v>
      </c>
      <c r="I92" s="22">
        <v>9126.76</v>
      </c>
      <c r="J92" s="22">
        <v>23214.84</v>
      </c>
      <c r="K92" s="22">
        <v>25801.13</v>
      </c>
      <c r="L92" s="22">
        <v>6281.43</v>
      </c>
      <c r="M92" s="22">
        <v>5966.79</v>
      </c>
      <c r="N92" s="22">
        <v>5881.6</v>
      </c>
      <c r="O92" s="22">
        <v>11139.24</v>
      </c>
      <c r="P92" s="22">
        <v>47280.82</v>
      </c>
      <c r="Q92" s="22">
        <v>346.02</v>
      </c>
      <c r="R92" s="22">
        <v>246.15</v>
      </c>
      <c r="S92" s="22">
        <v>2161.0100000000002</v>
      </c>
      <c r="T92" s="22">
        <v>394.06</v>
      </c>
      <c r="U92" s="22">
        <v>713.76</v>
      </c>
      <c r="V92" s="21">
        <v>29954.400000000001</v>
      </c>
      <c r="W92" s="22">
        <v>5897.93</v>
      </c>
      <c r="X92" s="22">
        <v>2244.65</v>
      </c>
      <c r="Y92" s="22">
        <v>325.8</v>
      </c>
      <c r="Z92" s="22">
        <v>354.72</v>
      </c>
      <c r="AA92" s="22">
        <v>622.05999999999995</v>
      </c>
      <c r="AB92" s="22">
        <v>2011.32</v>
      </c>
      <c r="AC92" s="22">
        <v>1165.23</v>
      </c>
      <c r="AD92" s="22">
        <v>32.14</v>
      </c>
      <c r="AE92" s="22">
        <v>65.290000000000006</v>
      </c>
      <c r="AF92" s="22">
        <v>10928.23</v>
      </c>
      <c r="AG92" s="22">
        <v>158.35</v>
      </c>
      <c r="AH92" s="22">
        <v>1619.38</v>
      </c>
      <c r="AI92" s="67"/>
      <c r="AM92" s="81"/>
      <c r="AN92"/>
    </row>
    <row r="93" spans="1:40">
      <c r="A93" s="23" t="s">
        <v>343</v>
      </c>
      <c r="B93" s="19" t="s">
        <v>344</v>
      </c>
      <c r="C93" s="19" t="s">
        <v>345</v>
      </c>
      <c r="D93" s="20">
        <f t="shared" si="2"/>
        <v>2194</v>
      </c>
      <c r="E93" s="22">
        <v>183</v>
      </c>
      <c r="F93" s="22">
        <v>326</v>
      </c>
      <c r="G93" s="22">
        <v>377</v>
      </c>
      <c r="H93" s="22">
        <v>85</v>
      </c>
      <c r="I93" s="22">
        <v>140</v>
      </c>
      <c r="J93" s="22">
        <v>210</v>
      </c>
      <c r="K93" s="22">
        <v>125</v>
      </c>
      <c r="L93" s="22">
        <v>62</v>
      </c>
      <c r="M93" s="22">
        <v>48</v>
      </c>
      <c r="N93" s="22">
        <v>21</v>
      </c>
      <c r="O93" s="22">
        <v>1</v>
      </c>
      <c r="P93" s="22">
        <v>498</v>
      </c>
      <c r="Q93" s="21">
        <v>0</v>
      </c>
      <c r="R93" s="21">
        <v>0</v>
      </c>
      <c r="S93" s="21">
        <v>0</v>
      </c>
      <c r="T93" s="21">
        <v>0</v>
      </c>
      <c r="U93" s="21">
        <v>0</v>
      </c>
      <c r="V93" s="21">
        <v>50</v>
      </c>
      <c r="W93" s="22">
        <v>45</v>
      </c>
      <c r="X93" s="22">
        <v>6</v>
      </c>
      <c r="Y93" s="21">
        <v>0</v>
      </c>
      <c r="Z93" s="21">
        <v>0</v>
      </c>
      <c r="AA93" s="21">
        <v>0</v>
      </c>
      <c r="AB93" s="22">
        <v>16</v>
      </c>
      <c r="AC93" s="21">
        <v>0</v>
      </c>
      <c r="AD93" s="21">
        <v>0</v>
      </c>
      <c r="AE93" s="21">
        <v>0</v>
      </c>
      <c r="AF93" s="22">
        <v>1</v>
      </c>
      <c r="AG93" s="21">
        <v>0</v>
      </c>
      <c r="AH93" s="21">
        <v>0</v>
      </c>
      <c r="AI93" s="67"/>
      <c r="AM93" s="81"/>
      <c r="AN93"/>
    </row>
    <row r="94" spans="1:40">
      <c r="A94" s="23" t="s">
        <v>346</v>
      </c>
      <c r="B94" s="19" t="s">
        <v>347</v>
      </c>
      <c r="C94" s="19" t="s">
        <v>348</v>
      </c>
      <c r="D94" s="20">
        <f t="shared" si="2"/>
        <v>2269</v>
      </c>
      <c r="E94" s="22">
        <v>207</v>
      </c>
      <c r="F94" s="22">
        <v>269</v>
      </c>
      <c r="G94" s="22">
        <v>487</v>
      </c>
      <c r="H94" s="22">
        <v>109</v>
      </c>
      <c r="I94" s="22">
        <v>121</v>
      </c>
      <c r="J94" s="22">
        <v>171</v>
      </c>
      <c r="K94" s="22">
        <v>105</v>
      </c>
      <c r="L94" s="22">
        <v>71</v>
      </c>
      <c r="M94" s="22">
        <v>88</v>
      </c>
      <c r="N94" s="22">
        <v>32</v>
      </c>
      <c r="O94" s="22">
        <v>40</v>
      </c>
      <c r="P94" s="22">
        <v>198</v>
      </c>
      <c r="Q94" s="22">
        <v>5</v>
      </c>
      <c r="R94" s="22">
        <v>4</v>
      </c>
      <c r="S94" s="22">
        <v>20</v>
      </c>
      <c r="T94" s="22">
        <v>2</v>
      </c>
      <c r="U94" s="22">
        <v>7</v>
      </c>
      <c r="V94" s="21">
        <v>191</v>
      </c>
      <c r="W94" s="22">
        <v>56</v>
      </c>
      <c r="X94" s="22">
        <v>7</v>
      </c>
      <c r="Y94" s="22">
        <v>3</v>
      </c>
      <c r="Z94" s="22">
        <v>3</v>
      </c>
      <c r="AA94" s="21">
        <v>0</v>
      </c>
      <c r="AB94" s="22">
        <v>32</v>
      </c>
      <c r="AC94" s="22">
        <v>8</v>
      </c>
      <c r="AD94" s="22">
        <v>1</v>
      </c>
      <c r="AE94" s="22">
        <v>1</v>
      </c>
      <c r="AF94" s="22">
        <v>11</v>
      </c>
      <c r="AG94" s="22">
        <v>2</v>
      </c>
      <c r="AH94" s="22">
        <v>18</v>
      </c>
      <c r="AI94" s="67"/>
      <c r="AM94" s="81"/>
      <c r="AN94"/>
    </row>
    <row r="95" spans="1:40">
      <c r="A95" s="23" t="s">
        <v>349</v>
      </c>
      <c r="B95" s="19" t="s">
        <v>350</v>
      </c>
      <c r="C95" s="19" t="s">
        <v>351</v>
      </c>
      <c r="D95" s="20">
        <f t="shared" si="2"/>
        <v>1</v>
      </c>
      <c r="E95" s="21">
        <v>0</v>
      </c>
      <c r="F95" s="21">
        <v>0</v>
      </c>
      <c r="G95" s="21">
        <v>0</v>
      </c>
      <c r="H95" s="21">
        <v>0</v>
      </c>
      <c r="I95" s="21">
        <v>0</v>
      </c>
      <c r="J95" s="21">
        <v>0</v>
      </c>
      <c r="K95" s="21">
        <v>0</v>
      </c>
      <c r="L95" s="21">
        <v>0</v>
      </c>
      <c r="M95" s="21">
        <v>0</v>
      </c>
      <c r="N95" s="21">
        <v>0</v>
      </c>
      <c r="O95" s="21">
        <v>0</v>
      </c>
      <c r="P95" s="22">
        <v>1</v>
      </c>
      <c r="Q95" s="21">
        <v>0</v>
      </c>
      <c r="R95" s="21">
        <v>0</v>
      </c>
      <c r="S95" s="21">
        <v>0</v>
      </c>
      <c r="T95" s="21">
        <v>0</v>
      </c>
      <c r="U95" s="21">
        <v>0</v>
      </c>
      <c r="V95" s="21">
        <v>0</v>
      </c>
      <c r="W95" s="21">
        <v>0</v>
      </c>
      <c r="X95" s="21">
        <v>0</v>
      </c>
      <c r="Y95" s="21">
        <v>0</v>
      </c>
      <c r="Z95" s="21">
        <v>0</v>
      </c>
      <c r="AA95" s="21">
        <v>0</v>
      </c>
      <c r="AB95" s="21">
        <v>0</v>
      </c>
      <c r="AC95" s="21">
        <v>0</v>
      </c>
      <c r="AD95" s="21">
        <v>0</v>
      </c>
      <c r="AE95" s="21">
        <v>0</v>
      </c>
      <c r="AF95" s="21">
        <v>0</v>
      </c>
      <c r="AG95" s="21">
        <v>0</v>
      </c>
      <c r="AH95" s="21">
        <v>0</v>
      </c>
      <c r="AI95" s="67"/>
      <c r="AM95" s="81"/>
      <c r="AN95"/>
    </row>
    <row r="96" spans="1:40">
      <c r="A96" s="23" t="s">
        <v>352</v>
      </c>
      <c r="B96" s="19" t="s">
        <v>353</v>
      </c>
      <c r="C96" s="19" t="s">
        <v>242</v>
      </c>
      <c r="D96" s="20">
        <f t="shared" si="2"/>
        <v>24</v>
      </c>
      <c r="E96" s="22">
        <v>2</v>
      </c>
      <c r="F96" s="22">
        <v>1</v>
      </c>
      <c r="G96" s="22">
        <v>2</v>
      </c>
      <c r="H96" s="22">
        <v>11</v>
      </c>
      <c r="I96" s="22">
        <v>1</v>
      </c>
      <c r="J96" s="22">
        <v>1</v>
      </c>
      <c r="K96" s="22">
        <v>1</v>
      </c>
      <c r="L96" s="22">
        <v>1</v>
      </c>
      <c r="M96" s="22">
        <v>1</v>
      </c>
      <c r="N96" s="22">
        <v>1</v>
      </c>
      <c r="O96" s="21">
        <v>0</v>
      </c>
      <c r="P96" s="21">
        <v>0</v>
      </c>
      <c r="Q96" s="21">
        <v>0</v>
      </c>
      <c r="R96" s="21">
        <v>0</v>
      </c>
      <c r="S96" s="22">
        <v>1</v>
      </c>
      <c r="T96" s="21">
        <v>0</v>
      </c>
      <c r="U96" s="21">
        <v>0</v>
      </c>
      <c r="V96" s="21">
        <v>0</v>
      </c>
      <c r="W96" s="22">
        <v>1</v>
      </c>
      <c r="X96" s="21">
        <v>0</v>
      </c>
      <c r="Y96" s="21">
        <v>0</v>
      </c>
      <c r="Z96" s="21">
        <v>0</v>
      </c>
      <c r="AA96" s="21">
        <v>0</v>
      </c>
      <c r="AB96" s="21">
        <v>0</v>
      </c>
      <c r="AC96" s="21">
        <v>0</v>
      </c>
      <c r="AD96" s="21">
        <v>0</v>
      </c>
      <c r="AE96" s="21">
        <v>0</v>
      </c>
      <c r="AF96" s="21">
        <v>0</v>
      </c>
      <c r="AG96" s="21">
        <v>0</v>
      </c>
      <c r="AH96" s="21">
        <v>0</v>
      </c>
      <c r="AI96" s="67"/>
      <c r="AM96" s="81"/>
      <c r="AN96"/>
    </row>
    <row r="97" spans="1:40">
      <c r="A97" s="23" t="s">
        <v>354</v>
      </c>
      <c r="B97" s="19" t="s">
        <v>355</v>
      </c>
      <c r="C97" s="19" t="s">
        <v>356</v>
      </c>
      <c r="D97" s="20">
        <f t="shared" si="2"/>
        <v>967</v>
      </c>
      <c r="E97" s="21">
        <v>0</v>
      </c>
      <c r="F97" s="22">
        <v>259</v>
      </c>
      <c r="G97" s="22">
        <v>156</v>
      </c>
      <c r="H97" s="22">
        <v>29</v>
      </c>
      <c r="I97" s="22">
        <v>86</v>
      </c>
      <c r="J97" s="22">
        <v>55</v>
      </c>
      <c r="K97" s="22">
        <v>83</v>
      </c>
      <c r="L97" s="22">
        <v>54</v>
      </c>
      <c r="M97" s="22">
        <v>13</v>
      </c>
      <c r="N97" s="22">
        <v>10</v>
      </c>
      <c r="O97" s="21">
        <v>0</v>
      </c>
      <c r="P97" s="22">
        <v>106</v>
      </c>
      <c r="Q97" s="21">
        <v>0</v>
      </c>
      <c r="R97" s="21">
        <v>0</v>
      </c>
      <c r="S97" s="22">
        <v>8</v>
      </c>
      <c r="T97" s="21">
        <v>0</v>
      </c>
      <c r="U97" s="21">
        <v>0</v>
      </c>
      <c r="V97" s="21">
        <v>47</v>
      </c>
      <c r="W97" s="22">
        <v>43</v>
      </c>
      <c r="X97" s="21">
        <v>0</v>
      </c>
      <c r="Y97" s="21">
        <v>0</v>
      </c>
      <c r="Z97" s="21">
        <v>0</v>
      </c>
      <c r="AA97" s="21">
        <v>0</v>
      </c>
      <c r="AB97" s="21">
        <v>0</v>
      </c>
      <c r="AC97" s="21">
        <v>0</v>
      </c>
      <c r="AD97" s="21">
        <v>0</v>
      </c>
      <c r="AE97" s="21">
        <v>0</v>
      </c>
      <c r="AF97" s="21">
        <v>0</v>
      </c>
      <c r="AG97" s="21">
        <v>0</v>
      </c>
      <c r="AH97" s="22">
        <v>18</v>
      </c>
      <c r="AI97" s="67"/>
      <c r="AM97" s="81"/>
      <c r="AN97"/>
    </row>
    <row r="98" spans="1:40">
      <c r="A98" s="23" t="s">
        <v>357</v>
      </c>
      <c r="B98" s="19" t="s">
        <v>358</v>
      </c>
      <c r="C98" s="19" t="s">
        <v>359</v>
      </c>
      <c r="D98" s="20">
        <f t="shared" si="2"/>
        <v>0</v>
      </c>
      <c r="E98" s="21">
        <v>0</v>
      </c>
      <c r="F98" s="21">
        <v>0</v>
      </c>
      <c r="G98" s="21">
        <v>0</v>
      </c>
      <c r="H98" s="21">
        <v>0</v>
      </c>
      <c r="I98" s="21">
        <v>0</v>
      </c>
      <c r="J98" s="21">
        <v>0</v>
      </c>
      <c r="K98" s="21">
        <v>0</v>
      </c>
      <c r="L98" s="21">
        <v>0</v>
      </c>
      <c r="M98" s="21">
        <v>0</v>
      </c>
      <c r="N98" s="21">
        <v>0</v>
      </c>
      <c r="O98" s="21">
        <v>0</v>
      </c>
      <c r="P98" s="21">
        <v>0</v>
      </c>
      <c r="Q98" s="21">
        <v>0</v>
      </c>
      <c r="R98" s="21">
        <v>0</v>
      </c>
      <c r="S98" s="21">
        <v>0</v>
      </c>
      <c r="T98" s="21">
        <v>0</v>
      </c>
      <c r="U98" s="21">
        <v>0</v>
      </c>
      <c r="V98" s="21"/>
      <c r="W98" s="22"/>
      <c r="X98" s="21">
        <v>0</v>
      </c>
      <c r="Y98" s="21">
        <v>0</v>
      </c>
      <c r="Z98" s="21">
        <v>0</v>
      </c>
      <c r="AA98" s="21">
        <v>0</v>
      </c>
      <c r="AB98" s="21">
        <v>0</v>
      </c>
      <c r="AC98" s="21">
        <v>0</v>
      </c>
      <c r="AD98" s="21">
        <v>0</v>
      </c>
      <c r="AE98" s="21">
        <v>0</v>
      </c>
      <c r="AF98" s="21">
        <v>0</v>
      </c>
      <c r="AG98" s="21">
        <v>0</v>
      </c>
      <c r="AH98" s="22"/>
      <c r="AI98" s="67"/>
      <c r="AM98" s="81"/>
      <c r="AN98"/>
    </row>
    <row r="99" spans="1:40" ht="48">
      <c r="A99" s="23" t="s">
        <v>360</v>
      </c>
      <c r="B99" s="19" t="s">
        <v>361</v>
      </c>
      <c r="C99" s="19" t="s">
        <v>362</v>
      </c>
      <c r="D99" s="20">
        <f t="shared" si="2"/>
        <v>1508.77</v>
      </c>
      <c r="E99" s="21">
        <v>0</v>
      </c>
      <c r="F99" s="21">
        <v>0</v>
      </c>
      <c r="G99" s="21">
        <v>0</v>
      </c>
      <c r="H99" s="21">
        <v>0</v>
      </c>
      <c r="I99" s="21">
        <v>0</v>
      </c>
      <c r="J99" s="21">
        <v>0</v>
      </c>
      <c r="K99" s="21">
        <v>0</v>
      </c>
      <c r="L99" s="21">
        <v>0</v>
      </c>
      <c r="M99" s="21">
        <v>0</v>
      </c>
      <c r="N99" s="21">
        <v>0</v>
      </c>
      <c r="O99" s="21">
        <v>0</v>
      </c>
      <c r="P99" s="22">
        <v>1508.77</v>
      </c>
      <c r="Q99" s="21">
        <v>0</v>
      </c>
      <c r="R99" s="21">
        <v>0</v>
      </c>
      <c r="S99" s="21">
        <v>0</v>
      </c>
      <c r="T99" s="21">
        <v>0</v>
      </c>
      <c r="U99" s="21">
        <v>0</v>
      </c>
      <c r="V99" s="21">
        <v>0</v>
      </c>
      <c r="W99" s="21">
        <v>0</v>
      </c>
      <c r="X99" s="21">
        <v>0</v>
      </c>
      <c r="Y99" s="21">
        <v>0</v>
      </c>
      <c r="Z99" s="21">
        <v>0</v>
      </c>
      <c r="AA99" s="21">
        <v>0</v>
      </c>
      <c r="AB99" s="21">
        <v>0</v>
      </c>
      <c r="AC99" s="21">
        <v>0</v>
      </c>
      <c r="AD99" s="21">
        <v>0</v>
      </c>
      <c r="AE99" s="21">
        <v>0</v>
      </c>
      <c r="AF99" s="21">
        <v>0</v>
      </c>
      <c r="AG99" s="21">
        <v>0</v>
      </c>
      <c r="AH99" s="21">
        <v>0</v>
      </c>
      <c r="AI99" s="67"/>
      <c r="AM99" s="81"/>
      <c r="AN99"/>
    </row>
    <row r="100" spans="1:40">
      <c r="A100" s="23" t="s">
        <v>363</v>
      </c>
      <c r="B100" s="19" t="s">
        <v>364</v>
      </c>
      <c r="C100" s="19" t="s">
        <v>365</v>
      </c>
      <c r="D100" s="20">
        <f t="shared" si="2"/>
        <v>0</v>
      </c>
      <c r="E100" s="21">
        <v>0</v>
      </c>
      <c r="F100" s="21">
        <v>0</v>
      </c>
      <c r="G100" s="21">
        <v>0</v>
      </c>
      <c r="H100" s="21">
        <v>0</v>
      </c>
      <c r="I100" s="21">
        <v>0</v>
      </c>
      <c r="J100" s="21">
        <v>0</v>
      </c>
      <c r="K100" s="21">
        <v>0</v>
      </c>
      <c r="L100" s="21">
        <v>0</v>
      </c>
      <c r="M100" s="21">
        <v>0</v>
      </c>
      <c r="N100" s="21">
        <v>0</v>
      </c>
      <c r="O100" s="21">
        <v>0</v>
      </c>
      <c r="P100" s="21">
        <v>0</v>
      </c>
      <c r="Q100" s="21">
        <v>0</v>
      </c>
      <c r="R100" s="21">
        <v>0</v>
      </c>
      <c r="S100" s="21">
        <v>0</v>
      </c>
      <c r="T100" s="21">
        <v>0</v>
      </c>
      <c r="U100" s="21">
        <v>0</v>
      </c>
      <c r="V100" s="21">
        <v>0</v>
      </c>
      <c r="W100" s="21">
        <v>0</v>
      </c>
      <c r="X100" s="21">
        <v>0</v>
      </c>
      <c r="Y100" s="21">
        <v>0</v>
      </c>
      <c r="Z100" s="21">
        <v>0</v>
      </c>
      <c r="AA100" s="21">
        <v>0</v>
      </c>
      <c r="AB100" s="21">
        <v>0</v>
      </c>
      <c r="AC100" s="21">
        <v>0</v>
      </c>
      <c r="AD100" s="21">
        <v>0</v>
      </c>
      <c r="AE100" s="21">
        <v>0</v>
      </c>
      <c r="AF100" s="21">
        <v>0</v>
      </c>
      <c r="AG100" s="21">
        <v>0</v>
      </c>
      <c r="AH100" s="21">
        <v>0</v>
      </c>
      <c r="AI100" s="67"/>
      <c r="AM100" s="81"/>
      <c r="AN100"/>
    </row>
    <row r="101" spans="1:40">
      <c r="A101" s="23" t="s">
        <v>366</v>
      </c>
      <c r="B101" s="19" t="s">
        <v>367</v>
      </c>
      <c r="C101" s="19" t="s">
        <v>368</v>
      </c>
      <c r="D101" s="20">
        <f t="shared" si="2"/>
        <v>22</v>
      </c>
      <c r="E101" s="21">
        <v>0</v>
      </c>
      <c r="F101" s="22">
        <v>10</v>
      </c>
      <c r="G101" s="22">
        <v>12</v>
      </c>
      <c r="H101" s="21">
        <v>0</v>
      </c>
      <c r="I101" s="21">
        <v>0</v>
      </c>
      <c r="J101" s="21">
        <v>0</v>
      </c>
      <c r="K101" s="21">
        <v>0</v>
      </c>
      <c r="L101" s="21">
        <v>0</v>
      </c>
      <c r="M101" s="21">
        <v>0</v>
      </c>
      <c r="N101" s="21">
        <v>0</v>
      </c>
      <c r="O101" s="21">
        <v>0</v>
      </c>
      <c r="P101" s="21">
        <v>0</v>
      </c>
      <c r="Q101" s="21">
        <v>0</v>
      </c>
      <c r="R101" s="21">
        <v>0</v>
      </c>
      <c r="S101" s="21">
        <v>0</v>
      </c>
      <c r="T101" s="21">
        <v>0</v>
      </c>
      <c r="U101" s="21">
        <v>0</v>
      </c>
      <c r="V101" s="21">
        <v>0</v>
      </c>
      <c r="W101" s="21">
        <v>0</v>
      </c>
      <c r="X101" s="21">
        <v>0</v>
      </c>
      <c r="Y101" s="21">
        <v>0</v>
      </c>
      <c r="Z101" s="21">
        <v>0</v>
      </c>
      <c r="AA101" s="21">
        <v>0</v>
      </c>
      <c r="AB101" s="21">
        <v>0</v>
      </c>
      <c r="AC101" s="21">
        <v>0</v>
      </c>
      <c r="AD101" s="21">
        <v>0</v>
      </c>
      <c r="AE101" s="21">
        <v>0</v>
      </c>
      <c r="AF101" s="21">
        <v>0</v>
      </c>
      <c r="AG101" s="21">
        <v>0</v>
      </c>
      <c r="AH101" s="21">
        <v>0</v>
      </c>
      <c r="AI101" s="68"/>
      <c r="AM101" s="81"/>
      <c r="AN101"/>
    </row>
    <row r="102" spans="1:40" ht="32.1">
      <c r="A102" s="23" t="s">
        <v>357</v>
      </c>
      <c r="B102" s="19" t="s">
        <v>369</v>
      </c>
      <c r="C102" s="19" t="s">
        <v>370</v>
      </c>
      <c r="D102" s="20">
        <f t="shared" si="2"/>
        <v>0</v>
      </c>
      <c r="E102" s="21">
        <v>0</v>
      </c>
      <c r="F102" s="21">
        <v>0</v>
      </c>
      <c r="G102" s="21">
        <v>0</v>
      </c>
      <c r="H102" s="21">
        <v>0</v>
      </c>
      <c r="I102" s="21">
        <v>0</v>
      </c>
      <c r="J102" s="21">
        <v>0</v>
      </c>
      <c r="K102" s="21">
        <v>0</v>
      </c>
      <c r="L102" s="21">
        <v>0</v>
      </c>
      <c r="M102" s="21">
        <v>0</v>
      </c>
      <c r="N102" s="21">
        <v>0</v>
      </c>
      <c r="O102" s="21">
        <v>0</v>
      </c>
      <c r="P102" s="21">
        <v>0</v>
      </c>
      <c r="Q102" s="21">
        <v>0</v>
      </c>
      <c r="R102" s="21">
        <v>0</v>
      </c>
      <c r="S102" s="21">
        <v>0</v>
      </c>
      <c r="T102" s="21">
        <v>0</v>
      </c>
      <c r="U102" s="21">
        <v>0</v>
      </c>
      <c r="V102" s="21">
        <v>0</v>
      </c>
      <c r="W102" s="21">
        <v>0</v>
      </c>
      <c r="X102" s="21">
        <v>0</v>
      </c>
      <c r="Y102" s="21">
        <v>0</v>
      </c>
      <c r="Z102" s="21">
        <v>0</v>
      </c>
      <c r="AA102" s="21">
        <v>0</v>
      </c>
      <c r="AB102" s="21">
        <v>0</v>
      </c>
      <c r="AC102" s="21">
        <v>0</v>
      </c>
      <c r="AD102" s="21">
        <v>0</v>
      </c>
      <c r="AE102" s="21">
        <v>0</v>
      </c>
      <c r="AF102" s="21">
        <v>0</v>
      </c>
      <c r="AG102" s="21">
        <v>0</v>
      </c>
      <c r="AH102" s="21">
        <v>0</v>
      </c>
      <c r="AI102" s="67"/>
      <c r="AM102" s="81"/>
      <c r="AN102"/>
    </row>
    <row r="103" spans="1:40">
      <c r="A103" s="24" t="s">
        <v>371</v>
      </c>
      <c r="B103" s="25"/>
      <c r="C103" s="25"/>
      <c r="D103" s="16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64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67"/>
      <c r="AM103" s="81"/>
      <c r="AN103"/>
    </row>
    <row r="104" spans="1:40">
      <c r="A104" s="23" t="s">
        <v>372</v>
      </c>
      <c r="B104" s="19" t="s">
        <v>373</v>
      </c>
      <c r="C104" s="19" t="s">
        <v>374</v>
      </c>
      <c r="D104" s="20">
        <f t="shared" ref="D104:D110" si="3">SUM(E104:AH104)</f>
        <v>92</v>
      </c>
      <c r="E104" s="22">
        <v>6</v>
      </c>
      <c r="F104" s="22">
        <v>28</v>
      </c>
      <c r="G104" s="22">
        <v>9</v>
      </c>
      <c r="H104" s="22">
        <v>8</v>
      </c>
      <c r="I104" s="22">
        <v>1</v>
      </c>
      <c r="J104" s="22">
        <v>7</v>
      </c>
      <c r="K104" s="22">
        <v>6</v>
      </c>
      <c r="L104" s="22">
        <v>3</v>
      </c>
      <c r="M104" s="22">
        <v>4</v>
      </c>
      <c r="N104" s="22">
        <v>4</v>
      </c>
      <c r="O104" s="21">
        <v>0</v>
      </c>
      <c r="P104" s="22">
        <v>4</v>
      </c>
      <c r="Q104" s="21">
        <v>0</v>
      </c>
      <c r="R104" s="21">
        <v>0</v>
      </c>
      <c r="S104" s="22">
        <v>2</v>
      </c>
      <c r="T104" s="21">
        <v>0</v>
      </c>
      <c r="U104" s="21">
        <v>0</v>
      </c>
      <c r="V104" s="21">
        <v>6</v>
      </c>
      <c r="W104" s="22">
        <v>2</v>
      </c>
      <c r="X104" s="21">
        <v>0</v>
      </c>
      <c r="Y104" s="21">
        <v>0</v>
      </c>
      <c r="Z104" s="21">
        <v>0</v>
      </c>
      <c r="AA104" s="21">
        <v>0</v>
      </c>
      <c r="AB104" s="22">
        <v>1</v>
      </c>
      <c r="AC104" s="21">
        <v>0</v>
      </c>
      <c r="AD104" s="21">
        <v>0</v>
      </c>
      <c r="AE104" s="21">
        <v>0</v>
      </c>
      <c r="AF104" s="21">
        <v>0</v>
      </c>
      <c r="AG104" s="21">
        <v>0</v>
      </c>
      <c r="AH104" s="22">
        <v>1</v>
      </c>
      <c r="AI104" s="67"/>
      <c r="AM104" s="81"/>
      <c r="AN104"/>
    </row>
    <row r="105" spans="1:40">
      <c r="A105" s="23" t="s">
        <v>372</v>
      </c>
      <c r="B105" s="19" t="s">
        <v>375</v>
      </c>
      <c r="C105" s="19" t="s">
        <v>374</v>
      </c>
      <c r="D105" s="20">
        <f t="shared" si="3"/>
        <v>52</v>
      </c>
      <c r="E105" s="22">
        <v>1</v>
      </c>
      <c r="F105" s="22">
        <v>1</v>
      </c>
      <c r="G105" s="22">
        <v>12</v>
      </c>
      <c r="H105" s="21">
        <v>0</v>
      </c>
      <c r="I105" s="22">
        <v>3</v>
      </c>
      <c r="J105" s="22">
        <v>9</v>
      </c>
      <c r="K105" s="22">
        <v>11</v>
      </c>
      <c r="L105" s="21">
        <v>0</v>
      </c>
      <c r="M105" s="21">
        <v>0</v>
      </c>
      <c r="N105" s="21">
        <v>0</v>
      </c>
      <c r="O105" s="21">
        <v>0</v>
      </c>
      <c r="P105" s="22">
        <v>15</v>
      </c>
      <c r="Q105" s="21">
        <v>0</v>
      </c>
      <c r="R105" s="21">
        <v>0</v>
      </c>
      <c r="S105" s="21">
        <v>0</v>
      </c>
      <c r="T105" s="21">
        <v>0</v>
      </c>
      <c r="U105" s="21">
        <v>0</v>
      </c>
      <c r="V105" s="21">
        <v>0</v>
      </c>
      <c r="W105" s="21">
        <v>0</v>
      </c>
      <c r="X105" s="21">
        <v>0</v>
      </c>
      <c r="Y105" s="21">
        <v>0</v>
      </c>
      <c r="Z105" s="21">
        <v>0</v>
      </c>
      <c r="AA105" s="21">
        <v>0</v>
      </c>
      <c r="AB105" s="21">
        <v>0</v>
      </c>
      <c r="AC105" s="21">
        <v>0</v>
      </c>
      <c r="AD105" s="21">
        <v>0</v>
      </c>
      <c r="AE105" s="21">
        <v>0</v>
      </c>
      <c r="AF105" s="21">
        <v>0</v>
      </c>
      <c r="AG105" s="21">
        <v>0</v>
      </c>
      <c r="AH105" s="21">
        <v>0</v>
      </c>
      <c r="AI105" s="67"/>
      <c r="AM105" s="81"/>
      <c r="AN105"/>
    </row>
    <row r="106" spans="1:40">
      <c r="A106" s="23" t="s">
        <v>372</v>
      </c>
      <c r="B106" s="19" t="s">
        <v>376</v>
      </c>
      <c r="C106" s="19" t="s">
        <v>374</v>
      </c>
      <c r="D106" s="20">
        <f t="shared" si="3"/>
        <v>0</v>
      </c>
      <c r="E106" s="21">
        <v>0</v>
      </c>
      <c r="F106" s="21">
        <v>0</v>
      </c>
      <c r="G106" s="21">
        <v>0</v>
      </c>
      <c r="H106" s="21">
        <v>0</v>
      </c>
      <c r="I106" s="21">
        <v>0</v>
      </c>
      <c r="J106" s="21">
        <v>0</v>
      </c>
      <c r="K106" s="21">
        <v>0</v>
      </c>
      <c r="L106" s="21">
        <v>0</v>
      </c>
      <c r="M106" s="21">
        <v>0</v>
      </c>
      <c r="N106" s="21">
        <v>0</v>
      </c>
      <c r="O106" s="21">
        <v>0</v>
      </c>
      <c r="P106" s="21">
        <v>0</v>
      </c>
      <c r="Q106" s="21">
        <v>0</v>
      </c>
      <c r="R106" s="21">
        <v>0</v>
      </c>
      <c r="S106" s="21">
        <v>0</v>
      </c>
      <c r="T106" s="21">
        <v>0</v>
      </c>
      <c r="U106" s="21">
        <v>0</v>
      </c>
      <c r="V106" s="21">
        <v>0</v>
      </c>
      <c r="W106" s="21">
        <v>0</v>
      </c>
      <c r="X106" s="21">
        <v>0</v>
      </c>
      <c r="Y106" s="21">
        <v>0</v>
      </c>
      <c r="Z106" s="21">
        <v>0</v>
      </c>
      <c r="AA106" s="21">
        <v>0</v>
      </c>
      <c r="AB106" s="21">
        <v>0</v>
      </c>
      <c r="AC106" s="21">
        <v>0</v>
      </c>
      <c r="AD106" s="21">
        <v>0</v>
      </c>
      <c r="AE106" s="21">
        <v>0</v>
      </c>
      <c r="AF106" s="21">
        <v>0</v>
      </c>
      <c r="AG106" s="21">
        <v>0</v>
      </c>
      <c r="AH106" s="21">
        <v>0</v>
      </c>
      <c r="AI106" s="67"/>
      <c r="AM106" s="81"/>
      <c r="AN106"/>
    </row>
    <row r="107" spans="1:40">
      <c r="A107" s="23" t="s">
        <v>377</v>
      </c>
      <c r="B107" s="19" t="s">
        <v>378</v>
      </c>
      <c r="C107" s="19" t="s">
        <v>379</v>
      </c>
      <c r="D107" s="20">
        <f t="shared" si="3"/>
        <v>2</v>
      </c>
      <c r="E107" s="21">
        <v>0</v>
      </c>
      <c r="F107" s="21">
        <v>0</v>
      </c>
      <c r="G107" s="22">
        <v>2</v>
      </c>
      <c r="H107" s="21">
        <v>0</v>
      </c>
      <c r="I107" s="21">
        <v>0</v>
      </c>
      <c r="J107" s="21">
        <v>0</v>
      </c>
      <c r="K107" s="21">
        <v>0</v>
      </c>
      <c r="L107" s="21">
        <v>0</v>
      </c>
      <c r="M107" s="21">
        <v>0</v>
      </c>
      <c r="N107" s="21">
        <v>0</v>
      </c>
      <c r="O107" s="21">
        <v>0</v>
      </c>
      <c r="P107" s="21">
        <v>0</v>
      </c>
      <c r="Q107" s="21">
        <v>0</v>
      </c>
      <c r="R107" s="21">
        <v>0</v>
      </c>
      <c r="S107" s="21">
        <v>0</v>
      </c>
      <c r="T107" s="21">
        <v>0</v>
      </c>
      <c r="U107" s="21">
        <v>0</v>
      </c>
      <c r="V107" s="21">
        <v>0</v>
      </c>
      <c r="W107" s="21">
        <v>0</v>
      </c>
      <c r="X107" s="21">
        <v>0</v>
      </c>
      <c r="Y107" s="21">
        <v>0</v>
      </c>
      <c r="Z107" s="21">
        <v>0</v>
      </c>
      <c r="AA107" s="21">
        <v>0</v>
      </c>
      <c r="AB107" s="21">
        <v>0</v>
      </c>
      <c r="AC107" s="21">
        <v>0</v>
      </c>
      <c r="AD107" s="21">
        <v>0</v>
      </c>
      <c r="AE107" s="21">
        <v>0</v>
      </c>
      <c r="AF107" s="21">
        <v>0</v>
      </c>
      <c r="AG107" s="21">
        <v>0</v>
      </c>
      <c r="AH107" s="21">
        <v>0</v>
      </c>
      <c r="AI107" s="67"/>
      <c r="AM107" s="81"/>
      <c r="AN107"/>
    </row>
    <row r="108" spans="1:40">
      <c r="A108" s="23" t="s">
        <v>380</v>
      </c>
      <c r="B108" s="19" t="s">
        <v>381</v>
      </c>
      <c r="C108" s="19" t="s">
        <v>382</v>
      </c>
      <c r="D108" s="20">
        <f t="shared" si="3"/>
        <v>0</v>
      </c>
      <c r="E108" s="21">
        <v>0</v>
      </c>
      <c r="F108" s="21">
        <v>0</v>
      </c>
      <c r="G108" s="21">
        <v>0</v>
      </c>
      <c r="H108" s="21">
        <v>0</v>
      </c>
      <c r="I108" s="21">
        <v>0</v>
      </c>
      <c r="J108" s="21">
        <v>0</v>
      </c>
      <c r="K108" s="21">
        <v>0</v>
      </c>
      <c r="L108" s="21">
        <v>0</v>
      </c>
      <c r="M108" s="21">
        <v>0</v>
      </c>
      <c r="N108" s="21">
        <v>0</v>
      </c>
      <c r="O108" s="21">
        <v>0</v>
      </c>
      <c r="P108" s="21">
        <v>0</v>
      </c>
      <c r="Q108" s="21">
        <v>0</v>
      </c>
      <c r="R108" s="21">
        <v>0</v>
      </c>
      <c r="S108" s="21">
        <v>0</v>
      </c>
      <c r="T108" s="21">
        <v>0</v>
      </c>
      <c r="U108" s="21">
        <v>0</v>
      </c>
      <c r="V108" s="21">
        <v>0</v>
      </c>
      <c r="W108" s="21">
        <v>0</v>
      </c>
      <c r="X108" s="21">
        <v>0</v>
      </c>
      <c r="Y108" s="21">
        <v>0</v>
      </c>
      <c r="Z108" s="21">
        <v>0</v>
      </c>
      <c r="AA108" s="21">
        <v>0</v>
      </c>
      <c r="AB108" s="21">
        <v>0</v>
      </c>
      <c r="AC108" s="21">
        <v>0</v>
      </c>
      <c r="AD108" s="21">
        <v>0</v>
      </c>
      <c r="AE108" s="21">
        <v>0</v>
      </c>
      <c r="AF108" s="21">
        <v>0</v>
      </c>
      <c r="AG108" s="21">
        <v>0</v>
      </c>
      <c r="AH108" s="21">
        <v>0</v>
      </c>
      <c r="AI108" s="67"/>
      <c r="AM108" s="81"/>
      <c r="AN108"/>
    </row>
    <row r="109" spans="1:40">
      <c r="A109" s="23"/>
      <c r="B109" s="19" t="s">
        <v>383</v>
      </c>
      <c r="C109" s="19" t="s">
        <v>384</v>
      </c>
      <c r="D109" s="20">
        <f t="shared" si="3"/>
        <v>0</v>
      </c>
      <c r="E109" s="21">
        <v>0</v>
      </c>
      <c r="F109" s="21">
        <v>0</v>
      </c>
      <c r="G109" s="21">
        <v>0</v>
      </c>
      <c r="H109" s="21">
        <v>0</v>
      </c>
      <c r="I109" s="21">
        <v>0</v>
      </c>
      <c r="J109" s="21">
        <v>0</v>
      </c>
      <c r="K109" s="21">
        <v>0</v>
      </c>
      <c r="L109" s="21">
        <v>0</v>
      </c>
      <c r="M109" s="21">
        <v>0</v>
      </c>
      <c r="N109" s="21">
        <v>0</v>
      </c>
      <c r="O109" s="21">
        <v>0</v>
      </c>
      <c r="P109" s="21">
        <v>0</v>
      </c>
      <c r="Q109" s="21">
        <v>0</v>
      </c>
      <c r="R109" s="21">
        <v>0</v>
      </c>
      <c r="S109" s="21">
        <v>0</v>
      </c>
      <c r="T109" s="21">
        <v>0</v>
      </c>
      <c r="U109" s="21">
        <v>0</v>
      </c>
      <c r="V109" s="21">
        <v>0</v>
      </c>
      <c r="W109" s="21">
        <v>0</v>
      </c>
      <c r="X109" s="21">
        <v>0</v>
      </c>
      <c r="Y109" s="21">
        <v>0</v>
      </c>
      <c r="Z109" s="21">
        <v>0</v>
      </c>
      <c r="AA109" s="21">
        <v>0</v>
      </c>
      <c r="AB109" s="21">
        <v>0</v>
      </c>
      <c r="AC109" s="21">
        <v>0</v>
      </c>
      <c r="AD109" s="21">
        <v>0</v>
      </c>
      <c r="AE109" s="21">
        <v>0</v>
      </c>
      <c r="AF109" s="21">
        <v>0</v>
      </c>
      <c r="AG109" s="21">
        <v>0</v>
      </c>
      <c r="AH109" s="21">
        <v>0</v>
      </c>
      <c r="AI109" s="68"/>
      <c r="AM109" s="81"/>
      <c r="AN109"/>
    </row>
    <row r="110" spans="1:40">
      <c r="A110" s="23"/>
      <c r="B110" s="19" t="s">
        <v>385</v>
      </c>
      <c r="C110" s="19" t="s">
        <v>287</v>
      </c>
      <c r="D110" s="20">
        <f t="shared" si="3"/>
        <v>0</v>
      </c>
      <c r="E110" s="21">
        <v>0</v>
      </c>
      <c r="F110" s="21">
        <v>0</v>
      </c>
      <c r="G110" s="21">
        <v>0</v>
      </c>
      <c r="H110" s="21">
        <v>0</v>
      </c>
      <c r="I110" s="21">
        <v>0</v>
      </c>
      <c r="J110" s="21">
        <v>0</v>
      </c>
      <c r="K110" s="21">
        <v>0</v>
      </c>
      <c r="L110" s="21">
        <v>0</v>
      </c>
      <c r="M110" s="21">
        <v>0</v>
      </c>
      <c r="N110" s="21">
        <v>0</v>
      </c>
      <c r="O110" s="21">
        <v>0</v>
      </c>
      <c r="P110" s="21">
        <v>0</v>
      </c>
      <c r="Q110" s="21">
        <v>0</v>
      </c>
      <c r="R110" s="21">
        <v>0</v>
      </c>
      <c r="S110" s="21">
        <v>0</v>
      </c>
      <c r="T110" s="21">
        <v>0</v>
      </c>
      <c r="U110" s="21">
        <v>0</v>
      </c>
      <c r="V110" s="21">
        <v>0</v>
      </c>
      <c r="W110" s="21">
        <v>0</v>
      </c>
      <c r="X110" s="21">
        <v>0</v>
      </c>
      <c r="Y110" s="21">
        <v>0</v>
      </c>
      <c r="Z110" s="21">
        <v>0</v>
      </c>
      <c r="AA110" s="21">
        <v>0</v>
      </c>
      <c r="AB110" s="21">
        <v>0</v>
      </c>
      <c r="AC110" s="21">
        <v>0</v>
      </c>
      <c r="AD110" s="21">
        <v>0</v>
      </c>
      <c r="AE110" s="21">
        <v>0</v>
      </c>
      <c r="AF110" s="21">
        <v>0</v>
      </c>
      <c r="AG110" s="21">
        <v>0</v>
      </c>
      <c r="AH110" s="21">
        <v>0</v>
      </c>
      <c r="AI110" s="68"/>
      <c r="AM110" s="81"/>
      <c r="AN110"/>
    </row>
    <row r="111" spans="1:40">
      <c r="A111" s="24" t="s">
        <v>386</v>
      </c>
      <c r="B111" s="25"/>
      <c r="C111" s="25"/>
      <c r="D111" s="16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64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67"/>
      <c r="AM111" s="81"/>
      <c r="AN111"/>
    </row>
    <row r="112" spans="1:40">
      <c r="A112" s="83" t="s">
        <v>387</v>
      </c>
      <c r="B112" s="19" t="s">
        <v>388</v>
      </c>
      <c r="C112" s="19" t="s">
        <v>389</v>
      </c>
      <c r="D112" s="20">
        <f t="shared" ref="D112:D127" si="4">SUM(E112:AH112)</f>
        <v>0</v>
      </c>
      <c r="E112" s="21">
        <v>0</v>
      </c>
      <c r="F112" s="21">
        <v>0</v>
      </c>
      <c r="G112" s="21">
        <v>0</v>
      </c>
      <c r="H112" s="21">
        <v>0</v>
      </c>
      <c r="I112" s="21">
        <v>0</v>
      </c>
      <c r="J112" s="21">
        <v>0</v>
      </c>
      <c r="K112" s="21">
        <v>0</v>
      </c>
      <c r="L112" s="21">
        <v>0</v>
      </c>
      <c r="M112" s="21">
        <v>0</v>
      </c>
      <c r="N112" s="21">
        <v>0</v>
      </c>
      <c r="O112" s="21">
        <v>0</v>
      </c>
      <c r="P112" s="21">
        <v>0</v>
      </c>
      <c r="Q112" s="21">
        <v>0</v>
      </c>
      <c r="R112" s="21">
        <v>0</v>
      </c>
      <c r="S112" s="21">
        <v>0</v>
      </c>
      <c r="T112" s="21">
        <v>0</v>
      </c>
      <c r="U112" s="21">
        <v>0</v>
      </c>
      <c r="V112" s="21">
        <v>0</v>
      </c>
      <c r="W112" s="21">
        <v>0</v>
      </c>
      <c r="X112" s="21">
        <v>0</v>
      </c>
      <c r="Y112" s="21">
        <v>0</v>
      </c>
      <c r="Z112" s="21">
        <v>0</v>
      </c>
      <c r="AA112" s="21">
        <v>0</v>
      </c>
      <c r="AB112" s="21">
        <v>0</v>
      </c>
      <c r="AC112" s="21">
        <v>0</v>
      </c>
      <c r="AD112" s="21">
        <v>0</v>
      </c>
      <c r="AE112" s="21">
        <v>0</v>
      </c>
      <c r="AF112" s="21">
        <v>0</v>
      </c>
      <c r="AG112" s="21">
        <v>0</v>
      </c>
      <c r="AH112" s="21">
        <v>0</v>
      </c>
      <c r="AI112" s="67"/>
      <c r="AM112" s="81"/>
      <c r="AN112"/>
    </row>
    <row r="113" spans="1:40">
      <c r="A113" s="84" t="s">
        <v>390</v>
      </c>
      <c r="B113" s="19" t="s">
        <v>391</v>
      </c>
      <c r="C113" s="19" t="s">
        <v>392</v>
      </c>
      <c r="D113" s="20">
        <f>SUM(E113:AH113)</f>
        <v>0</v>
      </c>
      <c r="E113" s="21">
        <v>0</v>
      </c>
      <c r="F113" s="21">
        <v>0</v>
      </c>
      <c r="G113" s="21">
        <v>0</v>
      </c>
      <c r="H113" s="21">
        <v>0</v>
      </c>
      <c r="I113" s="21">
        <v>0</v>
      </c>
      <c r="J113" s="21">
        <v>0</v>
      </c>
      <c r="K113" s="21">
        <v>0</v>
      </c>
      <c r="L113" s="21">
        <v>0</v>
      </c>
      <c r="M113" s="21">
        <v>0</v>
      </c>
      <c r="N113" s="21">
        <v>0</v>
      </c>
      <c r="O113" s="21">
        <v>0</v>
      </c>
      <c r="P113" s="21">
        <v>0</v>
      </c>
      <c r="Q113" s="21">
        <v>0</v>
      </c>
      <c r="R113" s="21">
        <v>0</v>
      </c>
      <c r="S113" s="21">
        <v>0</v>
      </c>
      <c r="T113" s="21">
        <v>0</v>
      </c>
      <c r="U113" s="21">
        <v>0</v>
      </c>
      <c r="V113" s="21">
        <v>0</v>
      </c>
      <c r="W113" s="21">
        <v>0</v>
      </c>
      <c r="X113" s="21">
        <v>0</v>
      </c>
      <c r="Y113" s="21">
        <v>0</v>
      </c>
      <c r="Z113" s="21">
        <v>0</v>
      </c>
      <c r="AA113" s="21">
        <v>0</v>
      </c>
      <c r="AB113" s="21">
        <v>0</v>
      </c>
      <c r="AC113" s="21">
        <v>0</v>
      </c>
      <c r="AD113" s="21">
        <v>0</v>
      </c>
      <c r="AE113" s="21">
        <v>0</v>
      </c>
      <c r="AF113" s="21">
        <v>0</v>
      </c>
      <c r="AG113" s="21">
        <v>0</v>
      </c>
      <c r="AH113" s="21">
        <v>0</v>
      </c>
      <c r="AI113" s="68"/>
      <c r="AM113" s="81"/>
      <c r="AN113"/>
    </row>
    <row r="114" spans="1:40">
      <c r="A114" s="23" t="s">
        <v>393</v>
      </c>
      <c r="B114" s="19" t="s">
        <v>394</v>
      </c>
      <c r="C114" s="19" t="s">
        <v>392</v>
      </c>
      <c r="D114" s="20">
        <f t="shared" si="4"/>
        <v>0</v>
      </c>
      <c r="E114" s="21">
        <v>0</v>
      </c>
      <c r="F114" s="21">
        <v>0</v>
      </c>
      <c r="G114" s="21">
        <v>0</v>
      </c>
      <c r="H114" s="21">
        <v>0</v>
      </c>
      <c r="I114" s="21">
        <v>0</v>
      </c>
      <c r="J114" s="21">
        <v>0</v>
      </c>
      <c r="K114" s="21">
        <v>0</v>
      </c>
      <c r="L114" s="21">
        <v>0</v>
      </c>
      <c r="M114" s="21">
        <v>0</v>
      </c>
      <c r="N114" s="21">
        <v>0</v>
      </c>
      <c r="O114" s="21">
        <v>0</v>
      </c>
      <c r="P114" s="21">
        <v>0</v>
      </c>
      <c r="Q114" s="21">
        <v>0</v>
      </c>
      <c r="R114" s="21">
        <v>0</v>
      </c>
      <c r="S114" s="21">
        <v>0</v>
      </c>
      <c r="T114" s="21">
        <v>0</v>
      </c>
      <c r="U114" s="21">
        <v>0</v>
      </c>
      <c r="V114" s="21">
        <v>0</v>
      </c>
      <c r="W114" s="21">
        <v>0</v>
      </c>
      <c r="X114" s="21">
        <v>0</v>
      </c>
      <c r="Y114" s="21">
        <v>0</v>
      </c>
      <c r="Z114" s="21">
        <v>0</v>
      </c>
      <c r="AA114" s="21">
        <v>0</v>
      </c>
      <c r="AB114" s="21">
        <v>0</v>
      </c>
      <c r="AC114" s="21">
        <v>0</v>
      </c>
      <c r="AD114" s="21">
        <v>0</v>
      </c>
      <c r="AE114" s="21">
        <v>0</v>
      </c>
      <c r="AF114" s="21">
        <v>0</v>
      </c>
      <c r="AG114" s="21">
        <v>0</v>
      </c>
      <c r="AH114" s="21">
        <v>0</v>
      </c>
      <c r="AI114" s="68"/>
      <c r="AM114" s="81"/>
      <c r="AN114"/>
    </row>
    <row r="115" spans="1:40">
      <c r="A115" s="23" t="s">
        <v>395</v>
      </c>
      <c r="B115" s="19" t="s">
        <v>396</v>
      </c>
      <c r="C115" s="19" t="s">
        <v>392</v>
      </c>
      <c r="D115" s="20">
        <f t="shared" si="4"/>
        <v>0</v>
      </c>
      <c r="E115" s="21">
        <v>0</v>
      </c>
      <c r="F115" s="21">
        <v>0</v>
      </c>
      <c r="G115" s="21">
        <v>0</v>
      </c>
      <c r="H115" s="21">
        <v>0</v>
      </c>
      <c r="I115" s="21">
        <v>0</v>
      </c>
      <c r="J115" s="21">
        <v>0</v>
      </c>
      <c r="K115" s="21">
        <v>0</v>
      </c>
      <c r="L115" s="21">
        <v>0</v>
      </c>
      <c r="M115" s="21">
        <v>0</v>
      </c>
      <c r="N115" s="21">
        <v>0</v>
      </c>
      <c r="O115" s="21">
        <v>0</v>
      </c>
      <c r="P115" s="21">
        <v>0</v>
      </c>
      <c r="Q115" s="21">
        <v>0</v>
      </c>
      <c r="R115" s="21">
        <v>0</v>
      </c>
      <c r="S115" s="21">
        <v>0</v>
      </c>
      <c r="T115" s="21">
        <v>0</v>
      </c>
      <c r="U115" s="21">
        <v>0</v>
      </c>
      <c r="V115" s="21">
        <v>0</v>
      </c>
      <c r="W115" s="21">
        <v>0</v>
      </c>
      <c r="X115" s="21">
        <v>0</v>
      </c>
      <c r="Y115" s="21">
        <v>0</v>
      </c>
      <c r="Z115" s="21">
        <v>0</v>
      </c>
      <c r="AA115" s="21">
        <v>0</v>
      </c>
      <c r="AB115" s="21">
        <v>0</v>
      </c>
      <c r="AC115" s="21">
        <v>0</v>
      </c>
      <c r="AD115" s="21">
        <v>0</v>
      </c>
      <c r="AE115" s="21">
        <v>0</v>
      </c>
      <c r="AF115" s="21">
        <v>0</v>
      </c>
      <c r="AG115" s="21">
        <v>0</v>
      </c>
      <c r="AH115" s="21">
        <v>0</v>
      </c>
      <c r="AI115" s="68"/>
      <c r="AM115" s="81"/>
      <c r="AN115"/>
    </row>
    <row r="116" spans="1:40" ht="32.1">
      <c r="A116" s="23" t="s">
        <v>397</v>
      </c>
      <c r="B116" s="19" t="s">
        <v>398</v>
      </c>
      <c r="C116" s="19" t="s">
        <v>399</v>
      </c>
      <c r="D116" s="20">
        <f t="shared" si="4"/>
        <v>13</v>
      </c>
      <c r="E116" s="21">
        <v>4</v>
      </c>
      <c r="F116" s="21">
        <v>2</v>
      </c>
      <c r="G116" s="21">
        <v>0</v>
      </c>
      <c r="H116" s="21">
        <v>2</v>
      </c>
      <c r="I116" s="21">
        <v>0</v>
      </c>
      <c r="J116" s="21">
        <v>0</v>
      </c>
      <c r="K116" s="21">
        <v>0</v>
      </c>
      <c r="L116" s="21">
        <v>0</v>
      </c>
      <c r="M116" s="21">
        <v>0</v>
      </c>
      <c r="N116" s="21">
        <v>0</v>
      </c>
      <c r="O116" s="21">
        <v>0</v>
      </c>
      <c r="P116" s="21">
        <v>3</v>
      </c>
      <c r="Q116" s="21">
        <v>0</v>
      </c>
      <c r="R116" s="21">
        <v>0</v>
      </c>
      <c r="S116" s="21">
        <v>0</v>
      </c>
      <c r="T116" s="21">
        <v>0</v>
      </c>
      <c r="U116" s="21">
        <v>0</v>
      </c>
      <c r="V116" s="21">
        <v>0</v>
      </c>
      <c r="W116" s="21">
        <v>0</v>
      </c>
      <c r="X116" s="21">
        <v>0</v>
      </c>
      <c r="Y116" s="21">
        <v>0</v>
      </c>
      <c r="Z116" s="21">
        <v>0</v>
      </c>
      <c r="AA116" s="21">
        <v>0</v>
      </c>
      <c r="AB116" s="21">
        <v>0</v>
      </c>
      <c r="AC116" s="21">
        <v>0</v>
      </c>
      <c r="AD116" s="21">
        <v>0</v>
      </c>
      <c r="AE116" s="21">
        <v>0</v>
      </c>
      <c r="AF116" s="21">
        <v>0</v>
      </c>
      <c r="AG116" s="21">
        <v>0</v>
      </c>
      <c r="AH116" s="21">
        <v>2</v>
      </c>
      <c r="AI116" s="68"/>
      <c r="AM116" s="81"/>
      <c r="AN116"/>
    </row>
    <row r="117" spans="1:40">
      <c r="A117" s="23" t="s">
        <v>400</v>
      </c>
      <c r="B117" s="19" t="s">
        <v>401</v>
      </c>
      <c r="C117" s="19" t="s">
        <v>402</v>
      </c>
      <c r="D117" s="20">
        <f t="shared" si="4"/>
        <v>44</v>
      </c>
      <c r="E117" s="21">
        <v>3</v>
      </c>
      <c r="F117" s="21">
        <v>5</v>
      </c>
      <c r="G117" s="21">
        <v>3</v>
      </c>
      <c r="H117" s="21">
        <v>5</v>
      </c>
      <c r="I117" s="21">
        <v>1</v>
      </c>
      <c r="J117" s="21">
        <v>7</v>
      </c>
      <c r="K117" s="21">
        <v>2</v>
      </c>
      <c r="L117" s="21">
        <v>0</v>
      </c>
      <c r="M117" s="21">
        <v>1</v>
      </c>
      <c r="N117" s="21">
        <v>0</v>
      </c>
      <c r="O117" s="21">
        <v>4</v>
      </c>
      <c r="P117" s="21">
        <v>5</v>
      </c>
      <c r="Q117" s="21">
        <v>0</v>
      </c>
      <c r="R117" s="21">
        <v>0</v>
      </c>
      <c r="S117" s="21">
        <v>0</v>
      </c>
      <c r="T117" s="21">
        <v>1</v>
      </c>
      <c r="U117" s="21">
        <v>0</v>
      </c>
      <c r="V117" s="21">
        <v>1</v>
      </c>
      <c r="W117" s="21">
        <v>2</v>
      </c>
      <c r="X117" s="21"/>
      <c r="Y117" s="21">
        <v>0</v>
      </c>
      <c r="Z117" s="21">
        <v>0</v>
      </c>
      <c r="AA117" s="21">
        <v>1</v>
      </c>
      <c r="AB117" s="21">
        <v>0</v>
      </c>
      <c r="AC117" s="21">
        <v>0</v>
      </c>
      <c r="AD117" s="21">
        <v>0</v>
      </c>
      <c r="AE117" s="21">
        <v>0</v>
      </c>
      <c r="AF117" s="21">
        <v>1</v>
      </c>
      <c r="AG117" s="21">
        <v>1</v>
      </c>
      <c r="AH117" s="21">
        <v>1</v>
      </c>
      <c r="AI117" s="67"/>
      <c r="AM117" s="81"/>
      <c r="AN117"/>
    </row>
    <row r="118" spans="1:40">
      <c r="A118" s="23" t="s">
        <v>403</v>
      </c>
      <c r="B118" s="19" t="s">
        <v>404</v>
      </c>
      <c r="C118" s="19" t="s">
        <v>405</v>
      </c>
      <c r="D118" s="20">
        <f t="shared" si="4"/>
        <v>73</v>
      </c>
      <c r="E118" s="21">
        <v>2</v>
      </c>
      <c r="F118" s="21">
        <v>11</v>
      </c>
      <c r="G118" s="21">
        <v>22</v>
      </c>
      <c r="H118" s="21">
        <v>0</v>
      </c>
      <c r="I118" s="21">
        <v>3</v>
      </c>
      <c r="J118" s="21">
        <v>10</v>
      </c>
      <c r="K118" s="21">
        <v>2</v>
      </c>
      <c r="L118" s="21">
        <v>0</v>
      </c>
      <c r="M118" s="21">
        <v>0</v>
      </c>
      <c r="N118" s="21">
        <v>0</v>
      </c>
      <c r="O118" s="21">
        <v>1</v>
      </c>
      <c r="P118" s="21">
        <v>21</v>
      </c>
      <c r="Q118" s="21">
        <v>0</v>
      </c>
      <c r="R118" s="21">
        <v>0</v>
      </c>
      <c r="S118" s="21">
        <v>0</v>
      </c>
      <c r="T118" s="21">
        <v>0</v>
      </c>
      <c r="U118" s="21">
        <v>0</v>
      </c>
      <c r="V118" s="21">
        <v>1</v>
      </c>
      <c r="W118" s="21"/>
      <c r="X118" s="21"/>
      <c r="Y118" s="21">
        <v>0</v>
      </c>
      <c r="Z118" s="21">
        <v>0</v>
      </c>
      <c r="AA118" s="21">
        <v>0</v>
      </c>
      <c r="AB118" s="21">
        <v>0</v>
      </c>
      <c r="AC118" s="21">
        <v>0</v>
      </c>
      <c r="AD118" s="21">
        <v>0</v>
      </c>
      <c r="AE118" s="21">
        <v>0</v>
      </c>
      <c r="AF118" s="21">
        <v>0</v>
      </c>
      <c r="AG118" s="21">
        <v>0</v>
      </c>
      <c r="AH118" s="21">
        <v>0</v>
      </c>
      <c r="AI118" s="67"/>
      <c r="AM118" s="81"/>
      <c r="AN118"/>
    </row>
    <row r="119" spans="1:40" ht="32.1">
      <c r="A119" s="23" t="s">
        <v>406</v>
      </c>
      <c r="B119" s="19" t="s">
        <v>407</v>
      </c>
      <c r="C119" s="19" t="s">
        <v>408</v>
      </c>
      <c r="D119" s="20">
        <f t="shared" si="4"/>
        <v>2</v>
      </c>
      <c r="E119" s="21">
        <v>0</v>
      </c>
      <c r="F119" s="21">
        <v>0</v>
      </c>
      <c r="G119" s="21">
        <v>2</v>
      </c>
      <c r="H119" s="21">
        <v>0</v>
      </c>
      <c r="I119" s="21">
        <v>0</v>
      </c>
      <c r="J119" s="21">
        <v>0</v>
      </c>
      <c r="K119" s="21">
        <v>0</v>
      </c>
      <c r="L119" s="21">
        <v>0</v>
      </c>
      <c r="M119" s="21">
        <v>0</v>
      </c>
      <c r="N119" s="21">
        <v>0</v>
      </c>
      <c r="O119" s="21">
        <v>0</v>
      </c>
      <c r="P119" s="21">
        <v>0</v>
      </c>
      <c r="Q119" s="21">
        <v>0</v>
      </c>
      <c r="R119" s="21">
        <v>0</v>
      </c>
      <c r="S119" s="21">
        <v>0</v>
      </c>
      <c r="T119" s="21">
        <v>0</v>
      </c>
      <c r="U119" s="21">
        <v>0</v>
      </c>
      <c r="V119" s="21">
        <v>0</v>
      </c>
      <c r="W119" s="21">
        <v>0</v>
      </c>
      <c r="X119" s="21">
        <v>0</v>
      </c>
      <c r="Y119" s="21">
        <v>0</v>
      </c>
      <c r="Z119" s="21">
        <v>0</v>
      </c>
      <c r="AA119" s="21">
        <v>0</v>
      </c>
      <c r="AB119" s="21">
        <v>0</v>
      </c>
      <c r="AC119" s="21">
        <v>0</v>
      </c>
      <c r="AD119" s="21">
        <v>0</v>
      </c>
      <c r="AE119" s="21">
        <v>0</v>
      </c>
      <c r="AF119" s="21">
        <v>0</v>
      </c>
      <c r="AG119" s="21">
        <v>0</v>
      </c>
      <c r="AH119" s="21">
        <v>0</v>
      </c>
      <c r="AI119" s="68"/>
      <c r="AM119" s="81"/>
      <c r="AN119"/>
    </row>
    <row r="120" spans="1:40">
      <c r="A120" s="23" t="s">
        <v>409</v>
      </c>
      <c r="B120" s="19" t="s">
        <v>410</v>
      </c>
      <c r="C120" s="19" t="s">
        <v>411</v>
      </c>
      <c r="D120" s="20">
        <f t="shared" si="4"/>
        <v>15</v>
      </c>
      <c r="E120" s="21">
        <v>15</v>
      </c>
      <c r="F120" s="21">
        <v>0</v>
      </c>
      <c r="G120" s="21">
        <v>0</v>
      </c>
      <c r="H120" s="21">
        <v>0</v>
      </c>
      <c r="I120" s="21">
        <v>0</v>
      </c>
      <c r="J120" s="21">
        <v>0</v>
      </c>
      <c r="K120" s="21">
        <v>0</v>
      </c>
      <c r="L120" s="21">
        <v>0</v>
      </c>
      <c r="M120" s="21">
        <v>0</v>
      </c>
      <c r="N120" s="21">
        <v>0</v>
      </c>
      <c r="O120" s="21">
        <v>0</v>
      </c>
      <c r="P120" s="21">
        <v>0</v>
      </c>
      <c r="Q120" s="21">
        <v>0</v>
      </c>
      <c r="R120" s="21">
        <v>0</v>
      </c>
      <c r="S120" s="21">
        <v>0</v>
      </c>
      <c r="T120" s="21">
        <v>0</v>
      </c>
      <c r="U120" s="21">
        <v>0</v>
      </c>
      <c r="V120" s="21">
        <v>0</v>
      </c>
      <c r="W120" s="21">
        <v>0</v>
      </c>
      <c r="X120" s="21">
        <v>0</v>
      </c>
      <c r="Y120" s="21">
        <v>0</v>
      </c>
      <c r="Z120" s="21">
        <v>0</v>
      </c>
      <c r="AA120" s="21">
        <v>0</v>
      </c>
      <c r="AB120" s="21">
        <v>0</v>
      </c>
      <c r="AC120" s="21">
        <v>0</v>
      </c>
      <c r="AD120" s="21">
        <v>0</v>
      </c>
      <c r="AE120" s="21">
        <v>0</v>
      </c>
      <c r="AF120" s="21">
        <v>0</v>
      </c>
      <c r="AG120" s="21">
        <v>0</v>
      </c>
      <c r="AH120" s="21">
        <v>0</v>
      </c>
      <c r="AI120" s="68"/>
      <c r="AM120" s="81"/>
      <c r="AN120"/>
    </row>
    <row r="121" spans="1:40">
      <c r="A121" s="23" t="s">
        <v>412</v>
      </c>
      <c r="B121" s="19" t="s">
        <v>413</v>
      </c>
      <c r="C121" s="19" t="s">
        <v>392</v>
      </c>
      <c r="D121" s="20">
        <f t="shared" si="4"/>
        <v>0</v>
      </c>
      <c r="E121" s="21">
        <v>0</v>
      </c>
      <c r="F121" s="21">
        <v>0</v>
      </c>
      <c r="G121" s="21">
        <v>0</v>
      </c>
      <c r="H121" s="21">
        <v>0</v>
      </c>
      <c r="I121" s="21">
        <v>0</v>
      </c>
      <c r="J121" s="21">
        <v>0</v>
      </c>
      <c r="K121" s="21">
        <v>0</v>
      </c>
      <c r="L121" s="21">
        <v>0</v>
      </c>
      <c r="M121" s="21">
        <v>0</v>
      </c>
      <c r="N121" s="21">
        <v>0</v>
      </c>
      <c r="O121" s="21">
        <v>0</v>
      </c>
      <c r="P121" s="21">
        <v>0</v>
      </c>
      <c r="Q121" s="21">
        <v>0</v>
      </c>
      <c r="R121" s="21">
        <v>0</v>
      </c>
      <c r="S121" s="21">
        <v>0</v>
      </c>
      <c r="T121" s="21">
        <v>0</v>
      </c>
      <c r="U121" s="21">
        <v>0</v>
      </c>
      <c r="V121" s="21">
        <v>0</v>
      </c>
      <c r="W121" s="21">
        <v>0</v>
      </c>
      <c r="X121" s="21">
        <v>0</v>
      </c>
      <c r="Y121" s="21">
        <v>0</v>
      </c>
      <c r="Z121" s="21">
        <v>0</v>
      </c>
      <c r="AA121" s="21">
        <v>0</v>
      </c>
      <c r="AB121" s="21">
        <v>0</v>
      </c>
      <c r="AC121" s="21">
        <v>0</v>
      </c>
      <c r="AD121" s="21">
        <v>0</v>
      </c>
      <c r="AE121" s="21">
        <v>0</v>
      </c>
      <c r="AF121" s="21">
        <v>0</v>
      </c>
      <c r="AG121" s="21">
        <v>0</v>
      </c>
      <c r="AH121" s="21">
        <v>0</v>
      </c>
      <c r="AI121" s="68"/>
      <c r="AM121" s="81"/>
      <c r="AN121"/>
    </row>
    <row r="122" spans="1:40">
      <c r="A122" s="23" t="s">
        <v>414</v>
      </c>
      <c r="B122" s="19" t="s">
        <v>415</v>
      </c>
      <c r="C122" s="19" t="s">
        <v>392</v>
      </c>
      <c r="D122" s="20">
        <f t="shared" si="4"/>
        <v>0</v>
      </c>
      <c r="E122" s="21">
        <v>0</v>
      </c>
      <c r="F122" s="21">
        <v>0</v>
      </c>
      <c r="G122" s="21">
        <v>0</v>
      </c>
      <c r="H122" s="21">
        <v>0</v>
      </c>
      <c r="I122" s="21">
        <v>0</v>
      </c>
      <c r="J122" s="21">
        <v>0</v>
      </c>
      <c r="K122" s="21">
        <v>0</v>
      </c>
      <c r="L122" s="21">
        <v>0</v>
      </c>
      <c r="M122" s="21">
        <v>0</v>
      </c>
      <c r="N122" s="21">
        <v>0</v>
      </c>
      <c r="O122" s="21">
        <v>0</v>
      </c>
      <c r="P122" s="21">
        <v>0</v>
      </c>
      <c r="Q122" s="21">
        <v>0</v>
      </c>
      <c r="R122" s="21">
        <v>0</v>
      </c>
      <c r="S122" s="21">
        <v>0</v>
      </c>
      <c r="T122" s="21">
        <v>0</v>
      </c>
      <c r="U122" s="21">
        <v>0</v>
      </c>
      <c r="V122" s="21">
        <v>0</v>
      </c>
      <c r="W122" s="21">
        <v>0</v>
      </c>
      <c r="X122" s="21">
        <v>0</v>
      </c>
      <c r="Y122" s="21">
        <v>0</v>
      </c>
      <c r="Z122" s="21">
        <v>0</v>
      </c>
      <c r="AA122" s="21">
        <v>0</v>
      </c>
      <c r="AB122" s="21">
        <v>0</v>
      </c>
      <c r="AC122" s="21">
        <v>0</v>
      </c>
      <c r="AD122" s="21">
        <v>0</v>
      </c>
      <c r="AE122" s="21">
        <v>0</v>
      </c>
      <c r="AF122" s="21">
        <v>0</v>
      </c>
      <c r="AG122" s="21">
        <v>0</v>
      </c>
      <c r="AH122" s="21">
        <v>0</v>
      </c>
      <c r="AI122" s="68"/>
      <c r="AM122" s="81"/>
      <c r="AN122"/>
    </row>
    <row r="123" spans="1:40">
      <c r="A123" s="23" t="s">
        <v>416</v>
      </c>
      <c r="B123" s="19" t="s">
        <v>417</v>
      </c>
      <c r="C123" s="19" t="s">
        <v>392</v>
      </c>
      <c r="D123" s="20">
        <f t="shared" si="4"/>
        <v>0</v>
      </c>
      <c r="E123" s="21">
        <v>0</v>
      </c>
      <c r="F123" s="21">
        <v>0</v>
      </c>
      <c r="G123" s="21">
        <v>0</v>
      </c>
      <c r="H123" s="21">
        <v>0</v>
      </c>
      <c r="I123" s="21">
        <v>0</v>
      </c>
      <c r="J123" s="21">
        <v>0</v>
      </c>
      <c r="K123" s="21">
        <v>0</v>
      </c>
      <c r="L123" s="21">
        <v>0</v>
      </c>
      <c r="M123" s="21">
        <v>0</v>
      </c>
      <c r="N123" s="21">
        <v>0</v>
      </c>
      <c r="O123" s="21">
        <v>0</v>
      </c>
      <c r="P123" s="21">
        <v>0</v>
      </c>
      <c r="Q123" s="21">
        <v>0</v>
      </c>
      <c r="R123" s="21">
        <v>0</v>
      </c>
      <c r="S123" s="21">
        <v>0</v>
      </c>
      <c r="T123" s="21">
        <v>0</v>
      </c>
      <c r="U123" s="21">
        <v>0</v>
      </c>
      <c r="V123" s="21">
        <v>0</v>
      </c>
      <c r="W123" s="21">
        <v>0</v>
      </c>
      <c r="X123" s="21">
        <v>0</v>
      </c>
      <c r="Y123" s="21">
        <v>0</v>
      </c>
      <c r="Z123" s="21">
        <v>0</v>
      </c>
      <c r="AA123" s="21">
        <v>0</v>
      </c>
      <c r="AB123" s="21">
        <v>0</v>
      </c>
      <c r="AC123" s="21">
        <v>0</v>
      </c>
      <c r="AD123" s="21">
        <v>0</v>
      </c>
      <c r="AE123" s="21">
        <v>0</v>
      </c>
      <c r="AF123" s="21">
        <v>0</v>
      </c>
      <c r="AG123" s="21">
        <v>0</v>
      </c>
      <c r="AH123" s="21">
        <v>0</v>
      </c>
      <c r="AI123" s="68"/>
      <c r="AM123" s="81"/>
      <c r="AN123"/>
    </row>
    <row r="124" spans="1:40">
      <c r="A124" s="23" t="s">
        <v>418</v>
      </c>
      <c r="B124" s="19" t="s">
        <v>419</v>
      </c>
      <c r="C124" s="19" t="s">
        <v>392</v>
      </c>
      <c r="D124" s="20">
        <f t="shared" si="4"/>
        <v>0</v>
      </c>
      <c r="E124" s="21">
        <v>0</v>
      </c>
      <c r="F124" s="21">
        <v>0</v>
      </c>
      <c r="G124" s="21">
        <v>0</v>
      </c>
      <c r="H124" s="21">
        <v>0</v>
      </c>
      <c r="I124" s="21">
        <v>0</v>
      </c>
      <c r="J124" s="21">
        <v>0</v>
      </c>
      <c r="K124" s="21">
        <v>0</v>
      </c>
      <c r="L124" s="21">
        <v>0</v>
      </c>
      <c r="M124" s="21">
        <v>0</v>
      </c>
      <c r="N124" s="21">
        <v>0</v>
      </c>
      <c r="O124" s="21">
        <v>0</v>
      </c>
      <c r="P124" s="21">
        <v>0</v>
      </c>
      <c r="Q124" s="21">
        <v>0</v>
      </c>
      <c r="R124" s="21">
        <v>0</v>
      </c>
      <c r="S124" s="21">
        <v>0</v>
      </c>
      <c r="T124" s="21">
        <v>0</v>
      </c>
      <c r="U124" s="21">
        <v>0</v>
      </c>
      <c r="V124" s="21">
        <v>0</v>
      </c>
      <c r="W124" s="21">
        <v>0</v>
      </c>
      <c r="X124" s="21">
        <v>0</v>
      </c>
      <c r="Y124" s="21">
        <v>0</v>
      </c>
      <c r="Z124" s="21">
        <v>0</v>
      </c>
      <c r="AA124" s="21">
        <v>0</v>
      </c>
      <c r="AB124" s="21">
        <v>0</v>
      </c>
      <c r="AC124" s="21">
        <v>0</v>
      </c>
      <c r="AD124" s="21">
        <v>0</v>
      </c>
      <c r="AE124" s="21">
        <v>0</v>
      </c>
      <c r="AF124" s="21">
        <v>0</v>
      </c>
      <c r="AG124" s="21">
        <v>0</v>
      </c>
      <c r="AH124" s="21">
        <v>0</v>
      </c>
      <c r="AI124" s="68"/>
      <c r="AM124" s="81"/>
      <c r="AN124"/>
    </row>
    <row r="125" spans="1:40">
      <c r="A125" s="23" t="s">
        <v>420</v>
      </c>
      <c r="B125" s="19" t="s">
        <v>421</v>
      </c>
      <c r="C125" s="19" t="s">
        <v>392</v>
      </c>
      <c r="D125" s="20">
        <f t="shared" si="4"/>
        <v>0</v>
      </c>
      <c r="E125" s="21">
        <v>0</v>
      </c>
      <c r="F125" s="21">
        <v>0</v>
      </c>
      <c r="G125" s="21">
        <v>0</v>
      </c>
      <c r="H125" s="21">
        <v>0</v>
      </c>
      <c r="I125" s="21">
        <v>0</v>
      </c>
      <c r="J125" s="21">
        <v>0</v>
      </c>
      <c r="K125" s="21">
        <v>0</v>
      </c>
      <c r="L125" s="21">
        <v>0</v>
      </c>
      <c r="M125" s="21">
        <v>0</v>
      </c>
      <c r="N125" s="21">
        <v>0</v>
      </c>
      <c r="O125" s="21">
        <v>0</v>
      </c>
      <c r="P125" s="21">
        <v>0</v>
      </c>
      <c r="Q125" s="21">
        <v>0</v>
      </c>
      <c r="R125" s="21">
        <v>0</v>
      </c>
      <c r="S125" s="21">
        <v>0</v>
      </c>
      <c r="T125" s="21">
        <v>0</v>
      </c>
      <c r="U125" s="21">
        <v>0</v>
      </c>
      <c r="V125" s="21">
        <v>0</v>
      </c>
      <c r="W125" s="21">
        <v>0</v>
      </c>
      <c r="X125" s="21">
        <v>0</v>
      </c>
      <c r="Y125" s="21">
        <v>0</v>
      </c>
      <c r="Z125" s="21">
        <v>0</v>
      </c>
      <c r="AA125" s="21">
        <v>0</v>
      </c>
      <c r="AB125" s="21">
        <v>0</v>
      </c>
      <c r="AC125" s="21">
        <v>0</v>
      </c>
      <c r="AD125" s="21">
        <v>0</v>
      </c>
      <c r="AE125" s="21">
        <v>0</v>
      </c>
      <c r="AF125" s="21">
        <v>0</v>
      </c>
      <c r="AG125" s="21">
        <v>0</v>
      </c>
      <c r="AH125" s="21">
        <v>0</v>
      </c>
      <c r="AI125" s="68"/>
      <c r="AM125" s="81"/>
      <c r="AN125"/>
    </row>
    <row r="126" spans="1:40">
      <c r="A126" s="23" t="s">
        <v>422</v>
      </c>
      <c r="B126" s="19" t="s">
        <v>423</v>
      </c>
      <c r="C126" s="19" t="s">
        <v>392</v>
      </c>
      <c r="D126" s="20">
        <f t="shared" si="4"/>
        <v>0</v>
      </c>
      <c r="E126" s="21">
        <v>0</v>
      </c>
      <c r="F126" s="21">
        <v>0</v>
      </c>
      <c r="G126" s="21">
        <v>0</v>
      </c>
      <c r="H126" s="21">
        <v>0</v>
      </c>
      <c r="I126" s="21">
        <v>0</v>
      </c>
      <c r="J126" s="21">
        <v>0</v>
      </c>
      <c r="K126" s="21">
        <v>0</v>
      </c>
      <c r="L126" s="21">
        <v>0</v>
      </c>
      <c r="M126" s="21">
        <v>0</v>
      </c>
      <c r="N126" s="21">
        <v>0</v>
      </c>
      <c r="O126" s="21">
        <v>0</v>
      </c>
      <c r="P126" s="21">
        <v>0</v>
      </c>
      <c r="Q126" s="21">
        <v>0</v>
      </c>
      <c r="R126" s="21">
        <v>0</v>
      </c>
      <c r="S126" s="21">
        <v>0</v>
      </c>
      <c r="T126" s="21">
        <v>0</v>
      </c>
      <c r="U126" s="21">
        <v>0</v>
      </c>
      <c r="V126" s="21">
        <v>0</v>
      </c>
      <c r="W126" s="21">
        <v>0</v>
      </c>
      <c r="X126" s="21">
        <v>0</v>
      </c>
      <c r="Y126" s="21">
        <v>0</v>
      </c>
      <c r="Z126" s="21">
        <v>0</v>
      </c>
      <c r="AA126" s="21">
        <v>0</v>
      </c>
      <c r="AB126" s="21">
        <v>0</v>
      </c>
      <c r="AC126" s="21">
        <v>0</v>
      </c>
      <c r="AD126" s="21">
        <v>0</v>
      </c>
      <c r="AE126" s="21">
        <v>0</v>
      </c>
      <c r="AF126" s="21">
        <v>0</v>
      </c>
      <c r="AG126" s="21">
        <v>0</v>
      </c>
      <c r="AH126" s="21">
        <v>0</v>
      </c>
      <c r="AI126" s="68"/>
      <c r="AM126" s="81"/>
      <c r="AN126"/>
    </row>
    <row r="127" spans="1:40">
      <c r="A127" s="23" t="s">
        <v>424</v>
      </c>
      <c r="B127" s="19" t="s">
        <v>425</v>
      </c>
      <c r="C127" s="19" t="s">
        <v>285</v>
      </c>
      <c r="D127" s="20">
        <f t="shared" si="4"/>
        <v>0</v>
      </c>
      <c r="E127" s="21">
        <v>0</v>
      </c>
      <c r="F127" s="21">
        <v>0</v>
      </c>
      <c r="G127" s="21">
        <v>0</v>
      </c>
      <c r="H127" s="21">
        <v>0</v>
      </c>
      <c r="I127" s="21">
        <v>0</v>
      </c>
      <c r="J127" s="21">
        <v>0</v>
      </c>
      <c r="K127" s="21">
        <v>0</v>
      </c>
      <c r="L127" s="21">
        <v>0</v>
      </c>
      <c r="M127" s="21">
        <v>0</v>
      </c>
      <c r="N127" s="21">
        <v>0</v>
      </c>
      <c r="O127" s="21">
        <v>0</v>
      </c>
      <c r="P127" s="21">
        <v>0</v>
      </c>
      <c r="Q127" s="21">
        <v>0</v>
      </c>
      <c r="R127" s="21">
        <v>0</v>
      </c>
      <c r="S127" s="21">
        <v>0</v>
      </c>
      <c r="T127" s="21">
        <v>0</v>
      </c>
      <c r="U127" s="21">
        <v>0</v>
      </c>
      <c r="V127" s="21">
        <v>0</v>
      </c>
      <c r="W127" s="21">
        <v>0</v>
      </c>
      <c r="X127" s="21">
        <v>0</v>
      </c>
      <c r="Y127" s="21">
        <v>0</v>
      </c>
      <c r="Z127" s="21">
        <v>0</v>
      </c>
      <c r="AA127" s="21">
        <v>0</v>
      </c>
      <c r="AB127" s="21">
        <v>0</v>
      </c>
      <c r="AC127" s="21">
        <v>0</v>
      </c>
      <c r="AD127" s="21">
        <v>0</v>
      </c>
      <c r="AE127" s="21">
        <v>0</v>
      </c>
      <c r="AF127" s="21">
        <v>0</v>
      </c>
      <c r="AG127" s="21">
        <v>0</v>
      </c>
      <c r="AH127" s="21">
        <v>0</v>
      </c>
      <c r="AI127" s="68"/>
      <c r="AM127" s="81"/>
      <c r="AN127"/>
    </row>
    <row r="128" spans="1:40">
      <c r="A128" s="24" t="s">
        <v>426</v>
      </c>
      <c r="B128" s="25"/>
      <c r="C128" s="25"/>
      <c r="D128" s="16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64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28"/>
      <c r="AI128" s="67"/>
      <c r="AM128" s="81"/>
      <c r="AN128"/>
    </row>
    <row r="129" spans="1:40">
      <c r="A129" s="23"/>
      <c r="B129" s="19" t="s">
        <v>427</v>
      </c>
      <c r="C129" s="19" t="s">
        <v>428</v>
      </c>
      <c r="D129" s="20">
        <f t="shared" ref="D129:D132" si="5">SUM(E129:AH129)</f>
        <v>358313.49</v>
      </c>
      <c r="E129" s="22">
        <v>34063.96</v>
      </c>
      <c r="F129" s="22">
        <v>45385.17</v>
      </c>
      <c r="G129" s="22">
        <v>65025.87</v>
      </c>
      <c r="H129" s="22">
        <v>19905.38</v>
      </c>
      <c r="I129" s="22">
        <v>9126.76</v>
      </c>
      <c r="J129" s="22">
        <v>23214.84</v>
      </c>
      <c r="K129" s="22">
        <v>25801.13</v>
      </c>
      <c r="L129" s="22">
        <v>6281.43</v>
      </c>
      <c r="M129" s="22">
        <v>5966.79</v>
      </c>
      <c r="N129" s="22">
        <v>5881.6</v>
      </c>
      <c r="O129" s="22">
        <v>11139.24</v>
      </c>
      <c r="P129" s="22">
        <v>47280.82</v>
      </c>
      <c r="Q129" s="22">
        <v>346.02</v>
      </c>
      <c r="R129" s="22">
        <v>246.15</v>
      </c>
      <c r="S129" s="22">
        <v>2161.0100000000002</v>
      </c>
      <c r="T129" s="22">
        <v>394.06</v>
      </c>
      <c r="U129" s="22">
        <v>713.76</v>
      </c>
      <c r="V129" s="21">
        <v>29954.400000000001</v>
      </c>
      <c r="W129" s="22">
        <v>5897.93</v>
      </c>
      <c r="X129" s="22">
        <v>2244.65</v>
      </c>
      <c r="Y129" s="22">
        <v>325.8</v>
      </c>
      <c r="Z129" s="22">
        <v>354.72</v>
      </c>
      <c r="AA129" s="22">
        <v>622.05999999999995</v>
      </c>
      <c r="AB129" s="22">
        <v>2011.32</v>
      </c>
      <c r="AC129" s="22">
        <v>1165.23</v>
      </c>
      <c r="AD129" s="22">
        <v>32.14</v>
      </c>
      <c r="AE129" s="22">
        <v>65.290000000000006</v>
      </c>
      <c r="AF129" s="22">
        <v>10928.23</v>
      </c>
      <c r="AG129" s="22">
        <v>158.35</v>
      </c>
      <c r="AH129" s="22">
        <v>1619.38</v>
      </c>
      <c r="AI129" s="67"/>
      <c r="AM129" s="81"/>
      <c r="AN129"/>
    </row>
    <row r="130" spans="1:40">
      <c r="A130" s="23"/>
      <c r="B130" s="19" t="s">
        <v>429</v>
      </c>
      <c r="C130" s="19" t="s">
        <v>428</v>
      </c>
      <c r="D130" s="20">
        <f t="shared" si="5"/>
        <v>358313.49</v>
      </c>
      <c r="E130" s="22">
        <v>34063.96</v>
      </c>
      <c r="F130" s="22">
        <v>45385.17</v>
      </c>
      <c r="G130" s="22">
        <v>65025.87</v>
      </c>
      <c r="H130" s="22">
        <v>19905.38</v>
      </c>
      <c r="I130" s="22">
        <v>9126.76</v>
      </c>
      <c r="J130" s="22">
        <v>23214.84</v>
      </c>
      <c r="K130" s="22">
        <v>25801.13</v>
      </c>
      <c r="L130" s="22">
        <v>6281.43</v>
      </c>
      <c r="M130" s="22">
        <v>5966.79</v>
      </c>
      <c r="N130" s="22">
        <v>5881.6</v>
      </c>
      <c r="O130" s="22">
        <v>11139.24</v>
      </c>
      <c r="P130" s="22">
        <v>47280.82</v>
      </c>
      <c r="Q130" s="22">
        <v>346.02</v>
      </c>
      <c r="R130" s="22">
        <v>246.15</v>
      </c>
      <c r="S130" s="22">
        <v>2161.0100000000002</v>
      </c>
      <c r="T130" s="22">
        <v>394.06</v>
      </c>
      <c r="U130" s="22">
        <v>713.76</v>
      </c>
      <c r="V130" s="21">
        <v>29954.400000000001</v>
      </c>
      <c r="W130" s="22">
        <v>5897.93</v>
      </c>
      <c r="X130" s="22">
        <v>2244.65</v>
      </c>
      <c r="Y130" s="22">
        <v>325.8</v>
      </c>
      <c r="Z130" s="22">
        <v>354.72</v>
      </c>
      <c r="AA130" s="22">
        <v>622.05999999999995</v>
      </c>
      <c r="AB130" s="22">
        <v>2011.32</v>
      </c>
      <c r="AC130" s="22">
        <v>1165.23</v>
      </c>
      <c r="AD130" s="22">
        <v>32.14</v>
      </c>
      <c r="AE130" s="22">
        <v>65.290000000000006</v>
      </c>
      <c r="AF130" s="22">
        <v>10928.23</v>
      </c>
      <c r="AG130" s="22">
        <v>158.35</v>
      </c>
      <c r="AH130" s="22">
        <v>1619.38</v>
      </c>
      <c r="AI130" s="67"/>
      <c r="AM130" s="81"/>
      <c r="AN130"/>
    </row>
    <row r="131" spans="1:40">
      <c r="A131" s="23"/>
      <c r="B131" s="19" t="s">
        <v>430</v>
      </c>
      <c r="C131" s="19" t="s">
        <v>428</v>
      </c>
      <c r="D131" s="20">
        <f t="shared" si="5"/>
        <v>358313.49</v>
      </c>
      <c r="E131" s="22">
        <v>34063.96</v>
      </c>
      <c r="F131" s="22">
        <v>45385.17</v>
      </c>
      <c r="G131" s="22">
        <v>65025.87</v>
      </c>
      <c r="H131" s="22">
        <v>19905.38</v>
      </c>
      <c r="I131" s="22">
        <v>9126.76</v>
      </c>
      <c r="J131" s="22">
        <v>23214.84</v>
      </c>
      <c r="K131" s="22">
        <v>25801.13</v>
      </c>
      <c r="L131" s="22">
        <v>6281.43</v>
      </c>
      <c r="M131" s="22">
        <v>5966.79</v>
      </c>
      <c r="N131" s="22">
        <v>5881.6</v>
      </c>
      <c r="O131" s="22">
        <v>11139.24</v>
      </c>
      <c r="P131" s="22">
        <v>47280.82</v>
      </c>
      <c r="Q131" s="22">
        <v>346.02</v>
      </c>
      <c r="R131" s="22">
        <v>246.15</v>
      </c>
      <c r="S131" s="22">
        <v>2161.0100000000002</v>
      </c>
      <c r="T131" s="22">
        <v>394.06</v>
      </c>
      <c r="U131" s="22">
        <v>713.76</v>
      </c>
      <c r="V131" s="21">
        <v>29954.400000000001</v>
      </c>
      <c r="W131" s="22">
        <v>5897.93</v>
      </c>
      <c r="X131" s="22">
        <v>2244.65</v>
      </c>
      <c r="Y131" s="22">
        <v>325.8</v>
      </c>
      <c r="Z131" s="22">
        <v>354.72</v>
      </c>
      <c r="AA131" s="22">
        <v>622.05999999999995</v>
      </c>
      <c r="AB131" s="22">
        <v>2011.32</v>
      </c>
      <c r="AC131" s="22">
        <v>1165.23</v>
      </c>
      <c r="AD131" s="22">
        <v>32.14</v>
      </c>
      <c r="AE131" s="22">
        <v>65.290000000000006</v>
      </c>
      <c r="AF131" s="22">
        <v>10928.23</v>
      </c>
      <c r="AG131" s="22">
        <v>158.35</v>
      </c>
      <c r="AH131" s="22">
        <v>1619.38</v>
      </c>
      <c r="AI131" s="67"/>
      <c r="AM131" s="81"/>
      <c r="AN131"/>
    </row>
    <row r="132" spans="1:40">
      <c r="A132" s="23"/>
      <c r="B132" s="19" t="s">
        <v>431</v>
      </c>
      <c r="C132" s="19" t="s">
        <v>428</v>
      </c>
      <c r="D132" s="20">
        <f t="shared" si="5"/>
        <v>358313.49</v>
      </c>
      <c r="E132" s="22">
        <v>34063.96</v>
      </c>
      <c r="F132" s="22">
        <v>45385.17</v>
      </c>
      <c r="G132" s="22">
        <v>65025.87</v>
      </c>
      <c r="H132" s="22">
        <v>19905.38</v>
      </c>
      <c r="I132" s="22">
        <v>9126.76</v>
      </c>
      <c r="J132" s="22">
        <v>23214.84</v>
      </c>
      <c r="K132" s="22">
        <v>25801.13</v>
      </c>
      <c r="L132" s="22">
        <v>6281.43</v>
      </c>
      <c r="M132" s="22">
        <v>5966.79</v>
      </c>
      <c r="N132" s="22">
        <v>5881.6</v>
      </c>
      <c r="O132" s="22">
        <v>11139.24</v>
      </c>
      <c r="P132" s="22">
        <v>47280.82</v>
      </c>
      <c r="Q132" s="22">
        <v>346.02</v>
      </c>
      <c r="R132" s="22">
        <v>246.15</v>
      </c>
      <c r="S132" s="22">
        <v>2161.0100000000002</v>
      </c>
      <c r="T132" s="22">
        <v>394.06</v>
      </c>
      <c r="U132" s="22">
        <v>713.76</v>
      </c>
      <c r="V132" s="21">
        <v>29954.400000000001</v>
      </c>
      <c r="W132" s="22">
        <v>5897.93</v>
      </c>
      <c r="X132" s="22">
        <v>2244.65</v>
      </c>
      <c r="Y132" s="22">
        <v>325.8</v>
      </c>
      <c r="Z132" s="22">
        <v>354.72</v>
      </c>
      <c r="AA132" s="22">
        <v>622.05999999999995</v>
      </c>
      <c r="AB132" s="22">
        <v>2011.32</v>
      </c>
      <c r="AC132" s="22">
        <v>1165.23</v>
      </c>
      <c r="AD132" s="22">
        <v>32.14</v>
      </c>
      <c r="AE132" s="22">
        <v>65.290000000000006</v>
      </c>
      <c r="AF132" s="22">
        <v>10928.23</v>
      </c>
      <c r="AG132" s="22">
        <v>158.35</v>
      </c>
      <c r="AH132" s="22">
        <v>1619.38</v>
      </c>
      <c r="AI132" s="67"/>
      <c r="AM132" s="81"/>
      <c r="AN132"/>
    </row>
    <row r="133" spans="1:40">
      <c r="A133" s="24" t="s">
        <v>432</v>
      </c>
      <c r="B133" s="25"/>
      <c r="C133" s="25"/>
      <c r="D133" s="16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64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  <c r="AG133" s="28"/>
      <c r="AH133" s="28"/>
      <c r="AN133"/>
    </row>
    <row r="134" spans="1:40">
      <c r="A134" s="23"/>
      <c r="B134" s="19" t="s">
        <v>433</v>
      </c>
      <c r="C134" s="19" t="s">
        <v>434</v>
      </c>
      <c r="D134" s="20">
        <f t="shared" ref="D134:D136" si="6">SUM(E134:AH134)</f>
        <v>305279</v>
      </c>
      <c r="E134" s="22" t="s">
        <v>683</v>
      </c>
      <c r="F134" s="22">
        <v>3993</v>
      </c>
      <c r="G134" s="22">
        <v>50568</v>
      </c>
      <c r="H134" s="22">
        <v>13485</v>
      </c>
      <c r="I134" s="22">
        <v>8357</v>
      </c>
      <c r="J134" s="22">
        <v>26010</v>
      </c>
      <c r="K134" s="22">
        <v>37057</v>
      </c>
      <c r="L134" s="22" t="s">
        <v>683</v>
      </c>
      <c r="M134" s="22">
        <v>3703</v>
      </c>
      <c r="N134" s="22">
        <v>582</v>
      </c>
      <c r="O134" s="22">
        <v>2415</v>
      </c>
      <c r="P134" s="22">
        <v>128504</v>
      </c>
      <c r="Q134" s="22" t="s">
        <v>683</v>
      </c>
      <c r="R134" s="22">
        <v>130</v>
      </c>
      <c r="S134" s="22">
        <v>1683</v>
      </c>
      <c r="T134" s="22">
        <v>107</v>
      </c>
      <c r="U134" s="22" t="s">
        <v>683</v>
      </c>
      <c r="V134" s="21">
        <v>23398</v>
      </c>
      <c r="W134" s="22">
        <v>3377</v>
      </c>
      <c r="X134" s="22">
        <v>245</v>
      </c>
      <c r="Y134" s="22" t="s">
        <v>683</v>
      </c>
      <c r="Z134" s="22" t="s">
        <v>683</v>
      </c>
      <c r="AA134" s="22">
        <v>272</v>
      </c>
      <c r="AB134" s="22" t="s">
        <v>683</v>
      </c>
      <c r="AC134" s="22" t="s">
        <v>683</v>
      </c>
      <c r="AD134" s="22">
        <v>261</v>
      </c>
      <c r="AE134" s="22" t="s">
        <v>683</v>
      </c>
      <c r="AF134" s="22" t="s">
        <v>683</v>
      </c>
      <c r="AG134" s="22">
        <v>228</v>
      </c>
      <c r="AH134" s="22">
        <v>904</v>
      </c>
      <c r="AN134"/>
    </row>
    <row r="135" spans="1:40">
      <c r="A135" s="23"/>
      <c r="B135" s="19" t="s">
        <v>435</v>
      </c>
      <c r="C135" s="19" t="s">
        <v>434</v>
      </c>
      <c r="D135" s="20">
        <f t="shared" si="6"/>
        <v>286161</v>
      </c>
      <c r="E135" s="22" t="s">
        <v>683</v>
      </c>
      <c r="F135" s="22">
        <v>4241</v>
      </c>
      <c r="G135" s="22">
        <v>50477</v>
      </c>
      <c r="H135" s="22">
        <v>17457</v>
      </c>
      <c r="I135" s="22">
        <v>8511</v>
      </c>
      <c r="J135" s="22">
        <v>18735</v>
      </c>
      <c r="K135" s="22">
        <v>34320</v>
      </c>
      <c r="L135" s="22" t="s">
        <v>683</v>
      </c>
      <c r="M135" s="22">
        <v>4003</v>
      </c>
      <c r="N135" s="22">
        <v>619</v>
      </c>
      <c r="O135" s="22">
        <v>1388</v>
      </c>
      <c r="P135" s="22">
        <v>114334</v>
      </c>
      <c r="Q135" s="22" t="s">
        <v>683</v>
      </c>
      <c r="R135" s="22">
        <v>214</v>
      </c>
      <c r="S135" s="22">
        <v>2696</v>
      </c>
      <c r="T135" s="22">
        <v>169</v>
      </c>
      <c r="U135" s="22" t="s">
        <v>683</v>
      </c>
      <c r="V135" s="21">
        <v>23771</v>
      </c>
      <c r="W135" s="22">
        <v>3349</v>
      </c>
      <c r="X135" s="22">
        <v>781</v>
      </c>
      <c r="Y135" s="22" t="s">
        <v>683</v>
      </c>
      <c r="Z135" s="22" t="s">
        <v>683</v>
      </c>
      <c r="AA135" s="22">
        <v>222</v>
      </c>
      <c r="AB135" s="22" t="s">
        <v>683</v>
      </c>
      <c r="AC135" s="22" t="s">
        <v>683</v>
      </c>
      <c r="AD135" s="22">
        <v>303</v>
      </c>
      <c r="AE135" s="22" t="s">
        <v>683</v>
      </c>
      <c r="AF135" s="22" t="s">
        <v>683</v>
      </c>
      <c r="AG135" s="22">
        <v>71</v>
      </c>
      <c r="AH135" s="22">
        <v>500</v>
      </c>
      <c r="AN135"/>
    </row>
    <row r="136" spans="1:40">
      <c r="A136" s="23"/>
      <c r="B136" s="19" t="s">
        <v>436</v>
      </c>
      <c r="C136" s="19" t="s">
        <v>434</v>
      </c>
      <c r="D136" s="20">
        <f t="shared" si="6"/>
        <v>320002</v>
      </c>
      <c r="E136" s="22" t="s">
        <v>683</v>
      </c>
      <c r="F136" s="22">
        <v>54604</v>
      </c>
      <c r="G136" s="22">
        <v>40907</v>
      </c>
      <c r="H136" s="22">
        <v>17457</v>
      </c>
      <c r="I136" s="22">
        <v>8528</v>
      </c>
      <c r="J136" s="22">
        <v>16961</v>
      </c>
      <c r="K136" s="22">
        <v>22466</v>
      </c>
      <c r="L136" s="22" t="s">
        <v>683</v>
      </c>
      <c r="M136" s="22">
        <v>4823</v>
      </c>
      <c r="N136" s="22">
        <v>751</v>
      </c>
      <c r="O136" s="22">
        <v>1292</v>
      </c>
      <c r="P136" s="22">
        <v>124542</v>
      </c>
      <c r="Q136" s="22" t="s">
        <v>683</v>
      </c>
      <c r="R136" s="22">
        <v>293</v>
      </c>
      <c r="S136" s="22">
        <v>2885</v>
      </c>
      <c r="T136" s="22">
        <v>95</v>
      </c>
      <c r="U136" s="22" t="s">
        <v>683</v>
      </c>
      <c r="V136" s="21">
        <v>20138</v>
      </c>
      <c r="W136" s="22">
        <v>3104</v>
      </c>
      <c r="X136" s="22">
        <v>32</v>
      </c>
      <c r="Y136" s="22" t="s">
        <v>683</v>
      </c>
      <c r="Z136" s="22" t="s">
        <v>683</v>
      </c>
      <c r="AA136" s="22">
        <v>203</v>
      </c>
      <c r="AB136" s="22" t="s">
        <v>683</v>
      </c>
      <c r="AC136" s="22" t="s">
        <v>683</v>
      </c>
      <c r="AD136" s="22">
        <v>296</v>
      </c>
      <c r="AE136" s="22" t="s">
        <v>683</v>
      </c>
      <c r="AF136" s="22" t="s">
        <v>683</v>
      </c>
      <c r="AG136" s="22">
        <v>172</v>
      </c>
      <c r="AH136" s="22">
        <v>453</v>
      </c>
      <c r="AN136"/>
    </row>
    <row r="137" spans="1:40">
      <c r="D137" s="39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65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J137" s="70"/>
    </row>
    <row r="138" spans="1:40">
      <c r="D138" s="39"/>
      <c r="AN138"/>
    </row>
    <row r="176" spans="39:40">
      <c r="AM176" s="44"/>
      <c r="AN176" s="44"/>
    </row>
    <row r="177" spans="39:40">
      <c r="AM177" s="44"/>
      <c r="AN177" s="44"/>
    </row>
    <row r="178" spans="39:40">
      <c r="AM178" s="44"/>
      <c r="AN178" s="44"/>
    </row>
    <row r="179" spans="39:40">
      <c r="AM179" s="44"/>
      <c r="AN179" s="44"/>
    </row>
    <row r="180" spans="39:40">
      <c r="AM180" s="44"/>
      <c r="AN180" s="44"/>
    </row>
    <row r="181" spans="39:40">
      <c r="AM181" s="44"/>
      <c r="AN181" s="44"/>
    </row>
    <row r="182" spans="39:40">
      <c r="AM182" s="44"/>
      <c r="AN182" s="44"/>
    </row>
    <row r="183" spans="39:40">
      <c r="AM183" s="44"/>
      <c r="AN183" s="44"/>
    </row>
    <row r="184" spans="39:40">
      <c r="AM184" s="44"/>
      <c r="AN184" s="44"/>
    </row>
    <row r="185" spans="39:40">
      <c r="AM185" s="44"/>
      <c r="AN185" s="44"/>
    </row>
    <row r="186" spans="39:40">
      <c r="AM186" s="44"/>
      <c r="AN186" s="44"/>
    </row>
    <row r="187" spans="39:40">
      <c r="AM187" s="44"/>
      <c r="AN187" s="44"/>
    </row>
    <row r="188" spans="39:40">
      <c r="AM188" s="44"/>
      <c r="AN188" s="44"/>
    </row>
    <row r="189" spans="39:40">
      <c r="AM189" s="44"/>
      <c r="AN189" s="44"/>
    </row>
    <row r="190" spans="39:40">
      <c r="AM190" s="44"/>
      <c r="AN190" s="44"/>
    </row>
    <row r="191" spans="39:40">
      <c r="AM191" s="44"/>
      <c r="AN191" s="44"/>
    </row>
    <row r="192" spans="39:40">
      <c r="AM192" s="44"/>
      <c r="AN192" s="44"/>
    </row>
    <row r="193" spans="39:40">
      <c r="AM193" s="44"/>
      <c r="AN193" s="44"/>
    </row>
    <row r="194" spans="39:40">
      <c r="AM194" s="44"/>
      <c r="AN194" s="44"/>
    </row>
    <row r="195" spans="39:40">
      <c r="AM195" s="44"/>
      <c r="AN195" s="44"/>
    </row>
    <row r="196" spans="39:40">
      <c r="AM196" s="44"/>
      <c r="AN196" s="44"/>
    </row>
    <row r="197" spans="39:40">
      <c r="AM197" s="44"/>
      <c r="AN197" s="44"/>
    </row>
    <row r="198" spans="39:40">
      <c r="AM198" s="44"/>
      <c r="AN198" s="44"/>
    </row>
    <row r="199" spans="39:40">
      <c r="AM199" s="44"/>
      <c r="AN199" s="44"/>
    </row>
    <row r="200" spans="39:40">
      <c r="AM200" s="44"/>
      <c r="AN200" s="44"/>
    </row>
    <row r="201" spans="39:40">
      <c r="AM201" s="44"/>
      <c r="AN201" s="44"/>
    </row>
    <row r="202" spans="39:40">
      <c r="AM202" s="44"/>
      <c r="AN202" s="44"/>
    </row>
    <row r="203" spans="39:40">
      <c r="AM203" s="44"/>
      <c r="AN203" s="44"/>
    </row>
    <row r="204" spans="39:40">
      <c r="AM204" s="44"/>
      <c r="AN204" s="44"/>
    </row>
    <row r="205" spans="39:40">
      <c r="AM205" s="44"/>
      <c r="AN205" s="44"/>
    </row>
    <row r="206" spans="39:40">
      <c r="AM206" s="44"/>
      <c r="AN206" s="44"/>
    </row>
    <row r="207" spans="39:40">
      <c r="AM207" s="44"/>
      <c r="AN207" s="44"/>
    </row>
    <row r="208" spans="39:40">
      <c r="AM208" s="44"/>
      <c r="AN208" s="44"/>
    </row>
    <row r="209" spans="39:40">
      <c r="AM209" s="44"/>
      <c r="AN209" s="44"/>
    </row>
    <row r="210" spans="39:40">
      <c r="AM210" s="44"/>
      <c r="AN210" s="44"/>
    </row>
    <row r="211" spans="39:40">
      <c r="AM211" s="44"/>
      <c r="AN211" s="44"/>
    </row>
    <row r="212" spans="39:40">
      <c r="AM212" s="44"/>
      <c r="AN212" s="44"/>
    </row>
    <row r="213" spans="39:40">
      <c r="AM213" s="44"/>
      <c r="AN213" s="44"/>
    </row>
    <row r="214" spans="39:40">
      <c r="AM214" s="44"/>
      <c r="AN214" s="44"/>
    </row>
    <row r="215" spans="39:40">
      <c r="AM215" s="44"/>
      <c r="AN215" s="44"/>
    </row>
    <row r="217" spans="39:40">
      <c r="AM217" s="44"/>
      <c r="AN217" s="44"/>
    </row>
  </sheetData>
  <mergeCells count="3">
    <mergeCell ref="A1:C7"/>
    <mergeCell ref="E71:AH71"/>
    <mergeCell ref="E72:AH72"/>
  </mergeCells>
  <pageMargins left="0.70866141732283472" right="0.70866141732283472" top="0.74803149606299213" bottom="0.74803149606299213" header="0.31496062992125984" footer="0.31496062992125984"/>
  <pageSetup paperSize="8" scale="22" fitToHeight="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3C195-2206-4AEB-88AE-053EA14E7356}">
  <sheetPr>
    <pageSetUpPr fitToPage="1"/>
  </sheetPr>
  <dimension ref="A1:O217"/>
  <sheetViews>
    <sheetView showGridLines="0" topLeftCell="A103" zoomScale="76" zoomScaleNormal="90" workbookViewId="0">
      <selection activeCell="B43" sqref="B43"/>
    </sheetView>
  </sheetViews>
  <sheetFormatPr defaultColWidth="9.140625" defaultRowHeight="15.95"/>
  <cols>
    <col min="1" max="1" width="27.7109375" style="4" customWidth="1"/>
    <col min="2" max="2" width="57.42578125" style="30" customWidth="1"/>
    <col min="3" max="3" width="29.7109375" style="30" bestFit="1" customWidth="1"/>
    <col min="4" max="4" width="28.5703125" style="31" customWidth="1"/>
    <col min="5" max="7" width="24.28515625" style="32" bestFit="1" customWidth="1"/>
    <col min="8" max="8" width="25" style="32" bestFit="1" customWidth="1"/>
    <col min="9" max="9" width="26.85546875" style="32" bestFit="1" customWidth="1"/>
    <col min="10" max="10" width="11.5703125" style="50" bestFit="1" customWidth="1"/>
    <col min="11" max="11" width="15.85546875" style="67" bestFit="1" customWidth="1"/>
    <col min="12" max="12" width="18.5703125" style="76" bestFit="1" customWidth="1"/>
    <col min="13" max="13" width="15" bestFit="1" customWidth="1"/>
    <col min="14" max="15" width="25.7109375" style="33" customWidth="1"/>
    <col min="16" max="190" width="9.140625" style="29"/>
    <col min="191" max="191" width="24.5703125" style="29" customWidth="1"/>
    <col min="192" max="192" width="59.5703125" style="29" customWidth="1"/>
    <col min="193" max="193" width="23.140625" style="29" customWidth="1"/>
    <col min="194" max="194" width="14.85546875" style="29" bestFit="1" customWidth="1"/>
    <col min="195" max="196" width="20.42578125" style="29" customWidth="1"/>
    <col min="197" max="197" width="17.42578125" style="29" customWidth="1"/>
    <col min="198" max="198" width="11.5703125" style="29" bestFit="1" customWidth="1"/>
    <col min="199" max="199" width="16.140625" style="29" customWidth="1"/>
    <col min="200" max="200" width="9.140625" style="29"/>
    <col min="201" max="201" width="14.140625" style="29" bestFit="1" customWidth="1"/>
    <col min="202" max="446" width="9.140625" style="29"/>
    <col min="447" max="447" width="24.5703125" style="29" customWidth="1"/>
    <col min="448" max="448" width="59.5703125" style="29" customWidth="1"/>
    <col min="449" max="449" width="23.140625" style="29" customWidth="1"/>
    <col min="450" max="450" width="14.85546875" style="29" bestFit="1" customWidth="1"/>
    <col min="451" max="452" width="20.42578125" style="29" customWidth="1"/>
    <col min="453" max="453" width="17.42578125" style="29" customWidth="1"/>
    <col min="454" max="454" width="11.5703125" style="29" bestFit="1" customWidth="1"/>
    <col min="455" max="455" width="16.140625" style="29" customWidth="1"/>
    <col min="456" max="456" width="9.140625" style="29"/>
    <col min="457" max="457" width="14.140625" style="29" bestFit="1" customWidth="1"/>
    <col min="458" max="702" width="9.140625" style="29"/>
    <col min="703" max="703" width="24.5703125" style="29" customWidth="1"/>
    <col min="704" max="704" width="59.5703125" style="29" customWidth="1"/>
    <col min="705" max="705" width="23.140625" style="29" customWidth="1"/>
    <col min="706" max="706" width="14.85546875" style="29" bestFit="1" customWidth="1"/>
    <col min="707" max="708" width="20.42578125" style="29" customWidth="1"/>
    <col min="709" max="709" width="17.42578125" style="29" customWidth="1"/>
    <col min="710" max="710" width="11.5703125" style="29" bestFit="1" customWidth="1"/>
    <col min="711" max="711" width="16.140625" style="29" customWidth="1"/>
    <col min="712" max="712" width="9.140625" style="29"/>
    <col min="713" max="713" width="14.140625" style="29" bestFit="1" customWidth="1"/>
    <col min="714" max="958" width="9.140625" style="29"/>
    <col min="959" max="959" width="24.5703125" style="29" customWidth="1"/>
    <col min="960" max="960" width="59.5703125" style="29" customWidth="1"/>
    <col min="961" max="961" width="23.140625" style="29" customWidth="1"/>
    <col min="962" max="962" width="14.85546875" style="29" bestFit="1" customWidth="1"/>
    <col min="963" max="964" width="20.42578125" style="29" customWidth="1"/>
    <col min="965" max="965" width="17.42578125" style="29" customWidth="1"/>
    <col min="966" max="966" width="11.5703125" style="29" bestFit="1" customWidth="1"/>
    <col min="967" max="967" width="16.140625" style="29" customWidth="1"/>
    <col min="968" max="968" width="9.140625" style="29"/>
    <col min="969" max="969" width="14.140625" style="29" bestFit="1" customWidth="1"/>
    <col min="970" max="1214" width="9.140625" style="29"/>
    <col min="1215" max="1215" width="24.5703125" style="29" customWidth="1"/>
    <col min="1216" max="1216" width="59.5703125" style="29" customWidth="1"/>
    <col min="1217" max="1217" width="23.140625" style="29" customWidth="1"/>
    <col min="1218" max="1218" width="14.85546875" style="29" bestFit="1" customWidth="1"/>
    <col min="1219" max="1220" width="20.42578125" style="29" customWidth="1"/>
    <col min="1221" max="1221" width="17.42578125" style="29" customWidth="1"/>
    <col min="1222" max="1222" width="11.5703125" style="29" bestFit="1" customWidth="1"/>
    <col min="1223" max="1223" width="16.140625" style="29" customWidth="1"/>
    <col min="1224" max="1224" width="9.140625" style="29"/>
    <col min="1225" max="1225" width="14.140625" style="29" bestFit="1" customWidth="1"/>
    <col min="1226" max="1470" width="9.140625" style="29"/>
    <col min="1471" max="1471" width="24.5703125" style="29" customWidth="1"/>
    <col min="1472" max="1472" width="59.5703125" style="29" customWidth="1"/>
    <col min="1473" max="1473" width="23.140625" style="29" customWidth="1"/>
    <col min="1474" max="1474" width="14.85546875" style="29" bestFit="1" customWidth="1"/>
    <col min="1475" max="1476" width="20.42578125" style="29" customWidth="1"/>
    <col min="1477" max="1477" width="17.42578125" style="29" customWidth="1"/>
    <col min="1478" max="1478" width="11.5703125" style="29" bestFit="1" customWidth="1"/>
    <col min="1479" max="1479" width="16.140625" style="29" customWidth="1"/>
    <col min="1480" max="1480" width="9.140625" style="29"/>
    <col min="1481" max="1481" width="14.140625" style="29" bestFit="1" customWidth="1"/>
    <col min="1482" max="1726" width="9.140625" style="29"/>
    <col min="1727" max="1727" width="24.5703125" style="29" customWidth="1"/>
    <col min="1728" max="1728" width="59.5703125" style="29" customWidth="1"/>
    <col min="1729" max="1729" width="23.140625" style="29" customWidth="1"/>
    <col min="1730" max="1730" width="14.85546875" style="29" bestFit="1" customWidth="1"/>
    <col min="1731" max="1732" width="20.42578125" style="29" customWidth="1"/>
    <col min="1733" max="1733" width="17.42578125" style="29" customWidth="1"/>
    <col min="1734" max="1734" width="11.5703125" style="29" bestFit="1" customWidth="1"/>
    <col min="1735" max="1735" width="16.140625" style="29" customWidth="1"/>
    <col min="1736" max="1736" width="9.140625" style="29"/>
    <col min="1737" max="1737" width="14.140625" style="29" bestFit="1" customWidth="1"/>
    <col min="1738" max="1982" width="9.140625" style="29"/>
    <col min="1983" max="1983" width="24.5703125" style="29" customWidth="1"/>
    <col min="1984" max="1984" width="59.5703125" style="29" customWidth="1"/>
    <col min="1985" max="1985" width="23.140625" style="29" customWidth="1"/>
    <col min="1986" max="1986" width="14.85546875" style="29" bestFit="1" customWidth="1"/>
    <col min="1987" max="1988" width="20.42578125" style="29" customWidth="1"/>
    <col min="1989" max="1989" width="17.42578125" style="29" customWidth="1"/>
    <col min="1990" max="1990" width="11.5703125" style="29" bestFit="1" customWidth="1"/>
    <col min="1991" max="1991" width="16.140625" style="29" customWidth="1"/>
    <col min="1992" max="1992" width="9.140625" style="29"/>
    <col min="1993" max="1993" width="14.140625" style="29" bestFit="1" customWidth="1"/>
    <col min="1994" max="2238" width="9.140625" style="29"/>
    <col min="2239" max="2239" width="24.5703125" style="29" customWidth="1"/>
    <col min="2240" max="2240" width="59.5703125" style="29" customWidth="1"/>
    <col min="2241" max="2241" width="23.140625" style="29" customWidth="1"/>
    <col min="2242" max="2242" width="14.85546875" style="29" bestFit="1" customWidth="1"/>
    <col min="2243" max="2244" width="20.42578125" style="29" customWidth="1"/>
    <col min="2245" max="2245" width="17.42578125" style="29" customWidth="1"/>
    <col min="2246" max="2246" width="11.5703125" style="29" bestFit="1" customWidth="1"/>
    <col min="2247" max="2247" width="16.140625" style="29" customWidth="1"/>
    <col min="2248" max="2248" width="9.140625" style="29"/>
    <col min="2249" max="2249" width="14.140625" style="29" bestFit="1" customWidth="1"/>
    <col min="2250" max="2494" width="9.140625" style="29"/>
    <col min="2495" max="2495" width="24.5703125" style="29" customWidth="1"/>
    <col min="2496" max="2496" width="59.5703125" style="29" customWidth="1"/>
    <col min="2497" max="2497" width="23.140625" style="29" customWidth="1"/>
    <col min="2498" max="2498" width="14.85546875" style="29" bestFit="1" customWidth="1"/>
    <col min="2499" max="2500" width="20.42578125" style="29" customWidth="1"/>
    <col min="2501" max="2501" width="17.42578125" style="29" customWidth="1"/>
    <col min="2502" max="2502" width="11.5703125" style="29" bestFit="1" customWidth="1"/>
    <col min="2503" max="2503" width="16.140625" style="29" customWidth="1"/>
    <col min="2504" max="2504" width="9.140625" style="29"/>
    <col min="2505" max="2505" width="14.140625" style="29" bestFit="1" customWidth="1"/>
    <col min="2506" max="2750" width="9.140625" style="29"/>
    <col min="2751" max="2751" width="24.5703125" style="29" customWidth="1"/>
    <col min="2752" max="2752" width="59.5703125" style="29" customWidth="1"/>
    <col min="2753" max="2753" width="23.140625" style="29" customWidth="1"/>
    <col min="2754" max="2754" width="14.85546875" style="29" bestFit="1" customWidth="1"/>
    <col min="2755" max="2756" width="20.42578125" style="29" customWidth="1"/>
    <col min="2757" max="2757" width="17.42578125" style="29" customWidth="1"/>
    <col min="2758" max="2758" width="11.5703125" style="29" bestFit="1" customWidth="1"/>
    <col min="2759" max="2759" width="16.140625" style="29" customWidth="1"/>
    <col min="2760" max="2760" width="9.140625" style="29"/>
    <col min="2761" max="2761" width="14.140625" style="29" bestFit="1" customWidth="1"/>
    <col min="2762" max="3006" width="9.140625" style="29"/>
    <col min="3007" max="3007" width="24.5703125" style="29" customWidth="1"/>
    <col min="3008" max="3008" width="59.5703125" style="29" customWidth="1"/>
    <col min="3009" max="3009" width="23.140625" style="29" customWidth="1"/>
    <col min="3010" max="3010" width="14.85546875" style="29" bestFit="1" customWidth="1"/>
    <col min="3011" max="3012" width="20.42578125" style="29" customWidth="1"/>
    <col min="3013" max="3013" width="17.42578125" style="29" customWidth="1"/>
    <col min="3014" max="3014" width="11.5703125" style="29" bestFit="1" customWidth="1"/>
    <col min="3015" max="3015" width="16.140625" style="29" customWidth="1"/>
    <col min="3016" max="3016" width="9.140625" style="29"/>
    <col min="3017" max="3017" width="14.140625" style="29" bestFit="1" customWidth="1"/>
    <col min="3018" max="3262" width="9.140625" style="29"/>
    <col min="3263" max="3263" width="24.5703125" style="29" customWidth="1"/>
    <col min="3264" max="3264" width="59.5703125" style="29" customWidth="1"/>
    <col min="3265" max="3265" width="23.140625" style="29" customWidth="1"/>
    <col min="3266" max="3266" width="14.85546875" style="29" bestFit="1" customWidth="1"/>
    <col min="3267" max="3268" width="20.42578125" style="29" customWidth="1"/>
    <col min="3269" max="3269" width="17.42578125" style="29" customWidth="1"/>
    <col min="3270" max="3270" width="11.5703125" style="29" bestFit="1" customWidth="1"/>
    <col min="3271" max="3271" width="16.140625" style="29" customWidth="1"/>
    <col min="3272" max="3272" width="9.140625" style="29"/>
    <col min="3273" max="3273" width="14.140625" style="29" bestFit="1" customWidth="1"/>
    <col min="3274" max="3518" width="9.140625" style="29"/>
    <col min="3519" max="3519" width="24.5703125" style="29" customWidth="1"/>
    <col min="3520" max="3520" width="59.5703125" style="29" customWidth="1"/>
    <col min="3521" max="3521" width="23.140625" style="29" customWidth="1"/>
    <col min="3522" max="3522" width="14.85546875" style="29" bestFit="1" customWidth="1"/>
    <col min="3523" max="3524" width="20.42578125" style="29" customWidth="1"/>
    <col min="3525" max="3525" width="17.42578125" style="29" customWidth="1"/>
    <col min="3526" max="3526" width="11.5703125" style="29" bestFit="1" customWidth="1"/>
    <col min="3527" max="3527" width="16.140625" style="29" customWidth="1"/>
    <col min="3528" max="3528" width="9.140625" style="29"/>
    <col min="3529" max="3529" width="14.140625" style="29" bestFit="1" customWidth="1"/>
    <col min="3530" max="3774" width="9.140625" style="29"/>
    <col min="3775" max="3775" width="24.5703125" style="29" customWidth="1"/>
    <col min="3776" max="3776" width="59.5703125" style="29" customWidth="1"/>
    <col min="3777" max="3777" width="23.140625" style="29" customWidth="1"/>
    <col min="3778" max="3778" width="14.85546875" style="29" bestFit="1" customWidth="1"/>
    <col min="3779" max="3780" width="20.42578125" style="29" customWidth="1"/>
    <col min="3781" max="3781" width="17.42578125" style="29" customWidth="1"/>
    <col min="3782" max="3782" width="11.5703125" style="29" bestFit="1" customWidth="1"/>
    <col min="3783" max="3783" width="16.140625" style="29" customWidth="1"/>
    <col min="3784" max="3784" width="9.140625" style="29"/>
    <col min="3785" max="3785" width="14.140625" style="29" bestFit="1" customWidth="1"/>
    <col min="3786" max="4030" width="9.140625" style="29"/>
    <col min="4031" max="4031" width="24.5703125" style="29" customWidth="1"/>
    <col min="4032" max="4032" width="59.5703125" style="29" customWidth="1"/>
    <col min="4033" max="4033" width="23.140625" style="29" customWidth="1"/>
    <col min="4034" max="4034" width="14.85546875" style="29" bestFit="1" customWidth="1"/>
    <col min="4035" max="4036" width="20.42578125" style="29" customWidth="1"/>
    <col min="4037" max="4037" width="17.42578125" style="29" customWidth="1"/>
    <col min="4038" max="4038" width="11.5703125" style="29" bestFit="1" customWidth="1"/>
    <col min="4039" max="4039" width="16.140625" style="29" customWidth="1"/>
    <col min="4040" max="4040" width="9.140625" style="29"/>
    <col min="4041" max="4041" width="14.140625" style="29" bestFit="1" customWidth="1"/>
    <col min="4042" max="4286" width="9.140625" style="29"/>
    <col min="4287" max="4287" width="24.5703125" style="29" customWidth="1"/>
    <col min="4288" max="4288" width="59.5703125" style="29" customWidth="1"/>
    <col min="4289" max="4289" width="23.140625" style="29" customWidth="1"/>
    <col min="4290" max="4290" width="14.85546875" style="29" bestFit="1" customWidth="1"/>
    <col min="4291" max="4292" width="20.42578125" style="29" customWidth="1"/>
    <col min="4293" max="4293" width="17.42578125" style="29" customWidth="1"/>
    <col min="4294" max="4294" width="11.5703125" style="29" bestFit="1" customWidth="1"/>
    <col min="4295" max="4295" width="16.140625" style="29" customWidth="1"/>
    <col min="4296" max="4296" width="9.140625" style="29"/>
    <col min="4297" max="4297" width="14.140625" style="29" bestFit="1" customWidth="1"/>
    <col min="4298" max="4542" width="9.140625" style="29"/>
    <col min="4543" max="4543" width="24.5703125" style="29" customWidth="1"/>
    <col min="4544" max="4544" width="59.5703125" style="29" customWidth="1"/>
    <col min="4545" max="4545" width="23.140625" style="29" customWidth="1"/>
    <col min="4546" max="4546" width="14.85546875" style="29" bestFit="1" customWidth="1"/>
    <col min="4547" max="4548" width="20.42578125" style="29" customWidth="1"/>
    <col min="4549" max="4549" width="17.42578125" style="29" customWidth="1"/>
    <col min="4550" max="4550" width="11.5703125" style="29" bestFit="1" customWidth="1"/>
    <col min="4551" max="4551" width="16.140625" style="29" customWidth="1"/>
    <col min="4552" max="4552" width="9.140625" style="29"/>
    <col min="4553" max="4553" width="14.140625" style="29" bestFit="1" customWidth="1"/>
    <col min="4554" max="4798" width="9.140625" style="29"/>
    <col min="4799" max="4799" width="24.5703125" style="29" customWidth="1"/>
    <col min="4800" max="4800" width="59.5703125" style="29" customWidth="1"/>
    <col min="4801" max="4801" width="23.140625" style="29" customWidth="1"/>
    <col min="4802" max="4802" width="14.85546875" style="29" bestFit="1" customWidth="1"/>
    <col min="4803" max="4804" width="20.42578125" style="29" customWidth="1"/>
    <col min="4805" max="4805" width="17.42578125" style="29" customWidth="1"/>
    <col min="4806" max="4806" width="11.5703125" style="29" bestFit="1" customWidth="1"/>
    <col min="4807" max="4807" width="16.140625" style="29" customWidth="1"/>
    <col min="4808" max="4808" width="9.140625" style="29"/>
    <col min="4809" max="4809" width="14.140625" style="29" bestFit="1" customWidth="1"/>
    <col min="4810" max="5054" width="9.140625" style="29"/>
    <col min="5055" max="5055" width="24.5703125" style="29" customWidth="1"/>
    <col min="5056" max="5056" width="59.5703125" style="29" customWidth="1"/>
    <col min="5057" max="5057" width="23.140625" style="29" customWidth="1"/>
    <col min="5058" max="5058" width="14.85546875" style="29" bestFit="1" customWidth="1"/>
    <col min="5059" max="5060" width="20.42578125" style="29" customWidth="1"/>
    <col min="5061" max="5061" width="17.42578125" style="29" customWidth="1"/>
    <col min="5062" max="5062" width="11.5703125" style="29" bestFit="1" customWidth="1"/>
    <col min="5063" max="5063" width="16.140625" style="29" customWidth="1"/>
    <col min="5064" max="5064" width="9.140625" style="29"/>
    <col min="5065" max="5065" width="14.140625" style="29" bestFit="1" customWidth="1"/>
    <col min="5066" max="5310" width="9.140625" style="29"/>
    <col min="5311" max="5311" width="24.5703125" style="29" customWidth="1"/>
    <col min="5312" max="5312" width="59.5703125" style="29" customWidth="1"/>
    <col min="5313" max="5313" width="23.140625" style="29" customWidth="1"/>
    <col min="5314" max="5314" width="14.85546875" style="29" bestFit="1" customWidth="1"/>
    <col min="5315" max="5316" width="20.42578125" style="29" customWidth="1"/>
    <col min="5317" max="5317" width="17.42578125" style="29" customWidth="1"/>
    <col min="5318" max="5318" width="11.5703125" style="29" bestFit="1" customWidth="1"/>
    <col min="5319" max="5319" width="16.140625" style="29" customWidth="1"/>
    <col min="5320" max="5320" width="9.140625" style="29"/>
    <col min="5321" max="5321" width="14.140625" style="29" bestFit="1" customWidth="1"/>
    <col min="5322" max="5566" width="9.140625" style="29"/>
    <col min="5567" max="5567" width="24.5703125" style="29" customWidth="1"/>
    <col min="5568" max="5568" width="59.5703125" style="29" customWidth="1"/>
    <col min="5569" max="5569" width="23.140625" style="29" customWidth="1"/>
    <col min="5570" max="5570" width="14.85546875" style="29" bestFit="1" customWidth="1"/>
    <col min="5571" max="5572" width="20.42578125" style="29" customWidth="1"/>
    <col min="5573" max="5573" width="17.42578125" style="29" customWidth="1"/>
    <col min="5574" max="5574" width="11.5703125" style="29" bestFit="1" customWidth="1"/>
    <col min="5575" max="5575" width="16.140625" style="29" customWidth="1"/>
    <col min="5576" max="5576" width="9.140625" style="29"/>
    <col min="5577" max="5577" width="14.140625" style="29" bestFit="1" customWidth="1"/>
    <col min="5578" max="5822" width="9.140625" style="29"/>
    <col min="5823" max="5823" width="24.5703125" style="29" customWidth="1"/>
    <col min="5824" max="5824" width="59.5703125" style="29" customWidth="1"/>
    <col min="5825" max="5825" width="23.140625" style="29" customWidth="1"/>
    <col min="5826" max="5826" width="14.85546875" style="29" bestFit="1" customWidth="1"/>
    <col min="5827" max="5828" width="20.42578125" style="29" customWidth="1"/>
    <col min="5829" max="5829" width="17.42578125" style="29" customWidth="1"/>
    <col min="5830" max="5830" width="11.5703125" style="29" bestFit="1" customWidth="1"/>
    <col min="5831" max="5831" width="16.140625" style="29" customWidth="1"/>
    <col min="5832" max="5832" width="9.140625" style="29"/>
    <col min="5833" max="5833" width="14.140625" style="29" bestFit="1" customWidth="1"/>
    <col min="5834" max="6078" width="9.140625" style="29"/>
    <col min="6079" max="6079" width="24.5703125" style="29" customWidth="1"/>
    <col min="6080" max="6080" width="59.5703125" style="29" customWidth="1"/>
    <col min="6081" max="6081" width="23.140625" style="29" customWidth="1"/>
    <col min="6082" max="6082" width="14.85546875" style="29" bestFit="1" customWidth="1"/>
    <col min="6083" max="6084" width="20.42578125" style="29" customWidth="1"/>
    <col min="6085" max="6085" width="17.42578125" style="29" customWidth="1"/>
    <col min="6086" max="6086" width="11.5703125" style="29" bestFit="1" customWidth="1"/>
    <col min="6087" max="6087" width="16.140625" style="29" customWidth="1"/>
    <col min="6088" max="6088" width="9.140625" style="29"/>
    <col min="6089" max="6089" width="14.140625" style="29" bestFit="1" customWidth="1"/>
    <col min="6090" max="6334" width="9.140625" style="29"/>
    <col min="6335" max="6335" width="24.5703125" style="29" customWidth="1"/>
    <col min="6336" max="6336" width="59.5703125" style="29" customWidth="1"/>
    <col min="6337" max="6337" width="23.140625" style="29" customWidth="1"/>
    <col min="6338" max="6338" width="14.85546875" style="29" bestFit="1" customWidth="1"/>
    <col min="6339" max="6340" width="20.42578125" style="29" customWidth="1"/>
    <col min="6341" max="6341" width="17.42578125" style="29" customWidth="1"/>
    <col min="6342" max="6342" width="11.5703125" style="29" bestFit="1" customWidth="1"/>
    <col min="6343" max="6343" width="16.140625" style="29" customWidth="1"/>
    <col min="6344" max="6344" width="9.140625" style="29"/>
    <col min="6345" max="6345" width="14.140625" style="29" bestFit="1" customWidth="1"/>
    <col min="6346" max="6590" width="9.140625" style="29"/>
    <col min="6591" max="6591" width="24.5703125" style="29" customWidth="1"/>
    <col min="6592" max="6592" width="59.5703125" style="29" customWidth="1"/>
    <col min="6593" max="6593" width="23.140625" style="29" customWidth="1"/>
    <col min="6594" max="6594" width="14.85546875" style="29" bestFit="1" customWidth="1"/>
    <col min="6595" max="6596" width="20.42578125" style="29" customWidth="1"/>
    <col min="6597" max="6597" width="17.42578125" style="29" customWidth="1"/>
    <col min="6598" max="6598" width="11.5703125" style="29" bestFit="1" customWidth="1"/>
    <col min="6599" max="6599" width="16.140625" style="29" customWidth="1"/>
    <col min="6600" max="6600" width="9.140625" style="29"/>
    <col min="6601" max="6601" width="14.140625" style="29" bestFit="1" customWidth="1"/>
    <col min="6602" max="6846" width="9.140625" style="29"/>
    <col min="6847" max="6847" width="24.5703125" style="29" customWidth="1"/>
    <col min="6848" max="6848" width="59.5703125" style="29" customWidth="1"/>
    <col min="6849" max="6849" width="23.140625" style="29" customWidth="1"/>
    <col min="6850" max="6850" width="14.85546875" style="29" bestFit="1" customWidth="1"/>
    <col min="6851" max="6852" width="20.42578125" style="29" customWidth="1"/>
    <col min="6853" max="6853" width="17.42578125" style="29" customWidth="1"/>
    <col min="6854" max="6854" width="11.5703125" style="29" bestFit="1" customWidth="1"/>
    <col min="6855" max="6855" width="16.140625" style="29" customWidth="1"/>
    <col min="6856" max="6856" width="9.140625" style="29"/>
    <col min="6857" max="6857" width="14.140625" style="29" bestFit="1" customWidth="1"/>
    <col min="6858" max="7102" width="9.140625" style="29"/>
    <col min="7103" max="7103" width="24.5703125" style="29" customWidth="1"/>
    <col min="7104" max="7104" width="59.5703125" style="29" customWidth="1"/>
    <col min="7105" max="7105" width="23.140625" style="29" customWidth="1"/>
    <col min="7106" max="7106" width="14.85546875" style="29" bestFit="1" customWidth="1"/>
    <col min="7107" max="7108" width="20.42578125" style="29" customWidth="1"/>
    <col min="7109" max="7109" width="17.42578125" style="29" customWidth="1"/>
    <col min="7110" max="7110" width="11.5703125" style="29" bestFit="1" customWidth="1"/>
    <col min="7111" max="7111" width="16.140625" style="29" customWidth="1"/>
    <col min="7112" max="7112" width="9.140625" style="29"/>
    <col min="7113" max="7113" width="14.140625" style="29" bestFit="1" customWidth="1"/>
    <col min="7114" max="7358" width="9.140625" style="29"/>
    <col min="7359" max="7359" width="24.5703125" style="29" customWidth="1"/>
    <col min="7360" max="7360" width="59.5703125" style="29" customWidth="1"/>
    <col min="7361" max="7361" width="23.140625" style="29" customWidth="1"/>
    <col min="7362" max="7362" width="14.85546875" style="29" bestFit="1" customWidth="1"/>
    <col min="7363" max="7364" width="20.42578125" style="29" customWidth="1"/>
    <col min="7365" max="7365" width="17.42578125" style="29" customWidth="1"/>
    <col min="7366" max="7366" width="11.5703125" style="29" bestFit="1" customWidth="1"/>
    <col min="7367" max="7367" width="16.140625" style="29" customWidth="1"/>
    <col min="7368" max="7368" width="9.140625" style="29"/>
    <col min="7369" max="7369" width="14.140625" style="29" bestFit="1" customWidth="1"/>
    <col min="7370" max="7614" width="9.140625" style="29"/>
    <col min="7615" max="7615" width="24.5703125" style="29" customWidth="1"/>
    <col min="7616" max="7616" width="59.5703125" style="29" customWidth="1"/>
    <col min="7617" max="7617" width="23.140625" style="29" customWidth="1"/>
    <col min="7618" max="7618" width="14.85546875" style="29" bestFit="1" customWidth="1"/>
    <col min="7619" max="7620" width="20.42578125" style="29" customWidth="1"/>
    <col min="7621" max="7621" width="17.42578125" style="29" customWidth="1"/>
    <col min="7622" max="7622" width="11.5703125" style="29" bestFit="1" customWidth="1"/>
    <col min="7623" max="7623" width="16.140625" style="29" customWidth="1"/>
    <col min="7624" max="7624" width="9.140625" style="29"/>
    <col min="7625" max="7625" width="14.140625" style="29" bestFit="1" customWidth="1"/>
    <col min="7626" max="7870" width="9.140625" style="29"/>
    <col min="7871" max="7871" width="24.5703125" style="29" customWidth="1"/>
    <col min="7872" max="7872" width="59.5703125" style="29" customWidth="1"/>
    <col min="7873" max="7873" width="23.140625" style="29" customWidth="1"/>
    <col min="7874" max="7874" width="14.85546875" style="29" bestFit="1" customWidth="1"/>
    <col min="7875" max="7876" width="20.42578125" style="29" customWidth="1"/>
    <col min="7877" max="7877" width="17.42578125" style="29" customWidth="1"/>
    <col min="7878" max="7878" width="11.5703125" style="29" bestFit="1" customWidth="1"/>
    <col min="7879" max="7879" width="16.140625" style="29" customWidth="1"/>
    <col min="7880" max="7880" width="9.140625" style="29"/>
    <col min="7881" max="7881" width="14.140625" style="29" bestFit="1" customWidth="1"/>
    <col min="7882" max="8126" width="9.140625" style="29"/>
    <col min="8127" max="8127" width="24.5703125" style="29" customWidth="1"/>
    <col min="8128" max="8128" width="59.5703125" style="29" customWidth="1"/>
    <col min="8129" max="8129" width="23.140625" style="29" customWidth="1"/>
    <col min="8130" max="8130" width="14.85546875" style="29" bestFit="1" customWidth="1"/>
    <col min="8131" max="8132" width="20.42578125" style="29" customWidth="1"/>
    <col min="8133" max="8133" width="17.42578125" style="29" customWidth="1"/>
    <col min="8134" max="8134" width="11.5703125" style="29" bestFit="1" customWidth="1"/>
    <col min="8135" max="8135" width="16.140625" style="29" customWidth="1"/>
    <col min="8136" max="8136" width="9.140625" style="29"/>
    <col min="8137" max="8137" width="14.140625" style="29" bestFit="1" customWidth="1"/>
    <col min="8138" max="8382" width="9.140625" style="29"/>
    <col min="8383" max="8383" width="24.5703125" style="29" customWidth="1"/>
    <col min="8384" max="8384" width="59.5703125" style="29" customWidth="1"/>
    <col min="8385" max="8385" width="23.140625" style="29" customWidth="1"/>
    <col min="8386" max="8386" width="14.85546875" style="29" bestFit="1" customWidth="1"/>
    <col min="8387" max="8388" width="20.42578125" style="29" customWidth="1"/>
    <col min="8389" max="8389" width="17.42578125" style="29" customWidth="1"/>
    <col min="8390" max="8390" width="11.5703125" style="29" bestFit="1" customWidth="1"/>
    <col min="8391" max="8391" width="16.140625" style="29" customWidth="1"/>
    <col min="8392" max="8392" width="9.140625" style="29"/>
    <col min="8393" max="8393" width="14.140625" style="29" bestFit="1" customWidth="1"/>
    <col min="8394" max="8638" width="9.140625" style="29"/>
    <col min="8639" max="8639" width="24.5703125" style="29" customWidth="1"/>
    <col min="8640" max="8640" width="59.5703125" style="29" customWidth="1"/>
    <col min="8641" max="8641" width="23.140625" style="29" customWidth="1"/>
    <col min="8642" max="8642" width="14.85546875" style="29" bestFit="1" customWidth="1"/>
    <col min="8643" max="8644" width="20.42578125" style="29" customWidth="1"/>
    <col min="8645" max="8645" width="17.42578125" style="29" customWidth="1"/>
    <col min="8646" max="8646" width="11.5703125" style="29" bestFit="1" customWidth="1"/>
    <col min="8647" max="8647" width="16.140625" style="29" customWidth="1"/>
    <col min="8648" max="8648" width="9.140625" style="29"/>
    <col min="8649" max="8649" width="14.140625" style="29" bestFit="1" customWidth="1"/>
    <col min="8650" max="8894" width="9.140625" style="29"/>
    <col min="8895" max="8895" width="24.5703125" style="29" customWidth="1"/>
    <col min="8896" max="8896" width="59.5703125" style="29" customWidth="1"/>
    <col min="8897" max="8897" width="23.140625" style="29" customWidth="1"/>
    <col min="8898" max="8898" width="14.85546875" style="29" bestFit="1" customWidth="1"/>
    <col min="8899" max="8900" width="20.42578125" style="29" customWidth="1"/>
    <col min="8901" max="8901" width="17.42578125" style="29" customWidth="1"/>
    <col min="8902" max="8902" width="11.5703125" style="29" bestFit="1" customWidth="1"/>
    <col min="8903" max="8903" width="16.140625" style="29" customWidth="1"/>
    <col min="8904" max="8904" width="9.140625" style="29"/>
    <col min="8905" max="8905" width="14.140625" style="29" bestFit="1" customWidth="1"/>
    <col min="8906" max="9150" width="9.140625" style="29"/>
    <col min="9151" max="9151" width="24.5703125" style="29" customWidth="1"/>
    <col min="9152" max="9152" width="59.5703125" style="29" customWidth="1"/>
    <col min="9153" max="9153" width="23.140625" style="29" customWidth="1"/>
    <col min="9154" max="9154" width="14.85546875" style="29" bestFit="1" customWidth="1"/>
    <col min="9155" max="9156" width="20.42578125" style="29" customWidth="1"/>
    <col min="9157" max="9157" width="17.42578125" style="29" customWidth="1"/>
    <col min="9158" max="9158" width="11.5703125" style="29" bestFit="1" customWidth="1"/>
    <col min="9159" max="9159" width="16.140625" style="29" customWidth="1"/>
    <col min="9160" max="9160" width="9.140625" style="29"/>
    <col min="9161" max="9161" width="14.140625" style="29" bestFit="1" customWidth="1"/>
    <col min="9162" max="9406" width="9.140625" style="29"/>
    <col min="9407" max="9407" width="24.5703125" style="29" customWidth="1"/>
    <col min="9408" max="9408" width="59.5703125" style="29" customWidth="1"/>
    <col min="9409" max="9409" width="23.140625" style="29" customWidth="1"/>
    <col min="9410" max="9410" width="14.85546875" style="29" bestFit="1" customWidth="1"/>
    <col min="9411" max="9412" width="20.42578125" style="29" customWidth="1"/>
    <col min="9413" max="9413" width="17.42578125" style="29" customWidth="1"/>
    <col min="9414" max="9414" width="11.5703125" style="29" bestFit="1" customWidth="1"/>
    <col min="9415" max="9415" width="16.140625" style="29" customWidth="1"/>
    <col min="9416" max="9416" width="9.140625" style="29"/>
    <col min="9417" max="9417" width="14.140625" style="29" bestFit="1" customWidth="1"/>
    <col min="9418" max="9662" width="9.140625" style="29"/>
    <col min="9663" max="9663" width="24.5703125" style="29" customWidth="1"/>
    <col min="9664" max="9664" width="59.5703125" style="29" customWidth="1"/>
    <col min="9665" max="9665" width="23.140625" style="29" customWidth="1"/>
    <col min="9666" max="9666" width="14.85546875" style="29" bestFit="1" customWidth="1"/>
    <col min="9667" max="9668" width="20.42578125" style="29" customWidth="1"/>
    <col min="9669" max="9669" width="17.42578125" style="29" customWidth="1"/>
    <col min="9670" max="9670" width="11.5703125" style="29" bestFit="1" customWidth="1"/>
    <col min="9671" max="9671" width="16.140625" style="29" customWidth="1"/>
    <col min="9672" max="9672" width="9.140625" style="29"/>
    <col min="9673" max="9673" width="14.140625" style="29" bestFit="1" customWidth="1"/>
    <col min="9674" max="9918" width="9.140625" style="29"/>
    <col min="9919" max="9919" width="24.5703125" style="29" customWidth="1"/>
    <col min="9920" max="9920" width="59.5703125" style="29" customWidth="1"/>
    <col min="9921" max="9921" width="23.140625" style="29" customWidth="1"/>
    <col min="9922" max="9922" width="14.85546875" style="29" bestFit="1" customWidth="1"/>
    <col min="9923" max="9924" width="20.42578125" style="29" customWidth="1"/>
    <col min="9925" max="9925" width="17.42578125" style="29" customWidth="1"/>
    <col min="9926" max="9926" width="11.5703125" style="29" bestFit="1" customWidth="1"/>
    <col min="9927" max="9927" width="16.140625" style="29" customWidth="1"/>
    <col min="9928" max="9928" width="9.140625" style="29"/>
    <col min="9929" max="9929" width="14.140625" style="29" bestFit="1" customWidth="1"/>
    <col min="9930" max="10174" width="9.140625" style="29"/>
    <col min="10175" max="10175" width="24.5703125" style="29" customWidth="1"/>
    <col min="10176" max="10176" width="59.5703125" style="29" customWidth="1"/>
    <col min="10177" max="10177" width="23.140625" style="29" customWidth="1"/>
    <col min="10178" max="10178" width="14.85546875" style="29" bestFit="1" customWidth="1"/>
    <col min="10179" max="10180" width="20.42578125" style="29" customWidth="1"/>
    <col min="10181" max="10181" width="17.42578125" style="29" customWidth="1"/>
    <col min="10182" max="10182" width="11.5703125" style="29" bestFit="1" customWidth="1"/>
    <col min="10183" max="10183" width="16.140625" style="29" customWidth="1"/>
    <col min="10184" max="10184" width="9.140625" style="29"/>
    <col min="10185" max="10185" width="14.140625" style="29" bestFit="1" customWidth="1"/>
    <col min="10186" max="10430" width="9.140625" style="29"/>
    <col min="10431" max="10431" width="24.5703125" style="29" customWidth="1"/>
    <col min="10432" max="10432" width="59.5703125" style="29" customWidth="1"/>
    <col min="10433" max="10433" width="23.140625" style="29" customWidth="1"/>
    <col min="10434" max="10434" width="14.85546875" style="29" bestFit="1" customWidth="1"/>
    <col min="10435" max="10436" width="20.42578125" style="29" customWidth="1"/>
    <col min="10437" max="10437" width="17.42578125" style="29" customWidth="1"/>
    <col min="10438" max="10438" width="11.5703125" style="29" bestFit="1" customWidth="1"/>
    <col min="10439" max="10439" width="16.140625" style="29" customWidth="1"/>
    <col min="10440" max="10440" width="9.140625" style="29"/>
    <col min="10441" max="10441" width="14.140625" style="29" bestFit="1" customWidth="1"/>
    <col min="10442" max="10686" width="9.140625" style="29"/>
    <col min="10687" max="10687" width="24.5703125" style="29" customWidth="1"/>
    <col min="10688" max="10688" width="59.5703125" style="29" customWidth="1"/>
    <col min="10689" max="10689" width="23.140625" style="29" customWidth="1"/>
    <col min="10690" max="10690" width="14.85546875" style="29" bestFit="1" customWidth="1"/>
    <col min="10691" max="10692" width="20.42578125" style="29" customWidth="1"/>
    <col min="10693" max="10693" width="17.42578125" style="29" customWidth="1"/>
    <col min="10694" max="10694" width="11.5703125" style="29" bestFit="1" customWidth="1"/>
    <col min="10695" max="10695" width="16.140625" style="29" customWidth="1"/>
    <col min="10696" max="10696" width="9.140625" style="29"/>
    <col min="10697" max="10697" width="14.140625" style="29" bestFit="1" customWidth="1"/>
    <col min="10698" max="10942" width="9.140625" style="29"/>
    <col min="10943" max="10943" width="24.5703125" style="29" customWidth="1"/>
    <col min="10944" max="10944" width="59.5703125" style="29" customWidth="1"/>
    <col min="10945" max="10945" width="23.140625" style="29" customWidth="1"/>
    <col min="10946" max="10946" width="14.85546875" style="29" bestFit="1" customWidth="1"/>
    <col min="10947" max="10948" width="20.42578125" style="29" customWidth="1"/>
    <col min="10949" max="10949" width="17.42578125" style="29" customWidth="1"/>
    <col min="10950" max="10950" width="11.5703125" style="29" bestFit="1" customWidth="1"/>
    <col min="10951" max="10951" width="16.140625" style="29" customWidth="1"/>
    <col min="10952" max="10952" width="9.140625" style="29"/>
    <col min="10953" max="10953" width="14.140625" style="29" bestFit="1" customWidth="1"/>
    <col min="10954" max="11198" width="9.140625" style="29"/>
    <col min="11199" max="11199" width="24.5703125" style="29" customWidth="1"/>
    <col min="11200" max="11200" width="59.5703125" style="29" customWidth="1"/>
    <col min="11201" max="11201" width="23.140625" style="29" customWidth="1"/>
    <col min="11202" max="11202" width="14.85546875" style="29" bestFit="1" customWidth="1"/>
    <col min="11203" max="11204" width="20.42578125" style="29" customWidth="1"/>
    <col min="11205" max="11205" width="17.42578125" style="29" customWidth="1"/>
    <col min="11206" max="11206" width="11.5703125" style="29" bestFit="1" customWidth="1"/>
    <col min="11207" max="11207" width="16.140625" style="29" customWidth="1"/>
    <col min="11208" max="11208" width="9.140625" style="29"/>
    <col min="11209" max="11209" width="14.140625" style="29" bestFit="1" customWidth="1"/>
    <col min="11210" max="11454" width="9.140625" style="29"/>
    <col min="11455" max="11455" width="24.5703125" style="29" customWidth="1"/>
    <col min="11456" max="11456" width="59.5703125" style="29" customWidth="1"/>
    <col min="11457" max="11457" width="23.140625" style="29" customWidth="1"/>
    <col min="11458" max="11458" width="14.85546875" style="29" bestFit="1" customWidth="1"/>
    <col min="11459" max="11460" width="20.42578125" style="29" customWidth="1"/>
    <col min="11461" max="11461" width="17.42578125" style="29" customWidth="1"/>
    <col min="11462" max="11462" width="11.5703125" style="29" bestFit="1" customWidth="1"/>
    <col min="11463" max="11463" width="16.140625" style="29" customWidth="1"/>
    <col min="11464" max="11464" width="9.140625" style="29"/>
    <col min="11465" max="11465" width="14.140625" style="29" bestFit="1" customWidth="1"/>
    <col min="11466" max="11710" width="9.140625" style="29"/>
    <col min="11711" max="11711" width="24.5703125" style="29" customWidth="1"/>
    <col min="11712" max="11712" width="59.5703125" style="29" customWidth="1"/>
    <col min="11713" max="11713" width="23.140625" style="29" customWidth="1"/>
    <col min="11714" max="11714" width="14.85546875" style="29" bestFit="1" customWidth="1"/>
    <col min="11715" max="11716" width="20.42578125" style="29" customWidth="1"/>
    <col min="11717" max="11717" width="17.42578125" style="29" customWidth="1"/>
    <col min="11718" max="11718" width="11.5703125" style="29" bestFit="1" customWidth="1"/>
    <col min="11719" max="11719" width="16.140625" style="29" customWidth="1"/>
    <col min="11720" max="11720" width="9.140625" style="29"/>
    <col min="11721" max="11721" width="14.140625" style="29" bestFit="1" customWidth="1"/>
    <col min="11722" max="11966" width="9.140625" style="29"/>
    <col min="11967" max="11967" width="24.5703125" style="29" customWidth="1"/>
    <col min="11968" max="11968" width="59.5703125" style="29" customWidth="1"/>
    <col min="11969" max="11969" width="23.140625" style="29" customWidth="1"/>
    <col min="11970" max="11970" width="14.85546875" style="29" bestFit="1" customWidth="1"/>
    <col min="11971" max="11972" width="20.42578125" style="29" customWidth="1"/>
    <col min="11973" max="11973" width="17.42578125" style="29" customWidth="1"/>
    <col min="11974" max="11974" width="11.5703125" style="29" bestFit="1" customWidth="1"/>
    <col min="11975" max="11975" width="16.140625" style="29" customWidth="1"/>
    <col min="11976" max="11976" width="9.140625" style="29"/>
    <col min="11977" max="11977" width="14.140625" style="29" bestFit="1" customWidth="1"/>
    <col min="11978" max="12222" width="9.140625" style="29"/>
    <col min="12223" max="12223" width="24.5703125" style="29" customWidth="1"/>
    <col min="12224" max="12224" width="59.5703125" style="29" customWidth="1"/>
    <col min="12225" max="12225" width="23.140625" style="29" customWidth="1"/>
    <col min="12226" max="12226" width="14.85546875" style="29" bestFit="1" customWidth="1"/>
    <col min="12227" max="12228" width="20.42578125" style="29" customWidth="1"/>
    <col min="12229" max="12229" width="17.42578125" style="29" customWidth="1"/>
    <col min="12230" max="12230" width="11.5703125" style="29" bestFit="1" customWidth="1"/>
    <col min="12231" max="12231" width="16.140625" style="29" customWidth="1"/>
    <col min="12232" max="12232" width="9.140625" style="29"/>
    <col min="12233" max="12233" width="14.140625" style="29" bestFit="1" customWidth="1"/>
    <col min="12234" max="12478" width="9.140625" style="29"/>
    <col min="12479" max="12479" width="24.5703125" style="29" customWidth="1"/>
    <col min="12480" max="12480" width="59.5703125" style="29" customWidth="1"/>
    <col min="12481" max="12481" width="23.140625" style="29" customWidth="1"/>
    <col min="12482" max="12482" width="14.85546875" style="29" bestFit="1" customWidth="1"/>
    <col min="12483" max="12484" width="20.42578125" style="29" customWidth="1"/>
    <col min="12485" max="12485" width="17.42578125" style="29" customWidth="1"/>
    <col min="12486" max="12486" width="11.5703125" style="29" bestFit="1" customWidth="1"/>
    <col min="12487" max="12487" width="16.140625" style="29" customWidth="1"/>
    <col min="12488" max="12488" width="9.140625" style="29"/>
    <col min="12489" max="12489" width="14.140625" style="29" bestFit="1" customWidth="1"/>
    <col min="12490" max="12734" width="9.140625" style="29"/>
    <col min="12735" max="12735" width="24.5703125" style="29" customWidth="1"/>
    <col min="12736" max="12736" width="59.5703125" style="29" customWidth="1"/>
    <col min="12737" max="12737" width="23.140625" style="29" customWidth="1"/>
    <col min="12738" max="12738" width="14.85546875" style="29" bestFit="1" customWidth="1"/>
    <col min="12739" max="12740" width="20.42578125" style="29" customWidth="1"/>
    <col min="12741" max="12741" width="17.42578125" style="29" customWidth="1"/>
    <col min="12742" max="12742" width="11.5703125" style="29" bestFit="1" customWidth="1"/>
    <col min="12743" max="12743" width="16.140625" style="29" customWidth="1"/>
    <col min="12744" max="12744" width="9.140625" style="29"/>
    <col min="12745" max="12745" width="14.140625" style="29" bestFit="1" customWidth="1"/>
    <col min="12746" max="12990" width="9.140625" style="29"/>
    <col min="12991" max="12991" width="24.5703125" style="29" customWidth="1"/>
    <col min="12992" max="12992" width="59.5703125" style="29" customWidth="1"/>
    <col min="12993" max="12993" width="23.140625" style="29" customWidth="1"/>
    <col min="12994" max="12994" width="14.85546875" style="29" bestFit="1" customWidth="1"/>
    <col min="12995" max="12996" width="20.42578125" style="29" customWidth="1"/>
    <col min="12997" max="12997" width="17.42578125" style="29" customWidth="1"/>
    <col min="12998" max="12998" width="11.5703125" style="29" bestFit="1" customWidth="1"/>
    <col min="12999" max="12999" width="16.140625" style="29" customWidth="1"/>
    <col min="13000" max="13000" width="9.140625" style="29"/>
    <col min="13001" max="13001" width="14.140625" style="29" bestFit="1" customWidth="1"/>
    <col min="13002" max="13246" width="9.140625" style="29"/>
    <col min="13247" max="13247" width="24.5703125" style="29" customWidth="1"/>
    <col min="13248" max="13248" width="59.5703125" style="29" customWidth="1"/>
    <col min="13249" max="13249" width="23.140625" style="29" customWidth="1"/>
    <col min="13250" max="13250" width="14.85546875" style="29" bestFit="1" customWidth="1"/>
    <col min="13251" max="13252" width="20.42578125" style="29" customWidth="1"/>
    <col min="13253" max="13253" width="17.42578125" style="29" customWidth="1"/>
    <col min="13254" max="13254" width="11.5703125" style="29" bestFit="1" customWidth="1"/>
    <col min="13255" max="13255" width="16.140625" style="29" customWidth="1"/>
    <col min="13256" max="13256" width="9.140625" style="29"/>
    <col min="13257" max="13257" width="14.140625" style="29" bestFit="1" customWidth="1"/>
    <col min="13258" max="13502" width="9.140625" style="29"/>
    <col min="13503" max="13503" width="24.5703125" style="29" customWidth="1"/>
    <col min="13504" max="13504" width="59.5703125" style="29" customWidth="1"/>
    <col min="13505" max="13505" width="23.140625" style="29" customWidth="1"/>
    <col min="13506" max="13506" width="14.85546875" style="29" bestFit="1" customWidth="1"/>
    <col min="13507" max="13508" width="20.42578125" style="29" customWidth="1"/>
    <col min="13509" max="13509" width="17.42578125" style="29" customWidth="1"/>
    <col min="13510" max="13510" width="11.5703125" style="29" bestFit="1" customWidth="1"/>
    <col min="13511" max="13511" width="16.140625" style="29" customWidth="1"/>
    <col min="13512" max="13512" width="9.140625" style="29"/>
    <col min="13513" max="13513" width="14.140625" style="29" bestFit="1" customWidth="1"/>
    <col min="13514" max="13758" width="9.140625" style="29"/>
    <col min="13759" max="13759" width="24.5703125" style="29" customWidth="1"/>
    <col min="13760" max="13760" width="59.5703125" style="29" customWidth="1"/>
    <col min="13761" max="13761" width="23.140625" style="29" customWidth="1"/>
    <col min="13762" max="13762" width="14.85546875" style="29" bestFit="1" customWidth="1"/>
    <col min="13763" max="13764" width="20.42578125" style="29" customWidth="1"/>
    <col min="13765" max="13765" width="17.42578125" style="29" customWidth="1"/>
    <col min="13766" max="13766" width="11.5703125" style="29" bestFit="1" customWidth="1"/>
    <col min="13767" max="13767" width="16.140625" style="29" customWidth="1"/>
    <col min="13768" max="13768" width="9.140625" style="29"/>
    <col min="13769" max="13769" width="14.140625" style="29" bestFit="1" customWidth="1"/>
    <col min="13770" max="14014" width="9.140625" style="29"/>
    <col min="14015" max="14015" width="24.5703125" style="29" customWidth="1"/>
    <col min="14016" max="14016" width="59.5703125" style="29" customWidth="1"/>
    <col min="14017" max="14017" width="23.140625" style="29" customWidth="1"/>
    <col min="14018" max="14018" width="14.85546875" style="29" bestFit="1" customWidth="1"/>
    <col min="14019" max="14020" width="20.42578125" style="29" customWidth="1"/>
    <col min="14021" max="14021" width="17.42578125" style="29" customWidth="1"/>
    <col min="14022" max="14022" width="11.5703125" style="29" bestFit="1" customWidth="1"/>
    <col min="14023" max="14023" width="16.140625" style="29" customWidth="1"/>
    <col min="14024" max="14024" width="9.140625" style="29"/>
    <col min="14025" max="14025" width="14.140625" style="29" bestFit="1" customWidth="1"/>
    <col min="14026" max="14270" width="9.140625" style="29"/>
    <col min="14271" max="14271" width="24.5703125" style="29" customWidth="1"/>
    <col min="14272" max="14272" width="59.5703125" style="29" customWidth="1"/>
    <col min="14273" max="14273" width="23.140625" style="29" customWidth="1"/>
    <col min="14274" max="14274" width="14.85546875" style="29" bestFit="1" customWidth="1"/>
    <col min="14275" max="14276" width="20.42578125" style="29" customWidth="1"/>
    <col min="14277" max="14277" width="17.42578125" style="29" customWidth="1"/>
    <col min="14278" max="14278" width="11.5703125" style="29" bestFit="1" customWidth="1"/>
    <col min="14279" max="14279" width="16.140625" style="29" customWidth="1"/>
    <col min="14280" max="14280" width="9.140625" style="29"/>
    <col min="14281" max="14281" width="14.140625" style="29" bestFit="1" customWidth="1"/>
    <col min="14282" max="14526" width="9.140625" style="29"/>
    <col min="14527" max="14527" width="24.5703125" style="29" customWidth="1"/>
    <col min="14528" max="14528" width="59.5703125" style="29" customWidth="1"/>
    <col min="14529" max="14529" width="23.140625" style="29" customWidth="1"/>
    <col min="14530" max="14530" width="14.85546875" style="29" bestFit="1" customWidth="1"/>
    <col min="14531" max="14532" width="20.42578125" style="29" customWidth="1"/>
    <col min="14533" max="14533" width="17.42578125" style="29" customWidth="1"/>
    <col min="14534" max="14534" width="11.5703125" style="29" bestFit="1" customWidth="1"/>
    <col min="14535" max="14535" width="16.140625" style="29" customWidth="1"/>
    <col min="14536" max="14536" width="9.140625" style="29"/>
    <col min="14537" max="14537" width="14.140625" style="29" bestFit="1" customWidth="1"/>
    <col min="14538" max="14782" width="9.140625" style="29"/>
    <col min="14783" max="14783" width="24.5703125" style="29" customWidth="1"/>
    <col min="14784" max="14784" width="59.5703125" style="29" customWidth="1"/>
    <col min="14785" max="14785" width="23.140625" style="29" customWidth="1"/>
    <col min="14786" max="14786" width="14.85546875" style="29" bestFit="1" customWidth="1"/>
    <col min="14787" max="14788" width="20.42578125" style="29" customWidth="1"/>
    <col min="14789" max="14789" width="17.42578125" style="29" customWidth="1"/>
    <col min="14790" max="14790" width="11.5703125" style="29" bestFit="1" customWidth="1"/>
    <col min="14791" max="14791" width="16.140625" style="29" customWidth="1"/>
    <col min="14792" max="14792" width="9.140625" style="29"/>
    <col min="14793" max="14793" width="14.140625" style="29" bestFit="1" customWidth="1"/>
    <col min="14794" max="15038" width="9.140625" style="29"/>
    <col min="15039" max="15039" width="24.5703125" style="29" customWidth="1"/>
    <col min="15040" max="15040" width="59.5703125" style="29" customWidth="1"/>
    <col min="15041" max="15041" width="23.140625" style="29" customWidth="1"/>
    <col min="15042" max="15042" width="14.85546875" style="29" bestFit="1" customWidth="1"/>
    <col min="15043" max="15044" width="20.42578125" style="29" customWidth="1"/>
    <col min="15045" max="15045" width="17.42578125" style="29" customWidth="1"/>
    <col min="15046" max="15046" width="11.5703125" style="29" bestFit="1" customWidth="1"/>
    <col min="15047" max="15047" width="16.140625" style="29" customWidth="1"/>
    <col min="15048" max="15048" width="9.140625" style="29"/>
    <col min="15049" max="15049" width="14.140625" style="29" bestFit="1" customWidth="1"/>
    <col min="15050" max="15294" width="9.140625" style="29"/>
    <col min="15295" max="15295" width="24.5703125" style="29" customWidth="1"/>
    <col min="15296" max="15296" width="59.5703125" style="29" customWidth="1"/>
    <col min="15297" max="15297" width="23.140625" style="29" customWidth="1"/>
    <col min="15298" max="15298" width="14.85546875" style="29" bestFit="1" customWidth="1"/>
    <col min="15299" max="15300" width="20.42578125" style="29" customWidth="1"/>
    <col min="15301" max="15301" width="17.42578125" style="29" customWidth="1"/>
    <col min="15302" max="15302" width="11.5703125" style="29" bestFit="1" customWidth="1"/>
    <col min="15303" max="15303" width="16.140625" style="29" customWidth="1"/>
    <col min="15304" max="15304" width="9.140625" style="29"/>
    <col min="15305" max="15305" width="14.140625" style="29" bestFit="1" customWidth="1"/>
    <col min="15306" max="15550" width="9.140625" style="29"/>
    <col min="15551" max="15551" width="24.5703125" style="29" customWidth="1"/>
    <col min="15552" max="15552" width="59.5703125" style="29" customWidth="1"/>
    <col min="15553" max="15553" width="23.140625" style="29" customWidth="1"/>
    <col min="15554" max="15554" width="14.85546875" style="29" bestFit="1" customWidth="1"/>
    <col min="15555" max="15556" width="20.42578125" style="29" customWidth="1"/>
    <col min="15557" max="15557" width="17.42578125" style="29" customWidth="1"/>
    <col min="15558" max="15558" width="11.5703125" style="29" bestFit="1" customWidth="1"/>
    <col min="15559" max="15559" width="16.140625" style="29" customWidth="1"/>
    <col min="15560" max="15560" width="9.140625" style="29"/>
    <col min="15561" max="15561" width="14.140625" style="29" bestFit="1" customWidth="1"/>
    <col min="15562" max="15806" width="9.140625" style="29"/>
    <col min="15807" max="15807" width="24.5703125" style="29" customWidth="1"/>
    <col min="15808" max="15808" width="59.5703125" style="29" customWidth="1"/>
    <col min="15809" max="15809" width="23.140625" style="29" customWidth="1"/>
    <col min="15810" max="15810" width="14.85546875" style="29" bestFit="1" customWidth="1"/>
    <col min="15811" max="15812" width="20.42578125" style="29" customWidth="1"/>
    <col min="15813" max="15813" width="17.42578125" style="29" customWidth="1"/>
    <col min="15814" max="15814" width="11.5703125" style="29" bestFit="1" customWidth="1"/>
    <col min="15815" max="15815" width="16.140625" style="29" customWidth="1"/>
    <col min="15816" max="15816" width="9.140625" style="29"/>
    <col min="15817" max="15817" width="14.140625" style="29" bestFit="1" customWidth="1"/>
    <col min="15818" max="16062" width="9.140625" style="29"/>
    <col min="16063" max="16063" width="24.5703125" style="29" customWidth="1"/>
    <col min="16064" max="16064" width="59.5703125" style="29" customWidth="1"/>
    <col min="16065" max="16065" width="23.140625" style="29" customWidth="1"/>
    <col min="16066" max="16066" width="14.85546875" style="29" bestFit="1" customWidth="1"/>
    <col min="16067" max="16068" width="20.42578125" style="29" customWidth="1"/>
    <col min="16069" max="16069" width="17.42578125" style="29" customWidth="1"/>
    <col min="16070" max="16070" width="11.5703125" style="29" bestFit="1" customWidth="1"/>
    <col min="16071" max="16071" width="16.140625" style="29" customWidth="1"/>
    <col min="16072" max="16072" width="9.140625" style="29"/>
    <col min="16073" max="16073" width="14.140625" style="29" bestFit="1" customWidth="1"/>
    <col min="16074" max="16384" width="9.140625" style="29"/>
  </cols>
  <sheetData>
    <row r="1" spans="1:15">
      <c r="A1" s="85" t="s">
        <v>1382</v>
      </c>
      <c r="B1" s="86"/>
      <c r="C1" s="87"/>
      <c r="D1" s="1" t="s">
        <v>1</v>
      </c>
      <c r="E1" s="2">
        <v>1</v>
      </c>
      <c r="F1" s="2">
        <v>2</v>
      </c>
      <c r="G1" s="2">
        <v>3</v>
      </c>
      <c r="H1" s="2">
        <v>4</v>
      </c>
      <c r="I1" s="2">
        <v>5</v>
      </c>
    </row>
    <row r="2" spans="1:15">
      <c r="A2" s="88"/>
      <c r="B2" s="89"/>
      <c r="C2" s="90"/>
      <c r="D2" s="1" t="s">
        <v>2</v>
      </c>
      <c r="E2" s="5" t="s">
        <v>1383</v>
      </c>
      <c r="F2" s="5" t="s">
        <v>1384</v>
      </c>
      <c r="G2" s="5" t="s">
        <v>1385</v>
      </c>
      <c r="H2" s="5" t="s">
        <v>1386</v>
      </c>
      <c r="I2" s="5" t="s">
        <v>1387</v>
      </c>
      <c r="N2" s="35"/>
      <c r="O2" s="35"/>
    </row>
    <row r="3" spans="1:15">
      <c r="A3" s="88"/>
      <c r="B3" s="89"/>
      <c r="C3" s="90"/>
      <c r="D3" s="1" t="s">
        <v>11</v>
      </c>
      <c r="E3" s="6" t="s">
        <v>1388</v>
      </c>
      <c r="F3" s="6" t="s">
        <v>1388</v>
      </c>
      <c r="G3" s="6" t="s">
        <v>1388</v>
      </c>
      <c r="H3" s="6" t="s">
        <v>1389</v>
      </c>
      <c r="I3" s="6" t="s">
        <v>1390</v>
      </c>
    </row>
    <row r="4" spans="1:15">
      <c r="A4" s="88"/>
      <c r="B4" s="89"/>
      <c r="C4" s="90"/>
      <c r="D4" s="1" t="s">
        <v>14</v>
      </c>
      <c r="E4" s="6" t="s">
        <v>1391</v>
      </c>
      <c r="F4" s="6" t="s">
        <v>1392</v>
      </c>
      <c r="G4" s="6" t="s">
        <v>1393</v>
      </c>
      <c r="H4" s="6" t="s">
        <v>1394</v>
      </c>
      <c r="I4" s="6" t="s">
        <v>1395</v>
      </c>
    </row>
    <row r="5" spans="1:15" ht="32.1">
      <c r="A5" s="88"/>
      <c r="B5" s="89"/>
      <c r="C5" s="90"/>
      <c r="D5" s="1" t="s">
        <v>122</v>
      </c>
      <c r="E5" s="7" t="s">
        <v>1396</v>
      </c>
      <c r="F5" s="7" t="s">
        <v>130</v>
      </c>
      <c r="G5" s="7" t="s">
        <v>125</v>
      </c>
      <c r="H5" s="7" t="s">
        <v>123</v>
      </c>
      <c r="I5" s="7" t="s">
        <v>123</v>
      </c>
    </row>
    <row r="6" spans="1:15" ht="32.1">
      <c r="A6" s="88"/>
      <c r="B6" s="89"/>
      <c r="C6" s="90"/>
      <c r="D6" s="1" t="s">
        <v>134</v>
      </c>
      <c r="E6" s="9" t="s">
        <v>673</v>
      </c>
      <c r="F6" s="9" t="s">
        <v>673</v>
      </c>
      <c r="G6" s="9" t="s">
        <v>673</v>
      </c>
      <c r="H6" s="9" t="s">
        <v>673</v>
      </c>
      <c r="I6" s="9" t="s">
        <v>673</v>
      </c>
    </row>
    <row r="7" spans="1:15" ht="32.1">
      <c r="A7" s="91"/>
      <c r="B7" s="92"/>
      <c r="C7" s="93"/>
      <c r="D7" s="1" t="s">
        <v>147</v>
      </c>
      <c r="E7" s="9" t="s">
        <v>1074</v>
      </c>
      <c r="F7" s="9" t="s">
        <v>1397</v>
      </c>
      <c r="G7" s="9" t="s">
        <v>1397</v>
      </c>
      <c r="H7" s="9" t="s">
        <v>1074</v>
      </c>
      <c r="I7" s="9" t="s">
        <v>1074</v>
      </c>
      <c r="M7" s="58"/>
    </row>
    <row r="8" spans="1:15">
      <c r="A8" s="10" t="s">
        <v>151</v>
      </c>
      <c r="B8" s="11" t="s">
        <v>152</v>
      </c>
      <c r="C8" s="11" t="s">
        <v>153</v>
      </c>
      <c r="D8" s="12" t="s">
        <v>154</v>
      </c>
      <c r="E8" s="13"/>
      <c r="F8" s="13"/>
      <c r="G8" s="13"/>
      <c r="H8" s="13"/>
      <c r="I8" s="13"/>
    </row>
    <row r="9" spans="1:15" s="42" customFormat="1">
      <c r="A9" s="14" t="s">
        <v>155</v>
      </c>
      <c r="B9" s="15"/>
      <c r="C9" s="15"/>
      <c r="D9" s="16"/>
      <c r="E9" s="17"/>
      <c r="F9" s="17"/>
      <c r="G9" s="17"/>
      <c r="H9" s="17"/>
      <c r="I9" s="17"/>
      <c r="J9" s="51"/>
      <c r="K9" s="69"/>
      <c r="L9" s="76"/>
      <c r="M9"/>
      <c r="N9" s="33"/>
      <c r="O9" s="33"/>
    </row>
    <row r="10" spans="1:15">
      <c r="A10" s="19" t="s">
        <v>156</v>
      </c>
      <c r="B10" s="19" t="s">
        <v>157</v>
      </c>
      <c r="C10" s="19" t="s">
        <v>158</v>
      </c>
      <c r="D10" s="20">
        <f>SUM(E10:I10)</f>
        <v>2</v>
      </c>
      <c r="E10" s="21">
        <v>0</v>
      </c>
      <c r="F10" s="21">
        <v>0</v>
      </c>
      <c r="G10" s="21">
        <v>1</v>
      </c>
      <c r="H10" s="21">
        <v>1</v>
      </c>
      <c r="I10" s="21">
        <v>0</v>
      </c>
      <c r="J10" s="67"/>
      <c r="N10" s="80"/>
      <c r="O10"/>
    </row>
    <row r="11" spans="1:15">
      <c r="A11" s="19" t="s">
        <v>156</v>
      </c>
      <c r="B11" s="19" t="s">
        <v>159</v>
      </c>
      <c r="C11" s="19" t="s">
        <v>158</v>
      </c>
      <c r="D11" s="20">
        <f t="shared" ref="D11:D77" si="0">SUM(E11:I11)</f>
        <v>9</v>
      </c>
      <c r="E11" s="21">
        <v>0</v>
      </c>
      <c r="F11" s="21">
        <v>0</v>
      </c>
      <c r="G11" s="21">
        <v>3</v>
      </c>
      <c r="H11" s="21">
        <v>0</v>
      </c>
      <c r="I11" s="21">
        <v>6</v>
      </c>
      <c r="J11" s="67"/>
      <c r="N11" s="81"/>
      <c r="O11"/>
    </row>
    <row r="12" spans="1:15">
      <c r="A12" s="19" t="s">
        <v>156</v>
      </c>
      <c r="B12" s="19" t="s">
        <v>160</v>
      </c>
      <c r="C12" s="19" t="s">
        <v>158</v>
      </c>
      <c r="D12" s="20">
        <f t="shared" si="0"/>
        <v>1</v>
      </c>
      <c r="E12" s="21">
        <v>0</v>
      </c>
      <c r="F12" s="21">
        <v>0</v>
      </c>
      <c r="G12" s="21">
        <v>1</v>
      </c>
      <c r="H12" s="21">
        <v>0</v>
      </c>
      <c r="I12" s="21">
        <v>0</v>
      </c>
      <c r="J12" s="67"/>
      <c r="N12" s="81"/>
      <c r="O12"/>
    </row>
    <row r="13" spans="1:15">
      <c r="A13" s="19" t="s">
        <v>156</v>
      </c>
      <c r="B13" s="19" t="s">
        <v>161</v>
      </c>
      <c r="C13" s="19" t="s">
        <v>158</v>
      </c>
      <c r="D13" s="20">
        <f t="shared" si="0"/>
        <v>3</v>
      </c>
      <c r="E13" s="21">
        <v>3</v>
      </c>
      <c r="F13" s="21">
        <v>0</v>
      </c>
      <c r="G13" s="21">
        <v>0</v>
      </c>
      <c r="H13" s="21">
        <v>0</v>
      </c>
      <c r="I13" s="21">
        <v>0</v>
      </c>
      <c r="J13" s="67"/>
      <c r="N13" s="81"/>
      <c r="O13"/>
    </row>
    <row r="14" spans="1:15">
      <c r="A14" s="19" t="s">
        <v>162</v>
      </c>
      <c r="B14" s="19" t="s">
        <v>163</v>
      </c>
      <c r="C14" s="19" t="s">
        <v>164</v>
      </c>
      <c r="D14" s="20">
        <f t="shared" si="0"/>
        <v>76.8</v>
      </c>
      <c r="E14" s="22">
        <v>0</v>
      </c>
      <c r="F14" s="22">
        <v>0</v>
      </c>
      <c r="G14" s="22">
        <v>76.8</v>
      </c>
      <c r="H14" s="22">
        <v>0</v>
      </c>
      <c r="I14" s="22">
        <v>0</v>
      </c>
      <c r="J14" s="67"/>
      <c r="N14" s="81"/>
      <c r="O14"/>
    </row>
    <row r="15" spans="1:15">
      <c r="A15" s="19" t="s">
        <v>165</v>
      </c>
      <c r="B15" s="19" t="s">
        <v>166</v>
      </c>
      <c r="C15" s="19" t="s">
        <v>167</v>
      </c>
      <c r="D15" s="20">
        <f t="shared" si="0"/>
        <v>5</v>
      </c>
      <c r="E15" s="21">
        <v>2</v>
      </c>
      <c r="F15" s="21">
        <v>0</v>
      </c>
      <c r="G15" s="21">
        <v>3</v>
      </c>
      <c r="H15" s="21">
        <v>0</v>
      </c>
      <c r="I15" s="21">
        <v>0</v>
      </c>
      <c r="J15" s="67"/>
      <c r="N15" s="81"/>
      <c r="O15"/>
    </row>
    <row r="16" spans="1:15">
      <c r="A16" s="19" t="s">
        <v>168</v>
      </c>
      <c r="B16" s="19" t="s">
        <v>169</v>
      </c>
      <c r="C16" s="19" t="s">
        <v>170</v>
      </c>
      <c r="D16" s="20">
        <f t="shared" si="0"/>
        <v>11</v>
      </c>
      <c r="E16" s="21">
        <v>8</v>
      </c>
      <c r="F16" s="21">
        <v>2</v>
      </c>
      <c r="G16" s="21">
        <v>0</v>
      </c>
      <c r="H16" s="21">
        <v>1</v>
      </c>
      <c r="I16" s="21">
        <v>0</v>
      </c>
      <c r="J16" s="67"/>
      <c r="N16" s="81"/>
      <c r="O16"/>
    </row>
    <row r="17" spans="1:15">
      <c r="A17" s="19" t="s">
        <v>168</v>
      </c>
      <c r="B17" s="19" t="s">
        <v>171</v>
      </c>
      <c r="C17" s="19" t="s">
        <v>170</v>
      </c>
      <c r="D17" s="20">
        <f t="shared" si="0"/>
        <v>25</v>
      </c>
      <c r="E17" s="21">
        <v>12</v>
      </c>
      <c r="F17" s="21">
        <v>3</v>
      </c>
      <c r="G17" s="21">
        <v>0</v>
      </c>
      <c r="H17" s="21">
        <v>10</v>
      </c>
      <c r="I17" s="21">
        <v>0</v>
      </c>
      <c r="J17" s="67"/>
      <c r="N17" s="81"/>
      <c r="O17"/>
    </row>
    <row r="18" spans="1:15">
      <c r="A18" s="19" t="s">
        <v>168</v>
      </c>
      <c r="B18" s="19" t="s">
        <v>172</v>
      </c>
      <c r="C18" s="19" t="s">
        <v>170</v>
      </c>
      <c r="D18" s="20">
        <f t="shared" si="0"/>
        <v>8</v>
      </c>
      <c r="E18" s="21">
        <v>8</v>
      </c>
      <c r="F18" s="21">
        <v>0</v>
      </c>
      <c r="G18" s="21">
        <v>0</v>
      </c>
      <c r="H18" s="21">
        <v>0</v>
      </c>
      <c r="I18" s="21">
        <v>0</v>
      </c>
      <c r="J18" s="67"/>
      <c r="N18" s="81"/>
      <c r="O18"/>
    </row>
    <row r="19" spans="1:15">
      <c r="A19" s="19" t="s">
        <v>173</v>
      </c>
      <c r="B19" s="19" t="s">
        <v>174</v>
      </c>
      <c r="C19" s="19" t="s">
        <v>175</v>
      </c>
      <c r="D19" s="20">
        <f t="shared" si="0"/>
        <v>3</v>
      </c>
      <c r="E19" s="21">
        <v>3</v>
      </c>
      <c r="F19" s="21">
        <v>0</v>
      </c>
      <c r="G19" s="21">
        <v>0</v>
      </c>
      <c r="H19" s="21">
        <v>0</v>
      </c>
      <c r="I19" s="21">
        <v>0</v>
      </c>
      <c r="J19" s="67"/>
      <c r="N19" s="81"/>
      <c r="O19"/>
    </row>
    <row r="20" spans="1:15">
      <c r="A20" s="19" t="s">
        <v>176</v>
      </c>
      <c r="B20" s="19" t="s">
        <v>177</v>
      </c>
      <c r="C20" s="19" t="s">
        <v>178</v>
      </c>
      <c r="D20" s="20">
        <f t="shared" si="0"/>
        <v>24</v>
      </c>
      <c r="E20" s="22">
        <v>10</v>
      </c>
      <c r="F20" s="22">
        <v>9</v>
      </c>
      <c r="G20" s="22">
        <v>2</v>
      </c>
      <c r="H20" s="22">
        <v>3</v>
      </c>
      <c r="I20" s="22">
        <v>0</v>
      </c>
      <c r="J20" s="67"/>
      <c r="N20" s="81"/>
      <c r="O20"/>
    </row>
    <row r="21" spans="1:15">
      <c r="A21" s="19" t="s">
        <v>179</v>
      </c>
      <c r="B21" s="19" t="s">
        <v>180</v>
      </c>
      <c r="C21" s="19" t="s">
        <v>181</v>
      </c>
      <c r="D21" s="20">
        <f t="shared" si="0"/>
        <v>0</v>
      </c>
      <c r="E21" s="22">
        <v>0</v>
      </c>
      <c r="F21" s="22">
        <v>0</v>
      </c>
      <c r="G21" s="22">
        <v>0</v>
      </c>
      <c r="H21" s="22">
        <v>0</v>
      </c>
      <c r="I21" s="22">
        <v>0</v>
      </c>
      <c r="J21" s="67"/>
      <c r="N21" s="81"/>
      <c r="O21"/>
    </row>
    <row r="22" spans="1:15">
      <c r="A22" s="19" t="s">
        <v>182</v>
      </c>
      <c r="B22" s="19" t="s">
        <v>183</v>
      </c>
      <c r="C22" s="19" t="s">
        <v>181</v>
      </c>
      <c r="D22" s="20">
        <f t="shared" si="0"/>
        <v>0</v>
      </c>
      <c r="E22" s="22">
        <v>0</v>
      </c>
      <c r="F22" s="22">
        <v>0</v>
      </c>
      <c r="G22" s="22">
        <v>0</v>
      </c>
      <c r="H22" s="22">
        <v>0</v>
      </c>
      <c r="I22" s="22">
        <v>0</v>
      </c>
      <c r="J22" s="68"/>
      <c r="N22" s="81"/>
      <c r="O22"/>
    </row>
    <row r="23" spans="1:15">
      <c r="A23" s="19" t="s">
        <v>182</v>
      </c>
      <c r="B23" s="19" t="s">
        <v>184</v>
      </c>
      <c r="C23" s="19" t="s">
        <v>181</v>
      </c>
      <c r="D23" s="20">
        <f t="shared" si="0"/>
        <v>0</v>
      </c>
      <c r="E23" s="22">
        <v>0</v>
      </c>
      <c r="F23" s="22">
        <v>0</v>
      </c>
      <c r="G23" s="22">
        <v>0</v>
      </c>
      <c r="H23" s="22">
        <v>0</v>
      </c>
      <c r="I23" s="22">
        <v>0</v>
      </c>
      <c r="J23" s="67"/>
      <c r="N23" s="81"/>
      <c r="O23"/>
    </row>
    <row r="24" spans="1:15">
      <c r="A24" s="19" t="s">
        <v>185</v>
      </c>
      <c r="B24" s="19" t="s">
        <v>186</v>
      </c>
      <c r="C24" s="19" t="s">
        <v>187</v>
      </c>
      <c r="D24" s="20">
        <f t="shared" si="0"/>
        <v>43</v>
      </c>
      <c r="E24" s="21">
        <v>13</v>
      </c>
      <c r="F24" s="21">
        <v>7</v>
      </c>
      <c r="G24" s="21">
        <v>7</v>
      </c>
      <c r="H24" s="21">
        <v>13</v>
      </c>
      <c r="I24" s="21">
        <v>3</v>
      </c>
      <c r="J24" s="67"/>
      <c r="N24" s="81"/>
      <c r="O24"/>
    </row>
    <row r="25" spans="1:15">
      <c r="A25" s="19" t="s">
        <v>185</v>
      </c>
      <c r="B25" s="19" t="s">
        <v>188</v>
      </c>
      <c r="C25" s="19" t="s">
        <v>187</v>
      </c>
      <c r="D25" s="20">
        <f t="shared" si="0"/>
        <v>15</v>
      </c>
      <c r="E25" s="21">
        <v>8</v>
      </c>
      <c r="F25" s="21">
        <v>3</v>
      </c>
      <c r="G25" s="21">
        <v>1</v>
      </c>
      <c r="H25" s="21">
        <v>3</v>
      </c>
      <c r="I25" s="21">
        <v>0</v>
      </c>
      <c r="J25" s="67"/>
      <c r="N25" s="81"/>
      <c r="O25"/>
    </row>
    <row r="26" spans="1:15">
      <c r="A26" s="19" t="s">
        <v>185</v>
      </c>
      <c r="B26" s="19" t="s">
        <v>189</v>
      </c>
      <c r="C26" s="19" t="s">
        <v>187</v>
      </c>
      <c r="D26" s="20">
        <f t="shared" si="0"/>
        <v>3</v>
      </c>
      <c r="E26" s="21">
        <v>0</v>
      </c>
      <c r="F26" s="21">
        <v>3</v>
      </c>
      <c r="G26" s="21">
        <v>0</v>
      </c>
      <c r="H26" s="21">
        <v>0</v>
      </c>
      <c r="I26" s="21">
        <v>0</v>
      </c>
      <c r="J26" s="67"/>
      <c r="N26" s="81"/>
      <c r="O26"/>
    </row>
    <row r="27" spans="1:15">
      <c r="A27" s="19" t="s">
        <v>185</v>
      </c>
      <c r="B27" s="19" t="s">
        <v>190</v>
      </c>
      <c r="C27" s="19" t="s">
        <v>187</v>
      </c>
      <c r="D27" s="20">
        <f t="shared" si="0"/>
        <v>2</v>
      </c>
      <c r="E27" s="21">
        <v>2</v>
      </c>
      <c r="F27" s="21">
        <v>0</v>
      </c>
      <c r="G27" s="21">
        <v>0</v>
      </c>
      <c r="H27" s="21">
        <v>0</v>
      </c>
      <c r="I27" s="21">
        <v>0</v>
      </c>
      <c r="J27" s="67"/>
      <c r="N27" s="81"/>
      <c r="O27"/>
    </row>
    <row r="28" spans="1:15">
      <c r="A28" s="19" t="s">
        <v>191</v>
      </c>
      <c r="B28" s="19" t="s">
        <v>192</v>
      </c>
      <c r="C28" s="19" t="s">
        <v>193</v>
      </c>
      <c r="D28" s="20">
        <f t="shared" si="0"/>
        <v>0</v>
      </c>
      <c r="E28" s="21">
        <v>0</v>
      </c>
      <c r="F28" s="21">
        <v>0</v>
      </c>
      <c r="G28" s="21">
        <v>0</v>
      </c>
      <c r="H28" s="21">
        <v>0</v>
      </c>
      <c r="I28" s="21">
        <v>0</v>
      </c>
      <c r="J28" s="67"/>
      <c r="N28" s="81"/>
      <c r="O28"/>
    </row>
    <row r="29" spans="1:15" ht="32.1">
      <c r="A29" s="19" t="s">
        <v>194</v>
      </c>
      <c r="B29" s="19" t="s">
        <v>195</v>
      </c>
      <c r="C29" s="19" t="s">
        <v>196</v>
      </c>
      <c r="D29" s="20">
        <f t="shared" si="0"/>
        <v>72452.319999999992</v>
      </c>
      <c r="E29" s="21">
        <v>29580.82845506155</v>
      </c>
      <c r="F29" s="21">
        <v>13506.733156279673</v>
      </c>
      <c r="G29" s="21">
        <v>6055.8884158284136</v>
      </c>
      <c r="H29" s="21">
        <v>22318.248814764869</v>
      </c>
      <c r="I29" s="21">
        <v>990.62115806549764</v>
      </c>
      <c r="J29" s="67"/>
      <c r="N29" s="81"/>
      <c r="O29"/>
    </row>
    <row r="30" spans="1:15">
      <c r="A30" s="19" t="s">
        <v>197</v>
      </c>
      <c r="B30" s="19" t="s">
        <v>198</v>
      </c>
      <c r="C30" s="19" t="s">
        <v>199</v>
      </c>
      <c r="D30" s="20">
        <f t="shared" si="0"/>
        <v>626</v>
      </c>
      <c r="E30" s="21">
        <v>231</v>
      </c>
      <c r="F30" s="21">
        <v>125</v>
      </c>
      <c r="G30" s="21">
        <v>32</v>
      </c>
      <c r="H30" s="21">
        <v>233</v>
      </c>
      <c r="I30" s="21">
        <v>5</v>
      </c>
      <c r="J30" s="67"/>
      <c r="N30" s="81"/>
      <c r="O30"/>
    </row>
    <row r="31" spans="1:15">
      <c r="A31" s="19" t="s">
        <v>200</v>
      </c>
      <c r="B31" s="19" t="s">
        <v>201</v>
      </c>
      <c r="C31" s="19" t="s">
        <v>202</v>
      </c>
      <c r="D31" s="20">
        <f t="shared" si="0"/>
        <v>6</v>
      </c>
      <c r="E31" s="21">
        <v>6</v>
      </c>
      <c r="F31" s="21">
        <v>0</v>
      </c>
      <c r="G31" s="21">
        <v>0</v>
      </c>
      <c r="H31" s="21">
        <v>0</v>
      </c>
      <c r="I31" s="21">
        <v>0</v>
      </c>
      <c r="J31" s="67"/>
      <c r="N31" s="81"/>
      <c r="O31"/>
    </row>
    <row r="32" spans="1:15">
      <c r="A32" s="19" t="s">
        <v>203</v>
      </c>
      <c r="B32" s="19" t="s">
        <v>204</v>
      </c>
      <c r="C32" s="19" t="s">
        <v>205</v>
      </c>
      <c r="D32" s="20">
        <f t="shared" si="0"/>
        <v>719</v>
      </c>
      <c r="E32" s="21">
        <v>321</v>
      </c>
      <c r="F32" s="21">
        <v>18</v>
      </c>
      <c r="G32" s="21">
        <v>82</v>
      </c>
      <c r="H32" s="21">
        <v>86</v>
      </c>
      <c r="I32" s="21">
        <v>212</v>
      </c>
      <c r="J32" s="67"/>
      <c r="N32" s="81"/>
      <c r="O32"/>
    </row>
    <row r="33" spans="1:15">
      <c r="A33" s="19" t="s">
        <v>206</v>
      </c>
      <c r="B33" s="19" t="s">
        <v>207</v>
      </c>
      <c r="C33" s="19" t="s">
        <v>208</v>
      </c>
      <c r="D33" s="20">
        <f t="shared" si="0"/>
        <v>69</v>
      </c>
      <c r="E33" s="21">
        <v>33</v>
      </c>
      <c r="F33" s="21">
        <v>15</v>
      </c>
      <c r="G33" s="21">
        <v>2</v>
      </c>
      <c r="H33" s="21">
        <v>19</v>
      </c>
      <c r="I33" s="21">
        <v>0</v>
      </c>
      <c r="J33" s="67"/>
      <c r="N33" s="81"/>
      <c r="O33"/>
    </row>
    <row r="34" spans="1:15">
      <c r="A34" s="19" t="s">
        <v>206</v>
      </c>
      <c r="B34" s="19" t="s">
        <v>209</v>
      </c>
      <c r="C34" s="19" t="s">
        <v>208</v>
      </c>
      <c r="D34" s="20">
        <f t="shared" si="0"/>
        <v>17</v>
      </c>
      <c r="E34" s="21">
        <v>15</v>
      </c>
      <c r="F34" s="21">
        <v>0</v>
      </c>
      <c r="G34" s="21">
        <v>2</v>
      </c>
      <c r="H34" s="21">
        <v>0</v>
      </c>
      <c r="I34" s="21">
        <v>0</v>
      </c>
      <c r="J34" s="67"/>
      <c r="N34" s="81"/>
      <c r="O34"/>
    </row>
    <row r="35" spans="1:15">
      <c r="A35" s="19" t="s">
        <v>210</v>
      </c>
      <c r="B35" s="19" t="s">
        <v>211</v>
      </c>
      <c r="C35" s="19" t="s">
        <v>212</v>
      </c>
      <c r="D35" s="20">
        <f t="shared" si="0"/>
        <v>1</v>
      </c>
      <c r="E35" s="21">
        <v>0</v>
      </c>
      <c r="F35" s="21">
        <v>1</v>
      </c>
      <c r="G35" s="21">
        <v>0</v>
      </c>
      <c r="H35" s="21">
        <v>0</v>
      </c>
      <c r="I35" s="21">
        <v>0</v>
      </c>
      <c r="J35" s="68"/>
      <c r="N35" s="81"/>
      <c r="O35"/>
    </row>
    <row r="36" spans="1:15" ht="32.1">
      <c r="A36" s="19" t="s">
        <v>213</v>
      </c>
      <c r="B36" s="19" t="s">
        <v>214</v>
      </c>
      <c r="C36" s="19" t="s">
        <v>215</v>
      </c>
      <c r="D36" s="20">
        <f t="shared" si="0"/>
        <v>48415.759999999987</v>
      </c>
      <c r="E36" s="22">
        <v>19767.183315612674</v>
      </c>
      <c r="F36" s="22">
        <v>9025.7806910597064</v>
      </c>
      <c r="G36" s="22">
        <v>4046.8054042648823</v>
      </c>
      <c r="H36" s="22">
        <v>14914.014875382047</v>
      </c>
      <c r="I36" s="22">
        <v>661.97571368068247</v>
      </c>
      <c r="J36" s="67"/>
      <c r="N36" s="81"/>
      <c r="O36"/>
    </row>
    <row r="37" spans="1:15" ht="32.1">
      <c r="A37" s="19" t="s">
        <v>216</v>
      </c>
      <c r="B37" s="19" t="s">
        <v>217</v>
      </c>
      <c r="C37" s="19" t="s">
        <v>218</v>
      </c>
      <c r="D37" s="20">
        <f t="shared" si="0"/>
        <v>0</v>
      </c>
      <c r="E37" s="22">
        <v>0</v>
      </c>
      <c r="F37" s="22">
        <v>0</v>
      </c>
      <c r="G37" s="22">
        <v>0</v>
      </c>
      <c r="H37" s="22">
        <v>0</v>
      </c>
      <c r="I37" s="22">
        <v>0</v>
      </c>
      <c r="J37" s="68"/>
      <c r="N37" s="81"/>
      <c r="O37"/>
    </row>
    <row r="38" spans="1:15" ht="48">
      <c r="A38" s="23" t="s">
        <v>216</v>
      </c>
      <c r="B38" s="19" t="s">
        <v>219</v>
      </c>
      <c r="C38" s="19" t="s">
        <v>218</v>
      </c>
      <c r="D38" s="20">
        <f t="shared" si="0"/>
        <v>0</v>
      </c>
      <c r="E38" s="22">
        <v>0</v>
      </c>
      <c r="F38" s="22">
        <v>0</v>
      </c>
      <c r="G38" s="22">
        <v>0</v>
      </c>
      <c r="H38" s="22">
        <v>0</v>
      </c>
      <c r="I38" s="22">
        <v>0</v>
      </c>
      <c r="J38" s="68"/>
      <c r="N38" s="81"/>
      <c r="O38"/>
    </row>
    <row r="39" spans="1:15" ht="48">
      <c r="A39" s="23" t="s">
        <v>216</v>
      </c>
      <c r="B39" s="19" t="s">
        <v>220</v>
      </c>
      <c r="C39" s="19" t="s">
        <v>218</v>
      </c>
      <c r="D39" s="20">
        <f t="shared" si="0"/>
        <v>0</v>
      </c>
      <c r="E39" s="22">
        <v>0</v>
      </c>
      <c r="F39" s="22">
        <v>0</v>
      </c>
      <c r="G39" s="22">
        <v>0</v>
      </c>
      <c r="H39" s="22">
        <v>0</v>
      </c>
      <c r="I39" s="22">
        <v>0</v>
      </c>
      <c r="J39" s="68"/>
      <c r="N39" s="81"/>
      <c r="O39"/>
    </row>
    <row r="40" spans="1:15" ht="32.1">
      <c r="A40" s="23"/>
      <c r="B40" s="19" t="s">
        <v>221</v>
      </c>
      <c r="C40" s="19" t="s">
        <v>222</v>
      </c>
      <c r="D40" s="20">
        <f t="shared" si="0"/>
        <v>1</v>
      </c>
      <c r="E40" s="22">
        <v>1</v>
      </c>
      <c r="F40" s="22">
        <v>0</v>
      </c>
      <c r="G40" s="22">
        <v>0</v>
      </c>
      <c r="H40" s="22">
        <v>0</v>
      </c>
      <c r="I40" s="22">
        <v>0</v>
      </c>
      <c r="J40" s="68"/>
      <c r="N40" s="81"/>
      <c r="O40"/>
    </row>
    <row r="41" spans="1:15">
      <c r="A41" s="23" t="s">
        <v>223</v>
      </c>
      <c r="B41" s="19" t="s">
        <v>224</v>
      </c>
      <c r="C41" s="19" t="s">
        <v>225</v>
      </c>
      <c r="D41" s="20">
        <f t="shared" si="0"/>
        <v>4</v>
      </c>
      <c r="E41" s="22">
        <v>4</v>
      </c>
      <c r="F41" s="22">
        <v>0</v>
      </c>
      <c r="G41" s="22">
        <v>0</v>
      </c>
      <c r="H41" s="22">
        <v>0</v>
      </c>
      <c r="I41" s="22">
        <v>0</v>
      </c>
      <c r="J41" s="68"/>
      <c r="N41" s="81"/>
      <c r="O41"/>
    </row>
    <row r="42" spans="1:15" ht="32.1">
      <c r="A42" s="23"/>
      <c r="B42" s="19" t="s">
        <v>226</v>
      </c>
      <c r="C42" s="27" t="s">
        <v>227</v>
      </c>
      <c r="D42" s="20">
        <v>2</v>
      </c>
      <c r="E42" s="103">
        <v>2</v>
      </c>
      <c r="F42" s="104"/>
      <c r="G42" s="104"/>
      <c r="H42" s="104"/>
      <c r="I42" s="105"/>
      <c r="J42" s="68"/>
      <c r="N42" s="81"/>
      <c r="O42"/>
    </row>
    <row r="43" spans="1:15">
      <c r="A43" s="23" t="s">
        <v>228</v>
      </c>
      <c r="B43" s="19" t="s">
        <v>229</v>
      </c>
      <c r="C43" s="19" t="s">
        <v>230</v>
      </c>
      <c r="D43" s="20">
        <f t="shared" si="0"/>
        <v>0</v>
      </c>
      <c r="E43" s="22">
        <v>0</v>
      </c>
      <c r="F43" s="22">
        <v>0</v>
      </c>
      <c r="G43" s="22">
        <v>0</v>
      </c>
      <c r="H43" s="22">
        <v>0</v>
      </c>
      <c r="I43" s="22">
        <v>0</v>
      </c>
      <c r="J43" s="67"/>
      <c r="N43" s="81"/>
      <c r="O43"/>
    </row>
    <row r="44" spans="1:15">
      <c r="A44" s="24" t="s">
        <v>231</v>
      </c>
      <c r="B44" s="25"/>
      <c r="C44" s="25"/>
      <c r="D44" s="16"/>
      <c r="E44" s="16"/>
      <c r="F44" s="16"/>
      <c r="G44" s="16"/>
      <c r="H44" s="16"/>
      <c r="I44" s="16"/>
      <c r="J44" s="67"/>
      <c r="N44" s="81"/>
      <c r="O44"/>
    </row>
    <row r="45" spans="1:15">
      <c r="A45" s="23" t="s">
        <v>232</v>
      </c>
      <c r="B45" s="19" t="s">
        <v>233</v>
      </c>
      <c r="C45" s="19" t="s">
        <v>196</v>
      </c>
      <c r="D45" s="20">
        <f t="shared" si="0"/>
        <v>109645.21999999999</v>
      </c>
      <c r="E45" s="21">
        <v>44765.943226351941</v>
      </c>
      <c r="F45" s="21">
        <v>20440.321695724568</v>
      </c>
      <c r="G45" s="21">
        <v>9164.637069578419</v>
      </c>
      <c r="H45" s="21">
        <v>33775.168294260737</v>
      </c>
      <c r="I45" s="21">
        <v>1499.1497140843283</v>
      </c>
      <c r="J45" s="67"/>
      <c r="N45" s="81"/>
      <c r="O45"/>
    </row>
    <row r="46" spans="1:15">
      <c r="A46" s="23" t="s">
        <v>234</v>
      </c>
      <c r="B46" s="19" t="s">
        <v>235</v>
      </c>
      <c r="C46" s="19" t="s">
        <v>236</v>
      </c>
      <c r="D46" s="20">
        <f t="shared" si="0"/>
        <v>766</v>
      </c>
      <c r="E46" s="21">
        <v>279</v>
      </c>
      <c r="F46" s="21">
        <v>232</v>
      </c>
      <c r="G46" s="21">
        <v>85</v>
      </c>
      <c r="H46" s="21">
        <v>166</v>
      </c>
      <c r="I46" s="21">
        <v>4</v>
      </c>
      <c r="J46" s="67"/>
      <c r="N46" s="81"/>
      <c r="O46"/>
    </row>
    <row r="47" spans="1:15">
      <c r="A47" s="23" t="s">
        <v>237</v>
      </c>
      <c r="B47" s="19" t="s">
        <v>238</v>
      </c>
      <c r="C47" s="19" t="s">
        <v>239</v>
      </c>
      <c r="D47" s="20">
        <f t="shared" si="0"/>
        <v>679</v>
      </c>
      <c r="E47" s="22">
        <v>575</v>
      </c>
      <c r="F47" s="22">
        <v>74</v>
      </c>
      <c r="G47" s="22">
        <v>30</v>
      </c>
      <c r="H47" s="22">
        <v>0</v>
      </c>
      <c r="I47" s="22">
        <v>0</v>
      </c>
      <c r="J47" s="67"/>
      <c r="N47" s="81"/>
      <c r="O47"/>
    </row>
    <row r="48" spans="1:15">
      <c r="A48" s="23" t="s">
        <v>240</v>
      </c>
      <c r="B48" s="19" t="s">
        <v>241</v>
      </c>
      <c r="C48" s="19" t="s">
        <v>242</v>
      </c>
      <c r="D48" s="20">
        <f t="shared" si="0"/>
        <v>0</v>
      </c>
      <c r="E48" s="22">
        <v>0</v>
      </c>
      <c r="F48" s="22">
        <v>0</v>
      </c>
      <c r="G48" s="22">
        <v>0</v>
      </c>
      <c r="H48" s="22">
        <v>0</v>
      </c>
      <c r="I48" s="22">
        <v>0</v>
      </c>
      <c r="J48" s="68"/>
      <c r="N48" s="81"/>
      <c r="O48"/>
    </row>
    <row r="49" spans="1:15">
      <c r="A49" s="23" t="s">
        <v>243</v>
      </c>
      <c r="B49" s="19" t="s">
        <v>244</v>
      </c>
      <c r="C49" s="19" t="s">
        <v>245</v>
      </c>
      <c r="D49" s="20">
        <f t="shared" si="0"/>
        <v>173624.44999999998</v>
      </c>
      <c r="E49" s="21">
        <v>89654.63</v>
      </c>
      <c r="F49" s="21">
        <v>27272.52</v>
      </c>
      <c r="G49" s="21">
        <v>14282.85</v>
      </c>
      <c r="H49" s="21">
        <v>27725.360000000001</v>
      </c>
      <c r="I49" s="21">
        <v>14689.09</v>
      </c>
      <c r="J49" s="68"/>
      <c r="N49" s="81"/>
      <c r="O49"/>
    </row>
    <row r="50" spans="1:15">
      <c r="A50" s="23" t="s">
        <v>246</v>
      </c>
      <c r="B50" s="19" t="s">
        <v>247</v>
      </c>
      <c r="C50" s="19" t="s">
        <v>248</v>
      </c>
      <c r="D50" s="20">
        <f t="shared" si="0"/>
        <v>5</v>
      </c>
      <c r="E50" s="22">
        <v>5</v>
      </c>
      <c r="F50" s="22">
        <v>0</v>
      </c>
      <c r="G50" s="22">
        <v>0</v>
      </c>
      <c r="H50" s="22">
        <v>0</v>
      </c>
      <c r="I50" s="22">
        <v>0</v>
      </c>
      <c r="J50" s="68"/>
      <c r="N50" s="81"/>
      <c r="O50"/>
    </row>
    <row r="51" spans="1:15">
      <c r="A51" s="23" t="s">
        <v>249</v>
      </c>
      <c r="B51" s="19" t="s">
        <v>250</v>
      </c>
      <c r="C51" s="19" t="s">
        <v>236</v>
      </c>
      <c r="D51" s="20">
        <f t="shared" si="0"/>
        <v>0</v>
      </c>
      <c r="E51" s="22">
        <v>0</v>
      </c>
      <c r="F51" s="22">
        <v>0</v>
      </c>
      <c r="G51" s="22">
        <v>0</v>
      </c>
      <c r="H51" s="22">
        <v>0</v>
      </c>
      <c r="I51" s="22">
        <v>0</v>
      </c>
      <c r="J51" s="68"/>
      <c r="N51" s="81"/>
      <c r="O51"/>
    </row>
    <row r="52" spans="1:15">
      <c r="A52" s="23" t="s">
        <v>251</v>
      </c>
      <c r="B52" s="19" t="s">
        <v>252</v>
      </c>
      <c r="C52" s="19" t="s">
        <v>253</v>
      </c>
      <c r="D52" s="20">
        <f t="shared" si="0"/>
        <v>24</v>
      </c>
      <c r="E52" s="21">
        <v>14</v>
      </c>
      <c r="F52" s="21">
        <v>3</v>
      </c>
      <c r="G52" s="21">
        <v>2</v>
      </c>
      <c r="H52" s="21">
        <v>3</v>
      </c>
      <c r="I52" s="21">
        <v>2</v>
      </c>
      <c r="J52" s="68"/>
      <c r="N52" s="81"/>
      <c r="O52"/>
    </row>
    <row r="53" spans="1:15">
      <c r="A53" s="23" t="s">
        <v>254</v>
      </c>
      <c r="B53" s="19" t="s">
        <v>255</v>
      </c>
      <c r="C53" s="19" t="s">
        <v>256</v>
      </c>
      <c r="D53" s="20">
        <f t="shared" si="0"/>
        <v>5</v>
      </c>
      <c r="E53" s="21">
        <v>2</v>
      </c>
      <c r="F53" s="21">
        <v>1</v>
      </c>
      <c r="G53" s="21">
        <v>0</v>
      </c>
      <c r="H53" s="21">
        <v>1</v>
      </c>
      <c r="I53" s="21">
        <v>1</v>
      </c>
      <c r="J53" s="68"/>
      <c r="N53" s="81"/>
      <c r="O53"/>
    </row>
    <row r="54" spans="1:15">
      <c r="A54" s="23" t="s">
        <v>257</v>
      </c>
      <c r="B54" s="19" t="s">
        <v>258</v>
      </c>
      <c r="C54" s="19" t="s">
        <v>259</v>
      </c>
      <c r="D54" s="20">
        <f t="shared" si="0"/>
        <v>8</v>
      </c>
      <c r="E54" s="21">
        <v>4</v>
      </c>
      <c r="F54" s="21">
        <v>1</v>
      </c>
      <c r="G54" s="21">
        <v>1</v>
      </c>
      <c r="H54" s="21">
        <v>1</v>
      </c>
      <c r="I54" s="21">
        <v>1</v>
      </c>
      <c r="J54" s="67"/>
      <c r="N54" s="81"/>
      <c r="O54"/>
    </row>
    <row r="55" spans="1:15">
      <c r="A55" s="23" t="s">
        <v>257</v>
      </c>
      <c r="B55" s="19" t="s">
        <v>260</v>
      </c>
      <c r="C55" s="19" t="s">
        <v>259</v>
      </c>
      <c r="D55" s="20">
        <f t="shared" si="0"/>
        <v>0</v>
      </c>
      <c r="E55" s="22">
        <v>0</v>
      </c>
      <c r="F55" s="22">
        <v>0</v>
      </c>
      <c r="G55" s="22">
        <v>0</v>
      </c>
      <c r="H55" s="22">
        <v>0</v>
      </c>
      <c r="I55" s="22">
        <v>0</v>
      </c>
      <c r="J55" s="67"/>
      <c r="N55" s="81"/>
      <c r="O55"/>
    </row>
    <row r="56" spans="1:15">
      <c r="A56" s="23" t="s">
        <v>257</v>
      </c>
      <c r="B56" s="19" t="s">
        <v>261</v>
      </c>
      <c r="C56" s="19" t="s">
        <v>259</v>
      </c>
      <c r="D56" s="20">
        <f t="shared" si="0"/>
        <v>1</v>
      </c>
      <c r="E56" s="21">
        <v>0</v>
      </c>
      <c r="F56" s="21">
        <v>1</v>
      </c>
      <c r="G56" s="21">
        <v>0</v>
      </c>
      <c r="H56" s="21">
        <v>0</v>
      </c>
      <c r="I56" s="21">
        <v>0</v>
      </c>
      <c r="J56" s="67"/>
      <c r="N56" s="81"/>
      <c r="O56"/>
    </row>
    <row r="57" spans="1:15">
      <c r="A57" s="23" t="s">
        <v>262</v>
      </c>
      <c r="B57" s="19" t="s">
        <v>263</v>
      </c>
      <c r="C57" s="19" t="s">
        <v>259</v>
      </c>
      <c r="D57" s="20">
        <f t="shared" si="0"/>
        <v>2</v>
      </c>
      <c r="E57" s="21">
        <v>2</v>
      </c>
      <c r="F57" s="21">
        <v>0</v>
      </c>
      <c r="G57" s="21">
        <v>0</v>
      </c>
      <c r="H57" s="21">
        <v>0</v>
      </c>
      <c r="I57" s="21">
        <v>0</v>
      </c>
      <c r="J57" s="67"/>
      <c r="N57" s="81"/>
      <c r="O57"/>
    </row>
    <row r="58" spans="1:15">
      <c r="A58" s="23"/>
      <c r="B58" s="19" t="s">
        <v>264</v>
      </c>
      <c r="C58" s="19" t="s">
        <v>265</v>
      </c>
      <c r="D58" s="20">
        <f t="shared" si="0"/>
        <v>35</v>
      </c>
      <c r="E58" s="21">
        <v>24</v>
      </c>
      <c r="F58" s="21">
        <v>1</v>
      </c>
      <c r="G58" s="21">
        <v>1</v>
      </c>
      <c r="H58" s="21">
        <v>5</v>
      </c>
      <c r="I58" s="21">
        <v>4</v>
      </c>
      <c r="J58" s="67"/>
      <c r="N58" s="81"/>
      <c r="O58"/>
    </row>
    <row r="59" spans="1:15">
      <c r="A59" s="23" t="s">
        <v>262</v>
      </c>
      <c r="B59" s="19" t="s">
        <v>266</v>
      </c>
      <c r="C59" s="19" t="s">
        <v>265</v>
      </c>
      <c r="D59" s="20">
        <f t="shared" si="0"/>
        <v>10</v>
      </c>
      <c r="E59" s="21">
        <v>8</v>
      </c>
      <c r="F59" s="21">
        <v>0</v>
      </c>
      <c r="G59" s="21">
        <v>1</v>
      </c>
      <c r="H59" s="21">
        <v>0</v>
      </c>
      <c r="I59" s="21">
        <v>1</v>
      </c>
      <c r="J59" s="67"/>
      <c r="N59" s="81"/>
      <c r="O59"/>
    </row>
    <row r="60" spans="1:15">
      <c r="A60" s="23" t="s">
        <v>262</v>
      </c>
      <c r="B60" s="19" t="s">
        <v>267</v>
      </c>
      <c r="C60" s="19" t="s">
        <v>265</v>
      </c>
      <c r="D60" s="20">
        <f t="shared" si="0"/>
        <v>10</v>
      </c>
      <c r="E60" s="21">
        <v>6</v>
      </c>
      <c r="F60" s="21">
        <v>1</v>
      </c>
      <c r="G60" s="21">
        <v>1</v>
      </c>
      <c r="H60" s="21">
        <v>0</v>
      </c>
      <c r="I60" s="21">
        <v>2</v>
      </c>
      <c r="J60" s="67"/>
      <c r="N60" s="81"/>
      <c r="O60"/>
    </row>
    <row r="61" spans="1:15">
      <c r="A61" s="23" t="s">
        <v>262</v>
      </c>
      <c r="B61" s="19" t="s">
        <v>268</v>
      </c>
      <c r="C61" s="19" t="s">
        <v>265</v>
      </c>
      <c r="D61" s="20">
        <f t="shared" si="0"/>
        <v>2</v>
      </c>
      <c r="E61" s="21">
        <v>2</v>
      </c>
      <c r="F61" s="21">
        <v>0</v>
      </c>
      <c r="G61" s="21">
        <v>0</v>
      </c>
      <c r="H61" s="21">
        <v>0</v>
      </c>
      <c r="I61" s="21">
        <v>0</v>
      </c>
      <c r="J61" s="67"/>
      <c r="N61" s="81"/>
      <c r="O61"/>
    </row>
    <row r="62" spans="1:15">
      <c r="A62" s="23" t="s">
        <v>262</v>
      </c>
      <c r="B62" s="19" t="s">
        <v>269</v>
      </c>
      <c r="C62" s="19" t="s">
        <v>265</v>
      </c>
      <c r="D62" s="20">
        <f t="shared" si="0"/>
        <v>3</v>
      </c>
      <c r="E62" s="21">
        <v>3</v>
      </c>
      <c r="F62" s="21">
        <v>0</v>
      </c>
      <c r="G62" s="21">
        <v>0</v>
      </c>
      <c r="H62" s="21">
        <v>0</v>
      </c>
      <c r="I62" s="21">
        <v>0</v>
      </c>
      <c r="J62" s="67"/>
      <c r="N62" s="81"/>
      <c r="O62"/>
    </row>
    <row r="63" spans="1:15">
      <c r="A63" s="23" t="s">
        <v>270</v>
      </c>
      <c r="B63" s="19" t="s">
        <v>271</v>
      </c>
      <c r="C63" s="19" t="s">
        <v>272</v>
      </c>
      <c r="D63" s="20">
        <f t="shared" si="0"/>
        <v>140</v>
      </c>
      <c r="E63" s="22">
        <v>0</v>
      </c>
      <c r="F63" s="22">
        <v>140</v>
      </c>
      <c r="G63" s="22">
        <v>0</v>
      </c>
      <c r="H63" s="22">
        <v>0</v>
      </c>
      <c r="I63" s="22">
        <v>0</v>
      </c>
      <c r="J63" s="67"/>
      <c r="N63" s="81"/>
      <c r="O63"/>
    </row>
    <row r="64" spans="1:15">
      <c r="A64" s="23" t="s">
        <v>273</v>
      </c>
      <c r="B64" s="19" t="s">
        <v>274</v>
      </c>
      <c r="C64" s="19" t="s">
        <v>275</v>
      </c>
      <c r="D64" s="20">
        <f t="shared" si="0"/>
        <v>44</v>
      </c>
      <c r="E64" s="21">
        <v>19</v>
      </c>
      <c r="F64" s="21">
        <v>5</v>
      </c>
      <c r="G64" s="21">
        <v>4</v>
      </c>
      <c r="H64" s="21">
        <v>13</v>
      </c>
      <c r="I64" s="21">
        <v>3</v>
      </c>
      <c r="J64" s="67"/>
      <c r="N64" s="81"/>
      <c r="O64"/>
    </row>
    <row r="65" spans="1:15">
      <c r="A65" s="23" t="s">
        <v>273</v>
      </c>
      <c r="B65" s="19" t="s">
        <v>276</v>
      </c>
      <c r="C65" s="19" t="s">
        <v>196</v>
      </c>
      <c r="D65" s="20">
        <f t="shared" si="0"/>
        <v>109645.21999999999</v>
      </c>
      <c r="E65" s="22">
        <v>44765.943226351941</v>
      </c>
      <c r="F65" s="22">
        <v>20440.321695724568</v>
      </c>
      <c r="G65" s="22">
        <v>9164.637069578419</v>
      </c>
      <c r="H65" s="22">
        <v>33775.168294260737</v>
      </c>
      <c r="I65" s="22">
        <v>1499.1497140843283</v>
      </c>
      <c r="J65" s="67"/>
      <c r="N65" s="81"/>
      <c r="O65"/>
    </row>
    <row r="66" spans="1:15">
      <c r="A66" s="23" t="s">
        <v>277</v>
      </c>
      <c r="B66" s="19" t="s">
        <v>278</v>
      </c>
      <c r="C66" s="19" t="s">
        <v>279</v>
      </c>
      <c r="D66" s="20">
        <f t="shared" si="0"/>
        <v>7</v>
      </c>
      <c r="E66" s="21">
        <v>2</v>
      </c>
      <c r="F66" s="21">
        <v>2</v>
      </c>
      <c r="G66" s="21">
        <v>1</v>
      </c>
      <c r="H66" s="21">
        <v>1</v>
      </c>
      <c r="I66" s="21">
        <v>1</v>
      </c>
      <c r="J66" s="67"/>
      <c r="N66" s="81"/>
      <c r="O66"/>
    </row>
    <row r="67" spans="1:15">
      <c r="A67" s="23" t="s">
        <v>280</v>
      </c>
      <c r="B67" s="19" t="s">
        <v>281</v>
      </c>
      <c r="C67" s="19" t="s">
        <v>282</v>
      </c>
      <c r="D67" s="20">
        <f t="shared" si="0"/>
        <v>20</v>
      </c>
      <c r="E67" s="21">
        <v>9</v>
      </c>
      <c r="F67" s="21">
        <v>7</v>
      </c>
      <c r="G67" s="21">
        <v>0</v>
      </c>
      <c r="H67" s="21">
        <v>4</v>
      </c>
      <c r="I67" s="21">
        <v>0</v>
      </c>
      <c r="J67" s="68"/>
      <c r="N67" s="81"/>
      <c r="O67"/>
    </row>
    <row r="68" spans="1:15">
      <c r="A68" s="23" t="s">
        <v>283</v>
      </c>
      <c r="B68" s="19" t="s">
        <v>284</v>
      </c>
      <c r="C68" s="19" t="s">
        <v>285</v>
      </c>
      <c r="D68" s="20">
        <f t="shared" si="0"/>
        <v>0</v>
      </c>
      <c r="E68" s="22">
        <v>0</v>
      </c>
      <c r="F68" s="22">
        <v>0</v>
      </c>
      <c r="G68" s="22">
        <v>0</v>
      </c>
      <c r="H68" s="22">
        <v>0</v>
      </c>
      <c r="I68" s="22">
        <v>0</v>
      </c>
      <c r="J68" s="67"/>
      <c r="N68" s="81"/>
      <c r="O68"/>
    </row>
    <row r="69" spans="1:15">
      <c r="A69" s="23"/>
      <c r="B69" s="19" t="s">
        <v>286</v>
      </c>
      <c r="C69" s="19" t="s">
        <v>287</v>
      </c>
      <c r="D69" s="20">
        <f t="shared" si="0"/>
        <v>0</v>
      </c>
      <c r="E69" s="22">
        <v>0</v>
      </c>
      <c r="F69" s="22">
        <v>0</v>
      </c>
      <c r="G69" s="22">
        <v>0</v>
      </c>
      <c r="H69" s="22">
        <v>0</v>
      </c>
      <c r="I69" s="22">
        <v>0</v>
      </c>
      <c r="J69" s="68"/>
      <c r="N69" s="81"/>
      <c r="O69"/>
    </row>
    <row r="70" spans="1:15" ht="32.1">
      <c r="A70" s="23"/>
      <c r="B70" s="19" t="s">
        <v>288</v>
      </c>
      <c r="C70" s="19" t="s">
        <v>227</v>
      </c>
      <c r="D70" s="20">
        <f>SUM(E70:I70)</f>
        <v>2</v>
      </c>
      <c r="E70" s="103">
        <v>2</v>
      </c>
      <c r="F70" s="104"/>
      <c r="G70" s="104"/>
      <c r="H70" s="104"/>
      <c r="I70" s="105"/>
      <c r="J70" s="68"/>
      <c r="N70" s="81"/>
      <c r="O70"/>
    </row>
    <row r="71" spans="1:15">
      <c r="A71" s="23" t="s">
        <v>289</v>
      </c>
      <c r="B71" s="19" t="s">
        <v>290</v>
      </c>
      <c r="C71" s="27" t="s">
        <v>248</v>
      </c>
      <c r="D71" s="20">
        <f t="shared" ref="D71:D72" si="1">SUM(E71:I71)</f>
        <v>1</v>
      </c>
      <c r="E71" s="103">
        <v>1</v>
      </c>
      <c r="F71" s="104"/>
      <c r="G71" s="104"/>
      <c r="H71" s="104"/>
      <c r="I71" s="105"/>
      <c r="J71" s="68"/>
      <c r="N71" s="81"/>
      <c r="O71"/>
    </row>
    <row r="72" spans="1:15">
      <c r="A72" s="23" t="s">
        <v>289</v>
      </c>
      <c r="B72" s="19" t="s">
        <v>291</v>
      </c>
      <c r="C72" s="27" t="s">
        <v>248</v>
      </c>
      <c r="D72" s="20">
        <f t="shared" si="1"/>
        <v>1</v>
      </c>
      <c r="E72" s="103">
        <v>1</v>
      </c>
      <c r="F72" s="104"/>
      <c r="G72" s="104"/>
      <c r="H72" s="104"/>
      <c r="I72" s="105"/>
      <c r="J72" s="68"/>
      <c r="N72" s="81"/>
      <c r="O72"/>
    </row>
    <row r="73" spans="1:15">
      <c r="A73" s="26" t="s">
        <v>292</v>
      </c>
      <c r="B73" s="27" t="s">
        <v>293</v>
      </c>
      <c r="C73" s="27" t="s">
        <v>294</v>
      </c>
      <c r="D73" s="20">
        <f t="shared" si="0"/>
        <v>0</v>
      </c>
      <c r="E73" s="22">
        <v>0</v>
      </c>
      <c r="F73" s="22">
        <v>0</v>
      </c>
      <c r="G73" s="22">
        <v>0</v>
      </c>
      <c r="H73" s="22">
        <v>0</v>
      </c>
      <c r="I73" s="22">
        <v>0</v>
      </c>
      <c r="J73" s="68"/>
      <c r="N73" s="81"/>
      <c r="O73"/>
    </row>
    <row r="74" spans="1:15">
      <c r="A74" s="26" t="s">
        <v>295</v>
      </c>
      <c r="B74" s="27" t="s">
        <v>296</v>
      </c>
      <c r="C74" s="27" t="s">
        <v>297</v>
      </c>
      <c r="D74" s="20">
        <f t="shared" si="0"/>
        <v>1</v>
      </c>
      <c r="E74" s="22">
        <v>1</v>
      </c>
      <c r="F74" s="22">
        <v>0</v>
      </c>
      <c r="G74" s="22">
        <v>0</v>
      </c>
      <c r="H74" s="22">
        <v>0</v>
      </c>
      <c r="I74" s="22">
        <v>0</v>
      </c>
      <c r="J74" s="67"/>
      <c r="N74" s="81"/>
      <c r="O74"/>
    </row>
    <row r="75" spans="1:15">
      <c r="A75" s="24" t="s">
        <v>298</v>
      </c>
      <c r="B75" s="25"/>
      <c r="C75" s="25"/>
      <c r="D75" s="16"/>
      <c r="E75" s="28"/>
      <c r="F75" s="28"/>
      <c r="G75" s="28"/>
      <c r="H75" s="28"/>
      <c r="I75" s="28"/>
      <c r="J75" s="67"/>
      <c r="N75" s="81"/>
      <c r="O75"/>
    </row>
    <row r="76" spans="1:15">
      <c r="A76" s="23" t="s">
        <v>299</v>
      </c>
      <c r="B76" s="19" t="s">
        <v>300</v>
      </c>
      <c r="C76" s="19" t="s">
        <v>301</v>
      </c>
      <c r="D76" s="20">
        <f t="shared" si="0"/>
        <v>9</v>
      </c>
      <c r="E76" s="22">
        <v>6</v>
      </c>
      <c r="F76" s="22">
        <v>0</v>
      </c>
      <c r="G76" s="22">
        <v>1</v>
      </c>
      <c r="H76" s="22">
        <v>1</v>
      </c>
      <c r="I76" s="22">
        <v>1</v>
      </c>
      <c r="J76" s="67"/>
      <c r="N76" s="81"/>
      <c r="O76"/>
    </row>
    <row r="77" spans="1:15">
      <c r="A77" s="23" t="s">
        <v>302</v>
      </c>
      <c r="B77" s="19" t="s">
        <v>303</v>
      </c>
      <c r="C77" s="19" t="s">
        <v>304</v>
      </c>
      <c r="D77" s="20">
        <f t="shared" si="0"/>
        <v>19</v>
      </c>
      <c r="E77" s="22">
        <v>12</v>
      </c>
      <c r="F77" s="22">
        <v>1</v>
      </c>
      <c r="G77" s="22">
        <v>1</v>
      </c>
      <c r="H77" s="22">
        <v>4</v>
      </c>
      <c r="I77" s="22">
        <v>1</v>
      </c>
      <c r="J77" s="68"/>
      <c r="N77" s="81"/>
      <c r="O77"/>
    </row>
    <row r="78" spans="1:15">
      <c r="A78" s="23" t="s">
        <v>305</v>
      </c>
      <c r="B78" s="19" t="s">
        <v>306</v>
      </c>
      <c r="C78" s="19" t="s">
        <v>307</v>
      </c>
      <c r="D78" s="20">
        <f t="shared" ref="D78:D136" si="2">SUM(E78:I78)</f>
        <v>16</v>
      </c>
      <c r="E78" s="22">
        <v>10</v>
      </c>
      <c r="F78" s="22">
        <v>1</v>
      </c>
      <c r="G78" s="22">
        <v>1</v>
      </c>
      <c r="H78" s="22">
        <v>2</v>
      </c>
      <c r="I78" s="22">
        <v>2</v>
      </c>
      <c r="J78" s="67"/>
      <c r="N78" s="81"/>
      <c r="O78"/>
    </row>
    <row r="79" spans="1:15">
      <c r="A79" s="23" t="s">
        <v>305</v>
      </c>
      <c r="B79" s="19" t="s">
        <v>308</v>
      </c>
      <c r="C79" s="19" t="s">
        <v>309</v>
      </c>
      <c r="D79" s="20">
        <f t="shared" si="2"/>
        <v>3</v>
      </c>
      <c r="E79" s="22">
        <v>3</v>
      </c>
      <c r="F79" s="22">
        <v>0</v>
      </c>
      <c r="G79" s="22">
        <v>0</v>
      </c>
      <c r="H79" s="22">
        <v>0</v>
      </c>
      <c r="I79" s="22">
        <v>0</v>
      </c>
      <c r="J79" s="67"/>
      <c r="N79" s="81"/>
      <c r="O79"/>
    </row>
    <row r="80" spans="1:15">
      <c r="A80" s="23" t="s">
        <v>310</v>
      </c>
      <c r="B80" s="19" t="s">
        <v>311</v>
      </c>
      <c r="C80" s="19" t="s">
        <v>312</v>
      </c>
      <c r="D80" s="20">
        <f t="shared" si="2"/>
        <v>21</v>
      </c>
      <c r="E80" s="22">
        <v>14</v>
      </c>
      <c r="F80" s="22">
        <v>1</v>
      </c>
      <c r="G80" s="22">
        <v>1</v>
      </c>
      <c r="H80" s="22">
        <v>5</v>
      </c>
      <c r="I80" s="22">
        <v>0</v>
      </c>
      <c r="J80" s="67"/>
      <c r="N80" s="81"/>
      <c r="O80"/>
    </row>
    <row r="81" spans="1:15">
      <c r="A81" s="23" t="s">
        <v>313</v>
      </c>
      <c r="B81" s="19" t="s">
        <v>314</v>
      </c>
      <c r="C81" s="19" t="s">
        <v>196</v>
      </c>
      <c r="D81" s="20">
        <f t="shared" si="2"/>
        <v>109446.31999999999</v>
      </c>
      <c r="E81" s="21">
        <v>44684.73634740436</v>
      </c>
      <c r="F81" s="21">
        <v>20403.242286469158</v>
      </c>
      <c r="G81" s="21">
        <v>9148.0121194607655</v>
      </c>
      <c r="H81" s="21">
        <v>33713.899038986972</v>
      </c>
      <c r="I81" s="21">
        <v>1496.4302076787469</v>
      </c>
      <c r="J81" s="67"/>
      <c r="N81" s="81"/>
      <c r="O81"/>
    </row>
    <row r="82" spans="1:15" ht="32.1">
      <c r="A82" s="23" t="s">
        <v>315</v>
      </c>
      <c r="B82" s="19" t="s">
        <v>316</v>
      </c>
      <c r="C82" s="19" t="s">
        <v>317</v>
      </c>
      <c r="D82" s="20">
        <f t="shared" si="2"/>
        <v>0</v>
      </c>
      <c r="E82" s="22">
        <v>0</v>
      </c>
      <c r="F82" s="22">
        <v>0</v>
      </c>
      <c r="G82" s="22">
        <v>0</v>
      </c>
      <c r="H82" s="22">
        <v>0</v>
      </c>
      <c r="I82" s="22">
        <v>0</v>
      </c>
      <c r="J82" s="68"/>
      <c r="N82" s="81"/>
      <c r="O82"/>
    </row>
    <row r="83" spans="1:15">
      <c r="A83" s="23" t="s">
        <v>318</v>
      </c>
      <c r="B83" s="19" t="s">
        <v>319</v>
      </c>
      <c r="C83" s="19" t="s">
        <v>320</v>
      </c>
      <c r="D83" s="20">
        <v>260</v>
      </c>
      <c r="E83" s="103">
        <v>260</v>
      </c>
      <c r="F83" s="104"/>
      <c r="G83" s="104"/>
      <c r="H83" s="104"/>
      <c r="I83" s="105"/>
      <c r="J83" s="68"/>
      <c r="N83" s="81"/>
      <c r="O83"/>
    </row>
    <row r="84" spans="1:15">
      <c r="A84" s="23" t="s">
        <v>321</v>
      </c>
      <c r="B84" s="19" t="s">
        <v>322</v>
      </c>
      <c r="C84" s="19" t="s">
        <v>323</v>
      </c>
      <c r="D84" s="20">
        <f t="shared" si="2"/>
        <v>0</v>
      </c>
      <c r="E84" s="22">
        <v>0</v>
      </c>
      <c r="F84" s="22">
        <v>0</v>
      </c>
      <c r="G84" s="22">
        <v>0</v>
      </c>
      <c r="H84" s="22">
        <v>0</v>
      </c>
      <c r="I84" s="22">
        <v>0</v>
      </c>
      <c r="J84" s="68"/>
      <c r="N84" s="81"/>
      <c r="O84"/>
    </row>
    <row r="85" spans="1:15">
      <c r="A85" s="23" t="s">
        <v>324</v>
      </c>
      <c r="B85" s="19" t="s">
        <v>325</v>
      </c>
      <c r="C85" s="19" t="s">
        <v>326</v>
      </c>
      <c r="D85" s="20">
        <f t="shared" si="2"/>
        <v>206</v>
      </c>
      <c r="E85" s="22">
        <v>138</v>
      </c>
      <c r="F85" s="22">
        <v>68</v>
      </c>
      <c r="G85" s="22">
        <v>0</v>
      </c>
      <c r="H85" s="22">
        <v>0</v>
      </c>
      <c r="I85" s="22">
        <v>0</v>
      </c>
      <c r="J85" s="68"/>
      <c r="N85" s="81"/>
      <c r="O85"/>
    </row>
    <row r="86" spans="1:15">
      <c r="A86" s="23" t="s">
        <v>327</v>
      </c>
      <c r="B86" s="19" t="s">
        <v>328</v>
      </c>
      <c r="C86" s="19" t="s">
        <v>329</v>
      </c>
      <c r="D86" s="20">
        <f t="shared" si="2"/>
        <v>0</v>
      </c>
      <c r="E86" s="22">
        <v>0</v>
      </c>
      <c r="F86" s="22">
        <v>0</v>
      </c>
      <c r="G86" s="22">
        <v>0</v>
      </c>
      <c r="H86" s="22">
        <v>0</v>
      </c>
      <c r="I86" s="22">
        <v>0</v>
      </c>
      <c r="J86" s="68"/>
      <c r="N86" s="81"/>
      <c r="O86"/>
    </row>
    <row r="87" spans="1:15">
      <c r="A87" s="23" t="s">
        <v>330</v>
      </c>
      <c r="B87" s="19" t="s">
        <v>331</v>
      </c>
      <c r="C87" s="19" t="s">
        <v>332</v>
      </c>
      <c r="D87" s="20">
        <f t="shared" si="2"/>
        <v>0</v>
      </c>
      <c r="E87" s="22">
        <v>0</v>
      </c>
      <c r="F87" s="22">
        <v>0</v>
      </c>
      <c r="G87" s="22">
        <v>0</v>
      </c>
      <c r="H87" s="22">
        <v>0</v>
      </c>
      <c r="I87" s="22">
        <v>0</v>
      </c>
      <c r="J87" s="68"/>
      <c r="N87" s="81"/>
      <c r="O87"/>
    </row>
    <row r="88" spans="1:15">
      <c r="A88" s="24" t="s">
        <v>333</v>
      </c>
      <c r="B88" s="25"/>
      <c r="C88" s="25"/>
      <c r="D88" s="16"/>
      <c r="E88" s="28"/>
      <c r="F88" s="28"/>
      <c r="G88" s="28"/>
      <c r="H88" s="28"/>
      <c r="I88" s="28"/>
      <c r="J88" s="67"/>
      <c r="N88" s="81"/>
      <c r="O88"/>
    </row>
    <row r="89" spans="1:15">
      <c r="A89" s="19" t="s">
        <v>334</v>
      </c>
      <c r="B89" s="19" t="s">
        <v>335</v>
      </c>
      <c r="C89" s="19" t="s">
        <v>336</v>
      </c>
      <c r="D89" s="20">
        <f t="shared" si="2"/>
        <v>61781.5</v>
      </c>
      <c r="E89" s="22">
        <v>35370.51</v>
      </c>
      <c r="F89" s="22">
        <v>22631.02</v>
      </c>
      <c r="G89" s="22">
        <v>2560.1</v>
      </c>
      <c r="H89" s="22">
        <v>1219.8699999999999</v>
      </c>
      <c r="I89" s="22">
        <v>0</v>
      </c>
      <c r="J89" s="67"/>
      <c r="N89" s="81"/>
      <c r="O89"/>
    </row>
    <row r="90" spans="1:15">
      <c r="A90" s="19" t="s">
        <v>337</v>
      </c>
      <c r="B90" s="19" t="s">
        <v>338</v>
      </c>
      <c r="C90" s="19" t="s">
        <v>336</v>
      </c>
      <c r="D90" s="20">
        <f t="shared" si="2"/>
        <v>68701.990000000005</v>
      </c>
      <c r="E90" s="22">
        <v>36466.03</v>
      </c>
      <c r="F90" s="22">
        <v>8725.0400000000009</v>
      </c>
      <c r="G90" s="22">
        <v>5734.49</v>
      </c>
      <c r="H90" s="22">
        <v>9817.91</v>
      </c>
      <c r="I90" s="22">
        <v>7958.52</v>
      </c>
      <c r="J90" s="67"/>
      <c r="N90" s="81"/>
      <c r="O90"/>
    </row>
    <row r="91" spans="1:15">
      <c r="A91" s="23" t="s">
        <v>339</v>
      </c>
      <c r="B91" s="19" t="s">
        <v>340</v>
      </c>
      <c r="C91" s="19" t="s">
        <v>196</v>
      </c>
      <c r="D91" s="20">
        <f t="shared" si="2"/>
        <v>58274.89</v>
      </c>
      <c r="E91" s="22">
        <v>23792.468265027008</v>
      </c>
      <c r="F91" s="22">
        <v>10863.743064977776</v>
      </c>
      <c r="G91" s="22">
        <v>4870.8755121254235</v>
      </c>
      <c r="H91" s="22">
        <v>17951.026201411536</v>
      </c>
      <c r="I91" s="22">
        <v>796.77695645825395</v>
      </c>
      <c r="J91" s="67"/>
      <c r="N91" s="81"/>
      <c r="O91"/>
    </row>
    <row r="92" spans="1:15">
      <c r="A92" s="23" t="s">
        <v>341</v>
      </c>
      <c r="B92" s="19" t="s">
        <v>342</v>
      </c>
      <c r="C92" s="19" t="s">
        <v>196</v>
      </c>
      <c r="D92" s="20">
        <f t="shared" si="2"/>
        <v>48326.5</v>
      </c>
      <c r="E92" s="22">
        <v>26916.62</v>
      </c>
      <c r="F92" s="22">
        <v>6722.14</v>
      </c>
      <c r="G92" s="22">
        <v>3603.49</v>
      </c>
      <c r="H92" s="22">
        <v>6935.21</v>
      </c>
      <c r="I92" s="22">
        <v>4149.04</v>
      </c>
      <c r="J92" s="67"/>
      <c r="N92" s="81"/>
      <c r="O92"/>
    </row>
    <row r="93" spans="1:15">
      <c r="A93" s="23" t="s">
        <v>343</v>
      </c>
      <c r="B93" s="19" t="s">
        <v>344</v>
      </c>
      <c r="C93" s="19" t="s">
        <v>345</v>
      </c>
      <c r="D93" s="20">
        <f t="shared" si="2"/>
        <v>798</v>
      </c>
      <c r="E93" s="22">
        <v>486</v>
      </c>
      <c r="F93" s="22">
        <v>124</v>
      </c>
      <c r="G93" s="22">
        <v>62</v>
      </c>
      <c r="H93" s="22">
        <v>65</v>
      </c>
      <c r="I93" s="22">
        <v>61</v>
      </c>
      <c r="J93" s="67"/>
      <c r="N93" s="81"/>
      <c r="O93"/>
    </row>
    <row r="94" spans="1:15">
      <c r="A94" s="23" t="s">
        <v>346</v>
      </c>
      <c r="B94" s="19" t="s">
        <v>347</v>
      </c>
      <c r="C94" s="19" t="s">
        <v>348</v>
      </c>
      <c r="D94" s="20">
        <f t="shared" si="2"/>
        <v>1524</v>
      </c>
      <c r="E94" s="22">
        <v>781</v>
      </c>
      <c r="F94" s="22">
        <v>159</v>
      </c>
      <c r="G94" s="22">
        <v>136</v>
      </c>
      <c r="H94" s="22">
        <v>246</v>
      </c>
      <c r="I94" s="22">
        <v>202</v>
      </c>
      <c r="J94" s="67"/>
      <c r="N94" s="81"/>
      <c r="O94"/>
    </row>
    <row r="95" spans="1:15">
      <c r="A95" s="23" t="s">
        <v>349</v>
      </c>
      <c r="B95" s="19" t="s">
        <v>350</v>
      </c>
      <c r="C95" s="19" t="s">
        <v>351</v>
      </c>
      <c r="D95" s="20">
        <f t="shared" si="2"/>
        <v>0</v>
      </c>
      <c r="E95" s="22">
        <v>0</v>
      </c>
      <c r="F95" s="22">
        <v>0</v>
      </c>
      <c r="G95" s="22">
        <v>0</v>
      </c>
      <c r="H95" s="22">
        <v>0</v>
      </c>
      <c r="I95" s="22">
        <v>0</v>
      </c>
      <c r="J95" s="67"/>
      <c r="N95" s="81"/>
      <c r="O95"/>
    </row>
    <row r="96" spans="1:15">
      <c r="A96" s="23" t="s">
        <v>352</v>
      </c>
      <c r="B96" s="19" t="s">
        <v>353</v>
      </c>
      <c r="C96" s="19" t="s">
        <v>242</v>
      </c>
      <c r="D96" s="20">
        <f t="shared" si="2"/>
        <v>3</v>
      </c>
      <c r="E96" s="22">
        <v>1</v>
      </c>
      <c r="F96" s="22">
        <v>1</v>
      </c>
      <c r="G96" s="22">
        <v>0</v>
      </c>
      <c r="H96" s="22">
        <v>0</v>
      </c>
      <c r="I96" s="22">
        <v>1</v>
      </c>
      <c r="J96" s="67"/>
      <c r="N96" s="81"/>
      <c r="O96"/>
    </row>
    <row r="97" spans="1:15">
      <c r="A97" s="23" t="s">
        <v>354</v>
      </c>
      <c r="B97" s="19" t="s">
        <v>355</v>
      </c>
      <c r="C97" s="19" t="s">
        <v>356</v>
      </c>
      <c r="D97" s="20">
        <f t="shared" si="2"/>
        <v>378</v>
      </c>
      <c r="E97" s="22">
        <v>185</v>
      </c>
      <c r="F97" s="22">
        <v>58</v>
      </c>
      <c r="G97" s="22">
        <v>18</v>
      </c>
      <c r="H97" s="22">
        <v>40</v>
      </c>
      <c r="I97" s="22">
        <v>77</v>
      </c>
      <c r="J97" s="67"/>
      <c r="N97" s="81"/>
      <c r="O97"/>
    </row>
    <row r="98" spans="1:15">
      <c r="A98" s="23" t="s">
        <v>357</v>
      </c>
      <c r="B98" s="19" t="s">
        <v>358</v>
      </c>
      <c r="C98" s="19" t="s">
        <v>359</v>
      </c>
      <c r="D98" s="20">
        <f t="shared" si="2"/>
        <v>1</v>
      </c>
      <c r="E98" s="22">
        <v>0</v>
      </c>
      <c r="F98" s="22">
        <v>0</v>
      </c>
      <c r="G98" s="22">
        <v>0</v>
      </c>
      <c r="H98" s="22">
        <v>0</v>
      </c>
      <c r="I98" s="22">
        <v>1</v>
      </c>
      <c r="J98" s="67"/>
      <c r="N98" s="81"/>
      <c r="O98"/>
    </row>
    <row r="99" spans="1:15" ht="32.1">
      <c r="A99" s="23" t="s">
        <v>360</v>
      </c>
      <c r="B99" s="19" t="s">
        <v>361</v>
      </c>
      <c r="C99" s="19" t="s">
        <v>362</v>
      </c>
      <c r="D99" s="20">
        <f t="shared" si="2"/>
        <v>1111.1400000000001</v>
      </c>
      <c r="E99" s="22">
        <v>23.64</v>
      </c>
      <c r="F99" s="22">
        <v>0</v>
      </c>
      <c r="G99" s="22">
        <v>46.36</v>
      </c>
      <c r="H99" s="22">
        <v>0</v>
      </c>
      <c r="I99" s="22">
        <v>1041.1400000000001</v>
      </c>
      <c r="J99" s="67"/>
      <c r="N99" s="81"/>
      <c r="O99"/>
    </row>
    <row r="100" spans="1:15">
      <c r="A100" s="23" t="s">
        <v>363</v>
      </c>
      <c r="B100" s="19" t="s">
        <v>364</v>
      </c>
      <c r="C100" s="19" t="s">
        <v>365</v>
      </c>
      <c r="D100" s="20">
        <f t="shared" si="2"/>
        <v>0</v>
      </c>
      <c r="E100" s="22">
        <v>0</v>
      </c>
      <c r="F100" s="22">
        <v>0</v>
      </c>
      <c r="G100" s="22">
        <v>0</v>
      </c>
      <c r="H100" s="22">
        <v>0</v>
      </c>
      <c r="I100" s="22">
        <v>0</v>
      </c>
      <c r="J100" s="67"/>
      <c r="N100" s="81"/>
      <c r="O100"/>
    </row>
    <row r="101" spans="1:15">
      <c r="A101" s="23" t="s">
        <v>366</v>
      </c>
      <c r="B101" s="19" t="s">
        <v>367</v>
      </c>
      <c r="C101" s="19" t="s">
        <v>368</v>
      </c>
      <c r="D101" s="20">
        <f t="shared" si="2"/>
        <v>0</v>
      </c>
      <c r="E101" s="22">
        <v>0</v>
      </c>
      <c r="F101" s="22">
        <v>0</v>
      </c>
      <c r="G101" s="22">
        <v>0</v>
      </c>
      <c r="H101" s="22">
        <v>0</v>
      </c>
      <c r="I101" s="22">
        <v>0</v>
      </c>
      <c r="J101" s="68"/>
      <c r="N101" s="81"/>
      <c r="O101"/>
    </row>
    <row r="102" spans="1:15" ht="32.1">
      <c r="A102" s="23" t="s">
        <v>357</v>
      </c>
      <c r="B102" s="19" t="s">
        <v>369</v>
      </c>
      <c r="C102" s="19" t="s">
        <v>370</v>
      </c>
      <c r="D102" s="20">
        <f t="shared" si="2"/>
        <v>0</v>
      </c>
      <c r="E102" s="22">
        <v>0</v>
      </c>
      <c r="F102" s="22">
        <v>0</v>
      </c>
      <c r="G102" s="22">
        <v>0</v>
      </c>
      <c r="H102" s="22">
        <v>0</v>
      </c>
      <c r="I102" s="22">
        <v>0</v>
      </c>
      <c r="J102" s="67"/>
      <c r="N102" s="81"/>
      <c r="O102"/>
    </row>
    <row r="103" spans="1:15">
      <c r="A103" s="24" t="s">
        <v>371</v>
      </c>
      <c r="B103" s="25"/>
      <c r="C103" s="25"/>
      <c r="D103" s="16"/>
      <c r="E103" s="28"/>
      <c r="F103" s="28"/>
      <c r="G103" s="28"/>
      <c r="H103" s="28"/>
      <c r="I103" s="28"/>
      <c r="J103" s="67"/>
      <c r="N103" s="81"/>
      <c r="O103"/>
    </row>
    <row r="104" spans="1:15">
      <c r="A104" s="23" t="s">
        <v>372</v>
      </c>
      <c r="B104" s="19" t="s">
        <v>373</v>
      </c>
      <c r="C104" s="19" t="s">
        <v>374</v>
      </c>
      <c r="D104" s="20">
        <f t="shared" si="2"/>
        <v>45</v>
      </c>
      <c r="E104" s="22">
        <v>14</v>
      </c>
      <c r="F104" s="22">
        <v>13</v>
      </c>
      <c r="G104" s="22">
        <v>5</v>
      </c>
      <c r="H104" s="22">
        <v>12</v>
      </c>
      <c r="I104" s="22">
        <v>1</v>
      </c>
      <c r="J104" s="67"/>
      <c r="N104" s="81"/>
      <c r="O104"/>
    </row>
    <row r="105" spans="1:15">
      <c r="A105" s="23" t="s">
        <v>372</v>
      </c>
      <c r="B105" s="19" t="s">
        <v>375</v>
      </c>
      <c r="C105" s="19" t="s">
        <v>374</v>
      </c>
      <c r="D105" s="20">
        <f t="shared" si="2"/>
        <v>22</v>
      </c>
      <c r="E105" s="22">
        <v>18</v>
      </c>
      <c r="F105" s="22">
        <v>0</v>
      </c>
      <c r="G105" s="22">
        <v>0</v>
      </c>
      <c r="H105" s="22">
        <v>0</v>
      </c>
      <c r="I105" s="22">
        <v>4</v>
      </c>
      <c r="J105" s="67"/>
      <c r="N105" s="81"/>
      <c r="O105"/>
    </row>
    <row r="106" spans="1:15">
      <c r="A106" s="23" t="s">
        <v>372</v>
      </c>
      <c r="B106" s="19" t="s">
        <v>376</v>
      </c>
      <c r="C106" s="19" t="s">
        <v>374</v>
      </c>
      <c r="D106" s="20">
        <f t="shared" si="2"/>
        <v>0</v>
      </c>
      <c r="E106" s="22">
        <v>0</v>
      </c>
      <c r="F106" s="22">
        <v>0</v>
      </c>
      <c r="G106" s="22">
        <v>0</v>
      </c>
      <c r="H106" s="22">
        <v>0</v>
      </c>
      <c r="I106" s="22">
        <v>0</v>
      </c>
      <c r="J106" s="67"/>
      <c r="N106" s="81"/>
      <c r="O106"/>
    </row>
    <row r="107" spans="1:15">
      <c r="A107" s="23" t="s">
        <v>377</v>
      </c>
      <c r="B107" s="19" t="s">
        <v>378</v>
      </c>
      <c r="C107" s="19" t="s">
        <v>379</v>
      </c>
      <c r="D107" s="20">
        <f t="shared" si="2"/>
        <v>0</v>
      </c>
      <c r="E107" s="22">
        <v>0</v>
      </c>
      <c r="F107" s="22">
        <v>0</v>
      </c>
      <c r="G107" s="22">
        <v>0</v>
      </c>
      <c r="H107" s="22">
        <v>0</v>
      </c>
      <c r="I107" s="22">
        <v>0</v>
      </c>
      <c r="J107" s="67"/>
      <c r="N107" s="81"/>
      <c r="O107"/>
    </row>
    <row r="108" spans="1:15">
      <c r="A108" s="23" t="s">
        <v>380</v>
      </c>
      <c r="B108" s="19" t="s">
        <v>381</v>
      </c>
      <c r="C108" s="19" t="s">
        <v>382</v>
      </c>
      <c r="D108" s="20">
        <f t="shared" si="2"/>
        <v>0</v>
      </c>
      <c r="E108" s="22">
        <v>0</v>
      </c>
      <c r="F108" s="22">
        <v>0</v>
      </c>
      <c r="G108" s="22">
        <v>0</v>
      </c>
      <c r="H108" s="22">
        <v>0</v>
      </c>
      <c r="I108" s="22">
        <v>0</v>
      </c>
      <c r="J108" s="67"/>
      <c r="N108" s="81"/>
      <c r="O108"/>
    </row>
    <row r="109" spans="1:15">
      <c r="A109" s="23"/>
      <c r="B109" s="19" t="s">
        <v>383</v>
      </c>
      <c r="C109" s="19" t="s">
        <v>384</v>
      </c>
      <c r="D109" s="20">
        <f t="shared" si="2"/>
        <v>0</v>
      </c>
      <c r="E109" s="22">
        <v>0</v>
      </c>
      <c r="F109" s="22">
        <v>0</v>
      </c>
      <c r="G109" s="22">
        <v>0</v>
      </c>
      <c r="H109" s="22">
        <v>0</v>
      </c>
      <c r="I109" s="22">
        <v>0</v>
      </c>
      <c r="J109" s="67"/>
      <c r="N109" s="81"/>
      <c r="O109"/>
    </row>
    <row r="110" spans="1:15">
      <c r="A110" s="23"/>
      <c r="B110" s="19" t="s">
        <v>385</v>
      </c>
      <c r="C110" s="19" t="s">
        <v>287</v>
      </c>
      <c r="D110" s="20">
        <v>1</v>
      </c>
      <c r="E110" s="22">
        <v>1</v>
      </c>
      <c r="F110" s="22">
        <v>0</v>
      </c>
      <c r="G110" s="22">
        <v>0</v>
      </c>
      <c r="H110" s="22">
        <v>0</v>
      </c>
      <c r="I110" s="22">
        <v>0</v>
      </c>
      <c r="J110" s="67"/>
      <c r="N110" s="81"/>
      <c r="O110"/>
    </row>
    <row r="111" spans="1:15">
      <c r="A111" s="24" t="s">
        <v>386</v>
      </c>
      <c r="B111" s="25"/>
      <c r="C111" s="25"/>
      <c r="D111" s="16"/>
      <c r="E111" s="28"/>
      <c r="F111" s="28"/>
      <c r="G111" s="28"/>
      <c r="H111" s="28"/>
      <c r="I111" s="28"/>
      <c r="J111" s="67"/>
      <c r="N111" s="81"/>
      <c r="O111"/>
    </row>
    <row r="112" spans="1:15">
      <c r="A112" s="83" t="s">
        <v>387</v>
      </c>
      <c r="B112" s="19" t="s">
        <v>388</v>
      </c>
      <c r="C112" s="19" t="s">
        <v>389</v>
      </c>
      <c r="D112" s="20">
        <f t="shared" si="2"/>
        <v>0</v>
      </c>
      <c r="E112" s="22">
        <v>0</v>
      </c>
      <c r="F112" s="22">
        <v>0</v>
      </c>
      <c r="G112" s="22">
        <v>0</v>
      </c>
      <c r="H112" s="22">
        <v>0</v>
      </c>
      <c r="I112" s="22">
        <v>0</v>
      </c>
      <c r="J112" s="67"/>
      <c r="N112" s="81"/>
      <c r="O112"/>
    </row>
    <row r="113" spans="1:15">
      <c r="A113" s="84" t="s">
        <v>390</v>
      </c>
      <c r="B113" s="19" t="s">
        <v>391</v>
      </c>
      <c r="C113" s="19" t="s">
        <v>392</v>
      </c>
      <c r="D113" s="20">
        <f>SUM(E113:I113)</f>
        <v>0</v>
      </c>
      <c r="E113" s="22">
        <v>0</v>
      </c>
      <c r="F113" s="22">
        <v>0</v>
      </c>
      <c r="G113" s="22">
        <v>0</v>
      </c>
      <c r="H113" s="22">
        <v>0</v>
      </c>
      <c r="I113" s="22">
        <v>0</v>
      </c>
      <c r="J113" s="68"/>
      <c r="N113" s="81"/>
      <c r="O113"/>
    </row>
    <row r="114" spans="1:15">
      <c r="A114" s="23" t="s">
        <v>393</v>
      </c>
      <c r="B114" s="19" t="s">
        <v>394</v>
      </c>
      <c r="C114" s="19" t="s">
        <v>392</v>
      </c>
      <c r="D114" s="20">
        <f t="shared" si="2"/>
        <v>0</v>
      </c>
      <c r="E114" s="22">
        <v>0</v>
      </c>
      <c r="F114" s="22">
        <v>0</v>
      </c>
      <c r="G114" s="22">
        <v>0</v>
      </c>
      <c r="H114" s="22">
        <v>0</v>
      </c>
      <c r="I114" s="22">
        <v>0</v>
      </c>
      <c r="J114" s="68"/>
      <c r="N114" s="81"/>
      <c r="O114"/>
    </row>
    <row r="115" spans="1:15">
      <c r="A115" s="23" t="s">
        <v>395</v>
      </c>
      <c r="B115" s="19" t="s">
        <v>396</v>
      </c>
      <c r="C115" s="19" t="s">
        <v>392</v>
      </c>
      <c r="D115" s="20">
        <f t="shared" si="2"/>
        <v>0</v>
      </c>
      <c r="E115" s="22">
        <v>0</v>
      </c>
      <c r="F115" s="22">
        <v>0</v>
      </c>
      <c r="G115" s="22">
        <v>0</v>
      </c>
      <c r="H115" s="22">
        <v>0</v>
      </c>
      <c r="I115" s="22">
        <v>0</v>
      </c>
      <c r="J115" s="68"/>
      <c r="N115" s="81"/>
      <c r="O115"/>
    </row>
    <row r="116" spans="1:15" ht="32.1">
      <c r="A116" s="23" t="s">
        <v>397</v>
      </c>
      <c r="B116" s="19" t="s">
        <v>398</v>
      </c>
      <c r="C116" s="19" t="s">
        <v>399</v>
      </c>
      <c r="D116" s="20">
        <f t="shared" si="2"/>
        <v>13</v>
      </c>
      <c r="E116" s="22">
        <v>10</v>
      </c>
      <c r="F116" s="22">
        <v>1</v>
      </c>
      <c r="G116" s="22">
        <v>1</v>
      </c>
      <c r="H116" s="22">
        <v>1</v>
      </c>
      <c r="I116" s="22">
        <v>0</v>
      </c>
      <c r="J116" s="68"/>
      <c r="N116" s="81"/>
      <c r="O116"/>
    </row>
    <row r="117" spans="1:15">
      <c r="A117" s="23" t="s">
        <v>400</v>
      </c>
      <c r="B117" s="19" t="s">
        <v>401</v>
      </c>
      <c r="C117" s="19" t="s">
        <v>402</v>
      </c>
      <c r="D117" s="20">
        <f t="shared" si="2"/>
        <v>4</v>
      </c>
      <c r="E117" s="22">
        <v>2</v>
      </c>
      <c r="F117" s="22">
        <v>0</v>
      </c>
      <c r="G117" s="22">
        <v>2</v>
      </c>
      <c r="H117" s="22">
        <v>0</v>
      </c>
      <c r="I117" s="22">
        <v>0</v>
      </c>
      <c r="J117" s="67"/>
      <c r="N117" s="81"/>
      <c r="O117"/>
    </row>
    <row r="118" spans="1:15">
      <c r="A118" s="23" t="s">
        <v>403</v>
      </c>
      <c r="B118" s="19" t="s">
        <v>404</v>
      </c>
      <c r="C118" s="19" t="s">
        <v>405</v>
      </c>
      <c r="D118" s="20">
        <f t="shared" si="2"/>
        <v>199</v>
      </c>
      <c r="E118" s="22">
        <v>166</v>
      </c>
      <c r="F118" s="22">
        <v>13</v>
      </c>
      <c r="G118" s="22">
        <v>12</v>
      </c>
      <c r="H118" s="22">
        <v>6</v>
      </c>
      <c r="I118" s="22">
        <v>2</v>
      </c>
      <c r="J118" s="67"/>
      <c r="N118" s="81"/>
      <c r="O118"/>
    </row>
    <row r="119" spans="1:15" ht="32.1">
      <c r="A119" s="23" t="s">
        <v>406</v>
      </c>
      <c r="B119" s="19" t="s">
        <v>407</v>
      </c>
      <c r="C119" s="19" t="s">
        <v>408</v>
      </c>
      <c r="D119" s="20">
        <f t="shared" si="2"/>
        <v>5</v>
      </c>
      <c r="E119" s="22">
        <v>0</v>
      </c>
      <c r="F119" s="22">
        <v>5</v>
      </c>
      <c r="G119" s="22">
        <v>0</v>
      </c>
      <c r="H119" s="22">
        <v>0</v>
      </c>
      <c r="I119" s="22">
        <v>0</v>
      </c>
      <c r="J119" s="68"/>
      <c r="N119" s="81"/>
      <c r="O119"/>
    </row>
    <row r="120" spans="1:15">
      <c r="A120" s="23" t="s">
        <v>409</v>
      </c>
      <c r="B120" s="19" t="s">
        <v>410</v>
      </c>
      <c r="C120" s="19" t="s">
        <v>411</v>
      </c>
      <c r="D120" s="20">
        <f t="shared" si="2"/>
        <v>1</v>
      </c>
      <c r="E120" s="22">
        <v>0</v>
      </c>
      <c r="F120" s="22">
        <v>0</v>
      </c>
      <c r="G120" s="22">
        <v>0</v>
      </c>
      <c r="H120" s="22">
        <v>1</v>
      </c>
      <c r="I120" s="22">
        <v>0</v>
      </c>
      <c r="J120" s="68"/>
      <c r="N120" s="81"/>
      <c r="O120"/>
    </row>
    <row r="121" spans="1:15">
      <c r="A121" s="23" t="s">
        <v>412</v>
      </c>
      <c r="B121" s="19" t="s">
        <v>413</v>
      </c>
      <c r="C121" s="19" t="s">
        <v>392</v>
      </c>
      <c r="D121" s="20">
        <f t="shared" si="2"/>
        <v>0</v>
      </c>
      <c r="E121" s="22">
        <v>0</v>
      </c>
      <c r="F121" s="22">
        <v>0</v>
      </c>
      <c r="G121" s="22">
        <v>0</v>
      </c>
      <c r="H121" s="22">
        <v>0</v>
      </c>
      <c r="I121" s="22">
        <v>0</v>
      </c>
      <c r="J121" s="68"/>
      <c r="N121" s="81"/>
      <c r="O121"/>
    </row>
    <row r="122" spans="1:15">
      <c r="A122" s="23" t="s">
        <v>414</v>
      </c>
      <c r="B122" s="19" t="s">
        <v>415</v>
      </c>
      <c r="C122" s="19" t="s">
        <v>392</v>
      </c>
      <c r="D122" s="20">
        <f t="shared" si="2"/>
        <v>0</v>
      </c>
      <c r="E122" s="22">
        <v>0</v>
      </c>
      <c r="F122" s="22">
        <v>0</v>
      </c>
      <c r="G122" s="22">
        <v>0</v>
      </c>
      <c r="H122" s="22">
        <v>0</v>
      </c>
      <c r="I122" s="22">
        <v>0</v>
      </c>
      <c r="J122" s="68"/>
      <c r="N122" s="81"/>
      <c r="O122"/>
    </row>
    <row r="123" spans="1:15">
      <c r="A123" s="23" t="s">
        <v>416</v>
      </c>
      <c r="B123" s="19" t="s">
        <v>417</v>
      </c>
      <c r="C123" s="19" t="s">
        <v>392</v>
      </c>
      <c r="D123" s="20">
        <f t="shared" si="2"/>
        <v>0</v>
      </c>
      <c r="E123" s="22">
        <v>0</v>
      </c>
      <c r="F123" s="22">
        <v>0</v>
      </c>
      <c r="G123" s="22">
        <v>0</v>
      </c>
      <c r="H123" s="22">
        <v>0</v>
      </c>
      <c r="I123" s="22">
        <v>0</v>
      </c>
      <c r="J123" s="68"/>
      <c r="N123" s="81"/>
      <c r="O123"/>
    </row>
    <row r="124" spans="1:15">
      <c r="A124" s="23" t="s">
        <v>418</v>
      </c>
      <c r="B124" s="19" t="s">
        <v>419</v>
      </c>
      <c r="C124" s="19" t="s">
        <v>392</v>
      </c>
      <c r="D124" s="20">
        <f t="shared" si="2"/>
        <v>0</v>
      </c>
      <c r="E124" s="22">
        <v>0</v>
      </c>
      <c r="F124" s="22">
        <v>0</v>
      </c>
      <c r="G124" s="22">
        <v>0</v>
      </c>
      <c r="H124" s="22">
        <v>0</v>
      </c>
      <c r="I124" s="22">
        <v>0</v>
      </c>
      <c r="J124" s="68"/>
      <c r="N124" s="81"/>
      <c r="O124"/>
    </row>
    <row r="125" spans="1:15">
      <c r="A125" s="23" t="s">
        <v>420</v>
      </c>
      <c r="B125" s="19" t="s">
        <v>421</v>
      </c>
      <c r="C125" s="19" t="s">
        <v>392</v>
      </c>
      <c r="D125" s="20">
        <f t="shared" si="2"/>
        <v>0</v>
      </c>
      <c r="E125" s="22">
        <v>0</v>
      </c>
      <c r="F125" s="22">
        <v>0</v>
      </c>
      <c r="G125" s="22">
        <v>0</v>
      </c>
      <c r="H125" s="22">
        <v>0</v>
      </c>
      <c r="I125" s="22">
        <v>0</v>
      </c>
      <c r="J125" s="68"/>
      <c r="N125" s="81"/>
      <c r="O125"/>
    </row>
    <row r="126" spans="1:15">
      <c r="A126" s="23" t="s">
        <v>422</v>
      </c>
      <c r="B126" s="19" t="s">
        <v>423</v>
      </c>
      <c r="C126" s="19" t="s">
        <v>392</v>
      </c>
      <c r="D126" s="20">
        <f t="shared" si="2"/>
        <v>0</v>
      </c>
      <c r="E126" s="22">
        <v>0</v>
      </c>
      <c r="F126" s="22">
        <v>0</v>
      </c>
      <c r="G126" s="22">
        <v>0</v>
      </c>
      <c r="H126" s="22">
        <v>0</v>
      </c>
      <c r="I126" s="22">
        <v>0</v>
      </c>
      <c r="J126" s="68"/>
      <c r="N126" s="81"/>
      <c r="O126"/>
    </row>
    <row r="127" spans="1:15">
      <c r="A127" s="23" t="s">
        <v>424</v>
      </c>
      <c r="B127" s="19" t="s">
        <v>425</v>
      </c>
      <c r="C127" s="19" t="s">
        <v>285</v>
      </c>
      <c r="D127" s="20">
        <f t="shared" si="2"/>
        <v>0</v>
      </c>
      <c r="E127" s="22">
        <v>0</v>
      </c>
      <c r="F127" s="22">
        <v>0</v>
      </c>
      <c r="G127" s="22">
        <v>0</v>
      </c>
      <c r="H127" s="22">
        <v>0</v>
      </c>
      <c r="I127" s="22">
        <v>0</v>
      </c>
      <c r="J127" s="68"/>
      <c r="N127" s="81"/>
      <c r="O127"/>
    </row>
    <row r="128" spans="1:15">
      <c r="A128" s="24" t="s">
        <v>426</v>
      </c>
      <c r="B128" s="25"/>
      <c r="C128" s="25"/>
      <c r="D128" s="16"/>
      <c r="E128" s="28"/>
      <c r="F128" s="28"/>
      <c r="G128" s="28"/>
      <c r="H128" s="28"/>
      <c r="I128" s="28"/>
      <c r="J128" s="67"/>
      <c r="N128" s="81"/>
      <c r="O128"/>
    </row>
    <row r="129" spans="1:15">
      <c r="A129" s="23"/>
      <c r="B129" s="19" t="s">
        <v>427</v>
      </c>
      <c r="C129" s="19" t="s">
        <v>428</v>
      </c>
      <c r="D129" s="20">
        <f t="shared" si="2"/>
        <v>173624.44999999998</v>
      </c>
      <c r="E129" s="22">
        <v>89654.63</v>
      </c>
      <c r="F129" s="22">
        <v>27272.52</v>
      </c>
      <c r="G129" s="22">
        <v>14282.85</v>
      </c>
      <c r="H129" s="22">
        <v>27725.360000000001</v>
      </c>
      <c r="I129" s="22">
        <v>14689.09</v>
      </c>
      <c r="J129" s="67"/>
      <c r="N129" s="81"/>
      <c r="O129"/>
    </row>
    <row r="130" spans="1:15">
      <c r="A130" s="23"/>
      <c r="B130" s="19" t="s">
        <v>429</v>
      </c>
      <c r="C130" s="19" t="s">
        <v>428</v>
      </c>
      <c r="D130" s="20">
        <f t="shared" si="2"/>
        <v>173624.44999999998</v>
      </c>
      <c r="E130" s="22">
        <v>89654.63</v>
      </c>
      <c r="F130" s="22">
        <v>27272.52</v>
      </c>
      <c r="G130" s="22">
        <v>14282.85</v>
      </c>
      <c r="H130" s="22">
        <v>27725.360000000001</v>
      </c>
      <c r="I130" s="22">
        <v>14689.09</v>
      </c>
      <c r="J130" s="67"/>
      <c r="N130" s="81"/>
      <c r="O130"/>
    </row>
    <row r="131" spans="1:15">
      <c r="A131" s="23"/>
      <c r="B131" s="19" t="s">
        <v>430</v>
      </c>
      <c r="C131" s="19" t="s">
        <v>428</v>
      </c>
      <c r="D131" s="20">
        <f t="shared" si="2"/>
        <v>173624.44999999998</v>
      </c>
      <c r="E131" s="22">
        <v>89654.63</v>
      </c>
      <c r="F131" s="22">
        <v>27272.52</v>
      </c>
      <c r="G131" s="22">
        <v>14282.85</v>
      </c>
      <c r="H131" s="22">
        <v>27725.360000000001</v>
      </c>
      <c r="I131" s="22">
        <v>14689.09</v>
      </c>
      <c r="J131" s="67"/>
      <c r="N131" s="81"/>
      <c r="O131"/>
    </row>
    <row r="132" spans="1:15">
      <c r="A132" s="23"/>
      <c r="B132" s="19" t="s">
        <v>431</v>
      </c>
      <c r="C132" s="19" t="s">
        <v>428</v>
      </c>
      <c r="D132" s="20">
        <f t="shared" si="2"/>
        <v>173624.44999999998</v>
      </c>
      <c r="E132" s="22">
        <v>89654.63</v>
      </c>
      <c r="F132" s="22">
        <v>27272.52</v>
      </c>
      <c r="G132" s="22">
        <v>14282.85</v>
      </c>
      <c r="H132" s="22">
        <v>27725.360000000001</v>
      </c>
      <c r="I132" s="22">
        <v>14689.09</v>
      </c>
      <c r="J132" s="67"/>
      <c r="N132" s="81"/>
      <c r="O132"/>
    </row>
    <row r="133" spans="1:15">
      <c r="A133" s="24" t="s">
        <v>432</v>
      </c>
      <c r="B133" s="25"/>
      <c r="C133" s="25"/>
      <c r="D133" s="16"/>
      <c r="E133" s="28"/>
      <c r="F133" s="28"/>
      <c r="G133" s="28"/>
      <c r="H133" s="28"/>
      <c r="I133" s="28"/>
      <c r="M133" s="76"/>
      <c r="O133"/>
    </row>
    <row r="134" spans="1:15">
      <c r="A134" s="23"/>
      <c r="B134" s="19" t="s">
        <v>433</v>
      </c>
      <c r="C134" s="19" t="s">
        <v>434</v>
      </c>
      <c r="D134" s="20">
        <f t="shared" si="2"/>
        <v>235463</v>
      </c>
      <c r="E134" s="22">
        <v>173545</v>
      </c>
      <c r="F134" s="22">
        <v>16800</v>
      </c>
      <c r="G134" s="22">
        <v>8407</v>
      </c>
      <c r="H134" s="22">
        <v>33919</v>
      </c>
      <c r="I134" s="22">
        <v>2792</v>
      </c>
      <c r="O134"/>
    </row>
    <row r="135" spans="1:15">
      <c r="A135" s="23"/>
      <c r="B135" s="19" t="s">
        <v>435</v>
      </c>
      <c r="C135" s="19" t="s">
        <v>434</v>
      </c>
      <c r="D135" s="20">
        <f t="shared" si="2"/>
        <v>236232</v>
      </c>
      <c r="E135" s="22">
        <v>174792</v>
      </c>
      <c r="F135" s="22">
        <v>17003</v>
      </c>
      <c r="G135" s="22">
        <v>8779</v>
      </c>
      <c r="H135" s="22">
        <v>32703</v>
      </c>
      <c r="I135" s="22">
        <v>2955</v>
      </c>
      <c r="O135"/>
    </row>
    <row r="136" spans="1:15">
      <c r="A136" s="23"/>
      <c r="B136" s="19" t="s">
        <v>436</v>
      </c>
      <c r="C136" s="19" t="s">
        <v>434</v>
      </c>
      <c r="D136" s="20">
        <f t="shared" si="2"/>
        <v>253558</v>
      </c>
      <c r="E136" s="22">
        <v>188536</v>
      </c>
      <c r="F136" s="22">
        <v>13724</v>
      </c>
      <c r="G136" s="22">
        <v>9269</v>
      </c>
      <c r="H136" s="22">
        <v>39116</v>
      </c>
      <c r="I136" s="22">
        <v>2913</v>
      </c>
      <c r="O136"/>
    </row>
    <row r="137" spans="1:15">
      <c r="D137" s="37"/>
      <c r="E137" s="31"/>
      <c r="F137" s="31"/>
      <c r="G137" s="31"/>
      <c r="H137" s="31"/>
      <c r="I137" s="31"/>
      <c r="K137" s="70"/>
    </row>
    <row r="138" spans="1:15">
      <c r="D138" s="37"/>
      <c r="O138"/>
    </row>
    <row r="176" spans="14:15">
      <c r="N176" s="44"/>
      <c r="O176" s="44"/>
    </row>
    <row r="177" spans="14:15">
      <c r="N177" s="44"/>
      <c r="O177" s="44"/>
    </row>
    <row r="178" spans="14:15">
      <c r="N178" s="44"/>
      <c r="O178" s="44"/>
    </row>
    <row r="179" spans="14:15">
      <c r="N179" s="44"/>
      <c r="O179" s="44"/>
    </row>
    <row r="180" spans="14:15">
      <c r="N180" s="44"/>
      <c r="O180" s="44"/>
    </row>
    <row r="181" spans="14:15">
      <c r="N181" s="44"/>
      <c r="O181" s="44"/>
    </row>
    <row r="182" spans="14:15">
      <c r="N182" s="44"/>
      <c r="O182" s="44"/>
    </row>
    <row r="183" spans="14:15">
      <c r="N183" s="44"/>
      <c r="O183" s="44"/>
    </row>
    <row r="184" spans="14:15">
      <c r="N184" s="44"/>
      <c r="O184" s="44"/>
    </row>
    <row r="185" spans="14:15">
      <c r="N185" s="44"/>
      <c r="O185" s="44"/>
    </row>
    <row r="186" spans="14:15">
      <c r="N186" s="44"/>
      <c r="O186" s="44"/>
    </row>
    <row r="187" spans="14:15">
      <c r="N187" s="44"/>
      <c r="O187" s="44"/>
    </row>
    <row r="188" spans="14:15">
      <c r="N188" s="44"/>
      <c r="O188" s="44"/>
    </row>
    <row r="189" spans="14:15">
      <c r="N189" s="44"/>
      <c r="O189" s="44"/>
    </row>
    <row r="190" spans="14:15">
      <c r="N190" s="44"/>
      <c r="O190" s="44"/>
    </row>
    <row r="191" spans="14:15">
      <c r="N191" s="44"/>
      <c r="O191" s="44"/>
    </row>
    <row r="192" spans="14:15">
      <c r="N192" s="44"/>
      <c r="O192" s="44"/>
    </row>
    <row r="193" spans="14:15">
      <c r="N193" s="44"/>
      <c r="O193" s="44"/>
    </row>
    <row r="194" spans="14:15">
      <c r="N194" s="44"/>
      <c r="O194" s="44"/>
    </row>
    <row r="195" spans="14:15">
      <c r="N195" s="44"/>
      <c r="O195" s="44"/>
    </row>
    <row r="196" spans="14:15">
      <c r="N196" s="44"/>
      <c r="O196" s="44"/>
    </row>
    <row r="197" spans="14:15">
      <c r="N197" s="44"/>
      <c r="O197" s="44"/>
    </row>
    <row r="198" spans="14:15">
      <c r="N198" s="44"/>
      <c r="O198" s="44"/>
    </row>
    <row r="199" spans="14:15">
      <c r="N199" s="44"/>
      <c r="O199" s="44"/>
    </row>
    <row r="200" spans="14:15">
      <c r="N200" s="44"/>
      <c r="O200" s="44"/>
    </row>
    <row r="201" spans="14:15">
      <c r="N201" s="44"/>
      <c r="O201" s="44"/>
    </row>
    <row r="202" spans="14:15">
      <c r="N202" s="44"/>
      <c r="O202" s="44"/>
    </row>
    <row r="203" spans="14:15">
      <c r="N203" s="44"/>
      <c r="O203" s="44"/>
    </row>
    <row r="204" spans="14:15">
      <c r="N204" s="44"/>
      <c r="O204" s="44"/>
    </row>
    <row r="205" spans="14:15">
      <c r="N205" s="44"/>
      <c r="O205" s="44"/>
    </row>
    <row r="206" spans="14:15">
      <c r="N206" s="44"/>
      <c r="O206" s="44"/>
    </row>
    <row r="207" spans="14:15">
      <c r="N207" s="44"/>
      <c r="O207" s="44"/>
    </row>
    <row r="208" spans="14:15">
      <c r="N208" s="44"/>
      <c r="O208" s="44"/>
    </row>
    <row r="209" spans="14:15">
      <c r="N209" s="44"/>
      <c r="O209" s="44"/>
    </row>
    <row r="210" spans="14:15">
      <c r="N210" s="44"/>
      <c r="O210" s="44"/>
    </row>
    <row r="211" spans="14:15">
      <c r="N211" s="44"/>
      <c r="O211" s="44"/>
    </row>
    <row r="212" spans="14:15">
      <c r="N212" s="44"/>
      <c r="O212" s="44"/>
    </row>
    <row r="213" spans="14:15">
      <c r="N213" s="44"/>
      <c r="O213" s="44"/>
    </row>
    <row r="214" spans="14:15">
      <c r="N214" s="44"/>
      <c r="O214" s="44"/>
    </row>
    <row r="215" spans="14:15">
      <c r="N215" s="44"/>
      <c r="O215" s="44"/>
    </row>
    <row r="217" spans="14:15">
      <c r="N217" s="44"/>
      <c r="O217" s="44"/>
    </row>
  </sheetData>
  <mergeCells count="6">
    <mergeCell ref="E83:I83"/>
    <mergeCell ref="A1:C7"/>
    <mergeCell ref="E42:I42"/>
    <mergeCell ref="E70:I70"/>
    <mergeCell ref="E71:I71"/>
    <mergeCell ref="E72:I72"/>
  </mergeCells>
  <pageMargins left="0.70866141732283472" right="0.70866141732283472" top="0.74803149606299213" bottom="0.74803149606299213" header="0.31496062992125984" footer="0.31496062992125984"/>
  <pageSetup paperSize="8" scale="50" fitToHeight="5" orientation="landscape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18B2F-66C2-4367-929A-1775CA087931}">
  <sheetPr codeName="Sheet11">
    <pageSetUpPr fitToPage="1"/>
  </sheetPr>
  <dimension ref="A1:AI217"/>
  <sheetViews>
    <sheetView showGridLines="0" topLeftCell="A98" zoomScale="90" zoomScaleNormal="90" workbookViewId="0">
      <selection activeCell="B43" sqref="B43"/>
    </sheetView>
  </sheetViews>
  <sheetFormatPr defaultColWidth="9.28515625" defaultRowHeight="16.5"/>
  <cols>
    <col min="1" max="1" width="27.7109375" style="4" customWidth="1"/>
    <col min="2" max="2" width="57.42578125" style="30" bestFit="1" customWidth="1"/>
    <col min="3" max="3" width="30.28515625" style="30" bestFit="1" customWidth="1"/>
    <col min="4" max="4" width="28.5703125" style="31" customWidth="1"/>
    <col min="5" max="7" width="24.28515625" style="32" bestFit="1" customWidth="1"/>
    <col min="8" max="8" width="18.5703125" style="76" bestFit="1" customWidth="1"/>
    <col min="9" max="9" width="14.42578125" bestFit="1" customWidth="1"/>
    <col min="10" max="11" width="25.7109375" style="33" customWidth="1"/>
    <col min="12" max="35" width="14.28515625" style="3" customWidth="1"/>
    <col min="36" max="16384" width="9.28515625" style="4"/>
  </cols>
  <sheetData>
    <row r="1" spans="1:35" ht="14.45" customHeight="1">
      <c r="A1" s="85" t="s">
        <v>1398</v>
      </c>
      <c r="B1" s="86"/>
      <c r="C1" s="87"/>
      <c r="D1" s="1" t="s">
        <v>1</v>
      </c>
      <c r="E1" s="2" t="s">
        <v>1399</v>
      </c>
      <c r="F1" s="2" t="s">
        <v>1400</v>
      </c>
      <c r="G1" s="2" t="s">
        <v>1401</v>
      </c>
    </row>
    <row r="2" spans="1:35" ht="14.45" customHeight="1">
      <c r="A2" s="88"/>
      <c r="B2" s="89"/>
      <c r="C2" s="90"/>
      <c r="D2" s="1" t="s">
        <v>2</v>
      </c>
      <c r="E2" s="5" t="s">
        <v>1402</v>
      </c>
      <c r="F2" s="5" t="s">
        <v>1403</v>
      </c>
      <c r="G2" s="5" t="s">
        <v>1404</v>
      </c>
      <c r="J2" s="35"/>
      <c r="K2" s="35"/>
    </row>
    <row r="3" spans="1:35" ht="14.45" customHeight="1">
      <c r="A3" s="88"/>
      <c r="B3" s="89"/>
      <c r="C3" s="90"/>
      <c r="D3" s="1" t="s">
        <v>11</v>
      </c>
      <c r="E3" s="6" t="s">
        <v>1388</v>
      </c>
      <c r="F3" s="6" t="s">
        <v>1388</v>
      </c>
      <c r="G3" s="6" t="s">
        <v>1388</v>
      </c>
    </row>
    <row r="4" spans="1:35">
      <c r="A4" s="88"/>
      <c r="B4" s="89"/>
      <c r="C4" s="90"/>
      <c r="D4" s="1" t="s">
        <v>14</v>
      </c>
      <c r="E4" s="6" t="s">
        <v>1405</v>
      </c>
      <c r="F4" s="6" t="s">
        <v>1405</v>
      </c>
      <c r="G4" s="6" t="s">
        <v>1405</v>
      </c>
    </row>
    <row r="5" spans="1:35">
      <c r="A5" s="88"/>
      <c r="B5" s="89"/>
      <c r="C5" s="90"/>
      <c r="D5" s="1" t="s">
        <v>122</v>
      </c>
      <c r="E5" s="7" t="s">
        <v>1406</v>
      </c>
      <c r="F5" s="7" t="s">
        <v>1406</v>
      </c>
      <c r="G5" s="7" t="s">
        <v>1406</v>
      </c>
    </row>
    <row r="6" spans="1:35" ht="32.1">
      <c r="A6" s="88"/>
      <c r="B6" s="89"/>
      <c r="C6" s="90"/>
      <c r="D6" s="1" t="s">
        <v>134</v>
      </c>
      <c r="E6" s="9" t="s">
        <v>1407</v>
      </c>
      <c r="F6" s="9" t="s">
        <v>135</v>
      </c>
      <c r="G6" s="9" t="s">
        <v>135</v>
      </c>
    </row>
    <row r="7" spans="1:35" ht="14.45" customHeight="1">
      <c r="A7" s="91"/>
      <c r="B7" s="92"/>
      <c r="C7" s="93"/>
      <c r="D7" s="1" t="s">
        <v>147</v>
      </c>
      <c r="E7" s="9" t="s">
        <v>1074</v>
      </c>
      <c r="F7" s="9" t="s">
        <v>1067</v>
      </c>
      <c r="G7" s="9" t="s">
        <v>1067</v>
      </c>
      <c r="I7" s="58"/>
    </row>
    <row r="8" spans="1:35">
      <c r="A8" s="10" t="s">
        <v>151</v>
      </c>
      <c r="B8" s="11" t="s">
        <v>152</v>
      </c>
      <c r="C8" s="11" t="s">
        <v>153</v>
      </c>
      <c r="D8" s="12" t="s">
        <v>154</v>
      </c>
      <c r="E8" s="13"/>
      <c r="F8" s="13"/>
      <c r="G8" s="13"/>
    </row>
    <row r="9" spans="1:35" s="18" customFormat="1">
      <c r="A9" s="14" t="s">
        <v>155</v>
      </c>
      <c r="B9" s="15"/>
      <c r="C9" s="15"/>
      <c r="D9" s="16"/>
      <c r="E9" s="17"/>
      <c r="F9" s="17"/>
      <c r="G9" s="17"/>
      <c r="H9" s="76"/>
      <c r="I9"/>
      <c r="J9" s="33"/>
      <c r="K9" s="3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</row>
    <row r="10" spans="1:35" ht="15.95" customHeight="1">
      <c r="A10" s="19" t="s">
        <v>156</v>
      </c>
      <c r="B10" s="19" t="s">
        <v>157</v>
      </c>
      <c r="C10" s="19" t="s">
        <v>158</v>
      </c>
      <c r="D10" s="20">
        <f>SUM(E10:G10)</f>
        <v>0</v>
      </c>
      <c r="E10" s="21">
        <v>0</v>
      </c>
      <c r="F10" s="21">
        <v>0</v>
      </c>
      <c r="G10" s="21">
        <v>0</v>
      </c>
      <c r="J10" s="80"/>
      <c r="K10"/>
    </row>
    <row r="11" spans="1:35" ht="15.95" customHeight="1">
      <c r="A11" s="19" t="s">
        <v>156</v>
      </c>
      <c r="B11" s="19" t="s">
        <v>159</v>
      </c>
      <c r="C11" s="19" t="s">
        <v>158</v>
      </c>
      <c r="D11" s="20">
        <f t="shared" ref="D11:D74" si="0">SUM(E11:G11)</f>
        <v>0</v>
      </c>
      <c r="E11" s="21">
        <v>0</v>
      </c>
      <c r="F11" s="21">
        <v>0</v>
      </c>
      <c r="G11" s="21">
        <v>0</v>
      </c>
      <c r="J11" s="81"/>
      <c r="K11"/>
    </row>
    <row r="12" spans="1:35" ht="15.95" customHeight="1">
      <c r="A12" s="19" t="s">
        <v>156</v>
      </c>
      <c r="B12" s="19" t="s">
        <v>160</v>
      </c>
      <c r="C12" s="19" t="s">
        <v>158</v>
      </c>
      <c r="D12" s="20">
        <f t="shared" si="0"/>
        <v>0</v>
      </c>
      <c r="E12" s="21">
        <v>0</v>
      </c>
      <c r="F12" s="21">
        <v>0</v>
      </c>
      <c r="G12" s="21">
        <v>0</v>
      </c>
      <c r="J12" s="81"/>
      <c r="K12"/>
    </row>
    <row r="13" spans="1:35" ht="15.95" customHeight="1">
      <c r="A13" s="19" t="s">
        <v>156</v>
      </c>
      <c r="B13" s="19" t="s">
        <v>161</v>
      </c>
      <c r="C13" s="19" t="s">
        <v>158</v>
      </c>
      <c r="D13" s="20">
        <f t="shared" si="0"/>
        <v>3</v>
      </c>
      <c r="E13" s="21">
        <v>3</v>
      </c>
      <c r="F13" s="21">
        <v>0</v>
      </c>
      <c r="G13" s="21">
        <v>0</v>
      </c>
      <c r="J13" s="81"/>
      <c r="K13"/>
    </row>
    <row r="14" spans="1:35" ht="15.95" customHeight="1">
      <c r="A14" s="19" t="s">
        <v>162</v>
      </c>
      <c r="B14" s="19" t="s">
        <v>163</v>
      </c>
      <c r="C14" s="19" t="s">
        <v>164</v>
      </c>
      <c r="D14" s="20">
        <f t="shared" si="0"/>
        <v>0</v>
      </c>
      <c r="E14" s="22">
        <v>0</v>
      </c>
      <c r="F14" s="22">
        <v>0</v>
      </c>
      <c r="G14" s="22">
        <v>0</v>
      </c>
      <c r="J14" s="81"/>
      <c r="K14"/>
    </row>
    <row r="15" spans="1:35" ht="15.95" customHeight="1">
      <c r="A15" s="19" t="s">
        <v>165</v>
      </c>
      <c r="B15" s="19" t="s">
        <v>166</v>
      </c>
      <c r="C15" s="19" t="s">
        <v>167</v>
      </c>
      <c r="D15" s="20">
        <f t="shared" si="0"/>
        <v>1</v>
      </c>
      <c r="E15" s="21">
        <v>0</v>
      </c>
      <c r="F15" s="21">
        <v>1</v>
      </c>
      <c r="G15" s="21">
        <v>0</v>
      </c>
      <c r="J15" s="81"/>
      <c r="K15"/>
    </row>
    <row r="16" spans="1:35" ht="15.95" customHeight="1">
      <c r="A16" s="19" t="s">
        <v>168</v>
      </c>
      <c r="B16" s="19" t="s">
        <v>169</v>
      </c>
      <c r="C16" s="19" t="s">
        <v>170</v>
      </c>
      <c r="D16" s="20">
        <f t="shared" si="0"/>
        <v>0</v>
      </c>
      <c r="E16" s="21">
        <v>0</v>
      </c>
      <c r="F16" s="21">
        <v>0</v>
      </c>
      <c r="G16" s="21">
        <v>0</v>
      </c>
      <c r="J16" s="81"/>
      <c r="K16"/>
    </row>
    <row r="17" spans="1:11" ht="15.95" customHeight="1">
      <c r="A17" s="19" t="s">
        <v>168</v>
      </c>
      <c r="B17" s="19" t="s">
        <v>171</v>
      </c>
      <c r="C17" s="19" t="s">
        <v>170</v>
      </c>
      <c r="D17" s="20">
        <f t="shared" si="0"/>
        <v>9</v>
      </c>
      <c r="E17" s="21">
        <v>4</v>
      </c>
      <c r="F17" s="21">
        <v>3</v>
      </c>
      <c r="G17" s="21">
        <v>2</v>
      </c>
      <c r="J17" s="81"/>
      <c r="K17"/>
    </row>
    <row r="18" spans="1:11" ht="15.95" customHeight="1">
      <c r="A18" s="19" t="s">
        <v>168</v>
      </c>
      <c r="B18" s="19" t="s">
        <v>172</v>
      </c>
      <c r="C18" s="19" t="s">
        <v>170</v>
      </c>
      <c r="D18" s="20">
        <f t="shared" si="0"/>
        <v>0</v>
      </c>
      <c r="E18" s="21">
        <v>0</v>
      </c>
      <c r="F18" s="21">
        <v>0</v>
      </c>
      <c r="G18" s="21">
        <v>0</v>
      </c>
      <c r="J18" s="81"/>
      <c r="K18"/>
    </row>
    <row r="19" spans="1:11" ht="15.95" customHeight="1">
      <c r="A19" s="19" t="s">
        <v>173</v>
      </c>
      <c r="B19" s="19" t="s">
        <v>174</v>
      </c>
      <c r="C19" s="19" t="s">
        <v>175</v>
      </c>
      <c r="D19" s="20">
        <f t="shared" si="0"/>
        <v>2</v>
      </c>
      <c r="E19" s="21">
        <v>2</v>
      </c>
      <c r="F19" s="21">
        <v>0</v>
      </c>
      <c r="G19" s="21">
        <v>0</v>
      </c>
      <c r="J19" s="81"/>
      <c r="K19"/>
    </row>
    <row r="20" spans="1:11" ht="15.95" customHeight="1">
      <c r="A20" s="19" t="s">
        <v>176</v>
      </c>
      <c r="B20" s="19" t="s">
        <v>177</v>
      </c>
      <c r="C20" s="19" t="s">
        <v>178</v>
      </c>
      <c r="D20" s="20">
        <f t="shared" si="0"/>
        <v>0</v>
      </c>
      <c r="E20" s="22">
        <v>0</v>
      </c>
      <c r="F20" s="22">
        <v>0</v>
      </c>
      <c r="G20" s="22">
        <v>0</v>
      </c>
      <c r="J20" s="81"/>
      <c r="K20"/>
    </row>
    <row r="21" spans="1:11">
      <c r="A21" s="19" t="s">
        <v>179</v>
      </c>
      <c r="B21" s="19" t="s">
        <v>180</v>
      </c>
      <c r="C21" s="19" t="s">
        <v>181</v>
      </c>
      <c r="D21" s="20">
        <f t="shared" si="0"/>
        <v>0</v>
      </c>
      <c r="E21" s="22">
        <v>0</v>
      </c>
      <c r="F21" s="22">
        <v>0</v>
      </c>
      <c r="G21" s="22">
        <v>0</v>
      </c>
      <c r="J21" s="81"/>
      <c r="K21"/>
    </row>
    <row r="22" spans="1:11">
      <c r="A22" s="19" t="s">
        <v>182</v>
      </c>
      <c r="B22" s="19" t="s">
        <v>183</v>
      </c>
      <c r="C22" s="19" t="s">
        <v>181</v>
      </c>
      <c r="D22" s="20">
        <f t="shared" si="0"/>
        <v>0</v>
      </c>
      <c r="E22" s="22">
        <v>0</v>
      </c>
      <c r="F22" s="22">
        <v>0</v>
      </c>
      <c r="G22" s="22">
        <v>0</v>
      </c>
      <c r="J22" s="81"/>
      <c r="K22"/>
    </row>
    <row r="23" spans="1:11" ht="15.95" customHeight="1">
      <c r="A23" s="19" t="s">
        <v>182</v>
      </c>
      <c r="B23" s="19" t="s">
        <v>184</v>
      </c>
      <c r="C23" s="19" t="s">
        <v>181</v>
      </c>
      <c r="D23" s="20">
        <f t="shared" si="0"/>
        <v>0</v>
      </c>
      <c r="E23" s="22">
        <v>0</v>
      </c>
      <c r="F23" s="22">
        <v>0</v>
      </c>
      <c r="G23" s="22">
        <v>0</v>
      </c>
      <c r="J23" s="81"/>
      <c r="K23"/>
    </row>
    <row r="24" spans="1:11">
      <c r="A24" s="19" t="s">
        <v>185</v>
      </c>
      <c r="B24" s="19" t="s">
        <v>186</v>
      </c>
      <c r="C24" s="19" t="s">
        <v>187</v>
      </c>
      <c r="D24" s="20">
        <f t="shared" si="0"/>
        <v>11</v>
      </c>
      <c r="E24" s="21">
        <v>11</v>
      </c>
      <c r="F24" s="21">
        <v>0</v>
      </c>
      <c r="G24" s="21">
        <v>0</v>
      </c>
      <c r="J24" s="81"/>
      <c r="K24"/>
    </row>
    <row r="25" spans="1:11">
      <c r="A25" s="19" t="s">
        <v>185</v>
      </c>
      <c r="B25" s="19" t="s">
        <v>188</v>
      </c>
      <c r="C25" s="19" t="s">
        <v>187</v>
      </c>
      <c r="D25" s="20">
        <f t="shared" si="0"/>
        <v>1</v>
      </c>
      <c r="E25" s="21">
        <v>1</v>
      </c>
      <c r="F25" s="21">
        <v>0</v>
      </c>
      <c r="G25" s="21">
        <v>0</v>
      </c>
      <c r="J25" s="81"/>
      <c r="K25"/>
    </row>
    <row r="26" spans="1:11">
      <c r="A26" s="19" t="s">
        <v>185</v>
      </c>
      <c r="B26" s="19" t="s">
        <v>189</v>
      </c>
      <c r="C26" s="19" t="s">
        <v>187</v>
      </c>
      <c r="D26" s="20">
        <f t="shared" si="0"/>
        <v>0</v>
      </c>
      <c r="E26" s="21">
        <v>0</v>
      </c>
      <c r="F26" s="21">
        <v>0</v>
      </c>
      <c r="G26" s="21">
        <v>0</v>
      </c>
      <c r="J26" s="81"/>
      <c r="K26"/>
    </row>
    <row r="27" spans="1:11">
      <c r="A27" s="19" t="s">
        <v>185</v>
      </c>
      <c r="B27" s="19" t="s">
        <v>190</v>
      </c>
      <c r="C27" s="19" t="s">
        <v>187</v>
      </c>
      <c r="D27" s="20">
        <f t="shared" si="0"/>
        <v>3</v>
      </c>
      <c r="E27" s="21">
        <v>3</v>
      </c>
      <c r="F27" s="21">
        <v>0</v>
      </c>
      <c r="G27" s="21">
        <v>0</v>
      </c>
      <c r="J27" s="81"/>
      <c r="K27"/>
    </row>
    <row r="28" spans="1:11">
      <c r="A28" s="19" t="s">
        <v>191</v>
      </c>
      <c r="B28" s="19" t="s">
        <v>192</v>
      </c>
      <c r="C28" s="19" t="s">
        <v>193</v>
      </c>
      <c r="D28" s="20">
        <f t="shared" si="0"/>
        <v>3</v>
      </c>
      <c r="E28" s="21">
        <v>3</v>
      </c>
      <c r="F28" s="21">
        <v>0</v>
      </c>
      <c r="G28" s="21">
        <v>0</v>
      </c>
      <c r="J28" s="81"/>
      <c r="K28"/>
    </row>
    <row r="29" spans="1:11" ht="32.1">
      <c r="A29" s="19" t="s">
        <v>194</v>
      </c>
      <c r="B29" s="19" t="s">
        <v>195</v>
      </c>
      <c r="C29" s="19" t="s">
        <v>196</v>
      </c>
      <c r="D29" s="20">
        <f t="shared" si="0"/>
        <v>43787.75</v>
      </c>
      <c r="E29" s="21">
        <v>42725</v>
      </c>
      <c r="F29" s="21">
        <v>883.5</v>
      </c>
      <c r="G29" s="21">
        <v>179.25</v>
      </c>
      <c r="J29" s="81"/>
      <c r="K29"/>
    </row>
    <row r="30" spans="1:11">
      <c r="A30" s="19" t="s">
        <v>197</v>
      </c>
      <c r="B30" s="19" t="s">
        <v>198</v>
      </c>
      <c r="C30" s="19" t="s">
        <v>199</v>
      </c>
      <c r="D30" s="20">
        <f t="shared" si="0"/>
        <v>444</v>
      </c>
      <c r="E30" s="21">
        <v>430</v>
      </c>
      <c r="F30" s="21">
        <v>14</v>
      </c>
      <c r="G30" s="21">
        <v>0</v>
      </c>
      <c r="J30" s="81"/>
      <c r="K30"/>
    </row>
    <row r="31" spans="1:11">
      <c r="A31" s="19" t="s">
        <v>200</v>
      </c>
      <c r="B31" s="19" t="s">
        <v>201</v>
      </c>
      <c r="C31" s="19" t="s">
        <v>202</v>
      </c>
      <c r="D31" s="20">
        <f t="shared" si="0"/>
        <v>3</v>
      </c>
      <c r="E31" s="21">
        <v>3</v>
      </c>
      <c r="F31" s="21">
        <v>0</v>
      </c>
      <c r="G31" s="21">
        <v>0</v>
      </c>
      <c r="J31" s="81"/>
      <c r="K31"/>
    </row>
    <row r="32" spans="1:11">
      <c r="A32" s="19" t="s">
        <v>203</v>
      </c>
      <c r="B32" s="19" t="s">
        <v>204</v>
      </c>
      <c r="C32" s="19" t="s">
        <v>205</v>
      </c>
      <c r="D32" s="20">
        <f t="shared" si="0"/>
        <v>148</v>
      </c>
      <c r="E32" s="21">
        <v>148</v>
      </c>
      <c r="F32" s="21">
        <v>0</v>
      </c>
      <c r="G32" s="21">
        <v>0</v>
      </c>
      <c r="J32" s="81"/>
      <c r="K32"/>
    </row>
    <row r="33" spans="1:11" ht="14.65" customHeight="1">
      <c r="A33" s="19" t="s">
        <v>206</v>
      </c>
      <c r="B33" s="19" t="s">
        <v>207</v>
      </c>
      <c r="C33" s="19" t="s">
        <v>208</v>
      </c>
      <c r="D33" s="20">
        <f t="shared" si="0"/>
        <v>55</v>
      </c>
      <c r="E33" s="21">
        <v>49</v>
      </c>
      <c r="F33" s="21">
        <v>4</v>
      </c>
      <c r="G33" s="21">
        <v>2</v>
      </c>
      <c r="J33" s="81"/>
      <c r="K33"/>
    </row>
    <row r="34" spans="1:11">
      <c r="A34" s="19" t="s">
        <v>206</v>
      </c>
      <c r="B34" s="19" t="s">
        <v>209</v>
      </c>
      <c r="C34" s="19" t="s">
        <v>208</v>
      </c>
      <c r="D34" s="20">
        <f t="shared" si="0"/>
        <v>12</v>
      </c>
      <c r="E34" s="21">
        <v>10</v>
      </c>
      <c r="F34" s="21">
        <v>0</v>
      </c>
      <c r="G34" s="21">
        <v>2</v>
      </c>
      <c r="J34" s="81"/>
      <c r="K34"/>
    </row>
    <row r="35" spans="1:11">
      <c r="A35" s="19" t="s">
        <v>210</v>
      </c>
      <c r="B35" s="19" t="s">
        <v>211</v>
      </c>
      <c r="C35" s="19" t="s">
        <v>212</v>
      </c>
      <c r="D35" s="20">
        <f t="shared" si="0"/>
        <v>14</v>
      </c>
      <c r="E35" s="21">
        <v>14</v>
      </c>
      <c r="F35" s="21">
        <v>0</v>
      </c>
      <c r="G35" s="21">
        <v>0</v>
      </c>
      <c r="J35" s="81"/>
      <c r="K35"/>
    </row>
    <row r="36" spans="1:11" ht="32.1">
      <c r="A36" s="19" t="s">
        <v>213</v>
      </c>
      <c r="B36" s="19" t="s">
        <v>214</v>
      </c>
      <c r="C36" s="19" t="s">
        <v>215</v>
      </c>
      <c r="D36" s="20">
        <f t="shared" si="0"/>
        <v>48907</v>
      </c>
      <c r="E36" s="22">
        <v>39967.4</v>
      </c>
      <c r="F36" s="22">
        <v>7588</v>
      </c>
      <c r="G36" s="22">
        <v>1351.6</v>
      </c>
      <c r="J36" s="81"/>
      <c r="K36"/>
    </row>
    <row r="37" spans="1:11" ht="32.1">
      <c r="A37" s="19" t="s">
        <v>216</v>
      </c>
      <c r="B37" s="19" t="s">
        <v>217</v>
      </c>
      <c r="C37" s="19" t="s">
        <v>218</v>
      </c>
      <c r="D37" s="20">
        <f t="shared" si="0"/>
        <v>0</v>
      </c>
      <c r="E37" s="22">
        <v>0</v>
      </c>
      <c r="F37" s="22">
        <v>0</v>
      </c>
      <c r="G37" s="22">
        <v>0</v>
      </c>
      <c r="J37" s="81"/>
      <c r="K37"/>
    </row>
    <row r="38" spans="1:11" ht="48">
      <c r="A38" s="23" t="s">
        <v>216</v>
      </c>
      <c r="B38" s="19" t="s">
        <v>219</v>
      </c>
      <c r="C38" s="19" t="s">
        <v>218</v>
      </c>
      <c r="D38" s="20">
        <f t="shared" si="0"/>
        <v>1</v>
      </c>
      <c r="E38" s="22">
        <v>1</v>
      </c>
      <c r="F38" s="22">
        <v>0</v>
      </c>
      <c r="G38" s="22">
        <v>0</v>
      </c>
      <c r="J38" s="81"/>
      <c r="K38"/>
    </row>
    <row r="39" spans="1:11" ht="48">
      <c r="A39" s="23" t="s">
        <v>216</v>
      </c>
      <c r="B39" s="19" t="s">
        <v>220</v>
      </c>
      <c r="C39" s="19" t="s">
        <v>218</v>
      </c>
      <c r="D39" s="20">
        <f t="shared" si="0"/>
        <v>20</v>
      </c>
      <c r="E39" s="22">
        <v>20</v>
      </c>
      <c r="F39" s="22">
        <v>0</v>
      </c>
      <c r="G39" s="22">
        <v>0</v>
      </c>
      <c r="J39" s="81"/>
      <c r="K39"/>
    </row>
    <row r="40" spans="1:11" ht="32.1">
      <c r="A40" s="23"/>
      <c r="B40" s="19" t="s">
        <v>221</v>
      </c>
      <c r="C40" s="19" t="s">
        <v>222</v>
      </c>
      <c r="D40" s="20">
        <f t="shared" si="0"/>
        <v>1</v>
      </c>
      <c r="E40" s="22">
        <v>1</v>
      </c>
      <c r="F40" s="22">
        <v>0</v>
      </c>
      <c r="G40" s="22">
        <v>0</v>
      </c>
      <c r="J40" s="81"/>
      <c r="K40"/>
    </row>
    <row r="41" spans="1:11">
      <c r="A41" s="23" t="s">
        <v>223</v>
      </c>
      <c r="B41" s="19" t="s">
        <v>224</v>
      </c>
      <c r="C41" s="19" t="s">
        <v>225</v>
      </c>
      <c r="D41" s="20">
        <f t="shared" si="0"/>
        <v>2</v>
      </c>
      <c r="E41" s="22">
        <v>2</v>
      </c>
      <c r="F41" s="22">
        <v>0</v>
      </c>
      <c r="G41" s="22">
        <v>0</v>
      </c>
      <c r="J41" s="81"/>
      <c r="K41"/>
    </row>
    <row r="42" spans="1:11" ht="32.1">
      <c r="A42" s="23"/>
      <c r="B42" s="19" t="s">
        <v>226</v>
      </c>
      <c r="C42" s="27" t="s">
        <v>227</v>
      </c>
      <c r="D42" s="20">
        <f t="shared" si="0"/>
        <v>1</v>
      </c>
      <c r="E42" s="22">
        <v>1</v>
      </c>
      <c r="F42" s="22">
        <v>0</v>
      </c>
      <c r="G42" s="22">
        <v>0</v>
      </c>
      <c r="J42" s="81"/>
      <c r="K42"/>
    </row>
    <row r="43" spans="1:11">
      <c r="A43" s="23" t="s">
        <v>228</v>
      </c>
      <c r="B43" s="19" t="s">
        <v>229</v>
      </c>
      <c r="C43" s="19" t="s">
        <v>230</v>
      </c>
      <c r="D43" s="20">
        <f t="shared" si="0"/>
        <v>0</v>
      </c>
      <c r="E43" s="22">
        <v>0</v>
      </c>
      <c r="F43" s="22">
        <v>0</v>
      </c>
      <c r="G43" s="22">
        <v>0</v>
      </c>
      <c r="J43" s="81"/>
      <c r="K43"/>
    </row>
    <row r="44" spans="1:11">
      <c r="A44" s="24" t="s">
        <v>231</v>
      </c>
      <c r="B44" s="25"/>
      <c r="C44" s="25"/>
      <c r="D44" s="25"/>
      <c r="E44" s="16"/>
      <c r="F44" s="16"/>
      <c r="G44" s="16"/>
      <c r="J44" s="81"/>
      <c r="K44"/>
    </row>
    <row r="45" spans="1:11">
      <c r="A45" s="23" t="s">
        <v>232</v>
      </c>
      <c r="B45" s="19" t="s">
        <v>233</v>
      </c>
      <c r="C45" s="19" t="s">
        <v>196</v>
      </c>
      <c r="D45" s="20">
        <f t="shared" si="0"/>
        <v>89980.25</v>
      </c>
      <c r="E45" s="21">
        <v>76261.55</v>
      </c>
      <c r="F45" s="21">
        <v>11259</v>
      </c>
      <c r="G45" s="21">
        <v>2459.6999999999998</v>
      </c>
      <c r="J45" s="81"/>
      <c r="K45"/>
    </row>
    <row r="46" spans="1:11">
      <c r="A46" s="23" t="s">
        <v>234</v>
      </c>
      <c r="B46" s="19" t="s">
        <v>235</v>
      </c>
      <c r="C46" s="19" t="s">
        <v>236</v>
      </c>
      <c r="D46" s="20">
        <f t="shared" si="0"/>
        <v>561</v>
      </c>
      <c r="E46" s="21">
        <v>513</v>
      </c>
      <c r="F46" s="21">
        <v>48</v>
      </c>
      <c r="G46" s="21">
        <v>0</v>
      </c>
      <c r="J46" s="81"/>
      <c r="K46"/>
    </row>
    <row r="47" spans="1:11">
      <c r="A47" s="23" t="s">
        <v>237</v>
      </c>
      <c r="B47" s="19" t="s">
        <v>238</v>
      </c>
      <c r="C47" s="19" t="s">
        <v>239</v>
      </c>
      <c r="D47" s="20">
        <f t="shared" si="0"/>
        <v>506</v>
      </c>
      <c r="E47" s="22">
        <v>430</v>
      </c>
      <c r="F47" s="22">
        <v>52</v>
      </c>
      <c r="G47" s="22">
        <v>24</v>
      </c>
      <c r="J47" s="81"/>
      <c r="K47"/>
    </row>
    <row r="48" spans="1:11">
      <c r="A48" s="23" t="s">
        <v>240</v>
      </c>
      <c r="B48" s="19" t="s">
        <v>241</v>
      </c>
      <c r="C48" s="19" t="s">
        <v>242</v>
      </c>
      <c r="D48" s="20">
        <f t="shared" si="0"/>
        <v>0</v>
      </c>
      <c r="E48" s="22">
        <v>0</v>
      </c>
      <c r="F48" s="22">
        <v>0</v>
      </c>
      <c r="G48" s="22">
        <v>0</v>
      </c>
      <c r="J48" s="81"/>
      <c r="K48"/>
    </row>
    <row r="49" spans="1:11">
      <c r="A49" s="23" t="s">
        <v>243</v>
      </c>
      <c r="B49" s="19" t="s">
        <v>244</v>
      </c>
      <c r="C49" s="19" t="s">
        <v>245</v>
      </c>
      <c r="D49" s="20">
        <f t="shared" si="0"/>
        <v>56098.080000000002</v>
      </c>
      <c r="E49" s="21">
        <v>45383.08</v>
      </c>
      <c r="F49" s="21">
        <v>10715</v>
      </c>
      <c r="G49" s="21">
        <v>0</v>
      </c>
      <c r="J49" s="81"/>
      <c r="K49"/>
    </row>
    <row r="50" spans="1:11">
      <c r="A50" s="23" t="s">
        <v>246</v>
      </c>
      <c r="B50" s="19" t="s">
        <v>247</v>
      </c>
      <c r="C50" s="19" t="s">
        <v>248</v>
      </c>
      <c r="D50" s="20">
        <f t="shared" si="0"/>
        <v>8</v>
      </c>
      <c r="E50" s="22">
        <v>7</v>
      </c>
      <c r="F50" s="22">
        <v>1</v>
      </c>
      <c r="G50" s="22">
        <v>0</v>
      </c>
      <c r="J50" s="81"/>
      <c r="K50"/>
    </row>
    <row r="51" spans="1:11">
      <c r="A51" s="23" t="s">
        <v>249</v>
      </c>
      <c r="B51" s="19" t="s">
        <v>250</v>
      </c>
      <c r="C51" s="19" t="s">
        <v>236</v>
      </c>
      <c r="D51" s="20">
        <f t="shared" si="0"/>
        <v>0</v>
      </c>
      <c r="E51" s="22">
        <v>0</v>
      </c>
      <c r="F51" s="22">
        <v>0</v>
      </c>
      <c r="G51" s="22">
        <v>0</v>
      </c>
      <c r="J51" s="81"/>
      <c r="K51"/>
    </row>
    <row r="52" spans="1:11">
      <c r="A52" s="23" t="s">
        <v>251</v>
      </c>
      <c r="B52" s="19" t="s">
        <v>252</v>
      </c>
      <c r="C52" s="19" t="s">
        <v>253</v>
      </c>
      <c r="D52" s="20">
        <f t="shared" si="0"/>
        <v>9</v>
      </c>
      <c r="E52" s="21">
        <v>8</v>
      </c>
      <c r="F52" s="21">
        <v>1</v>
      </c>
      <c r="G52" s="21">
        <v>0</v>
      </c>
      <c r="J52" s="81"/>
      <c r="K52"/>
    </row>
    <row r="53" spans="1:11">
      <c r="A53" s="23" t="s">
        <v>254</v>
      </c>
      <c r="B53" s="19" t="s">
        <v>255</v>
      </c>
      <c r="C53" s="19" t="s">
        <v>256</v>
      </c>
      <c r="D53" s="20">
        <f t="shared" si="0"/>
        <v>2</v>
      </c>
      <c r="E53" s="21">
        <v>2</v>
      </c>
      <c r="F53" s="21">
        <v>0</v>
      </c>
      <c r="G53" s="21">
        <v>0</v>
      </c>
      <c r="J53" s="81"/>
      <c r="K53"/>
    </row>
    <row r="54" spans="1:11">
      <c r="A54" s="23" t="s">
        <v>257</v>
      </c>
      <c r="B54" s="19" t="s">
        <v>258</v>
      </c>
      <c r="C54" s="19" t="s">
        <v>259</v>
      </c>
      <c r="D54" s="20">
        <f t="shared" si="0"/>
        <v>0</v>
      </c>
      <c r="E54" s="21">
        <v>0</v>
      </c>
      <c r="F54" s="21">
        <v>0</v>
      </c>
      <c r="G54" s="21">
        <v>0</v>
      </c>
      <c r="J54" s="81"/>
      <c r="K54"/>
    </row>
    <row r="55" spans="1:11">
      <c r="A55" s="23" t="s">
        <v>257</v>
      </c>
      <c r="B55" s="19" t="s">
        <v>260</v>
      </c>
      <c r="C55" s="19" t="s">
        <v>259</v>
      </c>
      <c r="D55" s="20">
        <f t="shared" si="0"/>
        <v>0</v>
      </c>
      <c r="E55" s="22">
        <v>0</v>
      </c>
      <c r="F55" s="22">
        <v>0</v>
      </c>
      <c r="G55" s="22">
        <v>0</v>
      </c>
      <c r="J55" s="81"/>
      <c r="K55"/>
    </row>
    <row r="56" spans="1:11">
      <c r="A56" s="23" t="s">
        <v>257</v>
      </c>
      <c r="B56" s="19" t="s">
        <v>261</v>
      </c>
      <c r="C56" s="19" t="s">
        <v>259</v>
      </c>
      <c r="D56" s="20">
        <f t="shared" si="0"/>
        <v>0</v>
      </c>
      <c r="E56" s="21">
        <v>0</v>
      </c>
      <c r="F56" s="21">
        <v>0</v>
      </c>
      <c r="G56" s="21">
        <v>0</v>
      </c>
      <c r="J56" s="81"/>
      <c r="K56"/>
    </row>
    <row r="57" spans="1:11">
      <c r="A57" s="23" t="s">
        <v>262</v>
      </c>
      <c r="B57" s="19" t="s">
        <v>263</v>
      </c>
      <c r="C57" s="19" t="s">
        <v>259</v>
      </c>
      <c r="D57" s="20">
        <f t="shared" si="0"/>
        <v>4</v>
      </c>
      <c r="E57" s="21">
        <v>4</v>
      </c>
      <c r="F57" s="21">
        <v>0</v>
      </c>
      <c r="G57" s="21">
        <v>0</v>
      </c>
      <c r="J57" s="81"/>
      <c r="K57"/>
    </row>
    <row r="58" spans="1:11">
      <c r="A58" s="23"/>
      <c r="B58" s="19" t="s">
        <v>264</v>
      </c>
      <c r="C58" s="19" t="s">
        <v>265</v>
      </c>
      <c r="D58" s="20">
        <f t="shared" si="0"/>
        <v>2</v>
      </c>
      <c r="E58" s="21">
        <v>2</v>
      </c>
      <c r="F58" s="21">
        <v>0</v>
      </c>
      <c r="G58" s="21">
        <v>0</v>
      </c>
      <c r="J58" s="81"/>
      <c r="K58"/>
    </row>
    <row r="59" spans="1:11">
      <c r="A59" s="23" t="s">
        <v>262</v>
      </c>
      <c r="B59" s="19" t="s">
        <v>266</v>
      </c>
      <c r="C59" s="19" t="s">
        <v>265</v>
      </c>
      <c r="D59" s="20">
        <f t="shared" si="0"/>
        <v>2</v>
      </c>
      <c r="E59" s="21">
        <v>1</v>
      </c>
      <c r="F59" s="21">
        <v>1</v>
      </c>
      <c r="G59" s="21">
        <v>0</v>
      </c>
      <c r="J59" s="81"/>
      <c r="K59"/>
    </row>
    <row r="60" spans="1:11">
      <c r="A60" s="23" t="s">
        <v>262</v>
      </c>
      <c r="B60" s="19" t="s">
        <v>267</v>
      </c>
      <c r="C60" s="19" t="s">
        <v>265</v>
      </c>
      <c r="D60" s="20">
        <f t="shared" si="0"/>
        <v>8</v>
      </c>
      <c r="E60" s="21">
        <v>7</v>
      </c>
      <c r="F60" s="21">
        <v>1</v>
      </c>
      <c r="G60" s="21">
        <v>0</v>
      </c>
      <c r="J60" s="81"/>
      <c r="K60"/>
    </row>
    <row r="61" spans="1:11">
      <c r="A61" s="23" t="s">
        <v>262</v>
      </c>
      <c r="B61" s="19" t="s">
        <v>268</v>
      </c>
      <c r="C61" s="19" t="s">
        <v>265</v>
      </c>
      <c r="D61" s="20">
        <f t="shared" si="0"/>
        <v>10</v>
      </c>
      <c r="E61" s="21">
        <v>10</v>
      </c>
      <c r="F61" s="21">
        <v>0</v>
      </c>
      <c r="G61" s="21">
        <v>0</v>
      </c>
      <c r="J61" s="81"/>
      <c r="K61"/>
    </row>
    <row r="62" spans="1:11">
      <c r="A62" s="23" t="s">
        <v>262</v>
      </c>
      <c r="B62" s="19" t="s">
        <v>269</v>
      </c>
      <c r="C62" s="19" t="s">
        <v>265</v>
      </c>
      <c r="D62" s="20">
        <f t="shared" si="0"/>
        <v>2</v>
      </c>
      <c r="E62" s="21">
        <v>2</v>
      </c>
      <c r="F62" s="21">
        <v>0</v>
      </c>
      <c r="G62" s="21">
        <v>0</v>
      </c>
      <c r="J62" s="81"/>
      <c r="K62"/>
    </row>
    <row r="63" spans="1:11">
      <c r="A63" s="23" t="s">
        <v>270</v>
      </c>
      <c r="B63" s="19" t="s">
        <v>271</v>
      </c>
      <c r="C63" s="19" t="s">
        <v>272</v>
      </c>
      <c r="D63" s="20">
        <f t="shared" si="0"/>
        <v>138.72</v>
      </c>
      <c r="E63" s="22">
        <v>84</v>
      </c>
      <c r="F63" s="22">
        <v>54.72</v>
      </c>
      <c r="G63" s="22">
        <v>0</v>
      </c>
      <c r="J63" s="81"/>
      <c r="K63"/>
    </row>
    <row r="64" spans="1:11">
      <c r="A64" s="23" t="s">
        <v>273</v>
      </c>
      <c r="B64" s="19" t="s">
        <v>274</v>
      </c>
      <c r="C64" s="19" t="s">
        <v>275</v>
      </c>
      <c r="D64" s="20">
        <f t="shared" si="0"/>
        <v>157</v>
      </c>
      <c r="E64" s="21">
        <v>30</v>
      </c>
      <c r="F64" s="21">
        <v>115</v>
      </c>
      <c r="G64" s="21">
        <v>12</v>
      </c>
      <c r="J64" s="81"/>
      <c r="K64"/>
    </row>
    <row r="65" spans="1:35">
      <c r="A65" s="23" t="s">
        <v>273</v>
      </c>
      <c r="B65" s="19" t="s">
        <v>276</v>
      </c>
      <c r="C65" s="19" t="s">
        <v>196</v>
      </c>
      <c r="D65" s="20">
        <f t="shared" si="0"/>
        <v>76629.87999999999</v>
      </c>
      <c r="E65" s="22">
        <v>60870.18</v>
      </c>
      <c r="F65" s="22">
        <v>13300</v>
      </c>
      <c r="G65" s="22">
        <v>2459.6999999999998</v>
      </c>
      <c r="J65" s="81"/>
      <c r="K65"/>
    </row>
    <row r="66" spans="1:35">
      <c r="A66" s="23" t="s">
        <v>277</v>
      </c>
      <c r="B66" s="19" t="s">
        <v>278</v>
      </c>
      <c r="C66" s="19" t="s">
        <v>279</v>
      </c>
      <c r="D66" s="20">
        <f t="shared" si="0"/>
        <v>2</v>
      </c>
      <c r="E66" s="21">
        <v>2</v>
      </c>
      <c r="F66" s="21">
        <v>0</v>
      </c>
      <c r="G66" s="21">
        <v>0</v>
      </c>
      <c r="J66" s="81"/>
      <c r="K66"/>
    </row>
    <row r="67" spans="1:35">
      <c r="A67" s="23" t="s">
        <v>280</v>
      </c>
      <c r="B67" s="19" t="s">
        <v>281</v>
      </c>
      <c r="C67" s="19" t="s">
        <v>282</v>
      </c>
      <c r="D67" s="20">
        <f t="shared" si="0"/>
        <v>53</v>
      </c>
      <c r="E67" s="21">
        <v>40</v>
      </c>
      <c r="F67" s="21">
        <v>13</v>
      </c>
      <c r="G67" s="21">
        <v>0</v>
      </c>
      <c r="J67" s="81"/>
      <c r="K67"/>
    </row>
    <row r="68" spans="1:35">
      <c r="A68" s="23" t="s">
        <v>283</v>
      </c>
      <c r="B68" s="19" t="s">
        <v>284</v>
      </c>
      <c r="C68" s="19" t="s">
        <v>285</v>
      </c>
      <c r="D68" s="20">
        <f t="shared" si="0"/>
        <v>0</v>
      </c>
      <c r="E68" s="22">
        <v>0</v>
      </c>
      <c r="F68" s="22">
        <v>0</v>
      </c>
      <c r="G68" s="22">
        <v>0</v>
      </c>
      <c r="J68" s="81"/>
      <c r="K68"/>
    </row>
    <row r="69" spans="1:35">
      <c r="A69" s="23"/>
      <c r="B69" s="19" t="s">
        <v>286</v>
      </c>
      <c r="C69" s="19" t="s">
        <v>287</v>
      </c>
      <c r="D69" s="20">
        <f t="shared" si="0"/>
        <v>2</v>
      </c>
      <c r="E69" s="22">
        <v>2</v>
      </c>
      <c r="F69" s="22">
        <v>0</v>
      </c>
      <c r="G69" s="22">
        <v>0</v>
      </c>
      <c r="J69" s="81"/>
      <c r="K69"/>
    </row>
    <row r="70" spans="1:35" ht="32.1">
      <c r="A70" s="23"/>
      <c r="B70" s="19" t="s">
        <v>288</v>
      </c>
      <c r="C70" s="19" t="s">
        <v>227</v>
      </c>
      <c r="D70" s="20">
        <f t="shared" si="0"/>
        <v>2</v>
      </c>
      <c r="E70" s="22">
        <v>2</v>
      </c>
      <c r="F70" s="22">
        <v>0</v>
      </c>
      <c r="G70" s="22">
        <v>0</v>
      </c>
      <c r="J70" s="81"/>
      <c r="K70"/>
    </row>
    <row r="71" spans="1:35">
      <c r="A71" s="23" t="s">
        <v>289</v>
      </c>
      <c r="B71" s="19" t="s">
        <v>290</v>
      </c>
      <c r="C71" s="27" t="s">
        <v>248</v>
      </c>
      <c r="D71" s="20">
        <f t="shared" si="0"/>
        <v>1</v>
      </c>
      <c r="E71" s="22">
        <v>1</v>
      </c>
      <c r="F71" s="22">
        <v>0</v>
      </c>
      <c r="G71" s="22">
        <v>0</v>
      </c>
      <c r="J71" s="81"/>
      <c r="K71"/>
    </row>
    <row r="72" spans="1:35">
      <c r="A72" s="23" t="s">
        <v>289</v>
      </c>
      <c r="B72" s="19" t="s">
        <v>291</v>
      </c>
      <c r="C72" s="27" t="s">
        <v>248</v>
      </c>
      <c r="D72" s="20">
        <f t="shared" si="0"/>
        <v>1</v>
      </c>
      <c r="E72" s="22">
        <v>1</v>
      </c>
      <c r="F72" s="22">
        <v>0</v>
      </c>
      <c r="G72" s="22">
        <v>0</v>
      </c>
      <c r="J72" s="81"/>
      <c r="K72"/>
    </row>
    <row r="73" spans="1:35">
      <c r="A73" s="26" t="s">
        <v>292</v>
      </c>
      <c r="B73" s="27" t="s">
        <v>293</v>
      </c>
      <c r="C73" s="27" t="s">
        <v>294</v>
      </c>
      <c r="D73" s="20">
        <f t="shared" si="0"/>
        <v>0</v>
      </c>
      <c r="E73" s="22">
        <v>0</v>
      </c>
      <c r="F73" s="22">
        <v>0</v>
      </c>
      <c r="G73" s="22">
        <v>0</v>
      </c>
      <c r="J73" s="81"/>
      <c r="K73"/>
    </row>
    <row r="74" spans="1:35">
      <c r="A74" s="26" t="s">
        <v>295</v>
      </c>
      <c r="B74" s="27" t="s">
        <v>296</v>
      </c>
      <c r="C74" s="27" t="s">
        <v>297</v>
      </c>
      <c r="D74" s="20">
        <f t="shared" si="0"/>
        <v>0</v>
      </c>
      <c r="E74" s="22">
        <v>0</v>
      </c>
      <c r="F74" s="22">
        <v>0</v>
      </c>
      <c r="G74" s="22">
        <v>0</v>
      </c>
      <c r="J74" s="81"/>
      <c r="K74"/>
    </row>
    <row r="75" spans="1:35">
      <c r="A75" s="24" t="s">
        <v>298</v>
      </c>
      <c r="B75" s="25"/>
      <c r="C75" s="25"/>
      <c r="D75" s="25"/>
      <c r="E75" s="28"/>
      <c r="F75" s="28"/>
      <c r="G75" s="28"/>
      <c r="J75" s="81"/>
      <c r="K75"/>
    </row>
    <row r="76" spans="1:35">
      <c r="A76" s="23" t="s">
        <v>299</v>
      </c>
      <c r="B76" s="19" t="s">
        <v>300</v>
      </c>
      <c r="C76" s="19" t="s">
        <v>301</v>
      </c>
      <c r="D76" s="20">
        <f t="shared" ref="D76:D136" si="1">SUM(E76:G76)</f>
        <v>6</v>
      </c>
      <c r="E76" s="22">
        <v>6</v>
      </c>
      <c r="F76" s="22">
        <v>0</v>
      </c>
      <c r="G76" s="22">
        <v>0</v>
      </c>
      <c r="J76" s="81"/>
      <c r="K76"/>
    </row>
    <row r="77" spans="1:35" s="29" customFormat="1">
      <c r="A77" s="23" t="s">
        <v>302</v>
      </c>
      <c r="B77" s="19" t="s">
        <v>303</v>
      </c>
      <c r="C77" s="19" t="s">
        <v>304</v>
      </c>
      <c r="D77" s="20">
        <f t="shared" si="1"/>
        <v>3</v>
      </c>
      <c r="E77" s="22">
        <v>1</v>
      </c>
      <c r="F77" s="22">
        <v>1</v>
      </c>
      <c r="G77" s="22">
        <v>1</v>
      </c>
      <c r="H77" s="76"/>
      <c r="I77"/>
      <c r="J77" s="81"/>
      <c r="K77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</row>
    <row r="78" spans="1:35">
      <c r="A78" s="23" t="s">
        <v>305</v>
      </c>
      <c r="B78" s="19" t="s">
        <v>306</v>
      </c>
      <c r="C78" s="19" t="s">
        <v>307</v>
      </c>
      <c r="D78" s="20">
        <f t="shared" si="1"/>
        <v>6</v>
      </c>
      <c r="E78" s="22">
        <v>4</v>
      </c>
      <c r="F78" s="22">
        <v>1</v>
      </c>
      <c r="G78" s="22">
        <v>1</v>
      </c>
      <c r="J78" s="81"/>
      <c r="K78"/>
    </row>
    <row r="79" spans="1:35">
      <c r="A79" s="23" t="s">
        <v>305</v>
      </c>
      <c r="B79" s="19" t="s">
        <v>308</v>
      </c>
      <c r="C79" s="19" t="s">
        <v>309</v>
      </c>
      <c r="D79" s="20">
        <f t="shared" si="1"/>
        <v>2</v>
      </c>
      <c r="E79" s="22">
        <v>1</v>
      </c>
      <c r="F79" s="22">
        <v>1</v>
      </c>
      <c r="G79" s="22">
        <v>0</v>
      </c>
      <c r="J79" s="81"/>
      <c r="K79"/>
    </row>
    <row r="80" spans="1:35">
      <c r="A80" s="23" t="s">
        <v>310</v>
      </c>
      <c r="B80" s="19" t="s">
        <v>311</v>
      </c>
      <c r="C80" s="19" t="s">
        <v>312</v>
      </c>
      <c r="D80" s="20">
        <f t="shared" si="1"/>
        <v>7</v>
      </c>
      <c r="E80" s="22">
        <v>7</v>
      </c>
      <c r="F80" s="22">
        <v>0</v>
      </c>
      <c r="G80" s="22">
        <v>0</v>
      </c>
      <c r="J80" s="81"/>
      <c r="K80"/>
    </row>
    <row r="81" spans="1:11">
      <c r="A81" s="23" t="s">
        <v>313</v>
      </c>
      <c r="B81" s="19" t="s">
        <v>314</v>
      </c>
      <c r="C81" s="19" t="s">
        <v>196</v>
      </c>
      <c r="D81" s="20">
        <f t="shared" si="1"/>
        <v>77915.98000000001</v>
      </c>
      <c r="E81" s="21">
        <v>75376.38</v>
      </c>
      <c r="F81" s="21">
        <v>1188</v>
      </c>
      <c r="G81" s="21">
        <v>1351.6</v>
      </c>
      <c r="J81" s="81"/>
      <c r="K81"/>
    </row>
    <row r="82" spans="1:11" ht="32.1">
      <c r="A82" s="23" t="s">
        <v>315</v>
      </c>
      <c r="B82" s="19" t="s">
        <v>316</v>
      </c>
      <c r="C82" s="19" t="s">
        <v>317</v>
      </c>
      <c r="D82" s="20">
        <f t="shared" si="1"/>
        <v>3</v>
      </c>
      <c r="E82" s="22">
        <v>2</v>
      </c>
      <c r="F82" s="22">
        <v>1</v>
      </c>
      <c r="G82" s="22">
        <v>0</v>
      </c>
      <c r="J82" s="81"/>
      <c r="K82"/>
    </row>
    <row r="83" spans="1:11">
      <c r="A83" s="23" t="s">
        <v>318</v>
      </c>
      <c r="B83" s="19" t="s">
        <v>319</v>
      </c>
      <c r="C83" s="19" t="s">
        <v>320</v>
      </c>
      <c r="D83" s="20">
        <f t="shared" si="1"/>
        <v>2700</v>
      </c>
      <c r="E83" s="22">
        <v>900</v>
      </c>
      <c r="F83" s="22">
        <v>900</v>
      </c>
      <c r="G83" s="22">
        <v>900</v>
      </c>
      <c r="J83" s="81"/>
      <c r="K83"/>
    </row>
    <row r="84" spans="1:11">
      <c r="A84" s="23" t="s">
        <v>321</v>
      </c>
      <c r="B84" s="19" t="s">
        <v>322</v>
      </c>
      <c r="C84" s="19" t="s">
        <v>323</v>
      </c>
      <c r="D84" s="20">
        <f t="shared" si="1"/>
        <v>0</v>
      </c>
      <c r="E84" s="22">
        <v>0</v>
      </c>
      <c r="F84" s="22">
        <v>0</v>
      </c>
      <c r="G84" s="22">
        <v>0</v>
      </c>
      <c r="J84" s="81"/>
      <c r="K84"/>
    </row>
    <row r="85" spans="1:11">
      <c r="A85" s="23" t="s">
        <v>324</v>
      </c>
      <c r="B85" s="19" t="s">
        <v>325</v>
      </c>
      <c r="C85" s="19" t="s">
        <v>326</v>
      </c>
      <c r="D85" s="20">
        <f t="shared" si="1"/>
        <v>242</v>
      </c>
      <c r="E85" s="22">
        <v>160</v>
      </c>
      <c r="F85" s="22">
        <v>0</v>
      </c>
      <c r="G85" s="22">
        <v>82</v>
      </c>
      <c r="J85" s="81"/>
      <c r="K85"/>
    </row>
    <row r="86" spans="1:11">
      <c r="A86" s="23" t="s">
        <v>327</v>
      </c>
      <c r="B86" s="19" t="s">
        <v>328</v>
      </c>
      <c r="C86" s="19" t="s">
        <v>329</v>
      </c>
      <c r="D86" s="20">
        <f t="shared" si="1"/>
        <v>47</v>
      </c>
      <c r="E86" s="22">
        <v>47</v>
      </c>
      <c r="F86" s="22">
        <v>0</v>
      </c>
      <c r="G86" s="22">
        <v>0</v>
      </c>
      <c r="J86" s="81"/>
      <c r="K86"/>
    </row>
    <row r="87" spans="1:11">
      <c r="A87" s="23" t="s">
        <v>330</v>
      </c>
      <c r="B87" s="19" t="s">
        <v>331</v>
      </c>
      <c r="C87" s="19" t="s">
        <v>332</v>
      </c>
      <c r="D87" s="20">
        <f t="shared" si="1"/>
        <v>0</v>
      </c>
      <c r="E87" s="22">
        <v>0</v>
      </c>
      <c r="F87" s="22">
        <v>0</v>
      </c>
      <c r="G87" s="22">
        <v>0</v>
      </c>
      <c r="J87" s="81"/>
      <c r="K87"/>
    </row>
    <row r="88" spans="1:11">
      <c r="A88" s="24" t="s">
        <v>333</v>
      </c>
      <c r="B88" s="25"/>
      <c r="C88" s="25"/>
      <c r="D88" s="25"/>
      <c r="E88" s="28"/>
      <c r="F88" s="28"/>
      <c r="G88" s="28"/>
      <c r="J88" s="81"/>
      <c r="K88"/>
    </row>
    <row r="89" spans="1:11">
      <c r="A89" s="19" t="s">
        <v>334</v>
      </c>
      <c r="B89" s="19" t="s">
        <v>335</v>
      </c>
      <c r="C89" s="19" t="s">
        <v>336</v>
      </c>
      <c r="D89" s="20">
        <f t="shared" si="1"/>
        <v>48634.6</v>
      </c>
      <c r="E89" s="22">
        <v>36771</v>
      </c>
      <c r="F89" s="22">
        <v>10512</v>
      </c>
      <c r="G89" s="22">
        <v>1351.6</v>
      </c>
      <c r="J89" s="81"/>
      <c r="K89"/>
    </row>
    <row r="90" spans="1:11">
      <c r="A90" s="19" t="s">
        <v>337</v>
      </c>
      <c r="B90" s="19" t="s">
        <v>338</v>
      </c>
      <c r="C90" s="19" t="s">
        <v>336</v>
      </c>
      <c r="D90" s="20">
        <f t="shared" si="1"/>
        <v>61364.6</v>
      </c>
      <c r="E90" s="22">
        <v>49501</v>
      </c>
      <c r="F90" s="22">
        <v>10512</v>
      </c>
      <c r="G90" s="22">
        <v>1351.6</v>
      </c>
      <c r="J90" s="81"/>
      <c r="K90"/>
    </row>
    <row r="91" spans="1:11">
      <c r="A91" s="23" t="s">
        <v>339</v>
      </c>
      <c r="B91" s="19" t="s">
        <v>340</v>
      </c>
      <c r="C91" s="19" t="s">
        <v>196</v>
      </c>
      <c r="D91" s="20">
        <f t="shared" si="1"/>
        <v>39492.6</v>
      </c>
      <c r="E91" s="22">
        <v>27629</v>
      </c>
      <c r="F91" s="22">
        <v>10512</v>
      </c>
      <c r="G91" s="22">
        <v>1351.6</v>
      </c>
      <c r="J91" s="81"/>
      <c r="K91"/>
    </row>
    <row r="92" spans="1:11">
      <c r="A92" s="23" t="s">
        <v>341</v>
      </c>
      <c r="B92" s="19" t="s">
        <v>342</v>
      </c>
      <c r="C92" s="19" t="s">
        <v>196</v>
      </c>
      <c r="D92" s="20">
        <f t="shared" si="1"/>
        <v>60739.71</v>
      </c>
      <c r="E92" s="22">
        <v>48332.11</v>
      </c>
      <c r="F92" s="22">
        <v>11056</v>
      </c>
      <c r="G92" s="22">
        <v>1351.6</v>
      </c>
      <c r="J92" s="81"/>
      <c r="K92"/>
    </row>
    <row r="93" spans="1:11">
      <c r="A93" s="23" t="s">
        <v>343</v>
      </c>
      <c r="B93" s="19" t="s">
        <v>344</v>
      </c>
      <c r="C93" s="19" t="s">
        <v>345</v>
      </c>
      <c r="D93" s="20">
        <f t="shared" si="1"/>
        <v>542</v>
      </c>
      <c r="E93" s="22">
        <v>421</v>
      </c>
      <c r="F93" s="22">
        <v>86</v>
      </c>
      <c r="G93" s="22">
        <v>35</v>
      </c>
      <c r="J93" s="81"/>
      <c r="K93"/>
    </row>
    <row r="94" spans="1:11">
      <c r="A94" s="23" t="s">
        <v>346</v>
      </c>
      <c r="B94" s="19" t="s">
        <v>347</v>
      </c>
      <c r="C94" s="19" t="s">
        <v>348</v>
      </c>
      <c r="D94" s="20">
        <f t="shared" si="1"/>
        <v>914</v>
      </c>
      <c r="E94" s="22">
        <v>844</v>
      </c>
      <c r="F94" s="22">
        <v>54</v>
      </c>
      <c r="G94" s="22">
        <v>16</v>
      </c>
      <c r="J94" s="81"/>
      <c r="K94"/>
    </row>
    <row r="95" spans="1:11">
      <c r="A95" s="23" t="s">
        <v>349</v>
      </c>
      <c r="B95" s="19" t="s">
        <v>350</v>
      </c>
      <c r="C95" s="19" t="s">
        <v>351</v>
      </c>
      <c r="D95" s="20">
        <f t="shared" si="1"/>
        <v>23</v>
      </c>
      <c r="E95" s="22">
        <v>10</v>
      </c>
      <c r="F95" s="22">
        <v>13</v>
      </c>
      <c r="G95" s="22">
        <v>0</v>
      </c>
      <c r="J95" s="81"/>
      <c r="K95"/>
    </row>
    <row r="96" spans="1:11">
      <c r="A96" s="23" t="s">
        <v>352</v>
      </c>
      <c r="B96" s="19" t="s">
        <v>353</v>
      </c>
      <c r="C96" s="19" t="s">
        <v>242</v>
      </c>
      <c r="D96" s="20">
        <f t="shared" si="1"/>
        <v>2</v>
      </c>
      <c r="E96" s="22">
        <v>1</v>
      </c>
      <c r="F96" s="22">
        <v>1</v>
      </c>
      <c r="G96" s="22">
        <v>0</v>
      </c>
      <c r="J96" s="81"/>
      <c r="K96"/>
    </row>
    <row r="97" spans="1:11">
      <c r="A97" s="23" t="s">
        <v>354</v>
      </c>
      <c r="B97" s="19" t="s">
        <v>355</v>
      </c>
      <c r="C97" s="19" t="s">
        <v>356</v>
      </c>
      <c r="D97" s="20">
        <f t="shared" si="1"/>
        <v>242</v>
      </c>
      <c r="E97" s="22">
        <v>184</v>
      </c>
      <c r="F97" s="22">
        <v>54</v>
      </c>
      <c r="G97" s="22">
        <v>4</v>
      </c>
      <c r="J97" s="81"/>
      <c r="K97"/>
    </row>
    <row r="98" spans="1:11">
      <c r="A98" s="23" t="s">
        <v>357</v>
      </c>
      <c r="B98" s="19" t="s">
        <v>358</v>
      </c>
      <c r="C98" s="19" t="s">
        <v>359</v>
      </c>
      <c r="D98" s="20">
        <f t="shared" si="1"/>
        <v>6</v>
      </c>
      <c r="E98" s="22">
        <v>6</v>
      </c>
      <c r="F98" s="22">
        <v>0</v>
      </c>
      <c r="G98" s="22">
        <v>0</v>
      </c>
      <c r="J98" s="81"/>
      <c r="K98"/>
    </row>
    <row r="99" spans="1:11" ht="32.1">
      <c r="A99" s="23" t="s">
        <v>360</v>
      </c>
      <c r="B99" s="19" t="s">
        <v>361</v>
      </c>
      <c r="C99" s="19" t="s">
        <v>362</v>
      </c>
      <c r="D99" s="20">
        <f t="shared" si="1"/>
        <v>62</v>
      </c>
      <c r="E99" s="22">
        <v>0</v>
      </c>
      <c r="F99" s="22">
        <v>62</v>
      </c>
      <c r="G99" s="22">
        <v>0</v>
      </c>
      <c r="J99" s="81"/>
      <c r="K99"/>
    </row>
    <row r="100" spans="1:11">
      <c r="A100" s="23" t="s">
        <v>363</v>
      </c>
      <c r="B100" s="19" t="s">
        <v>364</v>
      </c>
      <c r="C100" s="19" t="s">
        <v>365</v>
      </c>
      <c r="D100" s="20">
        <f t="shared" si="1"/>
        <v>0</v>
      </c>
      <c r="E100" s="22">
        <v>0</v>
      </c>
      <c r="F100" s="22">
        <v>0</v>
      </c>
      <c r="G100" s="22">
        <v>0</v>
      </c>
      <c r="J100" s="81"/>
      <c r="K100"/>
    </row>
    <row r="101" spans="1:11">
      <c r="A101" s="23" t="s">
        <v>366</v>
      </c>
      <c r="B101" s="19" t="s">
        <v>367</v>
      </c>
      <c r="C101" s="19" t="s">
        <v>368</v>
      </c>
      <c r="D101" s="20">
        <f t="shared" si="1"/>
        <v>5</v>
      </c>
      <c r="E101" s="22">
        <v>0</v>
      </c>
      <c r="F101" s="22">
        <v>0</v>
      </c>
      <c r="G101" s="22">
        <v>5</v>
      </c>
      <c r="J101" s="81"/>
      <c r="K101"/>
    </row>
    <row r="102" spans="1:11" ht="32.1">
      <c r="A102" s="23" t="s">
        <v>357</v>
      </c>
      <c r="B102" s="19" t="s">
        <v>369</v>
      </c>
      <c r="C102" s="19" t="s">
        <v>370</v>
      </c>
      <c r="D102" s="20">
        <f t="shared" si="1"/>
        <v>298</v>
      </c>
      <c r="E102" s="22">
        <v>298</v>
      </c>
      <c r="F102" s="22">
        <v>0</v>
      </c>
      <c r="G102" s="22">
        <v>0</v>
      </c>
      <c r="J102" s="81"/>
      <c r="K102"/>
    </row>
    <row r="103" spans="1:11">
      <c r="A103" s="24" t="s">
        <v>371</v>
      </c>
      <c r="B103" s="25"/>
      <c r="C103" s="25"/>
      <c r="D103" s="25"/>
      <c r="E103" s="28"/>
      <c r="F103" s="28"/>
      <c r="G103" s="28"/>
      <c r="J103" s="81"/>
      <c r="K103"/>
    </row>
    <row r="104" spans="1:11">
      <c r="A104" s="23" t="s">
        <v>372</v>
      </c>
      <c r="B104" s="19" t="s">
        <v>373</v>
      </c>
      <c r="C104" s="19" t="s">
        <v>374</v>
      </c>
      <c r="D104" s="20">
        <f t="shared" si="1"/>
        <v>17</v>
      </c>
      <c r="E104" s="22">
        <v>9</v>
      </c>
      <c r="F104" s="22">
        <v>8</v>
      </c>
      <c r="G104" s="22">
        <v>0</v>
      </c>
      <c r="J104" s="81"/>
      <c r="K104"/>
    </row>
    <row r="105" spans="1:11">
      <c r="A105" s="23" t="s">
        <v>372</v>
      </c>
      <c r="B105" s="19" t="s">
        <v>375</v>
      </c>
      <c r="C105" s="19" t="s">
        <v>374</v>
      </c>
      <c r="D105" s="20">
        <f t="shared" si="1"/>
        <v>4</v>
      </c>
      <c r="E105" s="22">
        <v>4</v>
      </c>
      <c r="F105" s="22">
        <v>0</v>
      </c>
      <c r="G105" s="22">
        <v>0</v>
      </c>
      <c r="J105" s="81"/>
      <c r="K105"/>
    </row>
    <row r="106" spans="1:11">
      <c r="A106" s="23" t="s">
        <v>372</v>
      </c>
      <c r="B106" s="19" t="s">
        <v>376</v>
      </c>
      <c r="C106" s="19" t="s">
        <v>374</v>
      </c>
      <c r="D106" s="20">
        <f t="shared" si="1"/>
        <v>11</v>
      </c>
      <c r="E106" s="22">
        <v>11</v>
      </c>
      <c r="F106" s="22">
        <v>0</v>
      </c>
      <c r="G106" s="22">
        <v>0</v>
      </c>
      <c r="J106" s="81"/>
      <c r="K106"/>
    </row>
    <row r="107" spans="1:11">
      <c r="A107" s="23" t="s">
        <v>377</v>
      </c>
      <c r="B107" s="19" t="s">
        <v>378</v>
      </c>
      <c r="C107" s="19" t="s">
        <v>379</v>
      </c>
      <c r="D107" s="20">
        <f t="shared" si="1"/>
        <v>0</v>
      </c>
      <c r="E107" s="22">
        <v>0</v>
      </c>
      <c r="F107" s="22">
        <v>0</v>
      </c>
      <c r="G107" s="22">
        <v>0</v>
      </c>
      <c r="J107" s="81"/>
      <c r="K107"/>
    </row>
    <row r="108" spans="1:11">
      <c r="A108" s="23" t="s">
        <v>380</v>
      </c>
      <c r="B108" s="19" t="s">
        <v>381</v>
      </c>
      <c r="C108" s="19" t="s">
        <v>382</v>
      </c>
      <c r="D108" s="20">
        <f t="shared" si="1"/>
        <v>0</v>
      </c>
      <c r="E108" s="22">
        <v>0</v>
      </c>
      <c r="F108" s="22">
        <v>0</v>
      </c>
      <c r="G108" s="22">
        <v>0</v>
      </c>
      <c r="J108" s="81"/>
      <c r="K108"/>
    </row>
    <row r="109" spans="1:11">
      <c r="A109" s="23"/>
      <c r="B109" s="19" t="s">
        <v>383</v>
      </c>
      <c r="C109" s="19" t="s">
        <v>384</v>
      </c>
      <c r="D109" s="20">
        <f t="shared" si="1"/>
        <v>1</v>
      </c>
      <c r="E109" s="22">
        <v>1</v>
      </c>
      <c r="F109" s="22">
        <v>0</v>
      </c>
      <c r="G109" s="22">
        <v>0</v>
      </c>
      <c r="J109" s="81"/>
      <c r="K109"/>
    </row>
    <row r="110" spans="1:11">
      <c r="A110" s="23"/>
      <c r="B110" s="19" t="s">
        <v>385</v>
      </c>
      <c r="C110" s="19" t="s">
        <v>287</v>
      </c>
      <c r="D110" s="20">
        <f t="shared" si="1"/>
        <v>0</v>
      </c>
      <c r="E110" s="22">
        <v>0</v>
      </c>
      <c r="F110" s="22">
        <v>0</v>
      </c>
      <c r="G110" s="22">
        <v>0</v>
      </c>
      <c r="J110" s="81"/>
      <c r="K110"/>
    </row>
    <row r="111" spans="1:11">
      <c r="A111" s="24" t="s">
        <v>386</v>
      </c>
      <c r="B111" s="25"/>
      <c r="C111" s="25"/>
      <c r="D111" s="25"/>
      <c r="E111" s="28"/>
      <c r="F111" s="28"/>
      <c r="G111" s="28"/>
      <c r="J111" s="81"/>
      <c r="K111"/>
    </row>
    <row r="112" spans="1:11">
      <c r="A112" s="83" t="s">
        <v>387</v>
      </c>
      <c r="B112" s="19" t="s">
        <v>388</v>
      </c>
      <c r="C112" s="19" t="s">
        <v>389</v>
      </c>
      <c r="D112" s="20">
        <f t="shared" si="1"/>
        <v>4</v>
      </c>
      <c r="E112" s="22">
        <v>4</v>
      </c>
      <c r="F112" s="22">
        <v>0</v>
      </c>
      <c r="G112" s="22">
        <v>0</v>
      </c>
      <c r="J112" s="81"/>
      <c r="K112"/>
    </row>
    <row r="113" spans="1:11">
      <c r="A113" s="84" t="s">
        <v>390</v>
      </c>
      <c r="B113" s="19" t="s">
        <v>391</v>
      </c>
      <c r="C113" s="19" t="s">
        <v>392</v>
      </c>
      <c r="D113" s="20">
        <f>SUM(E113:G113)</f>
        <v>0</v>
      </c>
      <c r="E113" s="22">
        <v>0</v>
      </c>
      <c r="F113" s="22">
        <v>0</v>
      </c>
      <c r="G113" s="22">
        <v>0</v>
      </c>
      <c r="J113" s="81"/>
      <c r="K113"/>
    </row>
    <row r="114" spans="1:11">
      <c r="A114" s="23" t="s">
        <v>393</v>
      </c>
      <c r="B114" s="19" t="s">
        <v>394</v>
      </c>
      <c r="C114" s="19" t="s">
        <v>392</v>
      </c>
      <c r="D114" s="20">
        <f t="shared" si="1"/>
        <v>0</v>
      </c>
      <c r="E114" s="22">
        <v>0</v>
      </c>
      <c r="F114" s="22">
        <v>0</v>
      </c>
      <c r="G114" s="22">
        <v>0</v>
      </c>
      <c r="J114" s="81"/>
      <c r="K114"/>
    </row>
    <row r="115" spans="1:11">
      <c r="A115" s="23" t="s">
        <v>395</v>
      </c>
      <c r="B115" s="19" t="s">
        <v>396</v>
      </c>
      <c r="C115" s="19" t="s">
        <v>392</v>
      </c>
      <c r="D115" s="20">
        <f t="shared" si="1"/>
        <v>0</v>
      </c>
      <c r="E115" s="22">
        <v>0</v>
      </c>
      <c r="F115" s="22">
        <v>0</v>
      </c>
      <c r="G115" s="22">
        <v>0</v>
      </c>
      <c r="J115" s="81"/>
      <c r="K115"/>
    </row>
    <row r="116" spans="1:11" ht="32.1">
      <c r="A116" s="23" t="s">
        <v>397</v>
      </c>
      <c r="B116" s="19" t="s">
        <v>398</v>
      </c>
      <c r="C116" s="19" t="s">
        <v>399</v>
      </c>
      <c r="D116" s="20">
        <f t="shared" si="1"/>
        <v>12</v>
      </c>
      <c r="E116" s="22">
        <v>8</v>
      </c>
      <c r="F116" s="22">
        <v>4</v>
      </c>
      <c r="G116" s="22">
        <v>0</v>
      </c>
      <c r="J116" s="81"/>
      <c r="K116"/>
    </row>
    <row r="117" spans="1:11">
      <c r="A117" s="23" t="s">
        <v>400</v>
      </c>
      <c r="B117" s="19" t="s">
        <v>401</v>
      </c>
      <c r="C117" s="19" t="s">
        <v>402</v>
      </c>
      <c r="D117" s="20">
        <f t="shared" si="1"/>
        <v>20</v>
      </c>
      <c r="E117" s="22">
        <v>20</v>
      </c>
      <c r="F117" s="22">
        <v>0</v>
      </c>
      <c r="G117" s="22">
        <v>0</v>
      </c>
      <c r="J117" s="81"/>
      <c r="K117"/>
    </row>
    <row r="118" spans="1:11">
      <c r="A118" s="23" t="s">
        <v>403</v>
      </c>
      <c r="B118" s="19" t="s">
        <v>404</v>
      </c>
      <c r="C118" s="19" t="s">
        <v>405</v>
      </c>
      <c r="D118" s="20">
        <f t="shared" si="1"/>
        <v>101</v>
      </c>
      <c r="E118" s="22">
        <v>71</v>
      </c>
      <c r="F118" s="22">
        <v>18</v>
      </c>
      <c r="G118" s="22">
        <v>12</v>
      </c>
      <c r="J118" s="81"/>
      <c r="K118"/>
    </row>
    <row r="119" spans="1:11" ht="32.1">
      <c r="A119" s="23" t="s">
        <v>406</v>
      </c>
      <c r="B119" s="19" t="s">
        <v>407</v>
      </c>
      <c r="C119" s="19" t="s">
        <v>408</v>
      </c>
      <c r="D119" s="20">
        <f t="shared" si="1"/>
        <v>5</v>
      </c>
      <c r="E119" s="22">
        <v>5</v>
      </c>
      <c r="F119" s="22">
        <v>0</v>
      </c>
      <c r="G119" s="22">
        <v>0</v>
      </c>
      <c r="J119" s="81"/>
      <c r="K119"/>
    </row>
    <row r="120" spans="1:11">
      <c r="A120" s="23" t="s">
        <v>409</v>
      </c>
      <c r="B120" s="19" t="s">
        <v>410</v>
      </c>
      <c r="C120" s="19" t="s">
        <v>411</v>
      </c>
      <c r="D120" s="20">
        <f t="shared" si="1"/>
        <v>0</v>
      </c>
      <c r="E120" s="22">
        <v>0</v>
      </c>
      <c r="F120" s="22">
        <v>0</v>
      </c>
      <c r="G120" s="22">
        <v>0</v>
      </c>
      <c r="J120" s="81"/>
      <c r="K120"/>
    </row>
    <row r="121" spans="1:11">
      <c r="A121" s="23" t="s">
        <v>412</v>
      </c>
      <c r="B121" s="19" t="s">
        <v>413</v>
      </c>
      <c r="C121" s="19" t="s">
        <v>392</v>
      </c>
      <c r="D121" s="20">
        <f t="shared" si="1"/>
        <v>0</v>
      </c>
      <c r="E121" s="22">
        <v>0</v>
      </c>
      <c r="F121" s="22">
        <v>0</v>
      </c>
      <c r="G121" s="22">
        <v>0</v>
      </c>
      <c r="J121" s="81"/>
      <c r="K121"/>
    </row>
    <row r="122" spans="1:11">
      <c r="A122" s="23" t="s">
        <v>414</v>
      </c>
      <c r="B122" s="19" t="s">
        <v>415</v>
      </c>
      <c r="C122" s="19" t="s">
        <v>392</v>
      </c>
      <c r="D122" s="20">
        <f t="shared" si="1"/>
        <v>1</v>
      </c>
      <c r="E122" s="22">
        <v>1</v>
      </c>
      <c r="F122" s="22">
        <v>0</v>
      </c>
      <c r="G122" s="22">
        <v>0</v>
      </c>
      <c r="J122" s="81"/>
      <c r="K122"/>
    </row>
    <row r="123" spans="1:11">
      <c r="A123" s="23" t="s">
        <v>416</v>
      </c>
      <c r="B123" s="19" t="s">
        <v>417</v>
      </c>
      <c r="C123" s="19" t="s">
        <v>392</v>
      </c>
      <c r="D123" s="20">
        <f t="shared" si="1"/>
        <v>0</v>
      </c>
      <c r="E123" s="22">
        <v>0</v>
      </c>
      <c r="F123" s="22">
        <v>0</v>
      </c>
      <c r="G123" s="22">
        <v>0</v>
      </c>
      <c r="J123" s="81"/>
      <c r="K123"/>
    </row>
    <row r="124" spans="1:11">
      <c r="A124" s="23" t="s">
        <v>418</v>
      </c>
      <c r="B124" s="19" t="s">
        <v>419</v>
      </c>
      <c r="C124" s="19" t="s">
        <v>392</v>
      </c>
      <c r="D124" s="20">
        <f t="shared" si="1"/>
        <v>0</v>
      </c>
      <c r="E124" s="22">
        <v>0</v>
      </c>
      <c r="F124" s="22">
        <v>0</v>
      </c>
      <c r="G124" s="22">
        <v>0</v>
      </c>
      <c r="J124" s="81"/>
      <c r="K124"/>
    </row>
    <row r="125" spans="1:11">
      <c r="A125" s="23" t="s">
        <v>420</v>
      </c>
      <c r="B125" s="19" t="s">
        <v>421</v>
      </c>
      <c r="C125" s="19" t="s">
        <v>392</v>
      </c>
      <c r="D125" s="20">
        <f t="shared" si="1"/>
        <v>2</v>
      </c>
      <c r="E125" s="22">
        <v>2</v>
      </c>
      <c r="F125" s="22">
        <v>0</v>
      </c>
      <c r="G125" s="22">
        <v>0</v>
      </c>
      <c r="J125" s="81"/>
      <c r="K125"/>
    </row>
    <row r="126" spans="1:11">
      <c r="A126" s="23" t="s">
        <v>422</v>
      </c>
      <c r="B126" s="19" t="s">
        <v>423</v>
      </c>
      <c r="C126" s="19" t="s">
        <v>392</v>
      </c>
      <c r="D126" s="20">
        <f t="shared" si="1"/>
        <v>2</v>
      </c>
      <c r="E126" s="22">
        <v>2</v>
      </c>
      <c r="F126" s="22">
        <v>0</v>
      </c>
      <c r="G126" s="22">
        <v>0</v>
      </c>
      <c r="J126" s="81"/>
      <c r="K126"/>
    </row>
    <row r="127" spans="1:11">
      <c r="A127" s="23" t="s">
        <v>424</v>
      </c>
      <c r="B127" s="19" t="s">
        <v>425</v>
      </c>
      <c r="C127" s="19" t="s">
        <v>285</v>
      </c>
      <c r="D127" s="20">
        <f t="shared" si="1"/>
        <v>0</v>
      </c>
      <c r="E127" s="22">
        <v>0</v>
      </c>
      <c r="F127" s="22">
        <v>0</v>
      </c>
      <c r="G127" s="22">
        <v>0</v>
      </c>
      <c r="J127" s="81"/>
      <c r="K127"/>
    </row>
    <row r="128" spans="1:11">
      <c r="A128" s="24" t="s">
        <v>426</v>
      </c>
      <c r="B128" s="25"/>
      <c r="C128" s="25"/>
      <c r="D128" s="25"/>
      <c r="E128" s="25"/>
      <c r="F128" s="28"/>
      <c r="G128" s="28"/>
      <c r="J128" s="81"/>
      <c r="K128"/>
    </row>
    <row r="129" spans="1:11">
      <c r="A129" s="23"/>
      <c r="B129" s="19" t="s">
        <v>427</v>
      </c>
      <c r="C129" s="19" t="s">
        <v>428</v>
      </c>
      <c r="D129" s="20">
        <f t="shared" si="1"/>
        <v>95182.9</v>
      </c>
      <c r="E129" s="22">
        <v>76005</v>
      </c>
      <c r="F129" s="22">
        <v>13644</v>
      </c>
      <c r="G129" s="22">
        <v>5533.9</v>
      </c>
      <c r="J129" s="81"/>
      <c r="K129"/>
    </row>
    <row r="130" spans="1:11">
      <c r="A130" s="23"/>
      <c r="B130" s="19" t="s">
        <v>429</v>
      </c>
      <c r="C130" s="19" t="s">
        <v>428</v>
      </c>
      <c r="D130" s="20">
        <f t="shared" si="1"/>
        <v>93703.8</v>
      </c>
      <c r="E130" s="22">
        <v>76005</v>
      </c>
      <c r="F130" s="22">
        <v>13644</v>
      </c>
      <c r="G130" s="22">
        <v>4054.8</v>
      </c>
      <c r="J130" s="81"/>
      <c r="K130"/>
    </row>
    <row r="131" spans="1:11">
      <c r="A131" s="23"/>
      <c r="B131" s="19" t="s">
        <v>430</v>
      </c>
      <c r="C131" s="19" t="s">
        <v>428</v>
      </c>
      <c r="D131" s="20">
        <f t="shared" si="1"/>
        <v>95182.9</v>
      </c>
      <c r="E131" s="22">
        <v>76005</v>
      </c>
      <c r="F131" s="22">
        <v>13644</v>
      </c>
      <c r="G131" s="22">
        <v>5533.9</v>
      </c>
      <c r="J131" s="81"/>
      <c r="K131"/>
    </row>
    <row r="132" spans="1:11">
      <c r="A132" s="23"/>
      <c r="B132" s="19" t="s">
        <v>431</v>
      </c>
      <c r="C132" s="19" t="s">
        <v>428</v>
      </c>
      <c r="D132" s="20">
        <f t="shared" si="1"/>
        <v>95182.9</v>
      </c>
      <c r="E132" s="22">
        <v>76005</v>
      </c>
      <c r="F132" s="22">
        <v>13644</v>
      </c>
      <c r="G132" s="22">
        <v>5533.9</v>
      </c>
      <c r="J132" s="81"/>
      <c r="K132"/>
    </row>
    <row r="133" spans="1:11">
      <c r="A133" s="24" t="s">
        <v>432</v>
      </c>
      <c r="B133" s="25"/>
      <c r="C133" s="25"/>
      <c r="D133" s="25"/>
      <c r="E133" s="28"/>
      <c r="F133" s="28"/>
      <c r="G133" s="28"/>
      <c r="K133"/>
    </row>
    <row r="134" spans="1:11">
      <c r="A134" s="23"/>
      <c r="B134" s="19" t="s">
        <v>433</v>
      </c>
      <c r="C134" s="19" t="s">
        <v>434</v>
      </c>
      <c r="D134" s="20">
        <f t="shared" si="1"/>
        <v>174486.45</v>
      </c>
      <c r="E134" s="22">
        <v>174486.45</v>
      </c>
      <c r="F134" s="82" t="s">
        <v>683</v>
      </c>
      <c r="G134" s="82" t="s">
        <v>683</v>
      </c>
      <c r="I134" s="76"/>
      <c r="K134"/>
    </row>
    <row r="135" spans="1:11">
      <c r="A135" s="23"/>
      <c r="B135" s="19" t="s">
        <v>435</v>
      </c>
      <c r="C135" s="19" t="s">
        <v>434</v>
      </c>
      <c r="D135" s="20">
        <f t="shared" si="1"/>
        <v>157266</v>
      </c>
      <c r="E135" s="22">
        <v>157266</v>
      </c>
      <c r="F135" s="82" t="s">
        <v>683</v>
      </c>
      <c r="G135" s="82" t="s">
        <v>683</v>
      </c>
      <c r="K135"/>
    </row>
    <row r="136" spans="1:11">
      <c r="A136" s="23"/>
      <c r="B136" s="19" t="s">
        <v>436</v>
      </c>
      <c r="C136" s="19" t="s">
        <v>434</v>
      </c>
      <c r="D136" s="20">
        <f t="shared" si="1"/>
        <v>151023</v>
      </c>
      <c r="E136" s="22">
        <v>151023</v>
      </c>
      <c r="F136" s="82" t="s">
        <v>683</v>
      </c>
      <c r="G136" s="82" t="s">
        <v>683</v>
      </c>
      <c r="K136"/>
    </row>
    <row r="137" spans="1:11">
      <c r="E137" s="31"/>
      <c r="F137" s="31"/>
      <c r="G137" s="31"/>
    </row>
    <row r="138" spans="1:11">
      <c r="K138"/>
    </row>
    <row r="176" spans="10:11">
      <c r="J176" s="44"/>
      <c r="K176" s="44"/>
    </row>
    <row r="177" spans="10:11">
      <c r="J177" s="44"/>
      <c r="K177" s="44"/>
    </row>
    <row r="178" spans="10:11">
      <c r="J178" s="44"/>
      <c r="K178" s="44"/>
    </row>
    <row r="179" spans="10:11">
      <c r="J179" s="44"/>
      <c r="K179" s="44"/>
    </row>
    <row r="180" spans="10:11">
      <c r="J180" s="44"/>
      <c r="K180" s="44"/>
    </row>
    <row r="181" spans="10:11">
      <c r="J181" s="44"/>
      <c r="K181" s="44"/>
    </row>
    <row r="182" spans="10:11">
      <c r="J182" s="44"/>
      <c r="K182" s="44"/>
    </row>
    <row r="183" spans="10:11">
      <c r="J183" s="44"/>
      <c r="K183" s="44"/>
    </row>
    <row r="184" spans="10:11">
      <c r="J184" s="44"/>
      <c r="K184" s="44"/>
    </row>
    <row r="185" spans="10:11">
      <c r="J185" s="44"/>
      <c r="K185" s="44"/>
    </row>
    <row r="186" spans="10:11">
      <c r="J186" s="44"/>
      <c r="K186" s="44"/>
    </row>
    <row r="187" spans="10:11">
      <c r="J187" s="44"/>
      <c r="K187" s="44"/>
    </row>
    <row r="188" spans="10:11">
      <c r="J188" s="44"/>
      <c r="K188" s="44"/>
    </row>
    <row r="189" spans="10:11">
      <c r="J189" s="44"/>
      <c r="K189" s="44"/>
    </row>
    <row r="190" spans="10:11">
      <c r="J190" s="44"/>
      <c r="K190" s="44"/>
    </row>
    <row r="191" spans="10:11">
      <c r="J191" s="44"/>
      <c r="K191" s="44"/>
    </row>
    <row r="192" spans="10:11">
      <c r="J192" s="44"/>
      <c r="K192" s="44"/>
    </row>
    <row r="193" spans="10:11">
      <c r="J193" s="44"/>
      <c r="K193" s="44"/>
    </row>
    <row r="194" spans="10:11">
      <c r="J194" s="44"/>
      <c r="K194" s="44"/>
    </row>
    <row r="195" spans="10:11">
      <c r="J195" s="44"/>
      <c r="K195" s="44"/>
    </row>
    <row r="196" spans="10:11">
      <c r="J196" s="44"/>
      <c r="K196" s="44"/>
    </row>
    <row r="197" spans="10:11">
      <c r="J197" s="44"/>
      <c r="K197" s="44"/>
    </row>
    <row r="198" spans="10:11">
      <c r="J198" s="44"/>
      <c r="K198" s="44"/>
    </row>
    <row r="199" spans="10:11">
      <c r="J199" s="44"/>
      <c r="K199" s="44"/>
    </row>
    <row r="200" spans="10:11">
      <c r="J200" s="44"/>
      <c r="K200" s="44"/>
    </row>
    <row r="201" spans="10:11">
      <c r="J201" s="44"/>
      <c r="K201" s="44"/>
    </row>
    <row r="202" spans="10:11">
      <c r="J202" s="44"/>
      <c r="K202" s="44"/>
    </row>
    <row r="203" spans="10:11">
      <c r="J203" s="44"/>
      <c r="K203" s="44"/>
    </row>
    <row r="204" spans="10:11">
      <c r="J204" s="44"/>
      <c r="K204" s="44"/>
    </row>
    <row r="205" spans="10:11">
      <c r="J205" s="44"/>
      <c r="K205" s="44"/>
    </row>
    <row r="206" spans="10:11">
      <c r="J206" s="44"/>
      <c r="K206" s="44"/>
    </row>
    <row r="207" spans="10:11">
      <c r="J207" s="44"/>
      <c r="K207" s="44"/>
    </row>
    <row r="208" spans="10:11">
      <c r="J208" s="44"/>
      <c r="K208" s="44"/>
    </row>
    <row r="209" spans="10:11">
      <c r="J209" s="44"/>
      <c r="K209" s="44"/>
    </row>
    <row r="210" spans="10:11">
      <c r="J210" s="44"/>
      <c r="K210" s="44"/>
    </row>
    <row r="211" spans="10:11">
      <c r="J211" s="44"/>
      <c r="K211" s="44"/>
    </row>
    <row r="212" spans="10:11">
      <c r="J212" s="44"/>
      <c r="K212" s="44"/>
    </row>
    <row r="213" spans="10:11">
      <c r="J213" s="44"/>
      <c r="K213" s="44"/>
    </row>
    <row r="214" spans="10:11">
      <c r="J214" s="44"/>
      <c r="K214" s="44"/>
    </row>
    <row r="215" spans="10:11">
      <c r="J215" s="44"/>
      <c r="K215" s="44"/>
    </row>
    <row r="217" spans="10:11">
      <c r="J217" s="44"/>
      <c r="K217" s="44"/>
    </row>
  </sheetData>
  <mergeCells count="1">
    <mergeCell ref="A1:C7"/>
  </mergeCells>
  <phoneticPr fontId="1" type="noConversion"/>
  <pageMargins left="0.70866141732283472" right="0.70866141732283472" top="0.74803149606299213" bottom="0.74803149606299213" header="0.31496062992125984" footer="0.31496062992125984"/>
  <pageSetup paperSize="8" scale="64" fitToHeight="5" orientation="landscape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4D4C2-0978-4F76-A216-038C27F771C1}">
  <sheetPr codeName="Sheet12">
    <pageSetUpPr fitToPage="1"/>
  </sheetPr>
  <dimension ref="A1:AR217"/>
  <sheetViews>
    <sheetView showGridLines="0" topLeftCell="A38" zoomScale="90" zoomScaleNormal="90" workbookViewId="0">
      <selection activeCell="B43" sqref="B43"/>
    </sheetView>
  </sheetViews>
  <sheetFormatPr defaultColWidth="9.140625" defaultRowHeight="15.95"/>
  <cols>
    <col min="1" max="1" width="27.7109375" style="4" customWidth="1"/>
    <col min="2" max="2" width="57.42578125" style="30" bestFit="1" customWidth="1"/>
    <col min="3" max="3" width="29.7109375" style="30" bestFit="1" customWidth="1"/>
    <col min="4" max="4" width="28.5703125" style="31" customWidth="1"/>
    <col min="5" max="5" width="24.28515625" style="32" bestFit="1" customWidth="1"/>
    <col min="6" max="6" width="16.85546875" style="50" customWidth="1"/>
    <col min="7" max="7" width="15.85546875" style="67" bestFit="1" customWidth="1"/>
    <col min="8" max="8" width="18.5703125" style="76" bestFit="1" customWidth="1"/>
    <col min="10" max="11" width="25.7109375" style="33" customWidth="1"/>
    <col min="12" max="44" width="14.28515625" customWidth="1"/>
    <col min="45" max="228" width="9.140625" style="33"/>
    <col min="229" max="229" width="24.5703125" style="33" customWidth="1"/>
    <col min="230" max="230" width="59.5703125" style="33" customWidth="1"/>
    <col min="231" max="231" width="23.140625" style="33" customWidth="1"/>
    <col min="232" max="232" width="14.85546875" style="33" bestFit="1" customWidth="1"/>
    <col min="233" max="234" width="20.42578125" style="33" customWidth="1"/>
    <col min="235" max="235" width="17.42578125" style="33" customWidth="1"/>
    <col min="236" max="236" width="11.5703125" style="33" bestFit="1" customWidth="1"/>
    <col min="237" max="237" width="16.140625" style="33" customWidth="1"/>
    <col min="238" max="238" width="9.140625" style="33"/>
    <col min="239" max="239" width="14.140625" style="33" bestFit="1" customWidth="1"/>
    <col min="240" max="484" width="9.140625" style="33"/>
    <col min="485" max="485" width="24.5703125" style="33" customWidth="1"/>
    <col min="486" max="486" width="59.5703125" style="33" customWidth="1"/>
    <col min="487" max="487" width="23.140625" style="33" customWidth="1"/>
    <col min="488" max="488" width="14.85546875" style="33" bestFit="1" customWidth="1"/>
    <col min="489" max="490" width="20.42578125" style="33" customWidth="1"/>
    <col min="491" max="491" width="17.42578125" style="33" customWidth="1"/>
    <col min="492" max="492" width="11.5703125" style="33" bestFit="1" customWidth="1"/>
    <col min="493" max="493" width="16.140625" style="33" customWidth="1"/>
    <col min="494" max="494" width="9.140625" style="33"/>
    <col min="495" max="495" width="14.140625" style="33" bestFit="1" customWidth="1"/>
    <col min="496" max="740" width="9.140625" style="33"/>
    <col min="741" max="741" width="24.5703125" style="33" customWidth="1"/>
    <col min="742" max="742" width="59.5703125" style="33" customWidth="1"/>
    <col min="743" max="743" width="23.140625" style="33" customWidth="1"/>
    <col min="744" max="744" width="14.85546875" style="33" bestFit="1" customWidth="1"/>
    <col min="745" max="746" width="20.42578125" style="33" customWidth="1"/>
    <col min="747" max="747" width="17.42578125" style="33" customWidth="1"/>
    <col min="748" max="748" width="11.5703125" style="33" bestFit="1" customWidth="1"/>
    <col min="749" max="749" width="16.140625" style="33" customWidth="1"/>
    <col min="750" max="750" width="9.140625" style="33"/>
    <col min="751" max="751" width="14.140625" style="33" bestFit="1" customWidth="1"/>
    <col min="752" max="996" width="9.140625" style="33"/>
    <col min="997" max="997" width="24.5703125" style="33" customWidth="1"/>
    <col min="998" max="998" width="59.5703125" style="33" customWidth="1"/>
    <col min="999" max="999" width="23.140625" style="33" customWidth="1"/>
    <col min="1000" max="1000" width="14.85546875" style="33" bestFit="1" customWidth="1"/>
    <col min="1001" max="1002" width="20.42578125" style="33" customWidth="1"/>
    <col min="1003" max="1003" width="17.42578125" style="33" customWidth="1"/>
    <col min="1004" max="1004" width="11.5703125" style="33" bestFit="1" customWidth="1"/>
    <col min="1005" max="1005" width="16.140625" style="33" customWidth="1"/>
    <col min="1006" max="1006" width="9.140625" style="33"/>
    <col min="1007" max="1007" width="14.140625" style="33" bestFit="1" customWidth="1"/>
    <col min="1008" max="1252" width="9.140625" style="33"/>
    <col min="1253" max="1253" width="24.5703125" style="33" customWidth="1"/>
    <col min="1254" max="1254" width="59.5703125" style="33" customWidth="1"/>
    <col min="1255" max="1255" width="23.140625" style="33" customWidth="1"/>
    <col min="1256" max="1256" width="14.85546875" style="33" bestFit="1" customWidth="1"/>
    <col min="1257" max="1258" width="20.42578125" style="33" customWidth="1"/>
    <col min="1259" max="1259" width="17.42578125" style="33" customWidth="1"/>
    <col min="1260" max="1260" width="11.5703125" style="33" bestFit="1" customWidth="1"/>
    <col min="1261" max="1261" width="16.140625" style="33" customWidth="1"/>
    <col min="1262" max="1262" width="9.140625" style="33"/>
    <col min="1263" max="1263" width="14.140625" style="33" bestFit="1" customWidth="1"/>
    <col min="1264" max="1508" width="9.140625" style="33"/>
    <col min="1509" max="1509" width="24.5703125" style="33" customWidth="1"/>
    <col min="1510" max="1510" width="59.5703125" style="33" customWidth="1"/>
    <col min="1511" max="1511" width="23.140625" style="33" customWidth="1"/>
    <col min="1512" max="1512" width="14.85546875" style="33" bestFit="1" customWidth="1"/>
    <col min="1513" max="1514" width="20.42578125" style="33" customWidth="1"/>
    <col min="1515" max="1515" width="17.42578125" style="33" customWidth="1"/>
    <col min="1516" max="1516" width="11.5703125" style="33" bestFit="1" customWidth="1"/>
    <col min="1517" max="1517" width="16.140625" style="33" customWidth="1"/>
    <col min="1518" max="1518" width="9.140625" style="33"/>
    <col min="1519" max="1519" width="14.140625" style="33" bestFit="1" customWidth="1"/>
    <col min="1520" max="1764" width="9.140625" style="33"/>
    <col min="1765" max="1765" width="24.5703125" style="33" customWidth="1"/>
    <col min="1766" max="1766" width="59.5703125" style="33" customWidth="1"/>
    <col min="1767" max="1767" width="23.140625" style="33" customWidth="1"/>
    <col min="1768" max="1768" width="14.85546875" style="33" bestFit="1" customWidth="1"/>
    <col min="1769" max="1770" width="20.42578125" style="33" customWidth="1"/>
    <col min="1771" max="1771" width="17.42578125" style="33" customWidth="1"/>
    <col min="1772" max="1772" width="11.5703125" style="33" bestFit="1" customWidth="1"/>
    <col min="1773" max="1773" width="16.140625" style="33" customWidth="1"/>
    <col min="1774" max="1774" width="9.140625" style="33"/>
    <col min="1775" max="1775" width="14.140625" style="33" bestFit="1" customWidth="1"/>
    <col min="1776" max="2020" width="9.140625" style="33"/>
    <col min="2021" max="2021" width="24.5703125" style="33" customWidth="1"/>
    <col min="2022" max="2022" width="59.5703125" style="33" customWidth="1"/>
    <col min="2023" max="2023" width="23.140625" style="33" customWidth="1"/>
    <col min="2024" max="2024" width="14.85546875" style="33" bestFit="1" customWidth="1"/>
    <col min="2025" max="2026" width="20.42578125" style="33" customWidth="1"/>
    <col min="2027" max="2027" width="17.42578125" style="33" customWidth="1"/>
    <col min="2028" max="2028" width="11.5703125" style="33" bestFit="1" customWidth="1"/>
    <col min="2029" max="2029" width="16.140625" style="33" customWidth="1"/>
    <col min="2030" max="2030" width="9.140625" style="33"/>
    <col min="2031" max="2031" width="14.140625" style="33" bestFit="1" customWidth="1"/>
    <col min="2032" max="2276" width="9.140625" style="33"/>
    <col min="2277" max="2277" width="24.5703125" style="33" customWidth="1"/>
    <col min="2278" max="2278" width="59.5703125" style="33" customWidth="1"/>
    <col min="2279" max="2279" width="23.140625" style="33" customWidth="1"/>
    <col min="2280" max="2280" width="14.85546875" style="33" bestFit="1" customWidth="1"/>
    <col min="2281" max="2282" width="20.42578125" style="33" customWidth="1"/>
    <col min="2283" max="2283" width="17.42578125" style="33" customWidth="1"/>
    <col min="2284" max="2284" width="11.5703125" style="33" bestFit="1" customWidth="1"/>
    <col min="2285" max="2285" width="16.140625" style="33" customWidth="1"/>
    <col min="2286" max="2286" width="9.140625" style="33"/>
    <col min="2287" max="2287" width="14.140625" style="33" bestFit="1" customWidth="1"/>
    <col min="2288" max="2532" width="9.140625" style="33"/>
    <col min="2533" max="2533" width="24.5703125" style="33" customWidth="1"/>
    <col min="2534" max="2534" width="59.5703125" style="33" customWidth="1"/>
    <col min="2535" max="2535" width="23.140625" style="33" customWidth="1"/>
    <col min="2536" max="2536" width="14.85546875" style="33" bestFit="1" customWidth="1"/>
    <col min="2537" max="2538" width="20.42578125" style="33" customWidth="1"/>
    <col min="2539" max="2539" width="17.42578125" style="33" customWidth="1"/>
    <col min="2540" max="2540" width="11.5703125" style="33" bestFit="1" customWidth="1"/>
    <col min="2541" max="2541" width="16.140625" style="33" customWidth="1"/>
    <col min="2542" max="2542" width="9.140625" style="33"/>
    <col min="2543" max="2543" width="14.140625" style="33" bestFit="1" customWidth="1"/>
    <col min="2544" max="2788" width="9.140625" style="33"/>
    <col min="2789" max="2789" width="24.5703125" style="33" customWidth="1"/>
    <col min="2790" max="2790" width="59.5703125" style="33" customWidth="1"/>
    <col min="2791" max="2791" width="23.140625" style="33" customWidth="1"/>
    <col min="2792" max="2792" width="14.85546875" style="33" bestFit="1" customWidth="1"/>
    <col min="2793" max="2794" width="20.42578125" style="33" customWidth="1"/>
    <col min="2795" max="2795" width="17.42578125" style="33" customWidth="1"/>
    <col min="2796" max="2796" width="11.5703125" style="33" bestFit="1" customWidth="1"/>
    <col min="2797" max="2797" width="16.140625" style="33" customWidth="1"/>
    <col min="2798" max="2798" width="9.140625" style="33"/>
    <col min="2799" max="2799" width="14.140625" style="33" bestFit="1" customWidth="1"/>
    <col min="2800" max="3044" width="9.140625" style="33"/>
    <col min="3045" max="3045" width="24.5703125" style="33" customWidth="1"/>
    <col min="3046" max="3046" width="59.5703125" style="33" customWidth="1"/>
    <col min="3047" max="3047" width="23.140625" style="33" customWidth="1"/>
    <col min="3048" max="3048" width="14.85546875" style="33" bestFit="1" customWidth="1"/>
    <col min="3049" max="3050" width="20.42578125" style="33" customWidth="1"/>
    <col min="3051" max="3051" width="17.42578125" style="33" customWidth="1"/>
    <col min="3052" max="3052" width="11.5703125" style="33" bestFit="1" customWidth="1"/>
    <col min="3053" max="3053" width="16.140625" style="33" customWidth="1"/>
    <col min="3054" max="3054" width="9.140625" style="33"/>
    <col min="3055" max="3055" width="14.140625" style="33" bestFit="1" customWidth="1"/>
    <col min="3056" max="3300" width="9.140625" style="33"/>
    <col min="3301" max="3301" width="24.5703125" style="33" customWidth="1"/>
    <col min="3302" max="3302" width="59.5703125" style="33" customWidth="1"/>
    <col min="3303" max="3303" width="23.140625" style="33" customWidth="1"/>
    <col min="3304" max="3304" width="14.85546875" style="33" bestFit="1" customWidth="1"/>
    <col min="3305" max="3306" width="20.42578125" style="33" customWidth="1"/>
    <col min="3307" max="3307" width="17.42578125" style="33" customWidth="1"/>
    <col min="3308" max="3308" width="11.5703125" style="33" bestFit="1" customWidth="1"/>
    <col min="3309" max="3309" width="16.140625" style="33" customWidth="1"/>
    <col min="3310" max="3310" width="9.140625" style="33"/>
    <col min="3311" max="3311" width="14.140625" style="33" bestFit="1" customWidth="1"/>
    <col min="3312" max="3556" width="9.140625" style="33"/>
    <col min="3557" max="3557" width="24.5703125" style="33" customWidth="1"/>
    <col min="3558" max="3558" width="59.5703125" style="33" customWidth="1"/>
    <col min="3559" max="3559" width="23.140625" style="33" customWidth="1"/>
    <col min="3560" max="3560" width="14.85546875" style="33" bestFit="1" customWidth="1"/>
    <col min="3561" max="3562" width="20.42578125" style="33" customWidth="1"/>
    <col min="3563" max="3563" width="17.42578125" style="33" customWidth="1"/>
    <col min="3564" max="3564" width="11.5703125" style="33" bestFit="1" customWidth="1"/>
    <col min="3565" max="3565" width="16.140625" style="33" customWidth="1"/>
    <col min="3566" max="3566" width="9.140625" style="33"/>
    <col min="3567" max="3567" width="14.140625" style="33" bestFit="1" customWidth="1"/>
    <col min="3568" max="3812" width="9.140625" style="33"/>
    <col min="3813" max="3813" width="24.5703125" style="33" customWidth="1"/>
    <col min="3814" max="3814" width="59.5703125" style="33" customWidth="1"/>
    <col min="3815" max="3815" width="23.140625" style="33" customWidth="1"/>
    <col min="3816" max="3816" width="14.85546875" style="33" bestFit="1" customWidth="1"/>
    <col min="3817" max="3818" width="20.42578125" style="33" customWidth="1"/>
    <col min="3819" max="3819" width="17.42578125" style="33" customWidth="1"/>
    <col min="3820" max="3820" width="11.5703125" style="33" bestFit="1" customWidth="1"/>
    <col min="3821" max="3821" width="16.140625" style="33" customWidth="1"/>
    <col min="3822" max="3822" width="9.140625" style="33"/>
    <col min="3823" max="3823" width="14.140625" style="33" bestFit="1" customWidth="1"/>
    <col min="3824" max="4068" width="9.140625" style="33"/>
    <col min="4069" max="4069" width="24.5703125" style="33" customWidth="1"/>
    <col min="4070" max="4070" width="59.5703125" style="33" customWidth="1"/>
    <col min="4071" max="4071" width="23.140625" style="33" customWidth="1"/>
    <col min="4072" max="4072" width="14.85546875" style="33" bestFit="1" customWidth="1"/>
    <col min="4073" max="4074" width="20.42578125" style="33" customWidth="1"/>
    <col min="4075" max="4075" width="17.42578125" style="33" customWidth="1"/>
    <col min="4076" max="4076" width="11.5703125" style="33" bestFit="1" customWidth="1"/>
    <col min="4077" max="4077" width="16.140625" style="33" customWidth="1"/>
    <col min="4078" max="4078" width="9.140625" style="33"/>
    <col min="4079" max="4079" width="14.140625" style="33" bestFit="1" customWidth="1"/>
    <col min="4080" max="4324" width="9.140625" style="33"/>
    <col min="4325" max="4325" width="24.5703125" style="33" customWidth="1"/>
    <col min="4326" max="4326" width="59.5703125" style="33" customWidth="1"/>
    <col min="4327" max="4327" width="23.140625" style="33" customWidth="1"/>
    <col min="4328" max="4328" width="14.85546875" style="33" bestFit="1" customWidth="1"/>
    <col min="4329" max="4330" width="20.42578125" style="33" customWidth="1"/>
    <col min="4331" max="4331" width="17.42578125" style="33" customWidth="1"/>
    <col min="4332" max="4332" width="11.5703125" style="33" bestFit="1" customWidth="1"/>
    <col min="4333" max="4333" width="16.140625" style="33" customWidth="1"/>
    <col min="4334" max="4334" width="9.140625" style="33"/>
    <col min="4335" max="4335" width="14.140625" style="33" bestFit="1" customWidth="1"/>
    <col min="4336" max="4580" width="9.140625" style="33"/>
    <col min="4581" max="4581" width="24.5703125" style="33" customWidth="1"/>
    <col min="4582" max="4582" width="59.5703125" style="33" customWidth="1"/>
    <col min="4583" max="4583" width="23.140625" style="33" customWidth="1"/>
    <col min="4584" max="4584" width="14.85546875" style="33" bestFit="1" customWidth="1"/>
    <col min="4585" max="4586" width="20.42578125" style="33" customWidth="1"/>
    <col min="4587" max="4587" width="17.42578125" style="33" customWidth="1"/>
    <col min="4588" max="4588" width="11.5703125" style="33" bestFit="1" customWidth="1"/>
    <col min="4589" max="4589" width="16.140625" style="33" customWidth="1"/>
    <col min="4590" max="4590" width="9.140625" style="33"/>
    <col min="4591" max="4591" width="14.140625" style="33" bestFit="1" customWidth="1"/>
    <col min="4592" max="4836" width="9.140625" style="33"/>
    <col min="4837" max="4837" width="24.5703125" style="33" customWidth="1"/>
    <col min="4838" max="4838" width="59.5703125" style="33" customWidth="1"/>
    <col min="4839" max="4839" width="23.140625" style="33" customWidth="1"/>
    <col min="4840" max="4840" width="14.85546875" style="33" bestFit="1" customWidth="1"/>
    <col min="4841" max="4842" width="20.42578125" style="33" customWidth="1"/>
    <col min="4843" max="4843" width="17.42578125" style="33" customWidth="1"/>
    <col min="4844" max="4844" width="11.5703125" style="33" bestFit="1" customWidth="1"/>
    <col min="4845" max="4845" width="16.140625" style="33" customWidth="1"/>
    <col min="4846" max="4846" width="9.140625" style="33"/>
    <col min="4847" max="4847" width="14.140625" style="33" bestFit="1" customWidth="1"/>
    <col min="4848" max="5092" width="9.140625" style="33"/>
    <col min="5093" max="5093" width="24.5703125" style="33" customWidth="1"/>
    <col min="5094" max="5094" width="59.5703125" style="33" customWidth="1"/>
    <col min="5095" max="5095" width="23.140625" style="33" customWidth="1"/>
    <col min="5096" max="5096" width="14.85546875" style="33" bestFit="1" customWidth="1"/>
    <col min="5097" max="5098" width="20.42578125" style="33" customWidth="1"/>
    <col min="5099" max="5099" width="17.42578125" style="33" customWidth="1"/>
    <col min="5100" max="5100" width="11.5703125" style="33" bestFit="1" customWidth="1"/>
    <col min="5101" max="5101" width="16.140625" style="33" customWidth="1"/>
    <col min="5102" max="5102" width="9.140625" style="33"/>
    <col min="5103" max="5103" width="14.140625" style="33" bestFit="1" customWidth="1"/>
    <col min="5104" max="5348" width="9.140625" style="33"/>
    <col min="5349" max="5349" width="24.5703125" style="33" customWidth="1"/>
    <col min="5350" max="5350" width="59.5703125" style="33" customWidth="1"/>
    <col min="5351" max="5351" width="23.140625" style="33" customWidth="1"/>
    <col min="5352" max="5352" width="14.85546875" style="33" bestFit="1" customWidth="1"/>
    <col min="5353" max="5354" width="20.42578125" style="33" customWidth="1"/>
    <col min="5355" max="5355" width="17.42578125" style="33" customWidth="1"/>
    <col min="5356" max="5356" width="11.5703125" style="33" bestFit="1" customWidth="1"/>
    <col min="5357" max="5357" width="16.140625" style="33" customWidth="1"/>
    <col min="5358" max="5358" width="9.140625" style="33"/>
    <col min="5359" max="5359" width="14.140625" style="33" bestFit="1" customWidth="1"/>
    <col min="5360" max="5604" width="9.140625" style="33"/>
    <col min="5605" max="5605" width="24.5703125" style="33" customWidth="1"/>
    <col min="5606" max="5606" width="59.5703125" style="33" customWidth="1"/>
    <col min="5607" max="5607" width="23.140625" style="33" customWidth="1"/>
    <col min="5608" max="5608" width="14.85546875" style="33" bestFit="1" customWidth="1"/>
    <col min="5609" max="5610" width="20.42578125" style="33" customWidth="1"/>
    <col min="5611" max="5611" width="17.42578125" style="33" customWidth="1"/>
    <col min="5612" max="5612" width="11.5703125" style="33" bestFit="1" customWidth="1"/>
    <col min="5613" max="5613" width="16.140625" style="33" customWidth="1"/>
    <col min="5614" max="5614" width="9.140625" style="33"/>
    <col min="5615" max="5615" width="14.140625" style="33" bestFit="1" customWidth="1"/>
    <col min="5616" max="5860" width="9.140625" style="33"/>
    <col min="5861" max="5861" width="24.5703125" style="33" customWidth="1"/>
    <col min="5862" max="5862" width="59.5703125" style="33" customWidth="1"/>
    <col min="5863" max="5863" width="23.140625" style="33" customWidth="1"/>
    <col min="5864" max="5864" width="14.85546875" style="33" bestFit="1" customWidth="1"/>
    <col min="5865" max="5866" width="20.42578125" style="33" customWidth="1"/>
    <col min="5867" max="5867" width="17.42578125" style="33" customWidth="1"/>
    <col min="5868" max="5868" width="11.5703125" style="33" bestFit="1" customWidth="1"/>
    <col min="5869" max="5869" width="16.140625" style="33" customWidth="1"/>
    <col min="5870" max="5870" width="9.140625" style="33"/>
    <col min="5871" max="5871" width="14.140625" style="33" bestFit="1" customWidth="1"/>
    <col min="5872" max="6116" width="9.140625" style="33"/>
    <col min="6117" max="6117" width="24.5703125" style="33" customWidth="1"/>
    <col min="6118" max="6118" width="59.5703125" style="33" customWidth="1"/>
    <col min="6119" max="6119" width="23.140625" style="33" customWidth="1"/>
    <col min="6120" max="6120" width="14.85546875" style="33" bestFit="1" customWidth="1"/>
    <col min="6121" max="6122" width="20.42578125" style="33" customWidth="1"/>
    <col min="6123" max="6123" width="17.42578125" style="33" customWidth="1"/>
    <col min="6124" max="6124" width="11.5703125" style="33" bestFit="1" customWidth="1"/>
    <col min="6125" max="6125" width="16.140625" style="33" customWidth="1"/>
    <col min="6126" max="6126" width="9.140625" style="33"/>
    <col min="6127" max="6127" width="14.140625" style="33" bestFit="1" customWidth="1"/>
    <col min="6128" max="6372" width="9.140625" style="33"/>
    <col min="6373" max="6373" width="24.5703125" style="33" customWidth="1"/>
    <col min="6374" max="6374" width="59.5703125" style="33" customWidth="1"/>
    <col min="6375" max="6375" width="23.140625" style="33" customWidth="1"/>
    <col min="6376" max="6376" width="14.85546875" style="33" bestFit="1" customWidth="1"/>
    <col min="6377" max="6378" width="20.42578125" style="33" customWidth="1"/>
    <col min="6379" max="6379" width="17.42578125" style="33" customWidth="1"/>
    <col min="6380" max="6380" width="11.5703125" style="33" bestFit="1" customWidth="1"/>
    <col min="6381" max="6381" width="16.140625" style="33" customWidth="1"/>
    <col min="6382" max="6382" width="9.140625" style="33"/>
    <col min="6383" max="6383" width="14.140625" style="33" bestFit="1" customWidth="1"/>
    <col min="6384" max="6628" width="9.140625" style="33"/>
    <col min="6629" max="6629" width="24.5703125" style="33" customWidth="1"/>
    <col min="6630" max="6630" width="59.5703125" style="33" customWidth="1"/>
    <col min="6631" max="6631" width="23.140625" style="33" customWidth="1"/>
    <col min="6632" max="6632" width="14.85546875" style="33" bestFit="1" customWidth="1"/>
    <col min="6633" max="6634" width="20.42578125" style="33" customWidth="1"/>
    <col min="6635" max="6635" width="17.42578125" style="33" customWidth="1"/>
    <col min="6636" max="6636" width="11.5703125" style="33" bestFit="1" customWidth="1"/>
    <col min="6637" max="6637" width="16.140625" style="33" customWidth="1"/>
    <col min="6638" max="6638" width="9.140625" style="33"/>
    <col min="6639" max="6639" width="14.140625" style="33" bestFit="1" customWidth="1"/>
    <col min="6640" max="6884" width="9.140625" style="33"/>
    <col min="6885" max="6885" width="24.5703125" style="33" customWidth="1"/>
    <col min="6886" max="6886" width="59.5703125" style="33" customWidth="1"/>
    <col min="6887" max="6887" width="23.140625" style="33" customWidth="1"/>
    <col min="6888" max="6888" width="14.85546875" style="33" bestFit="1" customWidth="1"/>
    <col min="6889" max="6890" width="20.42578125" style="33" customWidth="1"/>
    <col min="6891" max="6891" width="17.42578125" style="33" customWidth="1"/>
    <col min="6892" max="6892" width="11.5703125" style="33" bestFit="1" customWidth="1"/>
    <col min="6893" max="6893" width="16.140625" style="33" customWidth="1"/>
    <col min="6894" max="6894" width="9.140625" style="33"/>
    <col min="6895" max="6895" width="14.140625" style="33" bestFit="1" customWidth="1"/>
    <col min="6896" max="7140" width="9.140625" style="33"/>
    <col min="7141" max="7141" width="24.5703125" style="33" customWidth="1"/>
    <col min="7142" max="7142" width="59.5703125" style="33" customWidth="1"/>
    <col min="7143" max="7143" width="23.140625" style="33" customWidth="1"/>
    <col min="7144" max="7144" width="14.85546875" style="33" bestFit="1" customWidth="1"/>
    <col min="7145" max="7146" width="20.42578125" style="33" customWidth="1"/>
    <col min="7147" max="7147" width="17.42578125" style="33" customWidth="1"/>
    <col min="7148" max="7148" width="11.5703125" style="33" bestFit="1" customWidth="1"/>
    <col min="7149" max="7149" width="16.140625" style="33" customWidth="1"/>
    <col min="7150" max="7150" width="9.140625" style="33"/>
    <col min="7151" max="7151" width="14.140625" style="33" bestFit="1" customWidth="1"/>
    <col min="7152" max="7396" width="9.140625" style="33"/>
    <col min="7397" max="7397" width="24.5703125" style="33" customWidth="1"/>
    <col min="7398" max="7398" width="59.5703125" style="33" customWidth="1"/>
    <col min="7399" max="7399" width="23.140625" style="33" customWidth="1"/>
    <col min="7400" max="7400" width="14.85546875" style="33" bestFit="1" customWidth="1"/>
    <col min="7401" max="7402" width="20.42578125" style="33" customWidth="1"/>
    <col min="7403" max="7403" width="17.42578125" style="33" customWidth="1"/>
    <col min="7404" max="7404" width="11.5703125" style="33" bestFit="1" customWidth="1"/>
    <col min="7405" max="7405" width="16.140625" style="33" customWidth="1"/>
    <col min="7406" max="7406" width="9.140625" style="33"/>
    <col min="7407" max="7407" width="14.140625" style="33" bestFit="1" customWidth="1"/>
    <col min="7408" max="7652" width="9.140625" style="33"/>
    <col min="7653" max="7653" width="24.5703125" style="33" customWidth="1"/>
    <col min="7654" max="7654" width="59.5703125" style="33" customWidth="1"/>
    <col min="7655" max="7655" width="23.140625" style="33" customWidth="1"/>
    <col min="7656" max="7656" width="14.85546875" style="33" bestFit="1" customWidth="1"/>
    <col min="7657" max="7658" width="20.42578125" style="33" customWidth="1"/>
    <col min="7659" max="7659" width="17.42578125" style="33" customWidth="1"/>
    <col min="7660" max="7660" width="11.5703125" style="33" bestFit="1" customWidth="1"/>
    <col min="7661" max="7661" width="16.140625" style="33" customWidth="1"/>
    <col min="7662" max="7662" width="9.140625" style="33"/>
    <col min="7663" max="7663" width="14.140625" style="33" bestFit="1" customWidth="1"/>
    <col min="7664" max="7908" width="9.140625" style="33"/>
    <col min="7909" max="7909" width="24.5703125" style="33" customWidth="1"/>
    <col min="7910" max="7910" width="59.5703125" style="33" customWidth="1"/>
    <col min="7911" max="7911" width="23.140625" style="33" customWidth="1"/>
    <col min="7912" max="7912" width="14.85546875" style="33" bestFit="1" customWidth="1"/>
    <col min="7913" max="7914" width="20.42578125" style="33" customWidth="1"/>
    <col min="7915" max="7915" width="17.42578125" style="33" customWidth="1"/>
    <col min="7916" max="7916" width="11.5703125" style="33" bestFit="1" customWidth="1"/>
    <col min="7917" max="7917" width="16.140625" style="33" customWidth="1"/>
    <col min="7918" max="7918" width="9.140625" style="33"/>
    <col min="7919" max="7919" width="14.140625" style="33" bestFit="1" customWidth="1"/>
    <col min="7920" max="8164" width="9.140625" style="33"/>
    <col min="8165" max="8165" width="24.5703125" style="33" customWidth="1"/>
    <col min="8166" max="8166" width="59.5703125" style="33" customWidth="1"/>
    <col min="8167" max="8167" width="23.140625" style="33" customWidth="1"/>
    <col min="8168" max="8168" width="14.85546875" style="33" bestFit="1" customWidth="1"/>
    <col min="8169" max="8170" width="20.42578125" style="33" customWidth="1"/>
    <col min="8171" max="8171" width="17.42578125" style="33" customWidth="1"/>
    <col min="8172" max="8172" width="11.5703125" style="33" bestFit="1" customWidth="1"/>
    <col min="8173" max="8173" width="16.140625" style="33" customWidth="1"/>
    <col min="8174" max="8174" width="9.140625" style="33"/>
    <col min="8175" max="8175" width="14.140625" style="33" bestFit="1" customWidth="1"/>
    <col min="8176" max="8420" width="9.140625" style="33"/>
    <col min="8421" max="8421" width="24.5703125" style="33" customWidth="1"/>
    <col min="8422" max="8422" width="59.5703125" style="33" customWidth="1"/>
    <col min="8423" max="8423" width="23.140625" style="33" customWidth="1"/>
    <col min="8424" max="8424" width="14.85546875" style="33" bestFit="1" customWidth="1"/>
    <col min="8425" max="8426" width="20.42578125" style="33" customWidth="1"/>
    <col min="8427" max="8427" width="17.42578125" style="33" customWidth="1"/>
    <col min="8428" max="8428" width="11.5703125" style="33" bestFit="1" customWidth="1"/>
    <col min="8429" max="8429" width="16.140625" style="33" customWidth="1"/>
    <col min="8430" max="8430" width="9.140625" style="33"/>
    <col min="8431" max="8431" width="14.140625" style="33" bestFit="1" customWidth="1"/>
    <col min="8432" max="8676" width="9.140625" style="33"/>
    <col min="8677" max="8677" width="24.5703125" style="33" customWidth="1"/>
    <col min="8678" max="8678" width="59.5703125" style="33" customWidth="1"/>
    <col min="8679" max="8679" width="23.140625" style="33" customWidth="1"/>
    <col min="8680" max="8680" width="14.85546875" style="33" bestFit="1" customWidth="1"/>
    <col min="8681" max="8682" width="20.42578125" style="33" customWidth="1"/>
    <col min="8683" max="8683" width="17.42578125" style="33" customWidth="1"/>
    <col min="8684" max="8684" width="11.5703125" style="33" bestFit="1" customWidth="1"/>
    <col min="8685" max="8685" width="16.140625" style="33" customWidth="1"/>
    <col min="8686" max="8686" width="9.140625" style="33"/>
    <col min="8687" max="8687" width="14.140625" style="33" bestFit="1" customWidth="1"/>
    <col min="8688" max="8932" width="9.140625" style="33"/>
    <col min="8933" max="8933" width="24.5703125" style="33" customWidth="1"/>
    <col min="8934" max="8934" width="59.5703125" style="33" customWidth="1"/>
    <col min="8935" max="8935" width="23.140625" style="33" customWidth="1"/>
    <col min="8936" max="8936" width="14.85546875" style="33" bestFit="1" customWidth="1"/>
    <col min="8937" max="8938" width="20.42578125" style="33" customWidth="1"/>
    <col min="8939" max="8939" width="17.42578125" style="33" customWidth="1"/>
    <col min="8940" max="8940" width="11.5703125" style="33" bestFit="1" customWidth="1"/>
    <col min="8941" max="8941" width="16.140625" style="33" customWidth="1"/>
    <col min="8942" max="8942" width="9.140625" style="33"/>
    <col min="8943" max="8943" width="14.140625" style="33" bestFit="1" customWidth="1"/>
    <col min="8944" max="9188" width="9.140625" style="33"/>
    <col min="9189" max="9189" width="24.5703125" style="33" customWidth="1"/>
    <col min="9190" max="9190" width="59.5703125" style="33" customWidth="1"/>
    <col min="9191" max="9191" width="23.140625" style="33" customWidth="1"/>
    <col min="9192" max="9192" width="14.85546875" style="33" bestFit="1" customWidth="1"/>
    <col min="9193" max="9194" width="20.42578125" style="33" customWidth="1"/>
    <col min="9195" max="9195" width="17.42578125" style="33" customWidth="1"/>
    <col min="9196" max="9196" width="11.5703125" style="33" bestFit="1" customWidth="1"/>
    <col min="9197" max="9197" width="16.140625" style="33" customWidth="1"/>
    <col min="9198" max="9198" width="9.140625" style="33"/>
    <col min="9199" max="9199" width="14.140625" style="33" bestFit="1" customWidth="1"/>
    <col min="9200" max="9444" width="9.140625" style="33"/>
    <col min="9445" max="9445" width="24.5703125" style="33" customWidth="1"/>
    <col min="9446" max="9446" width="59.5703125" style="33" customWidth="1"/>
    <col min="9447" max="9447" width="23.140625" style="33" customWidth="1"/>
    <col min="9448" max="9448" width="14.85546875" style="33" bestFit="1" customWidth="1"/>
    <col min="9449" max="9450" width="20.42578125" style="33" customWidth="1"/>
    <col min="9451" max="9451" width="17.42578125" style="33" customWidth="1"/>
    <col min="9452" max="9452" width="11.5703125" style="33" bestFit="1" customWidth="1"/>
    <col min="9453" max="9453" width="16.140625" style="33" customWidth="1"/>
    <col min="9454" max="9454" width="9.140625" style="33"/>
    <col min="9455" max="9455" width="14.140625" style="33" bestFit="1" customWidth="1"/>
    <col min="9456" max="9700" width="9.140625" style="33"/>
    <col min="9701" max="9701" width="24.5703125" style="33" customWidth="1"/>
    <col min="9702" max="9702" width="59.5703125" style="33" customWidth="1"/>
    <col min="9703" max="9703" width="23.140625" style="33" customWidth="1"/>
    <col min="9704" max="9704" width="14.85546875" style="33" bestFit="1" customWidth="1"/>
    <col min="9705" max="9706" width="20.42578125" style="33" customWidth="1"/>
    <col min="9707" max="9707" width="17.42578125" style="33" customWidth="1"/>
    <col min="9708" max="9708" width="11.5703125" style="33" bestFit="1" customWidth="1"/>
    <col min="9709" max="9709" width="16.140625" style="33" customWidth="1"/>
    <col min="9710" max="9710" width="9.140625" style="33"/>
    <col min="9711" max="9711" width="14.140625" style="33" bestFit="1" customWidth="1"/>
    <col min="9712" max="9956" width="9.140625" style="33"/>
    <col min="9957" max="9957" width="24.5703125" style="33" customWidth="1"/>
    <col min="9958" max="9958" width="59.5703125" style="33" customWidth="1"/>
    <col min="9959" max="9959" width="23.140625" style="33" customWidth="1"/>
    <col min="9960" max="9960" width="14.85546875" style="33" bestFit="1" customWidth="1"/>
    <col min="9961" max="9962" width="20.42578125" style="33" customWidth="1"/>
    <col min="9963" max="9963" width="17.42578125" style="33" customWidth="1"/>
    <col min="9964" max="9964" width="11.5703125" style="33" bestFit="1" customWidth="1"/>
    <col min="9965" max="9965" width="16.140625" style="33" customWidth="1"/>
    <col min="9966" max="9966" width="9.140625" style="33"/>
    <col min="9967" max="9967" width="14.140625" style="33" bestFit="1" customWidth="1"/>
    <col min="9968" max="10212" width="9.140625" style="33"/>
    <col min="10213" max="10213" width="24.5703125" style="33" customWidth="1"/>
    <col min="10214" max="10214" width="59.5703125" style="33" customWidth="1"/>
    <col min="10215" max="10215" width="23.140625" style="33" customWidth="1"/>
    <col min="10216" max="10216" width="14.85546875" style="33" bestFit="1" customWidth="1"/>
    <col min="10217" max="10218" width="20.42578125" style="33" customWidth="1"/>
    <col min="10219" max="10219" width="17.42578125" style="33" customWidth="1"/>
    <col min="10220" max="10220" width="11.5703125" style="33" bestFit="1" customWidth="1"/>
    <col min="10221" max="10221" width="16.140625" style="33" customWidth="1"/>
    <col min="10222" max="10222" width="9.140625" style="33"/>
    <col min="10223" max="10223" width="14.140625" style="33" bestFit="1" customWidth="1"/>
    <col min="10224" max="10468" width="9.140625" style="33"/>
    <col min="10469" max="10469" width="24.5703125" style="33" customWidth="1"/>
    <col min="10470" max="10470" width="59.5703125" style="33" customWidth="1"/>
    <col min="10471" max="10471" width="23.140625" style="33" customWidth="1"/>
    <col min="10472" max="10472" width="14.85546875" style="33" bestFit="1" customWidth="1"/>
    <col min="10473" max="10474" width="20.42578125" style="33" customWidth="1"/>
    <col min="10475" max="10475" width="17.42578125" style="33" customWidth="1"/>
    <col min="10476" max="10476" width="11.5703125" style="33" bestFit="1" customWidth="1"/>
    <col min="10477" max="10477" width="16.140625" style="33" customWidth="1"/>
    <col min="10478" max="10478" width="9.140625" style="33"/>
    <col min="10479" max="10479" width="14.140625" style="33" bestFit="1" customWidth="1"/>
    <col min="10480" max="10724" width="9.140625" style="33"/>
    <col min="10725" max="10725" width="24.5703125" style="33" customWidth="1"/>
    <col min="10726" max="10726" width="59.5703125" style="33" customWidth="1"/>
    <col min="10727" max="10727" width="23.140625" style="33" customWidth="1"/>
    <col min="10728" max="10728" width="14.85546875" style="33" bestFit="1" customWidth="1"/>
    <col min="10729" max="10730" width="20.42578125" style="33" customWidth="1"/>
    <col min="10731" max="10731" width="17.42578125" style="33" customWidth="1"/>
    <col min="10732" max="10732" width="11.5703125" style="33" bestFit="1" customWidth="1"/>
    <col min="10733" max="10733" width="16.140625" style="33" customWidth="1"/>
    <col min="10734" max="10734" width="9.140625" style="33"/>
    <col min="10735" max="10735" width="14.140625" style="33" bestFit="1" customWidth="1"/>
    <col min="10736" max="10980" width="9.140625" style="33"/>
    <col min="10981" max="10981" width="24.5703125" style="33" customWidth="1"/>
    <col min="10982" max="10982" width="59.5703125" style="33" customWidth="1"/>
    <col min="10983" max="10983" width="23.140625" style="33" customWidth="1"/>
    <col min="10984" max="10984" width="14.85546875" style="33" bestFit="1" customWidth="1"/>
    <col min="10985" max="10986" width="20.42578125" style="33" customWidth="1"/>
    <col min="10987" max="10987" width="17.42578125" style="33" customWidth="1"/>
    <col min="10988" max="10988" width="11.5703125" style="33" bestFit="1" customWidth="1"/>
    <col min="10989" max="10989" width="16.140625" style="33" customWidth="1"/>
    <col min="10990" max="10990" width="9.140625" style="33"/>
    <col min="10991" max="10991" width="14.140625" style="33" bestFit="1" customWidth="1"/>
    <col min="10992" max="11236" width="9.140625" style="33"/>
    <col min="11237" max="11237" width="24.5703125" style="33" customWidth="1"/>
    <col min="11238" max="11238" width="59.5703125" style="33" customWidth="1"/>
    <col min="11239" max="11239" width="23.140625" style="33" customWidth="1"/>
    <col min="11240" max="11240" width="14.85546875" style="33" bestFit="1" customWidth="1"/>
    <col min="11241" max="11242" width="20.42578125" style="33" customWidth="1"/>
    <col min="11243" max="11243" width="17.42578125" style="33" customWidth="1"/>
    <col min="11244" max="11244" width="11.5703125" style="33" bestFit="1" customWidth="1"/>
    <col min="11245" max="11245" width="16.140625" style="33" customWidth="1"/>
    <col min="11246" max="11246" width="9.140625" style="33"/>
    <col min="11247" max="11247" width="14.140625" style="33" bestFit="1" customWidth="1"/>
    <col min="11248" max="11492" width="9.140625" style="33"/>
    <col min="11493" max="11493" width="24.5703125" style="33" customWidth="1"/>
    <col min="11494" max="11494" width="59.5703125" style="33" customWidth="1"/>
    <col min="11495" max="11495" width="23.140625" style="33" customWidth="1"/>
    <col min="11496" max="11496" width="14.85546875" style="33" bestFit="1" customWidth="1"/>
    <col min="11497" max="11498" width="20.42578125" style="33" customWidth="1"/>
    <col min="11499" max="11499" width="17.42578125" style="33" customWidth="1"/>
    <col min="11500" max="11500" width="11.5703125" style="33" bestFit="1" customWidth="1"/>
    <col min="11501" max="11501" width="16.140625" style="33" customWidth="1"/>
    <col min="11502" max="11502" width="9.140625" style="33"/>
    <col min="11503" max="11503" width="14.140625" style="33" bestFit="1" customWidth="1"/>
    <col min="11504" max="11748" width="9.140625" style="33"/>
    <col min="11749" max="11749" width="24.5703125" style="33" customWidth="1"/>
    <col min="11750" max="11750" width="59.5703125" style="33" customWidth="1"/>
    <col min="11751" max="11751" width="23.140625" style="33" customWidth="1"/>
    <col min="11752" max="11752" width="14.85546875" style="33" bestFit="1" customWidth="1"/>
    <col min="11753" max="11754" width="20.42578125" style="33" customWidth="1"/>
    <col min="11755" max="11755" width="17.42578125" style="33" customWidth="1"/>
    <col min="11756" max="11756" width="11.5703125" style="33" bestFit="1" customWidth="1"/>
    <col min="11757" max="11757" width="16.140625" style="33" customWidth="1"/>
    <col min="11758" max="11758" width="9.140625" style="33"/>
    <col min="11759" max="11759" width="14.140625" style="33" bestFit="1" customWidth="1"/>
    <col min="11760" max="12004" width="9.140625" style="33"/>
    <col min="12005" max="12005" width="24.5703125" style="33" customWidth="1"/>
    <col min="12006" max="12006" width="59.5703125" style="33" customWidth="1"/>
    <col min="12007" max="12007" width="23.140625" style="33" customWidth="1"/>
    <col min="12008" max="12008" width="14.85546875" style="33" bestFit="1" customWidth="1"/>
    <col min="12009" max="12010" width="20.42578125" style="33" customWidth="1"/>
    <col min="12011" max="12011" width="17.42578125" style="33" customWidth="1"/>
    <col min="12012" max="12012" width="11.5703125" style="33" bestFit="1" customWidth="1"/>
    <col min="12013" max="12013" width="16.140625" style="33" customWidth="1"/>
    <col min="12014" max="12014" width="9.140625" style="33"/>
    <col min="12015" max="12015" width="14.140625" style="33" bestFit="1" customWidth="1"/>
    <col min="12016" max="12260" width="9.140625" style="33"/>
    <col min="12261" max="12261" width="24.5703125" style="33" customWidth="1"/>
    <col min="12262" max="12262" width="59.5703125" style="33" customWidth="1"/>
    <col min="12263" max="12263" width="23.140625" style="33" customWidth="1"/>
    <col min="12264" max="12264" width="14.85546875" style="33" bestFit="1" customWidth="1"/>
    <col min="12265" max="12266" width="20.42578125" style="33" customWidth="1"/>
    <col min="12267" max="12267" width="17.42578125" style="33" customWidth="1"/>
    <col min="12268" max="12268" width="11.5703125" style="33" bestFit="1" customWidth="1"/>
    <col min="12269" max="12269" width="16.140625" style="33" customWidth="1"/>
    <col min="12270" max="12270" width="9.140625" style="33"/>
    <col min="12271" max="12271" width="14.140625" style="33" bestFit="1" customWidth="1"/>
    <col min="12272" max="12516" width="9.140625" style="33"/>
    <col min="12517" max="12517" width="24.5703125" style="33" customWidth="1"/>
    <col min="12518" max="12518" width="59.5703125" style="33" customWidth="1"/>
    <col min="12519" max="12519" width="23.140625" style="33" customWidth="1"/>
    <col min="12520" max="12520" width="14.85546875" style="33" bestFit="1" customWidth="1"/>
    <col min="12521" max="12522" width="20.42578125" style="33" customWidth="1"/>
    <col min="12523" max="12523" width="17.42578125" style="33" customWidth="1"/>
    <col min="12524" max="12524" width="11.5703125" style="33" bestFit="1" customWidth="1"/>
    <col min="12525" max="12525" width="16.140625" style="33" customWidth="1"/>
    <col min="12526" max="12526" width="9.140625" style="33"/>
    <col min="12527" max="12527" width="14.140625" style="33" bestFit="1" customWidth="1"/>
    <col min="12528" max="12772" width="9.140625" style="33"/>
    <col min="12773" max="12773" width="24.5703125" style="33" customWidth="1"/>
    <col min="12774" max="12774" width="59.5703125" style="33" customWidth="1"/>
    <col min="12775" max="12775" width="23.140625" style="33" customWidth="1"/>
    <col min="12776" max="12776" width="14.85546875" style="33" bestFit="1" customWidth="1"/>
    <col min="12777" max="12778" width="20.42578125" style="33" customWidth="1"/>
    <col min="12779" max="12779" width="17.42578125" style="33" customWidth="1"/>
    <col min="12780" max="12780" width="11.5703125" style="33" bestFit="1" customWidth="1"/>
    <col min="12781" max="12781" width="16.140625" style="33" customWidth="1"/>
    <col min="12782" max="12782" width="9.140625" style="33"/>
    <col min="12783" max="12783" width="14.140625" style="33" bestFit="1" customWidth="1"/>
    <col min="12784" max="13028" width="9.140625" style="33"/>
    <col min="13029" max="13029" width="24.5703125" style="33" customWidth="1"/>
    <col min="13030" max="13030" width="59.5703125" style="33" customWidth="1"/>
    <col min="13031" max="13031" width="23.140625" style="33" customWidth="1"/>
    <col min="13032" max="13032" width="14.85546875" style="33" bestFit="1" customWidth="1"/>
    <col min="13033" max="13034" width="20.42578125" style="33" customWidth="1"/>
    <col min="13035" max="13035" width="17.42578125" style="33" customWidth="1"/>
    <col min="13036" max="13036" width="11.5703125" style="33" bestFit="1" customWidth="1"/>
    <col min="13037" max="13037" width="16.140625" style="33" customWidth="1"/>
    <col min="13038" max="13038" width="9.140625" style="33"/>
    <col min="13039" max="13039" width="14.140625" style="33" bestFit="1" customWidth="1"/>
    <col min="13040" max="13284" width="9.140625" style="33"/>
    <col min="13285" max="13285" width="24.5703125" style="33" customWidth="1"/>
    <col min="13286" max="13286" width="59.5703125" style="33" customWidth="1"/>
    <col min="13287" max="13287" width="23.140625" style="33" customWidth="1"/>
    <col min="13288" max="13288" width="14.85546875" style="33" bestFit="1" customWidth="1"/>
    <col min="13289" max="13290" width="20.42578125" style="33" customWidth="1"/>
    <col min="13291" max="13291" width="17.42578125" style="33" customWidth="1"/>
    <col min="13292" max="13292" width="11.5703125" style="33" bestFit="1" customWidth="1"/>
    <col min="13293" max="13293" width="16.140625" style="33" customWidth="1"/>
    <col min="13294" max="13294" width="9.140625" style="33"/>
    <col min="13295" max="13295" width="14.140625" style="33" bestFit="1" customWidth="1"/>
    <col min="13296" max="13540" width="9.140625" style="33"/>
    <col min="13541" max="13541" width="24.5703125" style="33" customWidth="1"/>
    <col min="13542" max="13542" width="59.5703125" style="33" customWidth="1"/>
    <col min="13543" max="13543" width="23.140625" style="33" customWidth="1"/>
    <col min="13544" max="13544" width="14.85546875" style="33" bestFit="1" customWidth="1"/>
    <col min="13545" max="13546" width="20.42578125" style="33" customWidth="1"/>
    <col min="13547" max="13547" width="17.42578125" style="33" customWidth="1"/>
    <col min="13548" max="13548" width="11.5703125" style="33" bestFit="1" customWidth="1"/>
    <col min="13549" max="13549" width="16.140625" style="33" customWidth="1"/>
    <col min="13550" max="13550" width="9.140625" style="33"/>
    <col min="13551" max="13551" width="14.140625" style="33" bestFit="1" customWidth="1"/>
    <col min="13552" max="13796" width="9.140625" style="33"/>
    <col min="13797" max="13797" width="24.5703125" style="33" customWidth="1"/>
    <col min="13798" max="13798" width="59.5703125" style="33" customWidth="1"/>
    <col min="13799" max="13799" width="23.140625" style="33" customWidth="1"/>
    <col min="13800" max="13800" width="14.85546875" style="33" bestFit="1" customWidth="1"/>
    <col min="13801" max="13802" width="20.42578125" style="33" customWidth="1"/>
    <col min="13803" max="13803" width="17.42578125" style="33" customWidth="1"/>
    <col min="13804" max="13804" width="11.5703125" style="33" bestFit="1" customWidth="1"/>
    <col min="13805" max="13805" width="16.140625" style="33" customWidth="1"/>
    <col min="13806" max="13806" width="9.140625" style="33"/>
    <col min="13807" max="13807" width="14.140625" style="33" bestFit="1" customWidth="1"/>
    <col min="13808" max="14052" width="9.140625" style="33"/>
    <col min="14053" max="14053" width="24.5703125" style="33" customWidth="1"/>
    <col min="14054" max="14054" width="59.5703125" style="33" customWidth="1"/>
    <col min="14055" max="14055" width="23.140625" style="33" customWidth="1"/>
    <col min="14056" max="14056" width="14.85546875" style="33" bestFit="1" customWidth="1"/>
    <col min="14057" max="14058" width="20.42578125" style="33" customWidth="1"/>
    <col min="14059" max="14059" width="17.42578125" style="33" customWidth="1"/>
    <col min="14060" max="14060" width="11.5703125" style="33" bestFit="1" customWidth="1"/>
    <col min="14061" max="14061" width="16.140625" style="33" customWidth="1"/>
    <col min="14062" max="14062" width="9.140625" style="33"/>
    <col min="14063" max="14063" width="14.140625" style="33" bestFit="1" customWidth="1"/>
    <col min="14064" max="14308" width="9.140625" style="33"/>
    <col min="14309" max="14309" width="24.5703125" style="33" customWidth="1"/>
    <col min="14310" max="14310" width="59.5703125" style="33" customWidth="1"/>
    <col min="14311" max="14311" width="23.140625" style="33" customWidth="1"/>
    <col min="14312" max="14312" width="14.85546875" style="33" bestFit="1" customWidth="1"/>
    <col min="14313" max="14314" width="20.42578125" style="33" customWidth="1"/>
    <col min="14315" max="14315" width="17.42578125" style="33" customWidth="1"/>
    <col min="14316" max="14316" width="11.5703125" style="33" bestFit="1" customWidth="1"/>
    <col min="14317" max="14317" width="16.140625" style="33" customWidth="1"/>
    <col min="14318" max="14318" width="9.140625" style="33"/>
    <col min="14319" max="14319" width="14.140625" style="33" bestFit="1" customWidth="1"/>
    <col min="14320" max="14564" width="9.140625" style="33"/>
    <col min="14565" max="14565" width="24.5703125" style="33" customWidth="1"/>
    <col min="14566" max="14566" width="59.5703125" style="33" customWidth="1"/>
    <col min="14567" max="14567" width="23.140625" style="33" customWidth="1"/>
    <col min="14568" max="14568" width="14.85546875" style="33" bestFit="1" customWidth="1"/>
    <col min="14569" max="14570" width="20.42578125" style="33" customWidth="1"/>
    <col min="14571" max="14571" width="17.42578125" style="33" customWidth="1"/>
    <col min="14572" max="14572" width="11.5703125" style="33" bestFit="1" customWidth="1"/>
    <col min="14573" max="14573" width="16.140625" style="33" customWidth="1"/>
    <col min="14574" max="14574" width="9.140625" style="33"/>
    <col min="14575" max="14575" width="14.140625" style="33" bestFit="1" customWidth="1"/>
    <col min="14576" max="14820" width="9.140625" style="33"/>
    <col min="14821" max="14821" width="24.5703125" style="33" customWidth="1"/>
    <col min="14822" max="14822" width="59.5703125" style="33" customWidth="1"/>
    <col min="14823" max="14823" width="23.140625" style="33" customWidth="1"/>
    <col min="14824" max="14824" width="14.85546875" style="33" bestFit="1" customWidth="1"/>
    <col min="14825" max="14826" width="20.42578125" style="33" customWidth="1"/>
    <col min="14827" max="14827" width="17.42578125" style="33" customWidth="1"/>
    <col min="14828" max="14828" width="11.5703125" style="33" bestFit="1" customWidth="1"/>
    <col min="14829" max="14829" width="16.140625" style="33" customWidth="1"/>
    <col min="14830" max="14830" width="9.140625" style="33"/>
    <col min="14831" max="14831" width="14.140625" style="33" bestFit="1" customWidth="1"/>
    <col min="14832" max="15076" width="9.140625" style="33"/>
    <col min="15077" max="15077" width="24.5703125" style="33" customWidth="1"/>
    <col min="15078" max="15078" width="59.5703125" style="33" customWidth="1"/>
    <col min="15079" max="15079" width="23.140625" style="33" customWidth="1"/>
    <col min="15080" max="15080" width="14.85546875" style="33" bestFit="1" customWidth="1"/>
    <col min="15081" max="15082" width="20.42578125" style="33" customWidth="1"/>
    <col min="15083" max="15083" width="17.42578125" style="33" customWidth="1"/>
    <col min="15084" max="15084" width="11.5703125" style="33" bestFit="1" customWidth="1"/>
    <col min="15085" max="15085" width="16.140625" style="33" customWidth="1"/>
    <col min="15086" max="15086" width="9.140625" style="33"/>
    <col min="15087" max="15087" width="14.140625" style="33" bestFit="1" customWidth="1"/>
    <col min="15088" max="15332" width="9.140625" style="33"/>
    <col min="15333" max="15333" width="24.5703125" style="33" customWidth="1"/>
    <col min="15334" max="15334" width="59.5703125" style="33" customWidth="1"/>
    <col min="15335" max="15335" width="23.140625" style="33" customWidth="1"/>
    <col min="15336" max="15336" width="14.85546875" style="33" bestFit="1" customWidth="1"/>
    <col min="15337" max="15338" width="20.42578125" style="33" customWidth="1"/>
    <col min="15339" max="15339" width="17.42578125" style="33" customWidth="1"/>
    <col min="15340" max="15340" width="11.5703125" style="33" bestFit="1" customWidth="1"/>
    <col min="15341" max="15341" width="16.140625" style="33" customWidth="1"/>
    <col min="15342" max="15342" width="9.140625" style="33"/>
    <col min="15343" max="15343" width="14.140625" style="33" bestFit="1" customWidth="1"/>
    <col min="15344" max="15588" width="9.140625" style="33"/>
    <col min="15589" max="15589" width="24.5703125" style="33" customWidth="1"/>
    <col min="15590" max="15590" width="59.5703125" style="33" customWidth="1"/>
    <col min="15591" max="15591" width="23.140625" style="33" customWidth="1"/>
    <col min="15592" max="15592" width="14.85546875" style="33" bestFit="1" customWidth="1"/>
    <col min="15593" max="15594" width="20.42578125" style="33" customWidth="1"/>
    <col min="15595" max="15595" width="17.42578125" style="33" customWidth="1"/>
    <col min="15596" max="15596" width="11.5703125" style="33" bestFit="1" customWidth="1"/>
    <col min="15597" max="15597" width="16.140625" style="33" customWidth="1"/>
    <col min="15598" max="15598" width="9.140625" style="33"/>
    <col min="15599" max="15599" width="14.140625" style="33" bestFit="1" customWidth="1"/>
    <col min="15600" max="15844" width="9.140625" style="33"/>
    <col min="15845" max="15845" width="24.5703125" style="33" customWidth="1"/>
    <col min="15846" max="15846" width="59.5703125" style="33" customWidth="1"/>
    <col min="15847" max="15847" width="23.140625" style="33" customWidth="1"/>
    <col min="15848" max="15848" width="14.85546875" style="33" bestFit="1" customWidth="1"/>
    <col min="15849" max="15850" width="20.42578125" style="33" customWidth="1"/>
    <col min="15851" max="15851" width="17.42578125" style="33" customWidth="1"/>
    <col min="15852" max="15852" width="11.5703125" style="33" bestFit="1" customWidth="1"/>
    <col min="15853" max="15853" width="16.140625" style="33" customWidth="1"/>
    <col min="15854" max="15854" width="9.140625" style="33"/>
    <col min="15855" max="15855" width="14.140625" style="33" bestFit="1" customWidth="1"/>
    <col min="15856" max="16100" width="9.140625" style="33"/>
    <col min="16101" max="16101" width="24.5703125" style="33" customWidth="1"/>
    <col min="16102" max="16102" width="59.5703125" style="33" customWidth="1"/>
    <col min="16103" max="16103" width="23.140625" style="33" customWidth="1"/>
    <col min="16104" max="16104" width="14.85546875" style="33" bestFit="1" customWidth="1"/>
    <col min="16105" max="16106" width="20.42578125" style="33" customWidth="1"/>
    <col min="16107" max="16107" width="17.42578125" style="33" customWidth="1"/>
    <col min="16108" max="16108" width="11.5703125" style="33" bestFit="1" customWidth="1"/>
    <col min="16109" max="16109" width="16.140625" style="33" customWidth="1"/>
    <col min="16110" max="16110" width="9.140625" style="33"/>
    <col min="16111" max="16111" width="14.140625" style="33" bestFit="1" customWidth="1"/>
    <col min="16112" max="16384" width="9.140625" style="33"/>
  </cols>
  <sheetData>
    <row r="1" spans="1:44" ht="15.95" customHeight="1">
      <c r="A1" s="85" t="s">
        <v>1408</v>
      </c>
      <c r="B1" s="86"/>
      <c r="C1" s="87"/>
      <c r="D1" s="1" t="s">
        <v>1</v>
      </c>
      <c r="E1" s="2">
        <v>1</v>
      </c>
    </row>
    <row r="2" spans="1:44" ht="15.95" customHeight="1">
      <c r="A2" s="88"/>
      <c r="B2" s="89"/>
      <c r="C2" s="90"/>
      <c r="D2" s="1" t="s">
        <v>2</v>
      </c>
      <c r="E2" s="5" t="s">
        <v>1409</v>
      </c>
      <c r="J2" s="35"/>
      <c r="K2" s="35"/>
    </row>
    <row r="3" spans="1:44" ht="15.95" customHeight="1">
      <c r="A3" s="88"/>
      <c r="B3" s="89"/>
      <c r="C3" s="90"/>
      <c r="D3" s="1" t="s">
        <v>11</v>
      </c>
      <c r="E3" s="6" t="s">
        <v>1410</v>
      </c>
    </row>
    <row r="4" spans="1:44" ht="15.95" customHeight="1">
      <c r="A4" s="88"/>
      <c r="B4" s="89"/>
      <c r="C4" s="90"/>
      <c r="D4" s="1" t="s">
        <v>14</v>
      </c>
      <c r="E4" s="6" t="s">
        <v>1411</v>
      </c>
    </row>
    <row r="5" spans="1:44" ht="15.95" customHeight="1">
      <c r="A5" s="88"/>
      <c r="B5" s="89"/>
      <c r="C5" s="90"/>
      <c r="D5" s="1" t="s">
        <v>122</v>
      </c>
      <c r="E5" s="7" t="s">
        <v>126</v>
      </c>
    </row>
    <row r="6" spans="1:44" ht="32.1">
      <c r="A6" s="88"/>
      <c r="B6" s="89"/>
      <c r="C6" s="90"/>
      <c r="D6" s="1" t="s">
        <v>134</v>
      </c>
      <c r="E6" s="9" t="s">
        <v>679</v>
      </c>
    </row>
    <row r="7" spans="1:44" ht="32.1">
      <c r="A7" s="91"/>
      <c r="B7" s="92"/>
      <c r="C7" s="93"/>
      <c r="D7" s="1" t="s">
        <v>147</v>
      </c>
      <c r="E7" s="9" t="s">
        <v>1074</v>
      </c>
      <c r="I7" s="58"/>
    </row>
    <row r="8" spans="1:44">
      <c r="A8" s="10" t="s">
        <v>151</v>
      </c>
      <c r="B8" s="11" t="s">
        <v>152</v>
      </c>
      <c r="C8" s="11" t="s">
        <v>153</v>
      </c>
      <c r="D8" s="12" t="s">
        <v>154</v>
      </c>
      <c r="E8" s="13"/>
    </row>
    <row r="9" spans="1:44" s="34" customFormat="1">
      <c r="A9" s="14" t="s">
        <v>155</v>
      </c>
      <c r="B9" s="15"/>
      <c r="C9" s="15"/>
      <c r="D9" s="16"/>
      <c r="E9" s="17"/>
      <c r="F9" s="51"/>
      <c r="G9" s="69"/>
      <c r="H9" s="76"/>
      <c r="I9"/>
      <c r="J9" s="33"/>
      <c r="K9" s="33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</row>
    <row r="10" spans="1:44">
      <c r="A10" s="19" t="s">
        <v>156</v>
      </c>
      <c r="B10" s="19" t="s">
        <v>157</v>
      </c>
      <c r="C10" s="19" t="s">
        <v>158</v>
      </c>
      <c r="D10" s="20">
        <f>E10</f>
        <v>0</v>
      </c>
      <c r="E10" s="21">
        <v>0</v>
      </c>
      <c r="F10" s="67"/>
      <c r="J10" s="80"/>
      <c r="K10"/>
    </row>
    <row r="11" spans="1:44">
      <c r="A11" s="19" t="s">
        <v>156</v>
      </c>
      <c r="B11" s="19" t="s">
        <v>159</v>
      </c>
      <c r="C11" s="19" t="s">
        <v>158</v>
      </c>
      <c r="D11" s="20">
        <f t="shared" ref="D11:D74" si="0">E11</f>
        <v>0</v>
      </c>
      <c r="E11" s="21">
        <v>0</v>
      </c>
      <c r="F11" s="67"/>
      <c r="J11" s="81"/>
      <c r="K11"/>
    </row>
    <row r="12" spans="1:44">
      <c r="A12" s="19" t="s">
        <v>156</v>
      </c>
      <c r="B12" s="19" t="s">
        <v>160</v>
      </c>
      <c r="C12" s="19" t="s">
        <v>158</v>
      </c>
      <c r="D12" s="20">
        <f t="shared" si="0"/>
        <v>0</v>
      </c>
      <c r="E12" s="21">
        <v>0</v>
      </c>
      <c r="F12" s="67"/>
      <c r="J12" s="81"/>
      <c r="K12"/>
    </row>
    <row r="13" spans="1:44">
      <c r="A13" s="19" t="s">
        <v>156</v>
      </c>
      <c r="B13" s="19" t="s">
        <v>161</v>
      </c>
      <c r="C13" s="19" t="s">
        <v>158</v>
      </c>
      <c r="D13" s="20">
        <f t="shared" si="0"/>
        <v>3</v>
      </c>
      <c r="E13" s="21">
        <v>3</v>
      </c>
      <c r="F13" s="67"/>
      <c r="J13" s="81"/>
      <c r="K13"/>
    </row>
    <row r="14" spans="1:44">
      <c r="A14" s="19" t="s">
        <v>162</v>
      </c>
      <c r="B14" s="19" t="s">
        <v>163</v>
      </c>
      <c r="C14" s="19" t="s">
        <v>164</v>
      </c>
      <c r="D14" s="20">
        <f t="shared" si="0"/>
        <v>600</v>
      </c>
      <c r="E14" s="22">
        <v>600</v>
      </c>
      <c r="F14" s="67"/>
      <c r="J14" s="81"/>
      <c r="K14"/>
    </row>
    <row r="15" spans="1:44">
      <c r="A15" s="19" t="s">
        <v>165</v>
      </c>
      <c r="B15" s="19" t="s">
        <v>166</v>
      </c>
      <c r="C15" s="19" t="s">
        <v>167</v>
      </c>
      <c r="D15" s="20">
        <f t="shared" si="0"/>
        <v>11</v>
      </c>
      <c r="E15" s="21">
        <v>11</v>
      </c>
      <c r="F15" s="67"/>
      <c r="J15" s="81"/>
      <c r="K15"/>
    </row>
    <row r="16" spans="1:44">
      <c r="A16" s="19" t="s">
        <v>168</v>
      </c>
      <c r="B16" s="19" t="s">
        <v>169</v>
      </c>
      <c r="C16" s="19" t="s">
        <v>170</v>
      </c>
      <c r="D16" s="20">
        <f t="shared" si="0"/>
        <v>4</v>
      </c>
      <c r="E16" s="21">
        <v>4</v>
      </c>
      <c r="F16" s="67"/>
      <c r="J16" s="81"/>
      <c r="K16"/>
    </row>
    <row r="17" spans="1:11">
      <c r="A17" s="19" t="s">
        <v>168</v>
      </c>
      <c r="B17" s="19" t="s">
        <v>171</v>
      </c>
      <c r="C17" s="19" t="s">
        <v>170</v>
      </c>
      <c r="D17" s="20">
        <f t="shared" si="0"/>
        <v>1</v>
      </c>
      <c r="E17" s="21">
        <v>1</v>
      </c>
      <c r="F17" s="67"/>
      <c r="J17" s="81"/>
      <c r="K17"/>
    </row>
    <row r="18" spans="1:11">
      <c r="A18" s="19" t="s">
        <v>168</v>
      </c>
      <c r="B18" s="19" t="s">
        <v>172</v>
      </c>
      <c r="C18" s="19" t="s">
        <v>170</v>
      </c>
      <c r="D18" s="20">
        <f t="shared" si="0"/>
        <v>19</v>
      </c>
      <c r="E18" s="21">
        <f>7+12</f>
        <v>19</v>
      </c>
      <c r="F18" s="67"/>
      <c r="J18" s="81"/>
      <c r="K18"/>
    </row>
    <row r="19" spans="1:11">
      <c r="A19" s="19" t="s">
        <v>173</v>
      </c>
      <c r="B19" s="19" t="s">
        <v>174</v>
      </c>
      <c r="C19" s="19" t="s">
        <v>175</v>
      </c>
      <c r="D19" s="20">
        <f t="shared" si="0"/>
        <v>6</v>
      </c>
      <c r="E19" s="21">
        <v>6</v>
      </c>
      <c r="F19" s="67"/>
      <c r="J19" s="81"/>
      <c r="K19"/>
    </row>
    <row r="20" spans="1:11">
      <c r="A20" s="19" t="s">
        <v>176</v>
      </c>
      <c r="B20" s="19" t="s">
        <v>177</v>
      </c>
      <c r="C20" s="19" t="s">
        <v>178</v>
      </c>
      <c r="D20" s="20">
        <f t="shared" si="0"/>
        <v>5</v>
      </c>
      <c r="E20" s="22">
        <v>5</v>
      </c>
      <c r="F20" s="67"/>
      <c r="J20" s="81"/>
      <c r="K20"/>
    </row>
    <row r="21" spans="1:11">
      <c r="A21" s="19" t="s">
        <v>179</v>
      </c>
      <c r="B21" s="19" t="s">
        <v>180</v>
      </c>
      <c r="C21" s="19" t="s">
        <v>181</v>
      </c>
      <c r="D21" s="20">
        <f t="shared" si="0"/>
        <v>8000</v>
      </c>
      <c r="E21" s="22">
        <v>8000</v>
      </c>
      <c r="F21" s="67"/>
      <c r="J21" s="81"/>
      <c r="K21"/>
    </row>
    <row r="22" spans="1:11">
      <c r="A22" s="19" t="s">
        <v>182</v>
      </c>
      <c r="B22" s="19" t="s">
        <v>183</v>
      </c>
      <c r="C22" s="19" t="s">
        <v>181</v>
      </c>
      <c r="D22" s="20">
        <f t="shared" si="0"/>
        <v>0</v>
      </c>
      <c r="E22" s="21">
        <v>0</v>
      </c>
      <c r="F22" s="68"/>
      <c r="J22" s="81"/>
      <c r="K22"/>
    </row>
    <row r="23" spans="1:11">
      <c r="A23" s="19" t="s">
        <v>182</v>
      </c>
      <c r="B23" s="19" t="s">
        <v>184</v>
      </c>
      <c r="C23" s="19" t="s">
        <v>181</v>
      </c>
      <c r="D23" s="20">
        <f t="shared" si="0"/>
        <v>8000</v>
      </c>
      <c r="E23" s="22">
        <v>8000</v>
      </c>
      <c r="F23" s="67"/>
      <c r="J23" s="81"/>
      <c r="K23"/>
    </row>
    <row r="24" spans="1:11">
      <c r="A24" s="19" t="s">
        <v>185</v>
      </c>
      <c r="B24" s="19" t="s">
        <v>186</v>
      </c>
      <c r="C24" s="19" t="s">
        <v>187</v>
      </c>
      <c r="D24" s="20">
        <f t="shared" si="0"/>
        <v>21</v>
      </c>
      <c r="E24" s="21">
        <v>21</v>
      </c>
      <c r="F24" s="67"/>
      <c r="J24" s="81"/>
      <c r="K24"/>
    </row>
    <row r="25" spans="1:11">
      <c r="A25" s="19" t="s">
        <v>185</v>
      </c>
      <c r="B25" s="19" t="s">
        <v>188</v>
      </c>
      <c r="C25" s="19" t="s">
        <v>187</v>
      </c>
      <c r="D25" s="20">
        <f t="shared" si="0"/>
        <v>2</v>
      </c>
      <c r="E25" s="21">
        <v>2</v>
      </c>
      <c r="F25" s="67"/>
      <c r="J25" s="81"/>
      <c r="K25"/>
    </row>
    <row r="26" spans="1:11">
      <c r="A26" s="19" t="s">
        <v>185</v>
      </c>
      <c r="B26" s="19" t="s">
        <v>189</v>
      </c>
      <c r="C26" s="19" t="s">
        <v>187</v>
      </c>
      <c r="D26" s="20">
        <f t="shared" si="0"/>
        <v>2</v>
      </c>
      <c r="E26" s="21">
        <v>2</v>
      </c>
      <c r="F26" s="67"/>
      <c r="J26" s="81"/>
      <c r="K26"/>
    </row>
    <row r="27" spans="1:11">
      <c r="A27" s="19" t="s">
        <v>185</v>
      </c>
      <c r="B27" s="19" t="s">
        <v>190</v>
      </c>
      <c r="C27" s="19" t="s">
        <v>187</v>
      </c>
      <c r="D27" s="20">
        <f t="shared" si="0"/>
        <v>9</v>
      </c>
      <c r="E27" s="21">
        <v>9</v>
      </c>
      <c r="F27" s="67"/>
      <c r="J27" s="81"/>
      <c r="K27"/>
    </row>
    <row r="28" spans="1:11">
      <c r="A28" s="19" t="s">
        <v>191</v>
      </c>
      <c r="B28" s="19" t="s">
        <v>192</v>
      </c>
      <c r="C28" s="19" t="s">
        <v>193</v>
      </c>
      <c r="D28" s="20">
        <f t="shared" si="0"/>
        <v>2</v>
      </c>
      <c r="E28" s="21">
        <v>2</v>
      </c>
      <c r="F28" s="67"/>
      <c r="J28" s="81"/>
      <c r="K28"/>
    </row>
    <row r="29" spans="1:11" ht="32.1">
      <c r="A29" s="19" t="s">
        <v>194</v>
      </c>
      <c r="B29" s="19" t="s">
        <v>195</v>
      </c>
      <c r="C29" s="19" t="s">
        <v>196</v>
      </c>
      <c r="D29" s="20">
        <f t="shared" si="0"/>
        <v>93990</v>
      </c>
      <c r="E29" s="21">
        <v>93990</v>
      </c>
      <c r="F29" s="67"/>
      <c r="J29" s="81"/>
      <c r="K29"/>
    </row>
    <row r="30" spans="1:11">
      <c r="A30" s="19" t="s">
        <v>197</v>
      </c>
      <c r="B30" s="19" t="s">
        <v>198</v>
      </c>
      <c r="C30" s="19" t="s">
        <v>199</v>
      </c>
      <c r="D30" s="20">
        <f t="shared" si="0"/>
        <v>857</v>
      </c>
      <c r="E30" s="21">
        <f>650+122+85</f>
        <v>857</v>
      </c>
      <c r="F30" s="67"/>
      <c r="J30" s="81"/>
      <c r="K30"/>
    </row>
    <row r="31" spans="1:11">
      <c r="A31" s="19" t="s">
        <v>200</v>
      </c>
      <c r="B31" s="19" t="s">
        <v>201</v>
      </c>
      <c r="C31" s="19" t="s">
        <v>202</v>
      </c>
      <c r="D31" s="20">
        <f t="shared" si="0"/>
        <v>8</v>
      </c>
      <c r="E31" s="21">
        <v>8</v>
      </c>
      <c r="F31" s="67"/>
      <c r="J31" s="81"/>
      <c r="K31"/>
    </row>
    <row r="32" spans="1:11">
      <c r="A32" s="19" t="s">
        <v>203</v>
      </c>
      <c r="B32" s="19" t="s">
        <v>204</v>
      </c>
      <c r="C32" s="19" t="s">
        <v>205</v>
      </c>
      <c r="D32" s="20">
        <f t="shared" si="0"/>
        <v>68</v>
      </c>
      <c r="E32" s="21">
        <f>52+1+6+9</f>
        <v>68</v>
      </c>
      <c r="F32" s="67"/>
      <c r="J32" s="81"/>
      <c r="K32"/>
    </row>
    <row r="33" spans="1:11">
      <c r="A33" s="19" t="s">
        <v>206</v>
      </c>
      <c r="B33" s="19" t="s">
        <v>207</v>
      </c>
      <c r="C33" s="19" t="s">
        <v>208</v>
      </c>
      <c r="D33" s="20">
        <f t="shared" si="0"/>
        <v>87</v>
      </c>
      <c r="E33" s="21">
        <v>87</v>
      </c>
      <c r="F33" s="67"/>
      <c r="J33" s="81"/>
      <c r="K33"/>
    </row>
    <row r="34" spans="1:11">
      <c r="A34" s="19" t="s">
        <v>206</v>
      </c>
      <c r="B34" s="19" t="s">
        <v>209</v>
      </c>
      <c r="C34" s="19" t="s">
        <v>208</v>
      </c>
      <c r="D34" s="20">
        <f t="shared" si="0"/>
        <v>42</v>
      </c>
      <c r="E34" s="21">
        <v>42</v>
      </c>
      <c r="F34" s="67"/>
      <c r="J34" s="81"/>
      <c r="K34"/>
    </row>
    <row r="35" spans="1:11">
      <c r="A35" s="19" t="s">
        <v>210</v>
      </c>
      <c r="B35" s="19" t="s">
        <v>211</v>
      </c>
      <c r="C35" s="19" t="s">
        <v>212</v>
      </c>
      <c r="D35" s="20">
        <f t="shared" si="0"/>
        <v>212</v>
      </c>
      <c r="E35" s="21">
        <f>196+16</f>
        <v>212</v>
      </c>
      <c r="F35" s="68"/>
      <c r="J35" s="81"/>
      <c r="K35"/>
    </row>
    <row r="36" spans="1:11" ht="32.1">
      <c r="A36" s="19" t="s">
        <v>213</v>
      </c>
      <c r="B36" s="19" t="s">
        <v>214</v>
      </c>
      <c r="C36" s="19" t="s">
        <v>215</v>
      </c>
      <c r="D36" s="20">
        <f t="shared" si="0"/>
        <v>92330</v>
      </c>
      <c r="E36" s="22">
        <v>92330</v>
      </c>
      <c r="F36" s="67"/>
      <c r="J36" s="81"/>
      <c r="K36"/>
    </row>
    <row r="37" spans="1:11" ht="32.1">
      <c r="A37" s="19" t="s">
        <v>216</v>
      </c>
      <c r="B37" s="19" t="s">
        <v>217</v>
      </c>
      <c r="C37" s="19" t="s">
        <v>218</v>
      </c>
      <c r="D37" s="20">
        <f t="shared" si="0"/>
        <v>192</v>
      </c>
      <c r="E37" s="22">
        <f>16*6*2</f>
        <v>192</v>
      </c>
      <c r="F37" s="68"/>
      <c r="J37" s="81"/>
      <c r="K37"/>
    </row>
    <row r="38" spans="1:11" ht="48">
      <c r="A38" s="23" t="s">
        <v>216</v>
      </c>
      <c r="B38" s="19" t="s">
        <v>219</v>
      </c>
      <c r="C38" s="19" t="s">
        <v>218</v>
      </c>
      <c r="D38" s="20">
        <f t="shared" si="0"/>
        <v>20</v>
      </c>
      <c r="E38" s="22">
        <f>10*2</f>
        <v>20</v>
      </c>
      <c r="F38" s="68"/>
      <c r="J38" s="81"/>
      <c r="K38"/>
    </row>
    <row r="39" spans="1:11" ht="48">
      <c r="A39" s="23" t="s">
        <v>216</v>
      </c>
      <c r="B39" s="19" t="s">
        <v>220</v>
      </c>
      <c r="C39" s="19" t="s">
        <v>218</v>
      </c>
      <c r="D39" s="20">
        <f t="shared" si="0"/>
        <v>12</v>
      </c>
      <c r="E39" s="22">
        <f>6*2</f>
        <v>12</v>
      </c>
      <c r="F39" s="68"/>
      <c r="J39" s="81"/>
      <c r="K39"/>
    </row>
    <row r="40" spans="1:11" ht="32.1">
      <c r="A40" s="23"/>
      <c r="B40" s="19" t="s">
        <v>221</v>
      </c>
      <c r="C40" s="19" t="s">
        <v>222</v>
      </c>
      <c r="D40" s="20">
        <f t="shared" si="0"/>
        <v>1</v>
      </c>
      <c r="E40" s="22">
        <v>1</v>
      </c>
      <c r="F40" s="68"/>
      <c r="J40" s="81"/>
      <c r="K40"/>
    </row>
    <row r="41" spans="1:11">
      <c r="A41" s="23" t="s">
        <v>223</v>
      </c>
      <c r="B41" s="19" t="s">
        <v>224</v>
      </c>
      <c r="C41" s="19" t="s">
        <v>225</v>
      </c>
      <c r="D41" s="20">
        <f t="shared" si="0"/>
        <v>0</v>
      </c>
      <c r="E41" s="21">
        <v>0</v>
      </c>
      <c r="F41" s="68"/>
      <c r="J41" s="81"/>
      <c r="K41"/>
    </row>
    <row r="42" spans="1:11" ht="32.1">
      <c r="A42" s="23"/>
      <c r="B42" s="19" t="s">
        <v>226</v>
      </c>
      <c r="C42" s="27" t="s">
        <v>227</v>
      </c>
      <c r="D42" s="20">
        <f t="shared" si="0"/>
        <v>1</v>
      </c>
      <c r="E42" s="22">
        <v>1</v>
      </c>
      <c r="F42" s="68"/>
      <c r="J42" s="81"/>
      <c r="K42"/>
    </row>
    <row r="43" spans="1:11">
      <c r="A43" s="23" t="s">
        <v>228</v>
      </c>
      <c r="B43" s="19" t="s">
        <v>229</v>
      </c>
      <c r="C43" s="19" t="s">
        <v>230</v>
      </c>
      <c r="D43" s="20">
        <f t="shared" si="0"/>
        <v>1</v>
      </c>
      <c r="E43" s="22">
        <v>1</v>
      </c>
      <c r="F43" s="67"/>
      <c r="J43" s="81"/>
      <c r="K43"/>
    </row>
    <row r="44" spans="1:11">
      <c r="A44" s="24" t="s">
        <v>231</v>
      </c>
      <c r="B44" s="25"/>
      <c r="C44" s="25"/>
      <c r="D44" s="16"/>
      <c r="E44" s="16"/>
      <c r="F44" s="67"/>
      <c r="J44" s="81"/>
      <c r="K44"/>
    </row>
    <row r="45" spans="1:11">
      <c r="A45" s="23" t="s">
        <v>232</v>
      </c>
      <c r="B45" s="19" t="s">
        <v>233</v>
      </c>
      <c r="C45" s="19" t="s">
        <v>196</v>
      </c>
      <c r="D45" s="20">
        <f t="shared" si="0"/>
        <v>114898</v>
      </c>
      <c r="E45" s="21">
        <v>114898</v>
      </c>
      <c r="F45" s="67"/>
      <c r="J45" s="81"/>
      <c r="K45"/>
    </row>
    <row r="46" spans="1:11">
      <c r="A46" s="23" t="s">
        <v>234</v>
      </c>
      <c r="B46" s="19" t="s">
        <v>235</v>
      </c>
      <c r="C46" s="19" t="s">
        <v>236</v>
      </c>
      <c r="D46" s="20">
        <f t="shared" si="0"/>
        <v>595</v>
      </c>
      <c r="E46" s="21">
        <v>595</v>
      </c>
      <c r="F46" s="67"/>
      <c r="J46" s="81"/>
      <c r="K46"/>
    </row>
    <row r="47" spans="1:11">
      <c r="A47" s="23" t="s">
        <v>237</v>
      </c>
      <c r="B47" s="19" t="s">
        <v>238</v>
      </c>
      <c r="C47" s="19" t="s">
        <v>239</v>
      </c>
      <c r="D47" s="20">
        <f t="shared" si="0"/>
        <v>457</v>
      </c>
      <c r="E47" s="22">
        <v>457</v>
      </c>
      <c r="F47" s="67"/>
      <c r="J47" s="81"/>
      <c r="K47"/>
    </row>
    <row r="48" spans="1:11">
      <c r="A48" s="23" t="s">
        <v>240</v>
      </c>
      <c r="B48" s="19" t="s">
        <v>241</v>
      </c>
      <c r="C48" s="19" t="s">
        <v>242</v>
      </c>
      <c r="D48" s="20">
        <f t="shared" si="0"/>
        <v>1</v>
      </c>
      <c r="E48" s="22">
        <v>1</v>
      </c>
      <c r="F48" s="68"/>
      <c r="J48" s="81"/>
      <c r="K48"/>
    </row>
    <row r="49" spans="1:44" s="36" customFormat="1">
      <c r="A49" s="23" t="s">
        <v>243</v>
      </c>
      <c r="B49" s="19" t="s">
        <v>244</v>
      </c>
      <c r="C49" s="19" t="s">
        <v>245</v>
      </c>
      <c r="D49" s="20">
        <f t="shared" si="0"/>
        <v>41800</v>
      </c>
      <c r="E49" s="21">
        <v>41800</v>
      </c>
      <c r="F49" s="68"/>
      <c r="G49" s="67"/>
      <c r="H49" s="76"/>
      <c r="I49"/>
      <c r="J49" s="81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</row>
    <row r="50" spans="1:44">
      <c r="A50" s="23" t="s">
        <v>246</v>
      </c>
      <c r="B50" s="19" t="s">
        <v>247</v>
      </c>
      <c r="C50" s="19" t="s">
        <v>248</v>
      </c>
      <c r="D50" s="20">
        <f t="shared" si="0"/>
        <v>0</v>
      </c>
      <c r="E50" s="21">
        <v>0</v>
      </c>
      <c r="F50" s="68"/>
      <c r="J50" s="81"/>
      <c r="K50"/>
    </row>
    <row r="51" spans="1:44">
      <c r="A51" s="23" t="s">
        <v>249</v>
      </c>
      <c r="B51" s="19" t="s">
        <v>250</v>
      </c>
      <c r="C51" s="19" t="s">
        <v>236</v>
      </c>
      <c r="D51" s="20">
        <f t="shared" si="0"/>
        <v>0</v>
      </c>
      <c r="E51" s="21">
        <v>0</v>
      </c>
      <c r="F51" s="68"/>
      <c r="J51" s="81"/>
      <c r="K51"/>
    </row>
    <row r="52" spans="1:44">
      <c r="A52" s="23" t="s">
        <v>251</v>
      </c>
      <c r="B52" s="19" t="s">
        <v>252</v>
      </c>
      <c r="C52" s="19" t="s">
        <v>253</v>
      </c>
      <c r="D52" s="20">
        <f t="shared" si="0"/>
        <v>20</v>
      </c>
      <c r="E52" s="21">
        <v>20</v>
      </c>
      <c r="F52" s="68"/>
      <c r="J52" s="81"/>
      <c r="K52"/>
    </row>
    <row r="53" spans="1:44">
      <c r="A53" s="23" t="s">
        <v>254</v>
      </c>
      <c r="B53" s="19" t="s">
        <v>255</v>
      </c>
      <c r="C53" s="19" t="s">
        <v>256</v>
      </c>
      <c r="D53" s="20">
        <f t="shared" si="0"/>
        <v>28</v>
      </c>
      <c r="E53" s="21">
        <v>28</v>
      </c>
      <c r="F53" s="68"/>
      <c r="J53" s="81"/>
      <c r="K53"/>
    </row>
    <row r="54" spans="1:44">
      <c r="A54" s="23" t="s">
        <v>257</v>
      </c>
      <c r="B54" s="19" t="s">
        <v>258</v>
      </c>
      <c r="C54" s="19" t="s">
        <v>259</v>
      </c>
      <c r="D54" s="20">
        <f t="shared" si="0"/>
        <v>0</v>
      </c>
      <c r="E54" s="21">
        <v>0</v>
      </c>
      <c r="F54" s="67"/>
      <c r="J54" s="81"/>
      <c r="K54"/>
    </row>
    <row r="55" spans="1:44">
      <c r="A55" s="23" t="s">
        <v>257</v>
      </c>
      <c r="B55" s="19" t="s">
        <v>260</v>
      </c>
      <c r="C55" s="19" t="s">
        <v>259</v>
      </c>
      <c r="D55" s="20">
        <f t="shared" si="0"/>
        <v>0</v>
      </c>
      <c r="E55" s="21">
        <v>0</v>
      </c>
      <c r="F55" s="67"/>
      <c r="J55" s="81"/>
      <c r="K55"/>
    </row>
    <row r="56" spans="1:44">
      <c r="A56" s="23" t="s">
        <v>257</v>
      </c>
      <c r="B56" s="19" t="s">
        <v>261</v>
      </c>
      <c r="C56" s="19" t="s">
        <v>259</v>
      </c>
      <c r="D56" s="20">
        <f t="shared" si="0"/>
        <v>8</v>
      </c>
      <c r="E56" s="21">
        <v>8</v>
      </c>
      <c r="F56" s="67"/>
      <c r="J56" s="81"/>
      <c r="K56"/>
    </row>
    <row r="57" spans="1:44">
      <c r="A57" s="23" t="s">
        <v>262</v>
      </c>
      <c r="B57" s="19" t="s">
        <v>263</v>
      </c>
      <c r="C57" s="19" t="s">
        <v>259</v>
      </c>
      <c r="D57" s="20">
        <f t="shared" si="0"/>
        <v>0</v>
      </c>
      <c r="E57" s="21">
        <v>0</v>
      </c>
      <c r="F57" s="67"/>
      <c r="J57" s="81"/>
      <c r="K57"/>
    </row>
    <row r="58" spans="1:44">
      <c r="A58" s="23"/>
      <c r="B58" s="19" t="s">
        <v>264</v>
      </c>
      <c r="C58" s="19" t="s">
        <v>265</v>
      </c>
      <c r="D58" s="20">
        <f t="shared" si="0"/>
        <v>19</v>
      </c>
      <c r="E58" s="21">
        <v>19</v>
      </c>
      <c r="F58" s="67"/>
      <c r="J58" s="81"/>
      <c r="K58"/>
    </row>
    <row r="59" spans="1:44">
      <c r="A59" s="23" t="s">
        <v>262</v>
      </c>
      <c r="B59" s="19" t="s">
        <v>266</v>
      </c>
      <c r="C59" s="19" t="s">
        <v>265</v>
      </c>
      <c r="D59" s="20">
        <f t="shared" si="0"/>
        <v>12</v>
      </c>
      <c r="E59" s="21">
        <v>12</v>
      </c>
      <c r="F59" s="67"/>
      <c r="J59" s="81"/>
      <c r="K59"/>
    </row>
    <row r="60" spans="1:44">
      <c r="A60" s="23" t="s">
        <v>262</v>
      </c>
      <c r="B60" s="19" t="s">
        <v>267</v>
      </c>
      <c r="C60" s="19" t="s">
        <v>265</v>
      </c>
      <c r="D60" s="20">
        <f t="shared" si="0"/>
        <v>0</v>
      </c>
      <c r="E60" s="21">
        <v>0</v>
      </c>
      <c r="F60" s="67"/>
      <c r="J60" s="81"/>
      <c r="K60"/>
    </row>
    <row r="61" spans="1:44">
      <c r="A61" s="23" t="s">
        <v>262</v>
      </c>
      <c r="B61" s="19" t="s">
        <v>268</v>
      </c>
      <c r="C61" s="19" t="s">
        <v>265</v>
      </c>
      <c r="D61" s="20">
        <f t="shared" si="0"/>
        <v>0</v>
      </c>
      <c r="E61" s="21">
        <v>0</v>
      </c>
      <c r="F61" s="67"/>
      <c r="J61" s="81"/>
      <c r="K61"/>
    </row>
    <row r="62" spans="1:44">
      <c r="A62" s="23" t="s">
        <v>262</v>
      </c>
      <c r="B62" s="19" t="s">
        <v>269</v>
      </c>
      <c r="C62" s="19" t="s">
        <v>265</v>
      </c>
      <c r="D62" s="20">
        <f t="shared" si="0"/>
        <v>12</v>
      </c>
      <c r="E62" s="21">
        <v>12</v>
      </c>
      <c r="F62" s="67"/>
      <c r="J62" s="81"/>
      <c r="K62"/>
    </row>
    <row r="63" spans="1:44">
      <c r="A63" s="23" t="s">
        <v>270</v>
      </c>
      <c r="B63" s="19" t="s">
        <v>271</v>
      </c>
      <c r="C63" s="19" t="s">
        <v>272</v>
      </c>
      <c r="D63" s="20">
        <f t="shared" si="0"/>
        <v>110</v>
      </c>
      <c r="E63" s="22">
        <v>110</v>
      </c>
      <c r="F63" s="67"/>
      <c r="J63" s="81"/>
      <c r="K63"/>
    </row>
    <row r="64" spans="1:44">
      <c r="A64" s="23" t="s">
        <v>273</v>
      </c>
      <c r="B64" s="19" t="s">
        <v>274</v>
      </c>
      <c r="C64" s="19" t="s">
        <v>275</v>
      </c>
      <c r="D64" s="20">
        <f t="shared" si="0"/>
        <v>551</v>
      </c>
      <c r="E64" s="21">
        <v>551</v>
      </c>
      <c r="F64" s="67"/>
      <c r="J64" s="81"/>
      <c r="K64"/>
    </row>
    <row r="65" spans="1:11">
      <c r="A65" s="23" t="s">
        <v>273</v>
      </c>
      <c r="B65" s="19" t="s">
        <v>276</v>
      </c>
      <c r="C65" s="19" t="s">
        <v>196</v>
      </c>
      <c r="D65" s="20">
        <f t="shared" si="0"/>
        <v>132565</v>
      </c>
      <c r="E65" s="22">
        <f>114898+17667</f>
        <v>132565</v>
      </c>
      <c r="F65" s="67"/>
      <c r="J65" s="81"/>
      <c r="K65"/>
    </row>
    <row r="66" spans="1:11">
      <c r="A66" s="23" t="s">
        <v>277</v>
      </c>
      <c r="B66" s="19" t="s">
        <v>278</v>
      </c>
      <c r="C66" s="19" t="s">
        <v>279</v>
      </c>
      <c r="D66" s="20">
        <f t="shared" si="0"/>
        <v>6</v>
      </c>
      <c r="E66" s="21">
        <v>6</v>
      </c>
      <c r="F66" s="67"/>
      <c r="J66" s="81"/>
      <c r="K66"/>
    </row>
    <row r="67" spans="1:11">
      <c r="A67" s="23" t="s">
        <v>280</v>
      </c>
      <c r="B67" s="19" t="s">
        <v>281</v>
      </c>
      <c r="C67" s="19" t="s">
        <v>282</v>
      </c>
      <c r="D67" s="20">
        <f t="shared" si="0"/>
        <v>5</v>
      </c>
      <c r="E67" s="21">
        <v>5</v>
      </c>
      <c r="F67" s="68"/>
      <c r="J67" s="81"/>
      <c r="K67"/>
    </row>
    <row r="68" spans="1:11">
      <c r="A68" s="23" t="s">
        <v>283</v>
      </c>
      <c r="B68" s="19" t="s">
        <v>284</v>
      </c>
      <c r="C68" s="19" t="s">
        <v>285</v>
      </c>
      <c r="D68" s="20">
        <f t="shared" si="0"/>
        <v>1</v>
      </c>
      <c r="E68" s="22">
        <v>1</v>
      </c>
      <c r="F68" s="67"/>
      <c r="J68" s="81"/>
      <c r="K68"/>
    </row>
    <row r="69" spans="1:11">
      <c r="A69" s="23"/>
      <c r="B69" s="19" t="s">
        <v>286</v>
      </c>
      <c r="C69" s="19" t="s">
        <v>287</v>
      </c>
      <c r="D69" s="20">
        <f t="shared" si="0"/>
        <v>1</v>
      </c>
      <c r="E69" s="22">
        <v>1</v>
      </c>
      <c r="F69" s="68"/>
      <c r="J69" s="81"/>
      <c r="K69"/>
    </row>
    <row r="70" spans="1:11" ht="32.1">
      <c r="A70" s="23"/>
      <c r="B70" s="19" t="s">
        <v>288</v>
      </c>
      <c r="C70" s="19" t="s">
        <v>227</v>
      </c>
      <c r="D70" s="20">
        <f t="shared" si="0"/>
        <v>1</v>
      </c>
      <c r="E70" s="22">
        <v>1</v>
      </c>
      <c r="F70" s="68"/>
      <c r="J70" s="81"/>
      <c r="K70"/>
    </row>
    <row r="71" spans="1:11">
      <c r="A71" s="23" t="s">
        <v>289</v>
      </c>
      <c r="B71" s="19" t="s">
        <v>290</v>
      </c>
      <c r="C71" s="27" t="s">
        <v>248</v>
      </c>
      <c r="D71" s="20">
        <f t="shared" si="0"/>
        <v>1</v>
      </c>
      <c r="E71" s="22">
        <v>1</v>
      </c>
      <c r="F71" s="68"/>
      <c r="J71" s="81"/>
      <c r="K71"/>
    </row>
    <row r="72" spans="1:11">
      <c r="A72" s="23" t="s">
        <v>289</v>
      </c>
      <c r="B72" s="19" t="s">
        <v>291</v>
      </c>
      <c r="C72" s="27" t="s">
        <v>248</v>
      </c>
      <c r="D72" s="20">
        <f t="shared" si="0"/>
        <v>1</v>
      </c>
      <c r="E72" s="22">
        <v>1</v>
      </c>
      <c r="F72" s="68"/>
      <c r="J72" s="81"/>
      <c r="K72"/>
    </row>
    <row r="73" spans="1:11">
      <c r="A73" s="26" t="s">
        <v>292</v>
      </c>
      <c r="B73" s="27" t="s">
        <v>293</v>
      </c>
      <c r="C73" s="27" t="s">
        <v>294</v>
      </c>
      <c r="D73" s="20">
        <f t="shared" si="0"/>
        <v>0</v>
      </c>
      <c r="E73" s="21">
        <v>0</v>
      </c>
      <c r="F73" s="68"/>
      <c r="J73" s="81"/>
      <c r="K73"/>
    </row>
    <row r="74" spans="1:11">
      <c r="A74" s="26" t="s">
        <v>295</v>
      </c>
      <c r="B74" s="27" t="s">
        <v>296</v>
      </c>
      <c r="C74" s="27" t="s">
        <v>297</v>
      </c>
      <c r="D74" s="20">
        <f t="shared" si="0"/>
        <v>0</v>
      </c>
      <c r="E74" s="21">
        <v>0</v>
      </c>
      <c r="F74" s="67"/>
      <c r="J74" s="81"/>
      <c r="K74"/>
    </row>
    <row r="75" spans="1:11">
      <c r="A75" s="24" t="s">
        <v>298</v>
      </c>
      <c r="B75" s="25"/>
      <c r="C75" s="25"/>
      <c r="D75" s="16"/>
      <c r="E75" s="28"/>
      <c r="F75" s="67"/>
      <c r="J75" s="81"/>
      <c r="K75"/>
    </row>
    <row r="76" spans="1:11">
      <c r="A76" s="23" t="s">
        <v>299</v>
      </c>
      <c r="B76" s="19" t="s">
        <v>300</v>
      </c>
      <c r="C76" s="19" t="s">
        <v>301</v>
      </c>
      <c r="D76" s="20">
        <f t="shared" ref="D76:D134" si="1">E76</f>
        <v>3</v>
      </c>
      <c r="E76" s="22">
        <v>3</v>
      </c>
      <c r="F76" s="67"/>
      <c r="J76" s="81"/>
      <c r="K76"/>
    </row>
    <row r="77" spans="1:11">
      <c r="A77" s="23" t="s">
        <v>302</v>
      </c>
      <c r="B77" s="19" t="s">
        <v>303</v>
      </c>
      <c r="C77" s="19" t="s">
        <v>304</v>
      </c>
      <c r="D77" s="20">
        <f t="shared" si="1"/>
        <v>2</v>
      </c>
      <c r="E77" s="22">
        <v>2</v>
      </c>
      <c r="F77" s="68"/>
      <c r="J77" s="81"/>
      <c r="K77"/>
    </row>
    <row r="78" spans="1:11">
      <c r="A78" s="23" t="s">
        <v>305</v>
      </c>
      <c r="B78" s="19" t="s">
        <v>306</v>
      </c>
      <c r="C78" s="19" t="s">
        <v>307</v>
      </c>
      <c r="D78" s="20">
        <f t="shared" si="1"/>
        <v>3</v>
      </c>
      <c r="E78" s="22">
        <v>3</v>
      </c>
      <c r="F78" s="67"/>
      <c r="J78" s="81"/>
      <c r="K78"/>
    </row>
    <row r="79" spans="1:11">
      <c r="A79" s="23" t="s">
        <v>305</v>
      </c>
      <c r="B79" s="19" t="s">
        <v>308</v>
      </c>
      <c r="C79" s="19" t="s">
        <v>309</v>
      </c>
      <c r="D79" s="20">
        <f t="shared" si="1"/>
        <v>3</v>
      </c>
      <c r="E79" s="22">
        <v>3</v>
      </c>
      <c r="F79" s="67"/>
      <c r="J79" s="81"/>
      <c r="K79"/>
    </row>
    <row r="80" spans="1:11">
      <c r="A80" s="23" t="s">
        <v>310</v>
      </c>
      <c r="B80" s="19" t="s">
        <v>311</v>
      </c>
      <c r="C80" s="19" t="s">
        <v>312</v>
      </c>
      <c r="D80" s="20">
        <f t="shared" si="1"/>
        <v>0</v>
      </c>
      <c r="E80" s="21">
        <v>0</v>
      </c>
      <c r="F80" s="67"/>
      <c r="J80" s="81"/>
      <c r="K80"/>
    </row>
    <row r="81" spans="1:11">
      <c r="A81" s="23" t="s">
        <v>313</v>
      </c>
      <c r="B81" s="19" t="s">
        <v>314</v>
      </c>
      <c r="C81" s="19" t="s">
        <v>196</v>
      </c>
      <c r="D81" s="20">
        <f t="shared" si="1"/>
        <v>93990</v>
      </c>
      <c r="E81" s="21">
        <v>93990</v>
      </c>
      <c r="F81" s="67"/>
      <c r="J81" s="81"/>
      <c r="K81"/>
    </row>
    <row r="82" spans="1:11" ht="32.1">
      <c r="A82" s="23" t="s">
        <v>315</v>
      </c>
      <c r="B82" s="19" t="s">
        <v>316</v>
      </c>
      <c r="C82" s="19" t="s">
        <v>317</v>
      </c>
      <c r="D82" s="20">
        <f t="shared" si="1"/>
        <v>2</v>
      </c>
      <c r="E82" s="22">
        <v>2</v>
      </c>
      <c r="F82" s="68"/>
      <c r="J82" s="81"/>
      <c r="K82"/>
    </row>
    <row r="83" spans="1:11">
      <c r="A83" s="23" t="s">
        <v>318</v>
      </c>
      <c r="B83" s="19" t="s">
        <v>319</v>
      </c>
      <c r="C83" s="19" t="s">
        <v>320</v>
      </c>
      <c r="D83" s="20">
        <f t="shared" si="1"/>
        <v>264</v>
      </c>
      <c r="E83" s="22">
        <f>22*12</f>
        <v>264</v>
      </c>
      <c r="F83" s="68"/>
      <c r="J83" s="81"/>
      <c r="K83"/>
    </row>
    <row r="84" spans="1:11">
      <c r="A84" s="23" t="s">
        <v>321</v>
      </c>
      <c r="B84" s="19" t="s">
        <v>322</v>
      </c>
      <c r="C84" s="19" t="s">
        <v>323</v>
      </c>
      <c r="D84" s="20">
        <f t="shared" si="1"/>
        <v>0</v>
      </c>
      <c r="E84" s="21">
        <v>0</v>
      </c>
      <c r="F84" s="68"/>
      <c r="J84" s="81"/>
      <c r="K84"/>
    </row>
    <row r="85" spans="1:11">
      <c r="A85" s="23" t="s">
        <v>324</v>
      </c>
      <c r="B85" s="19" t="s">
        <v>325</v>
      </c>
      <c r="C85" s="19" t="s">
        <v>326</v>
      </c>
      <c r="D85" s="20">
        <f t="shared" si="1"/>
        <v>172</v>
      </c>
      <c r="E85" s="22">
        <v>172</v>
      </c>
      <c r="F85" s="68"/>
      <c r="J85" s="81"/>
      <c r="K85"/>
    </row>
    <row r="86" spans="1:11">
      <c r="A86" s="23" t="s">
        <v>327</v>
      </c>
      <c r="B86" s="19" t="s">
        <v>328</v>
      </c>
      <c r="C86" s="19" t="s">
        <v>329</v>
      </c>
      <c r="D86" s="20">
        <f t="shared" si="1"/>
        <v>3</v>
      </c>
      <c r="E86" s="22">
        <v>3</v>
      </c>
      <c r="F86" s="68"/>
      <c r="J86" s="81"/>
      <c r="K86"/>
    </row>
    <row r="87" spans="1:11">
      <c r="A87" s="23" t="s">
        <v>330</v>
      </c>
      <c r="B87" s="19" t="s">
        <v>331</v>
      </c>
      <c r="C87" s="19" t="s">
        <v>332</v>
      </c>
      <c r="D87" s="20">
        <f t="shared" si="1"/>
        <v>1</v>
      </c>
      <c r="E87" s="22">
        <v>1</v>
      </c>
      <c r="F87" s="68"/>
      <c r="J87" s="81"/>
      <c r="K87"/>
    </row>
    <row r="88" spans="1:11">
      <c r="A88" s="24" t="s">
        <v>333</v>
      </c>
      <c r="B88" s="25"/>
      <c r="C88" s="25"/>
      <c r="D88" s="16"/>
      <c r="E88" s="28"/>
      <c r="F88" s="67"/>
      <c r="J88" s="81"/>
      <c r="K88"/>
    </row>
    <row r="89" spans="1:11">
      <c r="A89" s="19" t="s">
        <v>334</v>
      </c>
      <c r="B89" s="19" t="s">
        <v>335</v>
      </c>
      <c r="C89" s="19" t="s">
        <v>336</v>
      </c>
      <c r="D89" s="20">
        <f t="shared" si="1"/>
        <v>114898</v>
      </c>
      <c r="E89" s="22">
        <v>114898</v>
      </c>
      <c r="F89" s="67"/>
      <c r="J89" s="81"/>
      <c r="K89"/>
    </row>
    <row r="90" spans="1:11">
      <c r="A90" s="19" t="s">
        <v>337</v>
      </c>
      <c r="B90" s="19" t="s">
        <v>338</v>
      </c>
      <c r="C90" s="19" t="s">
        <v>336</v>
      </c>
      <c r="D90" s="20">
        <f t="shared" si="1"/>
        <v>114898</v>
      </c>
      <c r="E90" s="22">
        <v>114898</v>
      </c>
      <c r="F90" s="67"/>
      <c r="J90" s="81"/>
      <c r="K90"/>
    </row>
    <row r="91" spans="1:11">
      <c r="A91" s="23" t="s">
        <v>339</v>
      </c>
      <c r="B91" s="19" t="s">
        <v>340</v>
      </c>
      <c r="C91" s="19" t="s">
        <v>196</v>
      </c>
      <c r="D91" s="20">
        <f t="shared" si="1"/>
        <v>49985</v>
      </c>
      <c r="E91" s="22">
        <v>49985</v>
      </c>
      <c r="F91" s="67"/>
      <c r="J91" s="81"/>
      <c r="K91"/>
    </row>
    <row r="92" spans="1:11">
      <c r="A92" s="23" t="s">
        <v>341</v>
      </c>
      <c r="B92" s="19" t="s">
        <v>342</v>
      </c>
      <c r="C92" s="19" t="s">
        <v>196</v>
      </c>
      <c r="D92" s="20">
        <f t="shared" si="1"/>
        <v>93990</v>
      </c>
      <c r="E92" s="22">
        <v>93990</v>
      </c>
      <c r="F92" s="67"/>
      <c r="J92" s="81"/>
      <c r="K92"/>
    </row>
    <row r="93" spans="1:11">
      <c r="A93" s="23" t="s">
        <v>343</v>
      </c>
      <c r="B93" s="19" t="s">
        <v>344</v>
      </c>
      <c r="C93" s="19" t="s">
        <v>345</v>
      </c>
      <c r="D93" s="20">
        <f t="shared" si="1"/>
        <v>1780</v>
      </c>
      <c r="E93" s="22">
        <v>1780</v>
      </c>
      <c r="F93" s="67"/>
      <c r="J93" s="81"/>
      <c r="K93"/>
    </row>
    <row r="94" spans="1:11">
      <c r="A94" s="23" t="s">
        <v>346</v>
      </c>
      <c r="B94" s="19" t="s">
        <v>347</v>
      </c>
      <c r="C94" s="19" t="s">
        <v>348</v>
      </c>
      <c r="D94" s="20">
        <f t="shared" si="1"/>
        <v>979</v>
      </c>
      <c r="E94" s="22">
        <v>979</v>
      </c>
      <c r="F94" s="67"/>
      <c r="J94" s="81"/>
      <c r="K94"/>
    </row>
    <row r="95" spans="1:11">
      <c r="A95" s="23" t="s">
        <v>349</v>
      </c>
      <c r="B95" s="19" t="s">
        <v>350</v>
      </c>
      <c r="C95" s="19" t="s">
        <v>351</v>
      </c>
      <c r="D95" s="20">
        <f t="shared" si="1"/>
        <v>29</v>
      </c>
      <c r="E95" s="22">
        <v>29</v>
      </c>
      <c r="F95" s="67"/>
      <c r="J95" s="81"/>
      <c r="K95"/>
    </row>
    <row r="96" spans="1:11">
      <c r="A96" s="23" t="s">
        <v>352</v>
      </c>
      <c r="B96" s="19" t="s">
        <v>353</v>
      </c>
      <c r="C96" s="19" t="s">
        <v>242</v>
      </c>
      <c r="D96" s="20">
        <f t="shared" si="1"/>
        <v>2</v>
      </c>
      <c r="E96" s="22">
        <v>2</v>
      </c>
      <c r="F96" s="67"/>
      <c r="J96" s="81"/>
      <c r="K96"/>
    </row>
    <row r="97" spans="1:11">
      <c r="A97" s="23" t="s">
        <v>354</v>
      </c>
      <c r="B97" s="19" t="s">
        <v>355</v>
      </c>
      <c r="C97" s="19" t="s">
        <v>356</v>
      </c>
      <c r="D97" s="20">
        <f t="shared" si="1"/>
        <v>385</v>
      </c>
      <c r="E97" s="22">
        <f>361+15+9</f>
        <v>385</v>
      </c>
      <c r="F97" s="67"/>
      <c r="J97" s="81"/>
      <c r="K97"/>
    </row>
    <row r="98" spans="1:11">
      <c r="A98" s="23" t="s">
        <v>357</v>
      </c>
      <c r="B98" s="19" t="s">
        <v>358</v>
      </c>
      <c r="C98" s="19" t="s">
        <v>359</v>
      </c>
      <c r="D98" s="20">
        <f t="shared" si="1"/>
        <v>41</v>
      </c>
      <c r="E98" s="22">
        <f>14+27</f>
        <v>41</v>
      </c>
      <c r="F98" s="67"/>
      <c r="J98" s="81"/>
      <c r="K98"/>
    </row>
    <row r="99" spans="1:11" ht="32.1">
      <c r="A99" s="23" t="s">
        <v>360</v>
      </c>
      <c r="B99" s="19" t="s">
        <v>361</v>
      </c>
      <c r="C99" s="19" t="s">
        <v>362</v>
      </c>
      <c r="D99" s="20">
        <f t="shared" si="1"/>
        <v>25200</v>
      </c>
      <c r="E99" s="22">
        <v>25200</v>
      </c>
      <c r="F99" s="67"/>
      <c r="J99" s="81"/>
      <c r="K99"/>
    </row>
    <row r="100" spans="1:11">
      <c r="A100" s="23" t="s">
        <v>363</v>
      </c>
      <c r="B100" s="19" t="s">
        <v>364</v>
      </c>
      <c r="C100" s="19" t="s">
        <v>365</v>
      </c>
      <c r="D100" s="20">
        <f t="shared" si="1"/>
        <v>2</v>
      </c>
      <c r="E100" s="22">
        <v>2</v>
      </c>
      <c r="F100" s="67"/>
      <c r="J100" s="81"/>
      <c r="K100"/>
    </row>
    <row r="101" spans="1:11">
      <c r="A101" s="23" t="s">
        <v>366</v>
      </c>
      <c r="B101" s="19" t="s">
        <v>367</v>
      </c>
      <c r="C101" s="19" t="s">
        <v>368</v>
      </c>
      <c r="D101" s="20">
        <f t="shared" si="1"/>
        <v>6</v>
      </c>
      <c r="E101" s="22">
        <v>6</v>
      </c>
      <c r="F101" s="68"/>
      <c r="J101" s="81"/>
      <c r="K101"/>
    </row>
    <row r="102" spans="1:11" ht="32.1">
      <c r="A102" s="23" t="s">
        <v>357</v>
      </c>
      <c r="B102" s="19" t="s">
        <v>369</v>
      </c>
      <c r="C102" s="19" t="s">
        <v>370</v>
      </c>
      <c r="D102" s="20">
        <f t="shared" si="1"/>
        <v>0</v>
      </c>
      <c r="E102" s="21">
        <v>0</v>
      </c>
      <c r="F102" s="67"/>
      <c r="J102" s="81"/>
      <c r="K102"/>
    </row>
    <row r="103" spans="1:11">
      <c r="A103" s="24" t="s">
        <v>371</v>
      </c>
      <c r="B103" s="25"/>
      <c r="C103" s="25"/>
      <c r="D103" s="16"/>
      <c r="E103" s="28"/>
      <c r="F103" s="67"/>
      <c r="J103" s="81"/>
      <c r="K103"/>
    </row>
    <row r="104" spans="1:11">
      <c r="A104" s="23" t="s">
        <v>372</v>
      </c>
      <c r="B104" s="19" t="s">
        <v>373</v>
      </c>
      <c r="C104" s="19" t="s">
        <v>374</v>
      </c>
      <c r="D104" s="20">
        <f t="shared" si="1"/>
        <v>25</v>
      </c>
      <c r="E104" s="22">
        <v>25</v>
      </c>
      <c r="F104" s="67"/>
      <c r="J104" s="81"/>
      <c r="K104"/>
    </row>
    <row r="105" spans="1:11">
      <c r="A105" s="23" t="s">
        <v>372</v>
      </c>
      <c r="B105" s="19" t="s">
        <v>375</v>
      </c>
      <c r="C105" s="19" t="s">
        <v>374</v>
      </c>
      <c r="D105" s="20">
        <f t="shared" si="1"/>
        <v>1</v>
      </c>
      <c r="E105" s="22">
        <v>1</v>
      </c>
      <c r="F105" s="67"/>
      <c r="J105" s="81"/>
      <c r="K105"/>
    </row>
    <row r="106" spans="1:11">
      <c r="A106" s="23" t="s">
        <v>372</v>
      </c>
      <c r="B106" s="19" t="s">
        <v>376</v>
      </c>
      <c r="C106" s="19" t="s">
        <v>374</v>
      </c>
      <c r="D106" s="20">
        <f t="shared" si="1"/>
        <v>31</v>
      </c>
      <c r="E106" s="22">
        <v>31</v>
      </c>
      <c r="F106" s="67"/>
      <c r="J106" s="81"/>
      <c r="K106"/>
    </row>
    <row r="107" spans="1:11">
      <c r="A107" s="23" t="s">
        <v>377</v>
      </c>
      <c r="B107" s="19" t="s">
        <v>378</v>
      </c>
      <c r="C107" s="19" t="s">
        <v>379</v>
      </c>
      <c r="D107" s="20">
        <f t="shared" si="1"/>
        <v>0</v>
      </c>
      <c r="E107" s="21">
        <v>0</v>
      </c>
      <c r="F107" s="67"/>
      <c r="J107" s="81"/>
      <c r="K107"/>
    </row>
    <row r="108" spans="1:11">
      <c r="A108" s="23" t="s">
        <v>380</v>
      </c>
      <c r="B108" s="19" t="s">
        <v>381</v>
      </c>
      <c r="C108" s="19" t="s">
        <v>382</v>
      </c>
      <c r="D108" s="20">
        <f t="shared" si="1"/>
        <v>4</v>
      </c>
      <c r="E108" s="22">
        <v>4</v>
      </c>
      <c r="F108" s="67"/>
      <c r="J108" s="81"/>
      <c r="K108"/>
    </row>
    <row r="109" spans="1:11">
      <c r="A109" s="23"/>
      <c r="B109" s="19" t="s">
        <v>383</v>
      </c>
      <c r="C109" s="19" t="s">
        <v>384</v>
      </c>
      <c r="D109" s="20">
        <f t="shared" si="1"/>
        <v>0</v>
      </c>
      <c r="E109" s="21">
        <v>0</v>
      </c>
      <c r="F109" s="68"/>
      <c r="J109" s="81"/>
      <c r="K109"/>
    </row>
    <row r="110" spans="1:11">
      <c r="A110" s="23"/>
      <c r="B110" s="19" t="s">
        <v>385</v>
      </c>
      <c r="C110" s="19" t="s">
        <v>287</v>
      </c>
      <c r="D110" s="20">
        <f t="shared" si="1"/>
        <v>0</v>
      </c>
      <c r="E110" s="21">
        <v>0</v>
      </c>
      <c r="F110" s="68"/>
      <c r="J110" s="81"/>
      <c r="K110"/>
    </row>
    <row r="111" spans="1:11">
      <c r="A111" s="24" t="s">
        <v>386</v>
      </c>
      <c r="B111" s="25"/>
      <c r="C111" s="25"/>
      <c r="D111" s="16"/>
      <c r="E111" s="28"/>
      <c r="F111" s="67"/>
      <c r="J111" s="81"/>
      <c r="K111"/>
    </row>
    <row r="112" spans="1:11">
      <c r="A112" s="83" t="s">
        <v>387</v>
      </c>
      <c r="B112" s="19" t="s">
        <v>388</v>
      </c>
      <c r="C112" s="19" t="s">
        <v>389</v>
      </c>
      <c r="D112" s="20">
        <f t="shared" si="1"/>
        <v>1</v>
      </c>
      <c r="E112" s="22">
        <v>1</v>
      </c>
      <c r="F112" s="67"/>
      <c r="J112" s="81"/>
      <c r="K112"/>
    </row>
    <row r="113" spans="1:11">
      <c r="A113" s="84" t="s">
        <v>390</v>
      </c>
      <c r="B113" s="19" t="s">
        <v>391</v>
      </c>
      <c r="C113" s="19" t="s">
        <v>392</v>
      </c>
      <c r="D113" s="20">
        <f>E113</f>
        <v>0</v>
      </c>
      <c r="E113" s="21">
        <v>0</v>
      </c>
      <c r="F113" s="68"/>
      <c r="J113" s="81"/>
      <c r="K113"/>
    </row>
    <row r="114" spans="1:11">
      <c r="A114" s="23" t="s">
        <v>393</v>
      </c>
      <c r="B114" s="19" t="s">
        <v>394</v>
      </c>
      <c r="C114" s="19" t="s">
        <v>392</v>
      </c>
      <c r="D114" s="20">
        <f t="shared" si="1"/>
        <v>2</v>
      </c>
      <c r="E114" s="22">
        <v>2</v>
      </c>
      <c r="F114" s="68"/>
      <c r="J114" s="81"/>
      <c r="K114"/>
    </row>
    <row r="115" spans="1:11">
      <c r="A115" s="23" t="s">
        <v>395</v>
      </c>
      <c r="B115" s="19" t="s">
        <v>396</v>
      </c>
      <c r="C115" s="19" t="s">
        <v>392</v>
      </c>
      <c r="D115" s="20">
        <f t="shared" si="1"/>
        <v>0</v>
      </c>
      <c r="E115" s="21">
        <v>0</v>
      </c>
      <c r="F115" s="68"/>
      <c r="J115" s="81"/>
      <c r="K115"/>
    </row>
    <row r="116" spans="1:11" ht="32.1">
      <c r="A116" s="23" t="s">
        <v>397</v>
      </c>
      <c r="B116" s="19" t="s">
        <v>398</v>
      </c>
      <c r="C116" s="19" t="s">
        <v>399</v>
      </c>
      <c r="D116" s="20">
        <f t="shared" si="1"/>
        <v>7</v>
      </c>
      <c r="E116" s="22">
        <v>7</v>
      </c>
      <c r="F116" s="68"/>
      <c r="J116" s="81"/>
      <c r="K116"/>
    </row>
    <row r="117" spans="1:11">
      <c r="A117" s="23" t="s">
        <v>400</v>
      </c>
      <c r="B117" s="19" t="s">
        <v>401</v>
      </c>
      <c r="C117" s="19" t="s">
        <v>402</v>
      </c>
      <c r="D117" s="20">
        <f t="shared" si="1"/>
        <v>20</v>
      </c>
      <c r="E117" s="22">
        <v>20</v>
      </c>
      <c r="F117" s="67"/>
      <c r="J117" s="81"/>
      <c r="K117"/>
    </row>
    <row r="118" spans="1:11">
      <c r="A118" s="23" t="s">
        <v>403</v>
      </c>
      <c r="B118" s="19" t="s">
        <v>404</v>
      </c>
      <c r="C118" s="19" t="s">
        <v>405</v>
      </c>
      <c r="D118" s="20">
        <f t="shared" si="1"/>
        <v>111</v>
      </c>
      <c r="E118" s="22">
        <v>111</v>
      </c>
      <c r="F118" s="67"/>
      <c r="J118" s="81"/>
      <c r="K118"/>
    </row>
    <row r="119" spans="1:11" ht="32.1">
      <c r="A119" s="23" t="s">
        <v>406</v>
      </c>
      <c r="B119" s="19" t="s">
        <v>407</v>
      </c>
      <c r="C119" s="19" t="s">
        <v>408</v>
      </c>
      <c r="D119" s="20">
        <f t="shared" si="1"/>
        <v>21</v>
      </c>
      <c r="E119" s="22">
        <v>21</v>
      </c>
      <c r="F119" s="68"/>
      <c r="J119" s="81"/>
      <c r="K119"/>
    </row>
    <row r="120" spans="1:11">
      <c r="A120" s="23" t="s">
        <v>409</v>
      </c>
      <c r="B120" s="19" t="s">
        <v>410</v>
      </c>
      <c r="C120" s="19" t="s">
        <v>411</v>
      </c>
      <c r="D120" s="20">
        <f t="shared" si="1"/>
        <v>0</v>
      </c>
      <c r="E120" s="21">
        <v>0</v>
      </c>
      <c r="F120" s="68"/>
      <c r="J120" s="81"/>
      <c r="K120"/>
    </row>
    <row r="121" spans="1:11">
      <c r="A121" s="23" t="s">
        <v>412</v>
      </c>
      <c r="B121" s="19" t="s">
        <v>413</v>
      </c>
      <c r="C121" s="19" t="s">
        <v>392</v>
      </c>
      <c r="D121" s="20">
        <f t="shared" si="1"/>
        <v>0</v>
      </c>
      <c r="E121" s="21">
        <v>0</v>
      </c>
      <c r="F121" s="68"/>
      <c r="J121" s="81"/>
      <c r="K121"/>
    </row>
    <row r="122" spans="1:11">
      <c r="A122" s="23" t="s">
        <v>414</v>
      </c>
      <c r="B122" s="19" t="s">
        <v>415</v>
      </c>
      <c r="C122" s="19" t="s">
        <v>392</v>
      </c>
      <c r="D122" s="20">
        <f t="shared" si="1"/>
        <v>1</v>
      </c>
      <c r="E122" s="22">
        <v>1</v>
      </c>
      <c r="F122" s="68"/>
      <c r="J122" s="81"/>
      <c r="K122"/>
    </row>
    <row r="123" spans="1:11">
      <c r="A123" s="23" t="s">
        <v>416</v>
      </c>
      <c r="B123" s="19" t="s">
        <v>417</v>
      </c>
      <c r="C123" s="19" t="s">
        <v>392</v>
      </c>
      <c r="D123" s="20">
        <f t="shared" si="1"/>
        <v>0</v>
      </c>
      <c r="E123" s="21">
        <v>0</v>
      </c>
      <c r="F123" s="68"/>
      <c r="J123" s="81"/>
      <c r="K123"/>
    </row>
    <row r="124" spans="1:11">
      <c r="A124" s="23" t="s">
        <v>418</v>
      </c>
      <c r="B124" s="19" t="s">
        <v>419</v>
      </c>
      <c r="C124" s="19" t="s">
        <v>392</v>
      </c>
      <c r="D124" s="20">
        <f t="shared" si="1"/>
        <v>1</v>
      </c>
      <c r="E124" s="22">
        <v>1</v>
      </c>
      <c r="F124" s="68"/>
      <c r="J124" s="81"/>
      <c r="K124"/>
    </row>
    <row r="125" spans="1:11">
      <c r="A125" s="23" t="s">
        <v>420</v>
      </c>
      <c r="B125" s="19" t="s">
        <v>421</v>
      </c>
      <c r="C125" s="19" t="s">
        <v>392</v>
      </c>
      <c r="D125" s="20">
        <f t="shared" si="1"/>
        <v>0</v>
      </c>
      <c r="E125" s="21">
        <v>0</v>
      </c>
      <c r="F125" s="68"/>
      <c r="J125" s="81"/>
      <c r="K125"/>
    </row>
    <row r="126" spans="1:11">
      <c r="A126" s="23" t="s">
        <v>422</v>
      </c>
      <c r="B126" s="19" t="s">
        <v>423</v>
      </c>
      <c r="C126" s="19" t="s">
        <v>392</v>
      </c>
      <c r="D126" s="20">
        <f t="shared" si="1"/>
        <v>0</v>
      </c>
      <c r="E126" s="21">
        <v>0</v>
      </c>
      <c r="F126" s="68"/>
      <c r="J126" s="81"/>
      <c r="K126"/>
    </row>
    <row r="127" spans="1:11">
      <c r="A127" s="23" t="s">
        <v>424</v>
      </c>
      <c r="B127" s="19" t="s">
        <v>425</v>
      </c>
      <c r="C127" s="19" t="s">
        <v>285</v>
      </c>
      <c r="D127" s="20">
        <f t="shared" si="1"/>
        <v>0</v>
      </c>
      <c r="E127" s="21">
        <v>0</v>
      </c>
      <c r="F127" s="68"/>
      <c r="J127" s="81"/>
      <c r="K127"/>
    </row>
    <row r="128" spans="1:11">
      <c r="A128" s="24" t="s">
        <v>426</v>
      </c>
      <c r="B128" s="25"/>
      <c r="C128" s="25"/>
      <c r="D128" s="16"/>
      <c r="E128" s="28"/>
      <c r="F128" s="67"/>
      <c r="J128" s="81"/>
      <c r="K128"/>
    </row>
    <row r="129" spans="1:11">
      <c r="A129" s="23"/>
      <c r="B129" s="19" t="s">
        <v>427</v>
      </c>
      <c r="C129" s="19" t="s">
        <v>428</v>
      </c>
      <c r="D129" s="20">
        <f t="shared" si="1"/>
        <v>93990</v>
      </c>
      <c r="E129" s="22">
        <v>93990</v>
      </c>
      <c r="F129" s="67"/>
      <c r="J129" s="81"/>
      <c r="K129"/>
    </row>
    <row r="130" spans="1:11">
      <c r="A130" s="23"/>
      <c r="B130" s="19" t="s">
        <v>429</v>
      </c>
      <c r="C130" s="19" t="s">
        <v>428</v>
      </c>
      <c r="D130" s="20">
        <f t="shared" si="1"/>
        <v>93990</v>
      </c>
      <c r="E130" s="22">
        <v>93990</v>
      </c>
      <c r="F130" s="67"/>
      <c r="J130" s="81"/>
      <c r="K130"/>
    </row>
    <row r="131" spans="1:11">
      <c r="A131" s="23"/>
      <c r="B131" s="19" t="s">
        <v>430</v>
      </c>
      <c r="C131" s="19" t="s">
        <v>428</v>
      </c>
      <c r="D131" s="20">
        <f t="shared" si="1"/>
        <v>93990</v>
      </c>
      <c r="E131" s="22">
        <v>93990</v>
      </c>
      <c r="F131" s="67"/>
      <c r="J131" s="81"/>
      <c r="K131"/>
    </row>
    <row r="132" spans="1:11">
      <c r="A132" s="23"/>
      <c r="B132" s="19" t="s">
        <v>431</v>
      </c>
      <c r="C132" s="19" t="s">
        <v>428</v>
      </c>
      <c r="D132" s="20">
        <f t="shared" si="1"/>
        <v>93990</v>
      </c>
      <c r="E132" s="22">
        <v>93990</v>
      </c>
      <c r="F132" s="67"/>
      <c r="J132" s="81"/>
      <c r="K132"/>
    </row>
    <row r="133" spans="1:11">
      <c r="A133" s="24" t="s">
        <v>432</v>
      </c>
      <c r="B133" s="25"/>
      <c r="C133" s="25"/>
      <c r="D133" s="16"/>
      <c r="E133" s="28"/>
      <c r="K133"/>
    </row>
    <row r="134" spans="1:11">
      <c r="A134" s="23"/>
      <c r="B134" s="19" t="s">
        <v>433</v>
      </c>
      <c r="C134" s="19" t="s">
        <v>434</v>
      </c>
      <c r="D134" s="20">
        <f t="shared" si="1"/>
        <v>147278</v>
      </c>
      <c r="E134" s="22">
        <v>147278</v>
      </c>
      <c r="K134"/>
    </row>
    <row r="135" spans="1:11">
      <c r="A135" s="23"/>
      <c r="B135" s="19" t="s">
        <v>435</v>
      </c>
      <c r="C135" s="19" t="s">
        <v>434</v>
      </c>
      <c r="D135" s="20">
        <f t="shared" ref="D135:D136" si="2">E135</f>
        <v>136155</v>
      </c>
      <c r="E135" s="22">
        <v>136155</v>
      </c>
      <c r="K135"/>
    </row>
    <row r="136" spans="1:11">
      <c r="A136" s="23"/>
      <c r="B136" s="19" t="s">
        <v>436</v>
      </c>
      <c r="C136" s="19" t="s">
        <v>434</v>
      </c>
      <c r="D136" s="20">
        <f t="shared" si="2"/>
        <v>142206</v>
      </c>
      <c r="E136" s="22">
        <v>142206</v>
      </c>
      <c r="K136"/>
    </row>
    <row r="137" spans="1:11">
      <c r="E137" s="31"/>
      <c r="G137" s="70"/>
    </row>
    <row r="138" spans="1:11">
      <c r="K138"/>
    </row>
    <row r="176" spans="10:11">
      <c r="J176" s="44"/>
      <c r="K176" s="44"/>
    </row>
    <row r="177" spans="10:11">
      <c r="J177" s="44"/>
      <c r="K177" s="44"/>
    </row>
    <row r="178" spans="10:11">
      <c r="J178" s="44"/>
      <c r="K178" s="44"/>
    </row>
    <row r="179" spans="10:11">
      <c r="J179" s="44"/>
      <c r="K179" s="44"/>
    </row>
    <row r="180" spans="10:11">
      <c r="J180" s="44"/>
      <c r="K180" s="44"/>
    </row>
    <row r="181" spans="10:11">
      <c r="J181" s="44"/>
      <c r="K181" s="44"/>
    </row>
    <row r="182" spans="10:11">
      <c r="J182" s="44"/>
      <c r="K182" s="44"/>
    </row>
    <row r="183" spans="10:11">
      <c r="J183" s="44"/>
      <c r="K183" s="44"/>
    </row>
    <row r="184" spans="10:11">
      <c r="J184" s="44"/>
      <c r="K184" s="44"/>
    </row>
    <row r="185" spans="10:11">
      <c r="J185" s="44"/>
      <c r="K185" s="44"/>
    </row>
    <row r="186" spans="10:11">
      <c r="J186" s="44"/>
      <c r="K186" s="44"/>
    </row>
    <row r="187" spans="10:11">
      <c r="J187" s="44"/>
      <c r="K187" s="44"/>
    </row>
    <row r="188" spans="10:11">
      <c r="J188" s="44"/>
      <c r="K188" s="44"/>
    </row>
    <row r="189" spans="10:11">
      <c r="J189" s="44"/>
      <c r="K189" s="44"/>
    </row>
    <row r="190" spans="10:11">
      <c r="J190" s="44"/>
      <c r="K190" s="44"/>
    </row>
    <row r="191" spans="10:11">
      <c r="J191" s="44"/>
      <c r="K191" s="44"/>
    </row>
    <row r="192" spans="10:11">
      <c r="J192" s="44"/>
      <c r="K192" s="44"/>
    </row>
    <row r="193" spans="10:11">
      <c r="J193" s="44"/>
      <c r="K193" s="44"/>
    </row>
    <row r="194" spans="10:11">
      <c r="J194" s="44"/>
      <c r="K194" s="44"/>
    </row>
    <row r="195" spans="10:11">
      <c r="J195" s="44"/>
      <c r="K195" s="44"/>
    </row>
    <row r="196" spans="10:11">
      <c r="J196" s="44"/>
      <c r="K196" s="44"/>
    </row>
    <row r="197" spans="10:11">
      <c r="J197" s="44"/>
      <c r="K197" s="44"/>
    </row>
    <row r="198" spans="10:11">
      <c r="J198" s="44"/>
      <c r="K198" s="44"/>
    </row>
    <row r="199" spans="10:11">
      <c r="J199" s="44"/>
      <c r="K199" s="44"/>
    </row>
    <row r="200" spans="10:11">
      <c r="J200" s="44"/>
      <c r="K200" s="44"/>
    </row>
    <row r="201" spans="10:11">
      <c r="J201" s="44"/>
      <c r="K201" s="44"/>
    </row>
    <row r="202" spans="10:11">
      <c r="J202" s="44"/>
      <c r="K202" s="44"/>
    </row>
    <row r="203" spans="10:11">
      <c r="J203" s="44"/>
      <c r="K203" s="44"/>
    </row>
    <row r="204" spans="10:11">
      <c r="J204" s="44"/>
      <c r="K204" s="44"/>
    </row>
    <row r="205" spans="10:11">
      <c r="J205" s="44"/>
      <c r="K205" s="44"/>
    </row>
    <row r="206" spans="10:11">
      <c r="J206" s="44"/>
      <c r="K206" s="44"/>
    </row>
    <row r="207" spans="10:11">
      <c r="J207" s="44"/>
      <c r="K207" s="44"/>
    </row>
    <row r="208" spans="10:11">
      <c r="J208" s="44"/>
      <c r="K208" s="44"/>
    </row>
    <row r="209" spans="10:11">
      <c r="J209" s="44"/>
      <c r="K209" s="44"/>
    </row>
    <row r="210" spans="10:11">
      <c r="J210" s="44"/>
      <c r="K210" s="44"/>
    </row>
    <row r="211" spans="10:11">
      <c r="J211" s="44"/>
      <c r="K211" s="44"/>
    </row>
    <row r="212" spans="10:11">
      <c r="J212" s="44"/>
      <c r="K212" s="44"/>
    </row>
    <row r="213" spans="10:11">
      <c r="J213" s="44"/>
      <c r="K213" s="44"/>
    </row>
    <row r="214" spans="10:11">
      <c r="J214" s="44"/>
      <c r="K214" s="44"/>
    </row>
    <row r="215" spans="10:11">
      <c r="J215" s="44"/>
      <c r="K215" s="44"/>
    </row>
    <row r="217" spans="10:11">
      <c r="J217" s="44"/>
      <c r="K217" s="44"/>
    </row>
  </sheetData>
  <mergeCells count="1">
    <mergeCell ref="A1:C7"/>
  </mergeCells>
  <pageMargins left="0.70866141732283472" right="0.70866141732283472" top="0.74803149606299213" bottom="0.74803149606299213" header="0.31496062992125984" footer="0.31496062992125984"/>
  <pageSetup paperSize="8" fitToHeight="5" orientation="landscape" verticalDpi="300" r:id="rId1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2026-01-16T16:07:11Z</dcterms:created>
  <dcterms:modified xsi:type="dcterms:W3CDTF">2026-07-13T16:10:10Z</dcterms:modified>
  <cp:category/>
  <cp:contentStatus/>
</cp:coreProperties>
</file>