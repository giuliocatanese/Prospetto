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wpnaspg01\CRAS\GARE\2023.026 - APPALTO CALORE 2 (GVE)\2-GARA\7 - Indizione procedura\Atti da Rettificare\2a Integrazione Documentale\Riepilogo Documenti Gara_\"/>
    </mc:Choice>
  </mc:AlternateContent>
  <bookViews>
    <workbookView xWindow="0" yWindow="495" windowWidth="28800" windowHeight="16185" activeTab="1"/>
  </bookViews>
  <sheets>
    <sheet name="Intestazione" sheetId="7" r:id="rId1"/>
    <sheet name="Offerta Lotto 1" sheetId="13" r:id="rId2"/>
    <sheet name="Offerta Lotto 2" sheetId="3" r:id="rId3"/>
    <sheet name="Offerta Lotto 3" sheetId="4" r:id="rId4"/>
    <sheet name="Offerta Lotto 4" sheetId="9" r:id="rId5"/>
    <sheet name="Offerta Lotto 5" sheetId="10" r:id="rId6"/>
    <sheet name="Offerta Lotto 6" sheetId="12" r:id="rId7"/>
  </sheets>
  <definedNames>
    <definedName name="_xlnm.Print_Area" localSheetId="0">Intestazione!$A$1:$G$12</definedName>
    <definedName name="_xlnm.Print_Area" localSheetId="1">'Offerta Lotto 1'!$A$1:$P$66</definedName>
    <definedName name="_xlnm.Print_Area" localSheetId="2">'Offerta Lotto 2'!$A$1:$P$64</definedName>
    <definedName name="_xlnm.Print_Area" localSheetId="3">'Offerta Lotto 3'!$A$1:$P$64</definedName>
    <definedName name="_xlnm.Print_Area" localSheetId="4">'Offerta Lotto 4'!$A$1:$P$66</definedName>
    <definedName name="_xlnm.Print_Area" localSheetId="5">'Offerta Lotto 5'!$A$1:$P$64</definedName>
    <definedName name="_xlnm.Print_Area" localSheetId="6">'Offerta Lotto 6'!$A$1:$P$64</definedName>
    <definedName name="_xlnm.Print_Titles" localSheetId="1">'Offerta Lotto 1'!$6:$7</definedName>
    <definedName name="_xlnm.Print_Titles" localSheetId="2">'Offerta Lotto 2'!$6:$7</definedName>
    <definedName name="_xlnm.Print_Titles" localSheetId="3">'Offerta Lotto 3'!$6:$7</definedName>
    <definedName name="_xlnm.Print_Titles" localSheetId="4">'Offerta Lotto 4'!$6:$7</definedName>
    <definedName name="_xlnm.Print_Titles" localSheetId="5">'Offerta Lotto 5'!$6:$7</definedName>
    <definedName name="_xlnm.Print_Titles" localSheetId="6">'Offerta Lotto 6'!$6:$7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13" l="1"/>
  <c r="L52" i="10"/>
  <c r="L54" i="9"/>
  <c r="L53" i="9"/>
  <c r="L53" i="13"/>
  <c r="L27" i="12" l="1"/>
  <c r="L21" i="13"/>
  <c r="L30" i="13"/>
  <c r="L50" i="9" l="1"/>
  <c r="L37" i="9"/>
  <c r="L32" i="9"/>
  <c r="L29" i="9"/>
  <c r="L26" i="9"/>
  <c r="L20" i="9"/>
  <c r="L15" i="9"/>
  <c r="L14" i="9"/>
  <c r="L11" i="9"/>
  <c r="L20" i="13"/>
  <c r="O20" i="13"/>
  <c r="L38" i="13" l="1"/>
  <c r="L10" i="13"/>
  <c r="O10" i="13"/>
  <c r="L9" i="13"/>
  <c r="L12" i="13"/>
  <c r="L13" i="13"/>
  <c r="L14" i="13"/>
  <c r="L15" i="13"/>
  <c r="L17" i="13"/>
  <c r="L19" i="13"/>
  <c r="L23" i="13"/>
  <c r="L24" i="13"/>
  <c r="L25" i="13"/>
  <c r="L26" i="13"/>
  <c r="L27" i="13"/>
  <c r="L29" i="13"/>
  <c r="L32" i="13"/>
  <c r="L33" i="13"/>
  <c r="L35" i="13"/>
  <c r="L36" i="13"/>
  <c r="L37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60" i="13" l="1"/>
  <c r="K19" i="4"/>
  <c r="L19" i="4"/>
  <c r="O19" i="4"/>
  <c r="L52" i="9" l="1"/>
  <c r="L51" i="9"/>
  <c r="L49" i="9"/>
  <c r="L48" i="9"/>
  <c r="L47" i="9"/>
  <c r="L46" i="9"/>
  <c r="L45" i="9"/>
  <c r="L44" i="9"/>
  <c r="L43" i="9"/>
  <c r="L42" i="9"/>
  <c r="L41" i="9"/>
  <c r="L40" i="9"/>
  <c r="L39" i="9"/>
  <c r="L38" i="9"/>
  <c r="L36" i="9"/>
  <c r="L35" i="9"/>
  <c r="L34" i="9"/>
  <c r="L33" i="9"/>
  <c r="L31" i="9"/>
  <c r="L30" i="9"/>
  <c r="L28" i="9"/>
  <c r="L27" i="9"/>
  <c r="L25" i="9"/>
  <c r="L24" i="9"/>
  <c r="L23" i="9"/>
  <c r="L22" i="9"/>
  <c r="L21" i="9"/>
  <c r="L19" i="9"/>
  <c r="L18" i="9"/>
  <c r="L17" i="9"/>
  <c r="L13" i="9"/>
  <c r="L12" i="9"/>
  <c r="L10" i="9"/>
  <c r="L9" i="9"/>
  <c r="L52" i="4"/>
  <c r="L51" i="4"/>
  <c r="L49" i="4"/>
  <c r="L48" i="4"/>
  <c r="L47" i="4"/>
  <c r="L46" i="4"/>
  <c r="L45" i="4"/>
  <c r="L44" i="4"/>
  <c r="L43" i="4"/>
  <c r="L42" i="4"/>
  <c r="L41" i="4"/>
  <c r="L40" i="4"/>
  <c r="L39" i="4"/>
  <c r="L38" i="4"/>
  <c r="L36" i="4"/>
  <c r="L35" i="4"/>
  <c r="L34" i="4"/>
  <c r="L33" i="4"/>
  <c r="L31" i="4"/>
  <c r="L30" i="4"/>
  <c r="L28" i="4"/>
  <c r="L27" i="4"/>
  <c r="L25" i="4"/>
  <c r="L24" i="4"/>
  <c r="L23" i="4"/>
  <c r="L22" i="4"/>
  <c r="L21" i="4"/>
  <c r="L18" i="4"/>
  <c r="L17" i="4"/>
  <c r="L15" i="4"/>
  <c r="L13" i="4"/>
  <c r="L12" i="4"/>
  <c r="L10" i="4"/>
  <c r="L9" i="4"/>
  <c r="L52" i="3"/>
  <c r="L51" i="3"/>
  <c r="L39" i="3"/>
  <c r="L40" i="3"/>
  <c r="L41" i="3"/>
  <c r="L42" i="3"/>
  <c r="L43" i="3"/>
  <c r="L44" i="3"/>
  <c r="L45" i="3"/>
  <c r="L46" i="3"/>
  <c r="L47" i="3"/>
  <c r="L48" i="3"/>
  <c r="L49" i="3"/>
  <c r="L38" i="3"/>
  <c r="L34" i="3"/>
  <c r="L35" i="3"/>
  <c r="L36" i="3"/>
  <c r="L33" i="3"/>
  <c r="L31" i="3"/>
  <c r="L30" i="3"/>
  <c r="L28" i="3"/>
  <c r="L27" i="3"/>
  <c r="L22" i="3"/>
  <c r="L23" i="3"/>
  <c r="L24" i="3"/>
  <c r="L25" i="3"/>
  <c r="L21" i="3"/>
  <c r="L18" i="3"/>
  <c r="L19" i="3"/>
  <c r="L17" i="3"/>
  <c r="L15" i="3"/>
  <c r="L13" i="3"/>
  <c r="L12" i="3"/>
  <c r="L10" i="3"/>
  <c r="L9" i="3"/>
  <c r="O17" i="13"/>
  <c r="O14" i="13"/>
  <c r="K14" i="13"/>
  <c r="O12" i="13"/>
  <c r="K12" i="13"/>
  <c r="O54" i="13"/>
  <c r="K54" i="13"/>
  <c r="O53" i="13"/>
  <c r="K53" i="13"/>
  <c r="O51" i="13"/>
  <c r="K51" i="13"/>
  <c r="O50" i="13"/>
  <c r="K50" i="13"/>
  <c r="O49" i="13"/>
  <c r="K49" i="13"/>
  <c r="O48" i="13"/>
  <c r="K48" i="13"/>
  <c r="O47" i="13"/>
  <c r="K47" i="13"/>
  <c r="O46" i="13"/>
  <c r="K46" i="13"/>
  <c r="O45" i="13"/>
  <c r="K45" i="13"/>
  <c r="O44" i="13"/>
  <c r="K44" i="13"/>
  <c r="O43" i="13"/>
  <c r="K43" i="13"/>
  <c r="O42" i="13"/>
  <c r="K42" i="13"/>
  <c r="O41" i="13"/>
  <c r="K41" i="13"/>
  <c r="O40" i="13"/>
  <c r="K40" i="13"/>
  <c r="O38" i="13"/>
  <c r="K38" i="13"/>
  <c r="O37" i="13"/>
  <c r="K37" i="13"/>
  <c r="O36" i="13"/>
  <c r="K36" i="13"/>
  <c r="O35" i="13"/>
  <c r="K35" i="13"/>
  <c r="O33" i="13"/>
  <c r="K33" i="13"/>
  <c r="O32" i="13"/>
  <c r="K32" i="13"/>
  <c r="O30" i="13"/>
  <c r="K30" i="13"/>
  <c r="O29" i="13"/>
  <c r="K29" i="13"/>
  <c r="O27" i="13"/>
  <c r="K27" i="13"/>
  <c r="O26" i="13"/>
  <c r="K26" i="13"/>
  <c r="O25" i="13"/>
  <c r="K25" i="13"/>
  <c r="O24" i="13"/>
  <c r="K24" i="13"/>
  <c r="O23" i="13"/>
  <c r="K23" i="13"/>
  <c r="O21" i="13"/>
  <c r="K21" i="13"/>
  <c r="K20" i="13"/>
  <c r="O19" i="13"/>
  <c r="K19" i="13"/>
  <c r="K17" i="13"/>
  <c r="O15" i="13"/>
  <c r="K15" i="13"/>
  <c r="O13" i="13"/>
  <c r="K13" i="13"/>
  <c r="K10" i="13"/>
  <c r="O9" i="13"/>
  <c r="O13" i="12"/>
  <c r="O11" i="9"/>
  <c r="O10" i="9"/>
  <c r="O52" i="12"/>
  <c r="L52" i="12"/>
  <c r="O51" i="12"/>
  <c r="L51" i="12"/>
  <c r="O49" i="12"/>
  <c r="L49" i="12"/>
  <c r="O48" i="12"/>
  <c r="L48" i="12"/>
  <c r="O47" i="12"/>
  <c r="L47" i="12"/>
  <c r="O46" i="12"/>
  <c r="L46" i="12"/>
  <c r="O45" i="12"/>
  <c r="L45" i="12"/>
  <c r="O44" i="12"/>
  <c r="L44" i="12"/>
  <c r="O43" i="12"/>
  <c r="L43" i="12"/>
  <c r="O42" i="12"/>
  <c r="L42" i="12"/>
  <c r="O41" i="12"/>
  <c r="L41" i="12"/>
  <c r="O40" i="12"/>
  <c r="L40" i="12"/>
  <c r="O39" i="12"/>
  <c r="L39" i="12"/>
  <c r="O38" i="12"/>
  <c r="L38" i="12"/>
  <c r="O36" i="12"/>
  <c r="L36" i="12"/>
  <c r="O35" i="12"/>
  <c r="L35" i="12"/>
  <c r="O34" i="12"/>
  <c r="L34" i="12"/>
  <c r="O33" i="12"/>
  <c r="L33" i="12"/>
  <c r="O31" i="12"/>
  <c r="L31" i="12"/>
  <c r="O30" i="12"/>
  <c r="L30" i="12"/>
  <c r="O28" i="12"/>
  <c r="L28" i="12"/>
  <c r="O27" i="12"/>
  <c r="O25" i="12"/>
  <c r="L25" i="12"/>
  <c r="O24" i="12"/>
  <c r="L24" i="12"/>
  <c r="O23" i="12"/>
  <c r="L23" i="12"/>
  <c r="O22" i="12"/>
  <c r="L22" i="12"/>
  <c r="O21" i="12"/>
  <c r="L21" i="12"/>
  <c r="O19" i="12"/>
  <c r="L19" i="12"/>
  <c r="O18" i="12"/>
  <c r="L18" i="12"/>
  <c r="O17" i="12"/>
  <c r="L17" i="12"/>
  <c r="O15" i="12"/>
  <c r="L15" i="12"/>
  <c r="L13" i="12"/>
  <c r="O12" i="12"/>
  <c r="L12" i="12"/>
  <c r="O10" i="12"/>
  <c r="L10" i="12"/>
  <c r="O9" i="12"/>
  <c r="L9" i="12"/>
  <c r="O52" i="10"/>
  <c r="O51" i="10"/>
  <c r="L51" i="10"/>
  <c r="O49" i="10"/>
  <c r="L49" i="10"/>
  <c r="O48" i="10"/>
  <c r="L48" i="10"/>
  <c r="O47" i="10"/>
  <c r="L47" i="10"/>
  <c r="O46" i="10"/>
  <c r="L46" i="10"/>
  <c r="O45" i="10"/>
  <c r="L45" i="10"/>
  <c r="O44" i="10"/>
  <c r="L44" i="10"/>
  <c r="O43" i="10"/>
  <c r="L43" i="10"/>
  <c r="O42" i="10"/>
  <c r="L42" i="10"/>
  <c r="O41" i="10"/>
  <c r="L41" i="10"/>
  <c r="O40" i="10"/>
  <c r="L40" i="10"/>
  <c r="O39" i="10"/>
  <c r="L39" i="10"/>
  <c r="O38" i="10"/>
  <c r="L38" i="10"/>
  <c r="O36" i="10"/>
  <c r="L36" i="10"/>
  <c r="O35" i="10"/>
  <c r="L35" i="10"/>
  <c r="O34" i="10"/>
  <c r="L34" i="10"/>
  <c r="O33" i="10"/>
  <c r="L33" i="10"/>
  <c r="O31" i="10"/>
  <c r="L31" i="10"/>
  <c r="O30" i="10"/>
  <c r="L30" i="10"/>
  <c r="O28" i="10"/>
  <c r="L28" i="10"/>
  <c r="O27" i="10"/>
  <c r="L27" i="10"/>
  <c r="O25" i="10"/>
  <c r="L25" i="10"/>
  <c r="O24" i="10"/>
  <c r="L24" i="10"/>
  <c r="O23" i="10"/>
  <c r="L23" i="10"/>
  <c r="O22" i="10"/>
  <c r="L22" i="10"/>
  <c r="O21" i="10"/>
  <c r="L21" i="10"/>
  <c r="O19" i="10"/>
  <c r="L19" i="10"/>
  <c r="O18" i="10"/>
  <c r="L18" i="10"/>
  <c r="O17" i="10"/>
  <c r="L17" i="10"/>
  <c r="O15" i="10"/>
  <c r="L15" i="10"/>
  <c r="O13" i="10"/>
  <c r="L13" i="10"/>
  <c r="O12" i="10"/>
  <c r="L12" i="10"/>
  <c r="O10" i="10"/>
  <c r="L10" i="10"/>
  <c r="O9" i="10"/>
  <c r="L9" i="10"/>
  <c r="O18" i="4"/>
  <c r="L58" i="13" l="1"/>
  <c r="L58" i="3"/>
  <c r="L56" i="10"/>
  <c r="L58" i="4"/>
  <c r="L60" i="9"/>
  <c r="K9" i="13"/>
  <c r="L56" i="12"/>
  <c r="K11" i="9"/>
  <c r="O12" i="9"/>
  <c r="O21" i="9"/>
  <c r="O26" i="9"/>
  <c r="O32" i="9"/>
  <c r="O37" i="9"/>
  <c r="O44" i="9"/>
  <c r="O50" i="9"/>
  <c r="K10" i="9"/>
  <c r="O15" i="9"/>
  <c r="O19" i="9"/>
  <c r="O24" i="9"/>
  <c r="O29" i="9"/>
  <c r="O35" i="9"/>
  <c r="O40" i="9"/>
  <c r="O42" i="9"/>
  <c r="O46" i="9"/>
  <c r="O48" i="9"/>
  <c r="O53" i="9"/>
  <c r="O9" i="9"/>
  <c r="O14" i="9"/>
  <c r="O17" i="9"/>
  <c r="O20" i="9"/>
  <c r="O23" i="9"/>
  <c r="O25" i="9"/>
  <c r="O27" i="9"/>
  <c r="O30" i="9"/>
  <c r="O33" i="9"/>
  <c r="O36" i="9"/>
  <c r="O38" i="9"/>
  <c r="O41" i="9"/>
  <c r="O43" i="9"/>
  <c r="O45" i="9"/>
  <c r="O47" i="9"/>
  <c r="O49" i="9"/>
  <c r="O51" i="9"/>
  <c r="O54" i="9"/>
  <c r="L58" i="12"/>
  <c r="K9" i="12"/>
  <c r="K10" i="12"/>
  <c r="K12" i="12"/>
  <c r="K13" i="12"/>
  <c r="K15" i="12"/>
  <c r="K17" i="12"/>
  <c r="K18" i="12"/>
  <c r="K19" i="12"/>
  <c r="K21" i="12"/>
  <c r="K22" i="12"/>
  <c r="K23" i="12"/>
  <c r="K24" i="12"/>
  <c r="K25" i="12"/>
  <c r="K27" i="12"/>
  <c r="K28" i="12"/>
  <c r="K30" i="12"/>
  <c r="K31" i="12"/>
  <c r="K33" i="12"/>
  <c r="K34" i="12"/>
  <c r="K35" i="12"/>
  <c r="K36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1" i="12"/>
  <c r="K52" i="12"/>
  <c r="L58" i="10"/>
  <c r="L60" i="10" s="1"/>
  <c r="K9" i="10"/>
  <c r="K10" i="10"/>
  <c r="K12" i="10"/>
  <c r="K13" i="10"/>
  <c r="K15" i="10"/>
  <c r="K17" i="10"/>
  <c r="K18" i="10"/>
  <c r="K19" i="10"/>
  <c r="K21" i="10"/>
  <c r="K22" i="10"/>
  <c r="K23" i="10"/>
  <c r="K24" i="10"/>
  <c r="K25" i="10"/>
  <c r="K27" i="10"/>
  <c r="K28" i="10"/>
  <c r="K30" i="10"/>
  <c r="K31" i="10"/>
  <c r="K33" i="10"/>
  <c r="K34" i="10"/>
  <c r="K35" i="10"/>
  <c r="K36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1" i="10"/>
  <c r="K52" i="10"/>
  <c r="K9" i="9"/>
  <c r="K12" i="9"/>
  <c r="K14" i="9"/>
  <c r="K15" i="9"/>
  <c r="K17" i="9"/>
  <c r="K19" i="9"/>
  <c r="K20" i="9"/>
  <c r="K21" i="9"/>
  <c r="K23" i="9"/>
  <c r="K24" i="9"/>
  <c r="K25" i="9"/>
  <c r="K26" i="9"/>
  <c r="K27" i="9"/>
  <c r="K29" i="9"/>
  <c r="K30" i="9"/>
  <c r="K32" i="9"/>
  <c r="K33" i="9"/>
  <c r="K35" i="9"/>
  <c r="K36" i="9"/>
  <c r="K37" i="9"/>
  <c r="K38" i="9"/>
  <c r="K40" i="9"/>
  <c r="K41" i="9"/>
  <c r="K42" i="9"/>
  <c r="K43" i="9"/>
  <c r="K44" i="9"/>
  <c r="K45" i="9"/>
  <c r="K46" i="9"/>
  <c r="K47" i="9"/>
  <c r="K48" i="9"/>
  <c r="K49" i="9"/>
  <c r="K50" i="9"/>
  <c r="K51" i="9"/>
  <c r="K53" i="9"/>
  <c r="K54" i="9"/>
  <c r="K18" i="4"/>
  <c r="O18" i="3"/>
  <c r="K18" i="3"/>
  <c r="L58" i="9" l="1"/>
  <c r="L60" i="12"/>
  <c r="L62" i="13"/>
  <c r="O51" i="4" l="1"/>
  <c r="O48" i="4"/>
  <c r="O46" i="4"/>
  <c r="O44" i="4"/>
  <c r="O42" i="4"/>
  <c r="O40" i="4"/>
  <c r="O39" i="4"/>
  <c r="O34" i="4"/>
  <c r="O28" i="4"/>
  <c r="O23" i="4"/>
  <c r="O17" i="4"/>
  <c r="O13" i="4"/>
  <c r="O12" i="4"/>
  <c r="O10" i="4"/>
  <c r="O51" i="3"/>
  <c r="O42" i="3"/>
  <c r="O39" i="3"/>
  <c r="O17" i="3"/>
  <c r="K13" i="3"/>
  <c r="O25" i="4" l="1"/>
  <c r="O21" i="4"/>
  <c r="O36" i="4"/>
  <c r="O31" i="4"/>
  <c r="O36" i="3"/>
  <c r="O21" i="3"/>
  <c r="O46" i="3"/>
  <c r="O23" i="3"/>
  <c r="O34" i="3"/>
  <c r="O40" i="3"/>
  <c r="O48" i="3"/>
  <c r="O10" i="3"/>
  <c r="O28" i="3"/>
  <c r="O44" i="3"/>
  <c r="O27" i="4"/>
  <c r="O22" i="4"/>
  <c r="O33" i="4"/>
  <c r="O24" i="4"/>
  <c r="O30" i="4"/>
  <c r="O35" i="4"/>
  <c r="O52" i="4"/>
  <c r="O38" i="4"/>
  <c r="O41" i="4"/>
  <c r="O43" i="4"/>
  <c r="O45" i="4"/>
  <c r="O47" i="4"/>
  <c r="O49" i="4"/>
  <c r="O15" i="4"/>
  <c r="O9" i="4"/>
  <c r="K12" i="4"/>
  <c r="K22" i="4"/>
  <c r="K10" i="4"/>
  <c r="K13" i="4"/>
  <c r="K17" i="4"/>
  <c r="K21" i="4"/>
  <c r="K23" i="4"/>
  <c r="K25" i="4"/>
  <c r="K28" i="4"/>
  <c r="K31" i="4"/>
  <c r="K34" i="4"/>
  <c r="K36" i="4"/>
  <c r="K39" i="4"/>
  <c r="K40" i="4"/>
  <c r="K42" i="4"/>
  <c r="K44" i="4"/>
  <c r="K46" i="4"/>
  <c r="K48" i="4"/>
  <c r="K51" i="4"/>
  <c r="K9" i="4"/>
  <c r="K15" i="4"/>
  <c r="K24" i="4"/>
  <c r="K27" i="4"/>
  <c r="K30" i="4"/>
  <c r="K33" i="4"/>
  <c r="K35" i="4"/>
  <c r="K38" i="4"/>
  <c r="K41" i="4"/>
  <c r="K43" i="4"/>
  <c r="K45" i="4"/>
  <c r="K47" i="4"/>
  <c r="K49" i="4"/>
  <c r="K52" i="4"/>
  <c r="O13" i="3"/>
  <c r="K30" i="3"/>
  <c r="O24" i="3"/>
  <c r="O19" i="3"/>
  <c r="O27" i="3"/>
  <c r="O30" i="3"/>
  <c r="O12" i="3"/>
  <c r="O22" i="3"/>
  <c r="K24" i="3"/>
  <c r="O33" i="3"/>
  <c r="O35" i="3"/>
  <c r="O38" i="3"/>
  <c r="O41" i="3"/>
  <c r="O43" i="3"/>
  <c r="O45" i="3"/>
  <c r="O47" i="3"/>
  <c r="O49" i="3"/>
  <c r="O52" i="3"/>
  <c r="K10" i="3"/>
  <c r="K17" i="3"/>
  <c r="K22" i="3"/>
  <c r="K27" i="3"/>
  <c r="K33" i="3"/>
  <c r="O9" i="3"/>
  <c r="O15" i="3"/>
  <c r="K21" i="3"/>
  <c r="O25" i="3"/>
  <c r="O31" i="3"/>
  <c r="K35" i="3"/>
  <c r="K38" i="3"/>
  <c r="K41" i="3"/>
  <c r="K43" i="3"/>
  <c r="K45" i="3"/>
  <c r="K47" i="3"/>
  <c r="K49" i="3"/>
  <c r="K52" i="3"/>
  <c r="K9" i="3"/>
  <c r="K12" i="3"/>
  <c r="K15" i="3"/>
  <c r="K19" i="3"/>
  <c r="K23" i="3"/>
  <c r="K25" i="3"/>
  <c r="K28" i="3"/>
  <c r="K31" i="3"/>
  <c r="K34" i="3"/>
  <c r="K36" i="3"/>
  <c r="K39" i="3"/>
  <c r="K40" i="3"/>
  <c r="K42" i="3"/>
  <c r="K44" i="3"/>
  <c r="K46" i="3"/>
  <c r="K48" i="3"/>
  <c r="K51" i="3"/>
  <c r="L56" i="4" l="1"/>
  <c r="L56" i="3"/>
  <c r="L60" i="3" s="1"/>
  <c r="L60" i="4" l="1"/>
  <c r="L62" i="9"/>
</calcChain>
</file>

<file path=xl/sharedStrings.xml><?xml version="1.0" encoding="utf-8"?>
<sst xmlns="http://schemas.openxmlformats.org/spreadsheetml/2006/main" count="1567" uniqueCount="131">
  <si>
    <t>A</t>
  </si>
  <si>
    <t>Servizio di climatizzazione invernale</t>
  </si>
  <si>
    <t>Riscaldamento invernale</t>
  </si>
  <si>
    <t>Condizionamento invernale</t>
  </si>
  <si>
    <t>B</t>
  </si>
  <si>
    <t>Servizio di climatizzazione estiva</t>
  </si>
  <si>
    <t>Condizionamento estivo senza presenza di impianti di ricambio dell’aria</t>
  </si>
  <si>
    <t>Condizionamento estivo con impianti di ricambio dell’aria</t>
  </si>
  <si>
    <t>C</t>
  </si>
  <si>
    <t>Altri servizi termici</t>
  </si>
  <si>
    <t>Impianto di acqua calda sanitaria e da altre utenze termiche</t>
  </si>
  <si>
    <t>D</t>
  </si>
  <si>
    <t>Servizio di gestione degli impianti idrico sanitari e reti fognarie</t>
  </si>
  <si>
    <t>Impianti di smaltimento delle acque meteoriche</t>
  </si>
  <si>
    <t>E</t>
  </si>
  <si>
    <t>Servizio energia impianti elettrici</t>
  </si>
  <si>
    <t>Impianti di illuminazione esterna</t>
  </si>
  <si>
    <t>F</t>
  </si>
  <si>
    <t>Servizio di gestione degli impianti speciali di sicurezza e di comunicazione</t>
  </si>
  <si>
    <t>Impianti speciali di sicurezza e di comunicazione</t>
  </si>
  <si>
    <t>Impianti televisivi a circuito chiuso</t>
  </si>
  <si>
    <t>€/cad.</t>
  </si>
  <si>
    <t>G</t>
  </si>
  <si>
    <t>Servizio di gestione di impianti e sistemi antincendio</t>
  </si>
  <si>
    <t>Impianti di spegnimento automatico</t>
  </si>
  <si>
    <t>H</t>
  </si>
  <si>
    <t>Servizio di gestione di impianti elevatori e di trasporto verticale e orizzontale</t>
  </si>
  <si>
    <t>Impianti elevatori (fino a 5 fermate)</t>
  </si>
  <si>
    <t>Impianti elevatori (oltre 5 fermate)</t>
  </si>
  <si>
    <t>Servoscala e montascale</t>
  </si>
  <si>
    <t>Scale mobili e maciapiedi mobili</t>
  </si>
  <si>
    <t>J</t>
  </si>
  <si>
    <t>Servizio di gestione di altri impianti tecnologici</t>
  </si>
  <si>
    <t>Porte automatiche, sbarre e cancelli automatizzati</t>
  </si>
  <si>
    <t>Sistemi di prevenzione della legionellosi</t>
  </si>
  <si>
    <t>Impianti di irrigazione</t>
  </si>
  <si>
    <t>Pozzi di prelievo acqua di falda</t>
  </si>
  <si>
    <t>Elisuperfici</t>
  </si>
  <si>
    <t>Impianti SOV (Sorveglianza Ostacoli al Volo)</t>
  </si>
  <si>
    <t>Vasche terapeutiche</t>
  </si>
  <si>
    <t>Frigoriferi, frigocongelatori, frigoemoteche, celle frigorifere</t>
  </si>
  <si>
    <t>Cappe chimiche, biologiche e a flusso laminare</t>
  </si>
  <si>
    <t>Impianti di posta pneumatica</t>
  </si>
  <si>
    <t>Lavapadelle</t>
  </si>
  <si>
    <t>Elettrodomestici vari</t>
  </si>
  <si>
    <t>Elemento di prezzo</t>
  </si>
  <si>
    <r>
      <t>P</t>
    </r>
    <r>
      <rPr>
        <b/>
        <vertAlign val="subscript"/>
        <sz val="12"/>
        <color rgb="FF000000"/>
        <rFont val="Arial"/>
        <family val="2"/>
      </rPr>
      <t>x</t>
    </r>
  </si>
  <si>
    <r>
      <t>P</t>
    </r>
    <r>
      <rPr>
        <vertAlign val="subscript"/>
        <sz val="12"/>
        <color rgb="FF000000"/>
        <rFont val="Arial"/>
        <family val="2"/>
      </rPr>
      <t>A1</t>
    </r>
  </si>
  <si>
    <r>
      <t>P</t>
    </r>
    <r>
      <rPr>
        <vertAlign val="subscript"/>
        <sz val="12"/>
        <color rgb="FF000000"/>
        <rFont val="Arial"/>
        <family val="2"/>
      </rPr>
      <t>A2</t>
    </r>
  </si>
  <si>
    <r>
      <t>P</t>
    </r>
    <r>
      <rPr>
        <vertAlign val="subscript"/>
        <sz val="12"/>
        <color rgb="FF000000"/>
        <rFont val="Arial"/>
        <family val="2"/>
      </rPr>
      <t>B1</t>
    </r>
  </si>
  <si>
    <r>
      <t>P</t>
    </r>
    <r>
      <rPr>
        <vertAlign val="subscript"/>
        <sz val="12"/>
        <color rgb="FF000000"/>
        <rFont val="Arial"/>
        <family val="2"/>
      </rPr>
      <t>B2</t>
    </r>
  </si>
  <si>
    <r>
      <t>P</t>
    </r>
    <r>
      <rPr>
        <vertAlign val="subscript"/>
        <sz val="12"/>
        <color rgb="FF000000"/>
        <rFont val="Arial"/>
        <family val="2"/>
      </rPr>
      <t>C1</t>
    </r>
  </si>
  <si>
    <r>
      <t>P</t>
    </r>
    <r>
      <rPr>
        <vertAlign val="subscript"/>
        <sz val="12"/>
        <color rgb="FF000000"/>
        <rFont val="Arial"/>
        <family val="2"/>
      </rPr>
      <t>D1</t>
    </r>
  </si>
  <si>
    <r>
      <t>P</t>
    </r>
    <r>
      <rPr>
        <vertAlign val="subscript"/>
        <sz val="12"/>
        <color rgb="FF000000"/>
        <rFont val="Arial"/>
        <family val="2"/>
      </rPr>
      <t>E1</t>
    </r>
  </si>
  <si>
    <r>
      <t>P</t>
    </r>
    <r>
      <rPr>
        <vertAlign val="subscript"/>
        <sz val="12"/>
        <color rgb="FF000000"/>
        <rFont val="Arial"/>
        <family val="2"/>
      </rPr>
      <t>E2</t>
    </r>
  </si>
  <si>
    <r>
      <t>P</t>
    </r>
    <r>
      <rPr>
        <vertAlign val="subscript"/>
        <sz val="12"/>
        <color rgb="FF000000"/>
        <rFont val="Arial"/>
        <family val="2"/>
      </rPr>
      <t>F1</t>
    </r>
  </si>
  <si>
    <r>
      <t>P</t>
    </r>
    <r>
      <rPr>
        <vertAlign val="subscript"/>
        <sz val="12"/>
        <color rgb="FF000000"/>
        <rFont val="Arial"/>
        <family val="2"/>
      </rPr>
      <t>F2</t>
    </r>
  </si>
  <si>
    <r>
      <t>P</t>
    </r>
    <r>
      <rPr>
        <vertAlign val="subscript"/>
        <sz val="12"/>
        <color rgb="FF000000"/>
        <rFont val="Arial"/>
        <family val="2"/>
      </rPr>
      <t>G1</t>
    </r>
  </si>
  <si>
    <r>
      <t>P</t>
    </r>
    <r>
      <rPr>
        <vertAlign val="subscript"/>
        <sz val="12"/>
        <color rgb="FF000000"/>
        <rFont val="Arial"/>
        <family val="2"/>
      </rPr>
      <t>G2</t>
    </r>
  </si>
  <si>
    <r>
      <t>P</t>
    </r>
    <r>
      <rPr>
        <vertAlign val="subscript"/>
        <sz val="12"/>
        <color rgb="FF000000"/>
        <rFont val="Arial"/>
        <family val="2"/>
      </rPr>
      <t>H1</t>
    </r>
  </si>
  <si>
    <r>
      <t>P</t>
    </r>
    <r>
      <rPr>
        <vertAlign val="subscript"/>
        <sz val="12"/>
        <color rgb="FF000000"/>
        <rFont val="Arial"/>
        <family val="2"/>
      </rPr>
      <t>H2</t>
    </r>
  </si>
  <si>
    <r>
      <t>P</t>
    </r>
    <r>
      <rPr>
        <vertAlign val="subscript"/>
        <sz val="12"/>
        <color rgb="FF000000"/>
        <rFont val="Arial"/>
        <family val="2"/>
      </rPr>
      <t>H3</t>
    </r>
  </si>
  <si>
    <r>
      <t>P</t>
    </r>
    <r>
      <rPr>
        <vertAlign val="subscript"/>
        <sz val="12"/>
        <color rgb="FF000000"/>
        <rFont val="Arial"/>
        <family val="2"/>
      </rPr>
      <t>H4</t>
    </r>
  </si>
  <si>
    <r>
      <t>P</t>
    </r>
    <r>
      <rPr>
        <vertAlign val="subscript"/>
        <sz val="12"/>
        <color rgb="FF000000"/>
        <rFont val="Arial"/>
        <family val="2"/>
      </rPr>
      <t>J1</t>
    </r>
  </si>
  <si>
    <r>
      <t>P</t>
    </r>
    <r>
      <rPr>
        <vertAlign val="subscript"/>
        <sz val="12"/>
        <color rgb="FF000000"/>
        <rFont val="Arial"/>
        <family val="2"/>
      </rPr>
      <t>J2</t>
    </r>
  </si>
  <si>
    <r>
      <t>P</t>
    </r>
    <r>
      <rPr>
        <vertAlign val="subscript"/>
        <sz val="12"/>
        <color rgb="FF000000"/>
        <rFont val="Arial"/>
        <family val="2"/>
      </rPr>
      <t>J4</t>
    </r>
  </si>
  <si>
    <r>
      <t>P</t>
    </r>
    <r>
      <rPr>
        <vertAlign val="subscript"/>
        <sz val="12"/>
        <color rgb="FF000000"/>
        <rFont val="Arial"/>
        <family val="2"/>
      </rPr>
      <t>J5</t>
    </r>
  </si>
  <si>
    <r>
      <t>P</t>
    </r>
    <r>
      <rPr>
        <vertAlign val="subscript"/>
        <sz val="12"/>
        <color rgb="FF000000"/>
        <rFont val="Arial"/>
        <family val="2"/>
      </rPr>
      <t>J6</t>
    </r>
  </si>
  <si>
    <r>
      <t>P</t>
    </r>
    <r>
      <rPr>
        <vertAlign val="subscript"/>
        <sz val="12"/>
        <color rgb="FF000000"/>
        <rFont val="Arial"/>
        <family val="2"/>
      </rPr>
      <t>J7</t>
    </r>
  </si>
  <si>
    <r>
      <t>P</t>
    </r>
    <r>
      <rPr>
        <vertAlign val="subscript"/>
        <sz val="12"/>
        <color rgb="FF000000"/>
        <rFont val="Arial"/>
        <family val="2"/>
      </rPr>
      <t>J8</t>
    </r>
  </si>
  <si>
    <r>
      <t>P</t>
    </r>
    <r>
      <rPr>
        <vertAlign val="subscript"/>
        <sz val="12"/>
        <color rgb="FF000000"/>
        <rFont val="Arial"/>
        <family val="2"/>
      </rPr>
      <t>J9</t>
    </r>
  </si>
  <si>
    <r>
      <t>P</t>
    </r>
    <r>
      <rPr>
        <vertAlign val="subscript"/>
        <sz val="12"/>
        <color rgb="FF000000"/>
        <rFont val="Arial"/>
        <family val="2"/>
      </rPr>
      <t>J10</t>
    </r>
  </si>
  <si>
    <r>
      <t>P</t>
    </r>
    <r>
      <rPr>
        <vertAlign val="subscript"/>
        <sz val="12"/>
        <color rgb="FF000000"/>
        <rFont val="Arial"/>
        <family val="2"/>
      </rPr>
      <t>J11</t>
    </r>
  </si>
  <si>
    <r>
      <t>P</t>
    </r>
    <r>
      <rPr>
        <vertAlign val="subscript"/>
        <sz val="12"/>
        <color rgb="FF000000"/>
        <rFont val="Arial"/>
        <family val="2"/>
      </rPr>
      <t>J12</t>
    </r>
  </si>
  <si>
    <r>
      <t>P</t>
    </r>
    <r>
      <rPr>
        <vertAlign val="subscript"/>
        <sz val="12"/>
        <color rgb="FF000000"/>
        <rFont val="Arial"/>
        <family val="2"/>
      </rPr>
      <t>J13</t>
    </r>
  </si>
  <si>
    <t>Q.tà</t>
  </si>
  <si>
    <t>Totale</t>
  </si>
  <si>
    <t>GG</t>
  </si>
  <si>
    <t>Impianti e  sistemi di protezione antincendio</t>
  </si>
  <si>
    <t>Impianti idrico-sanitari e di trattamento dell’acqua e impianti di trattamento e smaltimento reflui e reti fognari</t>
  </si>
  <si>
    <t>Servizio di presidio giornaliero specializzato</t>
  </si>
  <si>
    <t>n°</t>
  </si>
  <si>
    <t>€</t>
  </si>
  <si>
    <t>cad.</t>
  </si>
  <si>
    <t>gg</t>
  </si>
  <si>
    <r>
      <t>€/(m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∙GG)</t>
    </r>
  </si>
  <si>
    <r>
      <t>€/(m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∙gg)</t>
    </r>
  </si>
  <si>
    <r>
      <t>€/m</t>
    </r>
    <r>
      <rPr>
        <vertAlign val="superscript"/>
        <sz val="11"/>
        <color rgb="FF000000"/>
        <rFont val="Arial"/>
        <family val="2"/>
      </rPr>
      <t>2</t>
    </r>
  </si>
  <si>
    <r>
      <t>m</t>
    </r>
    <r>
      <rPr>
        <vertAlign val="superscript"/>
        <sz val="11"/>
        <color rgb="FF000000"/>
        <rFont val="Arial"/>
        <family val="2"/>
      </rPr>
      <t>3</t>
    </r>
  </si>
  <si>
    <r>
      <t>m</t>
    </r>
    <r>
      <rPr>
        <vertAlign val="superscript"/>
        <sz val="11"/>
        <color rgb="FF000000"/>
        <rFont val="Arial"/>
        <family val="2"/>
      </rPr>
      <t>2</t>
    </r>
  </si>
  <si>
    <t>Prezzi dei servizi e canone annuo convenzionale</t>
  </si>
  <si>
    <t>%</t>
  </si>
  <si>
    <t>Prezzo unitario a base d'asta</t>
  </si>
  <si>
    <t>Nota: tutti i prezzi si intendono IVA esclusa</t>
  </si>
  <si>
    <t>Prezzo unitario offerto</t>
  </si>
  <si>
    <t>Totale base d'asta</t>
  </si>
  <si>
    <t>L</t>
  </si>
  <si>
    <r>
      <t>P</t>
    </r>
    <r>
      <rPr>
        <vertAlign val="subscript"/>
        <sz val="12"/>
        <color rgb="FF000000"/>
        <rFont val="Arial"/>
        <family val="2"/>
      </rPr>
      <t>L1</t>
    </r>
  </si>
  <si>
    <r>
      <t>P</t>
    </r>
    <r>
      <rPr>
        <vertAlign val="subscript"/>
        <sz val="12"/>
        <color rgb="FF000000"/>
        <rFont val="Arial"/>
        <family val="2"/>
      </rPr>
      <t>L2</t>
    </r>
  </si>
  <si>
    <t>Personale aggiuntivo e squadra antincendio</t>
  </si>
  <si>
    <r>
      <t>P</t>
    </r>
    <r>
      <rPr>
        <vertAlign val="subscript"/>
        <sz val="12"/>
        <color rgb="FF000000"/>
        <rFont val="Arial"/>
        <family val="2"/>
      </rPr>
      <t>E3</t>
    </r>
  </si>
  <si>
    <r>
      <t>P</t>
    </r>
    <r>
      <rPr>
        <vertAlign val="subscript"/>
        <sz val="12"/>
        <color rgb="FF000000"/>
        <rFont val="Arial"/>
        <family val="2"/>
      </rPr>
      <t>E4</t>
    </r>
  </si>
  <si>
    <t>Apparecchiature per la rigenerazione dei pasti in sistemi cook and chill</t>
  </si>
  <si>
    <t>Apparecchiature diagnostiche e per terapia fisse</t>
  </si>
  <si>
    <r>
      <t>P</t>
    </r>
    <r>
      <rPr>
        <vertAlign val="subscript"/>
        <sz val="12"/>
        <color rgb="FF000000"/>
        <rFont val="Arial"/>
        <family val="2"/>
      </rPr>
      <t>E5</t>
    </r>
  </si>
  <si>
    <r>
      <t>P</t>
    </r>
    <r>
      <rPr>
        <vertAlign val="subscript"/>
        <sz val="12"/>
        <color rgb="FF000000"/>
        <rFont val="Arial"/>
        <family val="2"/>
      </rPr>
      <t>D2</t>
    </r>
  </si>
  <si>
    <t>Squadra di pronto intervento antincendio</t>
  </si>
  <si>
    <t>Impianto elettrico nelle strutture ad alta intensità di cura</t>
  </si>
  <si>
    <t>Impianto elettrico nelle strutture a media e bassa intensità di cura e in altre strutture</t>
  </si>
  <si>
    <t>Punteggio massimo</t>
  </si>
  <si>
    <t>Modello offerta economica Lotto 2</t>
  </si>
  <si>
    <t>Modello offerta economica Lotto 3</t>
  </si>
  <si>
    <t>TOTALE CANONE ANNUO CONVENZIONALE A BASE D'ASTA</t>
  </si>
  <si>
    <t>TOTALE CANONE ANNUO CONVENZIONALE  DI OFFERTA</t>
  </si>
  <si>
    <r>
      <t>RIBASSO (R</t>
    </r>
    <r>
      <rPr>
        <b/>
        <vertAlign val="sub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)</t>
    </r>
  </si>
  <si>
    <r>
      <t>RIBASSO (R</t>
    </r>
    <r>
      <rPr>
        <b/>
        <vertAlign val="subscript"/>
        <sz val="14"/>
        <color theme="1"/>
        <rFont val="Arial"/>
        <family val="2"/>
      </rPr>
      <t>P</t>
    </r>
    <r>
      <rPr>
        <b/>
        <sz val="14"/>
        <color theme="1"/>
        <rFont val="Arial"/>
        <family val="2"/>
      </rPr>
      <t>)</t>
    </r>
  </si>
  <si>
    <t>Modello offerta economica</t>
  </si>
  <si>
    <r>
      <t>P</t>
    </r>
    <r>
      <rPr>
        <vertAlign val="subscript"/>
        <sz val="12"/>
        <color rgb="FF000000"/>
        <rFont val="Arial"/>
        <family val="2"/>
      </rPr>
      <t>D3</t>
    </r>
  </si>
  <si>
    <t>Ribasso sui prezzi dei Listini di riferimento per gli interventi di manutenzione e adeguamento normativo maggiore o uguale al 10%</t>
  </si>
  <si>
    <t>24 punti</t>
  </si>
  <si>
    <t>6 punti</t>
  </si>
  <si>
    <t>Punti  di erogazione acqua potabile calda e fredda CON filtro 0,2 micron (antilegionella)</t>
  </si>
  <si>
    <t>Punti di erogazione acqua potabile calda e fredda CON filtro 0,2 micron (antilegionella)</t>
  </si>
  <si>
    <t>Modello offerta economica Lotto 6</t>
  </si>
  <si>
    <t>Modello offerta economica Lotto 5</t>
  </si>
  <si>
    <t>Modello offerta economica Lotto 4</t>
  </si>
  <si>
    <t>Modello offerta economica Lotto 1</t>
  </si>
  <si>
    <t>PROCEDURA APERTA TELEMATICA PER LA GESTIONE VETTORI ENERGETICI (G.V.E.)</t>
  </si>
  <si>
    <t>Allegato 8</t>
  </si>
  <si>
    <t>€/Cad.</t>
  </si>
  <si>
    <t>€/Cad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</si>
</sst>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&quot;€&quot;\ * #,##0.00_-;\-&quot;€&quot;\ * #,##0.00_-;_-&quot;€&quot;\ * &quot;-&quot;??_-;_-@_-"/>
    <numFmt numFmtId="166" formatCode="&quot;€&quot;\ #,##0.00"/>
    <numFmt numFmtId="167" formatCode="#,##0.00000"/>
    <numFmt numFmtId="168" formatCode="0.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vertAlign val="subscript"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rgb="FF000000"/>
      <name val="Arial"/>
      <family val="2"/>
    </font>
    <font>
      <b/>
      <sz val="14"/>
      <name val="Arial Narrow"/>
      <family val="2"/>
    </font>
    <font>
      <sz val="11"/>
      <color indexed="8"/>
      <name val="Calibri"/>
      <family val="2"/>
      <charset val="1"/>
    </font>
    <font>
      <sz val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ADC5E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0" fontId="24" fillId="0" borderId="0"/>
    <xf numFmtId="0" fontId="26" fillId="9" borderId="0" applyNumberFormat="0" applyBorder="0" applyAlignment="0" applyProtection="0"/>
  </cellStyleXfs>
  <cellXfs count="164">
    <xf numFmtId="0" fontId="0" fillId="0" borderId="0" xfId="0"/>
    <xf numFmtId="164" fontId="5" fillId="3" borderId="7" xfId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3" fontId="5" fillId="0" borderId="7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165" fontId="4" fillId="0" borderId="0" xfId="3" applyFont="1" applyAlignment="1" applyProtection="1">
      <alignment vertical="center"/>
    </xf>
    <xf numFmtId="165" fontId="4" fillId="0" borderId="0" xfId="3" applyFont="1" applyBorder="1" applyAlignment="1" applyProtection="1">
      <alignment vertical="center"/>
    </xf>
    <xf numFmtId="167" fontId="5" fillId="0" borderId="3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164" fontId="4" fillId="0" borderId="0" xfId="1" applyFont="1" applyAlignment="1" applyProtection="1">
      <alignment horizontal="center" vertical="center"/>
      <protection locked="0"/>
    </xf>
    <xf numFmtId="168" fontId="5" fillId="0" borderId="7" xfId="0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/>
      <protection locked="0"/>
    </xf>
    <xf numFmtId="164" fontId="14" fillId="0" borderId="0" xfId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13" fillId="0" borderId="0" xfId="0" applyNumberFormat="1" applyFont="1" applyAlignment="1" applyProtection="1">
      <alignment horizontal="center" vertical="center"/>
      <protection locked="0"/>
    </xf>
    <xf numFmtId="164" fontId="13" fillId="0" borderId="0" xfId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11" fillId="0" borderId="0" xfId="0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164" fontId="2" fillId="0" borderId="9" xfId="1" applyFont="1" applyBorder="1" applyAlignment="1" applyProtection="1">
      <alignment horizontal="center" vertical="center" wrapText="1"/>
      <protection locked="0"/>
    </xf>
    <xf numFmtId="3" fontId="8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3" fontId="2" fillId="0" borderId="4" xfId="0" applyNumberFormat="1" applyFont="1" applyBorder="1" applyAlignment="1" applyProtection="1">
      <alignment horizontal="center" vertical="center" wrapText="1"/>
      <protection locked="0"/>
    </xf>
    <xf numFmtId="3" fontId="8" fillId="0" borderId="4" xfId="0" applyNumberFormat="1" applyFont="1" applyBorder="1" applyAlignment="1" applyProtection="1">
      <alignment horizontal="center" vertical="center" wrapText="1"/>
      <protection locked="0"/>
    </xf>
    <xf numFmtId="164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4" fontId="2" fillId="0" borderId="6" xfId="0" applyNumberFormat="1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horizontal="center" vertical="center" wrapText="1"/>
      <protection locked="0"/>
    </xf>
    <xf numFmtId="3" fontId="8" fillId="0" borderId="6" xfId="0" applyNumberFormat="1" applyFont="1" applyBorder="1" applyAlignment="1" applyProtection="1">
      <alignment horizontal="center" vertical="center" wrapText="1"/>
      <protection locked="0"/>
    </xf>
    <xf numFmtId="164" fontId="2" fillId="0" borderId="6" xfId="1" applyFont="1" applyBorder="1" applyAlignment="1" applyProtection="1">
      <alignment horizontal="center" vertical="center" wrapText="1"/>
      <protection locked="0"/>
    </xf>
    <xf numFmtId="165" fontId="4" fillId="0" borderId="0" xfId="3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167" fontId="5" fillId="6" borderId="3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7" xfId="0" applyNumberFormat="1" applyFont="1" applyBorder="1" applyAlignment="1" applyProtection="1">
      <alignment horizontal="center" vertical="center" wrapText="1"/>
      <protection locked="0"/>
    </xf>
    <xf numFmtId="3" fontId="9" fillId="0" borderId="8" xfId="0" applyNumberFormat="1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Alignment="1" applyProtection="1">
      <alignment horizontal="center" vertical="center" wrapText="1"/>
      <protection locked="0"/>
    </xf>
    <xf numFmtId="164" fontId="5" fillId="0" borderId="7" xfId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3" fontId="2" fillId="0" borderId="5" xfId="0" applyNumberFormat="1" applyFont="1" applyBorder="1" applyAlignment="1" applyProtection="1">
      <alignment horizontal="center" vertical="center" wrapText="1"/>
      <protection locked="0"/>
    </xf>
    <xf numFmtId="3" fontId="8" fillId="0" borderId="5" xfId="0" applyNumberFormat="1" applyFont="1" applyBorder="1" applyAlignment="1" applyProtection="1">
      <alignment horizontal="center" vertical="center" wrapText="1"/>
      <protection locked="0"/>
    </xf>
    <xf numFmtId="164" fontId="2" fillId="0" borderId="5" xfId="1" applyFont="1" applyBorder="1" applyAlignment="1" applyProtection="1">
      <alignment horizontal="center" vertical="center" wrapText="1"/>
      <protection locked="0"/>
    </xf>
    <xf numFmtId="167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3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8" xfId="0" applyNumberFormat="1" applyFont="1" applyFill="1" applyBorder="1" applyAlignment="1" applyProtection="1">
      <alignment horizontal="center" vertical="center" wrapText="1"/>
      <protection locked="0"/>
    </xf>
    <xf numFmtId="168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3" fontId="5" fillId="0" borderId="0" xfId="0" applyNumberFormat="1" applyFont="1" applyAlignment="1" applyProtection="1">
      <alignment horizontal="center" vertical="center" wrapText="1"/>
      <protection locked="0"/>
    </xf>
    <xf numFmtId="164" fontId="5" fillId="0" borderId="0" xfId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9" fontId="5" fillId="0" borderId="0" xfId="2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6" fontId="4" fillId="0" borderId="0" xfId="0" applyNumberFormat="1" applyFont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 vertical="center"/>
      <protection locked="0"/>
    </xf>
    <xf numFmtId="165" fontId="4" fillId="0" borderId="0" xfId="3" applyFont="1" applyAlignment="1" applyProtection="1">
      <alignment vertical="center"/>
      <protection locked="0"/>
    </xf>
    <xf numFmtId="165" fontId="13" fillId="0" borderId="0" xfId="3" applyFont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1" xfId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9" fontId="2" fillId="0" borderId="3" xfId="2" applyFont="1" applyBorder="1" applyAlignment="1" applyProtection="1">
      <alignment horizontal="center" vertical="center" wrapText="1"/>
      <protection locked="0"/>
    </xf>
    <xf numFmtId="167" fontId="25" fillId="8" borderId="3" xfId="0" applyNumberFormat="1" applyFont="1" applyFill="1" applyBorder="1" applyAlignment="1" applyProtection="1">
      <alignment horizontal="center" vertical="center" wrapText="1"/>
      <protection locked="0"/>
    </xf>
    <xf numFmtId="167" fontId="5" fillId="8" borderId="3" xfId="0" applyNumberFormat="1" applyFont="1" applyFill="1" applyBorder="1" applyAlignment="1" applyProtection="1">
      <alignment horizontal="center" vertical="center" wrapText="1"/>
      <protection locked="0"/>
    </xf>
    <xf numFmtId="168" fontId="5" fillId="8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vertical="center"/>
    </xf>
    <xf numFmtId="165" fontId="13" fillId="0" borderId="0" xfId="3" applyFont="1" applyAlignment="1" applyProtection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1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 vertical="center"/>
    </xf>
    <xf numFmtId="9" fontId="2" fillId="0" borderId="3" xfId="2" applyFont="1" applyBorder="1" applyAlignment="1" applyProtection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164" fontId="5" fillId="0" borderId="7" xfId="1" applyFont="1" applyBorder="1" applyAlignment="1" applyProtection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3" fontId="8" fillId="0" borderId="5" xfId="0" applyNumberFormat="1" applyFont="1" applyBorder="1" applyAlignment="1">
      <alignment horizontal="center" vertical="center" wrapText="1"/>
    </xf>
    <xf numFmtId="164" fontId="2" fillId="0" borderId="5" xfId="1" applyFont="1" applyBorder="1" applyAlignment="1" applyProtection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</xf>
    <xf numFmtId="3" fontId="8" fillId="0" borderId="0" xfId="0" applyNumberFormat="1" applyFont="1" applyAlignment="1" applyProtection="1">
      <alignment horizontal="center" vertical="center" wrapText="1"/>
    </xf>
    <xf numFmtId="167" fontId="5" fillId="0" borderId="3" xfId="0" applyNumberFormat="1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3" fontId="5" fillId="0" borderId="7" xfId="0" applyNumberFormat="1" applyFont="1" applyBorder="1" applyAlignment="1" applyProtection="1">
      <alignment horizontal="center" vertical="center" wrapText="1"/>
    </xf>
    <xf numFmtId="3" fontId="9" fillId="0" borderId="8" xfId="0" applyNumberFormat="1" applyFont="1" applyBorder="1" applyAlignment="1" applyProtection="1">
      <alignment horizontal="center" vertical="center" wrapText="1"/>
    </xf>
    <xf numFmtId="3" fontId="9" fillId="0" borderId="0" xfId="0" applyNumberFormat="1" applyFont="1" applyAlignment="1" applyProtection="1">
      <alignment horizontal="center" vertical="center" wrapText="1"/>
    </xf>
    <xf numFmtId="4" fontId="2" fillId="0" borderId="5" xfId="0" applyNumberFormat="1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vertical="center" wrapText="1"/>
    </xf>
    <xf numFmtId="3" fontId="2" fillId="0" borderId="5" xfId="0" applyNumberFormat="1" applyFont="1" applyBorder="1" applyAlignment="1" applyProtection="1">
      <alignment horizontal="center" vertical="center" wrapText="1"/>
    </xf>
    <xf numFmtId="3" fontId="8" fillId="0" borderId="5" xfId="0" applyNumberFormat="1" applyFont="1" applyBorder="1" applyAlignment="1" applyProtection="1">
      <alignment horizontal="center" vertical="center" wrapText="1"/>
    </xf>
    <xf numFmtId="167" fontId="5" fillId="0" borderId="7" xfId="0" applyNumberFormat="1" applyFont="1" applyBorder="1" applyAlignment="1" applyProtection="1">
      <alignment horizontal="center" vertical="center" wrapText="1"/>
    </xf>
    <xf numFmtId="3" fontId="5" fillId="2" borderId="7" xfId="0" applyNumberFormat="1" applyFont="1" applyFill="1" applyBorder="1" applyAlignment="1" applyProtection="1">
      <alignment horizontal="center" vertical="center" wrapText="1"/>
    </xf>
    <xf numFmtId="3" fontId="9" fillId="2" borderId="8" xfId="0" applyNumberFormat="1" applyFont="1" applyFill="1" applyBorder="1" applyAlignment="1" applyProtection="1">
      <alignment horizontal="center" vertical="center" wrapText="1"/>
    </xf>
    <xf numFmtId="168" fontId="5" fillId="0" borderId="7" xfId="0" applyNumberFormat="1" applyFont="1" applyBorder="1" applyAlignment="1" applyProtection="1">
      <alignment horizontal="center" vertical="center" wrapText="1"/>
    </xf>
    <xf numFmtId="0" fontId="9" fillId="10" borderId="8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7" fontId="5" fillId="0" borderId="3" xfId="0" applyNumberFormat="1" applyFont="1" applyBorder="1" applyAlignment="1" applyProtection="1">
      <alignment horizontal="center" vertical="center" wrapText="1"/>
      <protection locked="0"/>
    </xf>
    <xf numFmtId="167" fontId="5" fillId="0" borderId="7" xfId="0" applyNumberFormat="1" applyFont="1" applyBorder="1" applyAlignment="1" applyProtection="1">
      <alignment horizontal="center" vertical="center" wrapText="1"/>
      <protection locked="0"/>
    </xf>
    <xf numFmtId="168" fontId="5" fillId="0" borderId="7" xfId="0" applyNumberFormat="1" applyFont="1" applyBorder="1" applyAlignment="1" applyProtection="1">
      <alignment horizontal="center" vertical="center" wrapText="1"/>
      <protection locked="0"/>
    </xf>
    <xf numFmtId="164" fontId="5" fillId="7" borderId="7" xfId="1" applyFont="1" applyFill="1" applyBorder="1" applyAlignment="1" applyProtection="1">
      <alignment horizontal="center" vertical="center" wrapText="1"/>
      <protection locked="0"/>
    </xf>
    <xf numFmtId="164" fontId="27" fillId="7" borderId="7" xfId="6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vertical="center"/>
    </xf>
    <xf numFmtId="3" fontId="2" fillId="0" borderId="1" xfId="0" applyNumberFormat="1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3" fontId="11" fillId="0" borderId="0" xfId="0" applyNumberFormat="1" applyFont="1" applyAlignment="1" applyProtection="1">
      <alignment horizontal="center" vertical="center"/>
    </xf>
    <xf numFmtId="4" fontId="14" fillId="0" borderId="0" xfId="0" applyNumberFormat="1" applyFont="1" applyAlignment="1" applyProtection="1">
      <alignment horizontal="center" vertical="center"/>
      <protection locked="0"/>
    </xf>
    <xf numFmtId="4" fontId="13" fillId="0" borderId="0" xfId="0" applyNumberFormat="1" applyFont="1" applyAlignment="1" applyProtection="1">
      <alignment horizontal="center" vertical="center"/>
      <protection locked="0"/>
    </xf>
    <xf numFmtId="4" fontId="4" fillId="0" borderId="0" xfId="0" applyNumberFormat="1" applyFont="1" applyAlignment="1" applyProtection="1">
      <alignment horizontal="center" vertical="center"/>
      <protection locked="0"/>
    </xf>
    <xf numFmtId="4" fontId="2" fillId="0" borderId="4" xfId="0" applyNumberFormat="1" applyFont="1" applyBorder="1" applyAlignment="1" applyProtection="1">
      <alignment horizontal="center" vertical="center" wrapText="1"/>
      <protection locked="0"/>
    </xf>
    <xf numFmtId="4" fontId="5" fillId="0" borderId="7" xfId="0" applyNumberFormat="1" applyFont="1" applyBorder="1" applyAlignment="1" applyProtection="1">
      <alignment horizontal="center" vertical="center" wrapText="1"/>
    </xf>
    <xf numFmtId="4" fontId="5" fillId="0" borderId="7" xfId="0" applyNumberFormat="1" applyFont="1" applyBorder="1" applyAlignment="1" applyProtection="1">
      <alignment horizontal="center" vertical="center" wrapText="1"/>
      <protection locked="0"/>
    </xf>
    <xf numFmtId="4" fontId="5" fillId="0" borderId="0" xfId="0" applyNumberFormat="1" applyFont="1" applyAlignment="1" applyProtection="1">
      <alignment horizontal="center" vertical="center" wrapText="1"/>
      <protection locked="0"/>
    </xf>
    <xf numFmtId="4" fontId="4" fillId="0" borderId="0" xfId="0" applyNumberFormat="1" applyFont="1" applyAlignment="1" applyProtection="1">
      <alignment vertical="center"/>
      <protection locked="0"/>
    </xf>
    <xf numFmtId="4" fontId="5" fillId="0" borderId="7" xfId="0" applyNumberFormat="1" applyFont="1" applyBorder="1" applyAlignment="1">
      <alignment horizontal="center" vertical="center" wrapText="1"/>
    </xf>
    <xf numFmtId="4" fontId="5" fillId="7" borderId="7" xfId="0" applyNumberFormat="1" applyFont="1" applyFill="1" applyBorder="1" applyAlignment="1" applyProtection="1">
      <alignment horizontal="center" vertical="center" wrapText="1"/>
      <protection locked="0"/>
    </xf>
    <xf numFmtId="4" fontId="5" fillId="7" borderId="16" xfId="0" applyNumberFormat="1" applyFont="1" applyFill="1" applyBorder="1" applyAlignment="1" applyProtection="1">
      <alignment horizontal="center" vertical="center" wrapText="1"/>
      <protection locked="0"/>
    </xf>
    <xf numFmtId="4" fontId="5" fillId="7" borderId="16" xfId="0" applyNumberFormat="1" applyFont="1" applyFill="1" applyBorder="1" applyAlignment="1" applyProtection="1">
      <alignment horizontal="center" vertical="center" wrapText="1"/>
    </xf>
    <xf numFmtId="4" fontId="5" fillId="7" borderId="7" xfId="0" applyNumberFormat="1" applyFont="1" applyFill="1" applyBorder="1" applyAlignment="1" applyProtection="1">
      <alignment horizontal="center" vertical="center" wrapText="1"/>
    </xf>
    <xf numFmtId="4" fontId="5" fillId="7" borderId="3" xfId="5" applyNumberFormat="1" applyFont="1" applyFill="1" applyBorder="1" applyAlignment="1" applyProtection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5" borderId="11" xfId="4" applyFont="1" applyFill="1" applyBorder="1" applyAlignment="1">
      <alignment horizontal="center" vertical="center" wrapText="1"/>
    </xf>
    <xf numFmtId="0" fontId="23" fillId="5" borderId="13" xfId="4" applyFont="1" applyFill="1" applyBorder="1" applyAlignment="1">
      <alignment horizontal="center" vertical="center" wrapText="1"/>
    </xf>
    <xf numFmtId="0" fontId="23" fillId="5" borderId="12" xfId="4" applyFont="1" applyFill="1" applyBorder="1" applyAlignment="1">
      <alignment horizontal="center" vertical="center" wrapText="1"/>
    </xf>
    <xf numFmtId="0" fontId="23" fillId="5" borderId="14" xfId="4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3" fontId="2" fillId="0" borderId="9" xfId="0" applyNumberFormat="1" applyFont="1" applyBorder="1" applyAlignment="1" applyProtection="1">
      <alignment horizontal="center" vertical="center" wrapText="1"/>
      <protection locked="0"/>
    </xf>
    <xf numFmtId="3" fontId="2" fillId="0" borderId="2" xfId="0" applyNumberFormat="1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</cellXfs>
  <cellStyles count="7">
    <cellStyle name="Colore 4" xfId="6" builtinId="41"/>
    <cellStyle name="Migliaia" xfId="1" builtinId="3"/>
    <cellStyle name="Normale" xfId="0" builtinId="0"/>
    <cellStyle name="Normale 2" xfId="4"/>
    <cellStyle name="Normale 3" xfId="5"/>
    <cellStyle name="Percentuale" xfId="2" builtinId="5"/>
    <cellStyle name="Valuta" xfId="3" builtinId="4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4</xdr:row>
      <xdr:rowOff>333374</xdr:rowOff>
    </xdr:from>
    <xdr:to>
      <xdr:col>1</xdr:col>
      <xdr:colOff>2038349</xdr:colOff>
      <xdr:row>4</xdr:row>
      <xdr:rowOff>1619249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4" y="1181099"/>
          <a:ext cx="1895475" cy="1285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114300</xdr:rowOff>
    </xdr:from>
    <xdr:to>
      <xdr:col>16</xdr:col>
      <xdr:colOff>333851</xdr:colOff>
      <xdr:row>0</xdr:row>
      <xdr:rowOff>486410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39825" y="114300"/>
          <a:ext cx="979170" cy="372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114300</xdr:rowOff>
    </xdr:from>
    <xdr:to>
      <xdr:col>13</xdr:col>
      <xdr:colOff>1512570</xdr:colOff>
      <xdr:row>0</xdr:row>
      <xdr:rowOff>486410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15900" y="114300"/>
          <a:ext cx="979170" cy="372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17</xdr:col>
      <xdr:colOff>326028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4925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view="pageBreakPreview" topLeftCell="C1" zoomScale="60" zoomScaleNormal="100" zoomScalePageLayoutView="40" workbookViewId="0">
      <selection activeCell="D19" sqref="D19"/>
    </sheetView>
  </sheetViews>
  <sheetFormatPr defaultColWidth="8.85546875" defaultRowHeight="15" x14ac:dyDescent="0.25"/>
  <cols>
    <col min="2" max="2" width="45.42578125" customWidth="1"/>
    <col min="4" max="4" width="151" customWidth="1"/>
  </cols>
  <sheetData>
    <row r="1" spans="1:4" ht="18" customHeight="1" x14ac:dyDescent="0.25">
      <c r="A1" s="144"/>
      <c r="B1" s="144"/>
      <c r="C1" s="144"/>
      <c r="D1" s="144"/>
    </row>
    <row r="2" spans="1:4" ht="63.75" customHeight="1" x14ac:dyDescent="0.25">
      <c r="A2" s="145" t="s">
        <v>127</v>
      </c>
      <c r="B2" s="146"/>
      <c r="C2" s="146"/>
      <c r="D2" s="147"/>
    </row>
    <row r="3" spans="1:4" ht="87.75" customHeight="1" x14ac:dyDescent="0.25">
      <c r="A3" s="148"/>
      <c r="B3" s="149"/>
      <c r="C3" s="144" t="s">
        <v>128</v>
      </c>
      <c r="D3" s="144"/>
    </row>
    <row r="4" spans="1:4" ht="15" customHeight="1" x14ac:dyDescent="0.25">
      <c r="A4" s="150"/>
      <c r="B4" s="151"/>
      <c r="C4" s="154" t="s">
        <v>116</v>
      </c>
      <c r="D4" s="155"/>
    </row>
    <row r="5" spans="1:4" ht="228.75" customHeight="1" x14ac:dyDescent="0.25">
      <c r="A5" s="152"/>
      <c r="B5" s="153"/>
      <c r="C5" s="156"/>
      <c r="D5" s="157"/>
    </row>
  </sheetData>
  <mergeCells count="5">
    <mergeCell ref="A1:D1"/>
    <mergeCell ref="A2:D2"/>
    <mergeCell ref="A3:B5"/>
    <mergeCell ref="C3:D3"/>
    <mergeCell ref="C4:D5"/>
  </mergeCells>
  <pageMargins left="1" right="1" top="1" bottom="1" header="0.5" footer="0.5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7"/>
  <sheetViews>
    <sheetView tabSelected="1" view="pageLayout" topLeftCell="A43" zoomScale="80" zoomScaleNormal="100" zoomScalePageLayoutView="80" workbookViewId="0">
      <selection activeCell="L54" sqref="L54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132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16.42578125" style="104" customWidth="1"/>
    <col min="15" max="15" width="24.28515625" style="7" hidden="1" customWidth="1"/>
    <col min="16" max="16" width="16.42578125" style="104" hidden="1" customWidth="1"/>
    <col min="17" max="20" width="9.140625" style="104"/>
    <col min="21" max="16384" width="9.140625" style="11"/>
  </cols>
  <sheetData>
    <row r="1" spans="1:20" ht="53.25" customHeight="1" x14ac:dyDescent="0.25">
      <c r="A1" s="163" t="s">
        <v>126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20" ht="12.75" customHeight="1" x14ac:dyDescent="0.25">
      <c r="A2" s="15"/>
      <c r="B2" s="15"/>
      <c r="C2" s="15"/>
      <c r="D2" s="15"/>
      <c r="E2" s="15"/>
      <c r="F2" s="15"/>
      <c r="G2" s="130"/>
      <c r="H2" s="15"/>
      <c r="I2" s="15"/>
      <c r="J2" s="15"/>
      <c r="K2" s="15"/>
      <c r="L2" s="16"/>
      <c r="M2" s="15"/>
    </row>
    <row r="3" spans="1:20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31"/>
      <c r="H3" s="19"/>
      <c r="I3" s="19"/>
      <c r="J3" s="19"/>
      <c r="K3" s="19"/>
      <c r="L3" s="20"/>
      <c r="M3" s="19"/>
      <c r="N3" s="126"/>
      <c r="O3" s="82"/>
      <c r="P3" s="126"/>
      <c r="Q3" s="126"/>
      <c r="R3" s="126"/>
      <c r="S3" s="126"/>
      <c r="T3" s="126"/>
    </row>
    <row r="4" spans="1:20" ht="15.75" thickBot="1" x14ac:dyDescent="0.3"/>
    <row r="5" spans="1:20" ht="38.25" customHeight="1" thickBot="1" x14ac:dyDescent="0.3">
      <c r="A5" s="25">
        <v>1</v>
      </c>
      <c r="B5" s="120">
        <v>2</v>
      </c>
      <c r="C5" s="158">
        <v>3</v>
      </c>
      <c r="D5" s="159"/>
      <c r="E5" s="158">
        <v>4</v>
      </c>
      <c r="F5" s="159"/>
      <c r="G5" s="160">
        <v>5</v>
      </c>
      <c r="H5" s="161"/>
      <c r="I5" s="160">
        <v>6</v>
      </c>
      <c r="J5" s="161"/>
      <c r="K5" s="26"/>
      <c r="L5" s="160">
        <v>7</v>
      </c>
      <c r="M5" s="161"/>
      <c r="N5" s="127">
        <v>8</v>
      </c>
    </row>
    <row r="6" spans="1:20" ht="38.25" customHeight="1" thickBot="1" x14ac:dyDescent="0.3">
      <c r="A6" s="25" t="s">
        <v>46</v>
      </c>
      <c r="B6" s="120" t="s">
        <v>45</v>
      </c>
      <c r="C6" s="158" t="s">
        <v>92</v>
      </c>
      <c r="D6" s="159"/>
      <c r="E6" s="158" t="s">
        <v>94</v>
      </c>
      <c r="F6" s="159"/>
      <c r="G6" s="160" t="s">
        <v>75</v>
      </c>
      <c r="H6" s="161"/>
      <c r="I6" s="160" t="s">
        <v>75</v>
      </c>
      <c r="J6" s="161"/>
      <c r="K6" s="26" t="s">
        <v>95</v>
      </c>
      <c r="L6" s="27" t="s">
        <v>76</v>
      </c>
      <c r="M6" s="28"/>
      <c r="N6" s="84" t="s">
        <v>109</v>
      </c>
    </row>
    <row r="7" spans="1:20" ht="15.75" x14ac:dyDescent="0.25">
      <c r="A7" s="29"/>
      <c r="B7" s="29"/>
      <c r="C7" s="29"/>
      <c r="D7" s="30"/>
      <c r="E7" s="29"/>
      <c r="F7" s="30"/>
      <c r="G7" s="133"/>
      <c r="H7" s="32"/>
      <c r="I7" s="31"/>
      <c r="J7" s="32"/>
      <c r="K7" s="26"/>
      <c r="L7" s="33"/>
      <c r="M7" s="32"/>
    </row>
    <row r="8" spans="1:20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5"/>
      <c r="H8" s="38"/>
      <c r="I8" s="37"/>
      <c r="J8" s="38"/>
      <c r="K8" s="26"/>
      <c r="L8" s="39"/>
      <c r="M8" s="38"/>
      <c r="O8" s="8"/>
    </row>
    <row r="9" spans="1:20" ht="38.25" customHeight="1" x14ac:dyDescent="0.25">
      <c r="A9" s="41" t="s">
        <v>47</v>
      </c>
      <c r="B9" s="41" t="s">
        <v>2</v>
      </c>
      <c r="C9" s="121">
        <v>1.0772722457596435E-3</v>
      </c>
      <c r="D9" s="42" t="s">
        <v>85</v>
      </c>
      <c r="E9" s="78"/>
      <c r="F9" s="42" t="s">
        <v>85</v>
      </c>
      <c r="G9" s="134">
        <v>611274.15250000008</v>
      </c>
      <c r="H9" s="45" t="s">
        <v>88</v>
      </c>
      <c r="I9" s="44">
        <v>2383</v>
      </c>
      <c r="J9" s="45" t="s">
        <v>77</v>
      </c>
      <c r="K9" s="46">
        <f>C9*G9*I9</f>
        <v>1569226.1821487406</v>
      </c>
      <c r="L9" s="47">
        <f>E9*G9*I9</f>
        <v>0</v>
      </c>
      <c r="M9" s="45" t="s">
        <v>82</v>
      </c>
      <c r="O9" s="7">
        <f>C9*G9*I9</f>
        <v>1569226.1821487406</v>
      </c>
    </row>
    <row r="10" spans="1:20" ht="38.25" customHeight="1" x14ac:dyDescent="0.25">
      <c r="A10" s="41" t="s">
        <v>48</v>
      </c>
      <c r="B10" s="41" t="s">
        <v>3</v>
      </c>
      <c r="C10" s="121">
        <v>2.6533799156641469E-3</v>
      </c>
      <c r="D10" s="42" t="s">
        <v>85</v>
      </c>
      <c r="E10" s="78"/>
      <c r="F10" s="42" t="s">
        <v>85</v>
      </c>
      <c r="G10" s="134">
        <v>364288.24749999994</v>
      </c>
      <c r="H10" s="45" t="s">
        <v>88</v>
      </c>
      <c r="I10" s="44">
        <v>2383</v>
      </c>
      <c r="J10" s="45" t="s">
        <v>77</v>
      </c>
      <c r="K10" s="46">
        <f>C10*G10*I10</f>
        <v>2303396.1695992826</v>
      </c>
      <c r="L10" s="47">
        <f>E10*G10*I10</f>
        <v>0</v>
      </c>
      <c r="M10" s="45" t="s">
        <v>82</v>
      </c>
      <c r="O10" s="7">
        <f>C10*G10*I10</f>
        <v>2303396.1695992826</v>
      </c>
    </row>
    <row r="11" spans="1:20" ht="38.25" customHeight="1" x14ac:dyDescent="0.25">
      <c r="A11" s="48" t="s">
        <v>4</v>
      </c>
      <c r="B11" s="48" t="s">
        <v>5</v>
      </c>
      <c r="C11" s="10"/>
      <c r="D11" s="49"/>
      <c r="E11" s="10"/>
      <c r="F11" s="49"/>
      <c r="G11" s="111"/>
      <c r="H11" s="51"/>
      <c r="I11" s="50"/>
      <c r="J11" s="51"/>
      <c r="K11" s="26"/>
      <c r="L11" s="52"/>
      <c r="M11" s="51"/>
      <c r="O11" s="8"/>
    </row>
    <row r="12" spans="1:20" ht="38.25" customHeight="1" x14ac:dyDescent="0.25">
      <c r="A12" s="41" t="s">
        <v>49</v>
      </c>
      <c r="B12" s="41" t="s">
        <v>6</v>
      </c>
      <c r="C12" s="121">
        <v>1.3322304810368274E-2</v>
      </c>
      <c r="D12" s="42" t="s">
        <v>86</v>
      </c>
      <c r="E12" s="79"/>
      <c r="F12" s="42" t="s">
        <v>86</v>
      </c>
      <c r="G12" s="134">
        <v>559856.60250000004</v>
      </c>
      <c r="H12" s="45" t="s">
        <v>88</v>
      </c>
      <c r="I12" s="44">
        <v>183</v>
      </c>
      <c r="J12" s="45" t="s">
        <v>84</v>
      </c>
      <c r="K12" s="46">
        <f>C12*G12*I12</f>
        <v>1364920.1964742008</v>
      </c>
      <c r="L12" s="47">
        <f>E12*G12*I12</f>
        <v>0</v>
      </c>
      <c r="M12" s="45" t="s">
        <v>82</v>
      </c>
      <c r="O12" s="7">
        <f t="shared" ref="O12" si="0">C12*G12*I12</f>
        <v>1364920.1964742008</v>
      </c>
    </row>
    <row r="13" spans="1:20" ht="38.25" customHeight="1" x14ac:dyDescent="0.25">
      <c r="A13" s="41" t="s">
        <v>49</v>
      </c>
      <c r="B13" s="41" t="s">
        <v>6</v>
      </c>
      <c r="C13" s="121">
        <v>1.3322304810368274E-2</v>
      </c>
      <c r="D13" s="42" t="s">
        <v>86</v>
      </c>
      <c r="E13" s="79"/>
      <c r="F13" s="42" t="s">
        <v>86</v>
      </c>
      <c r="G13" s="134">
        <v>19906</v>
      </c>
      <c r="H13" s="45" t="s">
        <v>88</v>
      </c>
      <c r="I13" s="44">
        <v>130</v>
      </c>
      <c r="J13" s="45" t="s">
        <v>84</v>
      </c>
      <c r="K13" s="46">
        <f>C13*G13*I13</f>
        <v>34475.193942174817</v>
      </c>
      <c r="L13" s="47">
        <f t="shared" ref="L13:L15" si="1">E13*G13*I13</f>
        <v>0</v>
      </c>
      <c r="M13" s="45" t="s">
        <v>82</v>
      </c>
      <c r="O13" s="7">
        <f t="shared" ref="O13:O15" si="2">C13*G13*I13</f>
        <v>34475.193942174817</v>
      </c>
    </row>
    <row r="14" spans="1:20" ht="38.25" customHeight="1" x14ac:dyDescent="0.25">
      <c r="A14" s="41" t="s">
        <v>50</v>
      </c>
      <c r="B14" s="41" t="s">
        <v>7</v>
      </c>
      <c r="C14" s="121">
        <v>2.5405787641850981E-2</v>
      </c>
      <c r="D14" s="42" t="s">
        <v>86</v>
      </c>
      <c r="E14" s="79"/>
      <c r="F14" s="42" t="s">
        <v>86</v>
      </c>
      <c r="G14" s="134">
        <v>332777.2475</v>
      </c>
      <c r="H14" s="45" t="s">
        <v>88</v>
      </c>
      <c r="I14" s="44">
        <v>183</v>
      </c>
      <c r="J14" s="45" t="s">
        <v>84</v>
      </c>
      <c r="K14" s="46">
        <f>C14*G14*I14</f>
        <v>1547167.6590105174</v>
      </c>
      <c r="L14" s="47">
        <f t="shared" si="1"/>
        <v>0</v>
      </c>
      <c r="M14" s="45" t="s">
        <v>82</v>
      </c>
      <c r="O14" s="7">
        <f t="shared" ref="O14" si="3">C14*G14*I14</f>
        <v>1547167.6590105174</v>
      </c>
    </row>
    <row r="15" spans="1:20" ht="38.25" customHeight="1" x14ac:dyDescent="0.25">
      <c r="A15" s="41" t="s">
        <v>50</v>
      </c>
      <c r="B15" s="41" t="s">
        <v>7</v>
      </c>
      <c r="C15" s="121">
        <v>2.5405787641850981E-2</v>
      </c>
      <c r="D15" s="42" t="s">
        <v>86</v>
      </c>
      <c r="E15" s="79"/>
      <c r="F15" s="42" t="s">
        <v>86</v>
      </c>
      <c r="G15" s="134">
        <v>31511.53</v>
      </c>
      <c r="H15" s="45" t="s">
        <v>88</v>
      </c>
      <c r="I15" s="44">
        <v>150</v>
      </c>
      <c r="J15" s="45" t="s">
        <v>84</v>
      </c>
      <c r="K15" s="46">
        <f>C15*G15*I15</f>
        <v>120086.28591747246</v>
      </c>
      <c r="L15" s="47">
        <f t="shared" si="1"/>
        <v>0</v>
      </c>
      <c r="M15" s="45" t="s">
        <v>82</v>
      </c>
      <c r="O15" s="7">
        <f t="shared" si="2"/>
        <v>120086.28591747246</v>
      </c>
    </row>
    <row r="16" spans="1:20" ht="38.25" customHeight="1" x14ac:dyDescent="0.25">
      <c r="A16" s="48" t="s">
        <v>8</v>
      </c>
      <c r="B16" s="48" t="s">
        <v>9</v>
      </c>
      <c r="C16" s="10"/>
      <c r="D16" s="49"/>
      <c r="E16" s="10"/>
      <c r="F16" s="49"/>
      <c r="G16" s="111"/>
      <c r="H16" s="51"/>
      <c r="I16" s="50"/>
      <c r="J16" s="51"/>
      <c r="K16" s="26"/>
      <c r="L16" s="52"/>
      <c r="M16" s="51"/>
      <c r="O16" s="8"/>
    </row>
    <row r="17" spans="1:15" ht="38.25" customHeight="1" x14ac:dyDescent="0.25">
      <c r="A17" s="41" t="s">
        <v>51</v>
      </c>
      <c r="B17" s="41" t="s">
        <v>10</v>
      </c>
      <c r="C17" s="122">
        <v>0.99658131218700008</v>
      </c>
      <c r="D17" s="42" t="s">
        <v>87</v>
      </c>
      <c r="E17" s="79"/>
      <c r="F17" s="42" t="s">
        <v>87</v>
      </c>
      <c r="G17" s="134">
        <v>258528.2</v>
      </c>
      <c r="H17" s="45" t="s">
        <v>89</v>
      </c>
      <c r="I17" s="54"/>
      <c r="J17" s="55"/>
      <c r="K17" s="46">
        <f>C17*G17</f>
        <v>257644.37279334321</v>
      </c>
      <c r="L17" s="47">
        <f>E17*G17</f>
        <v>0</v>
      </c>
      <c r="M17" s="45" t="s">
        <v>82</v>
      </c>
      <c r="O17" s="7">
        <f>C17*G17</f>
        <v>257644.37279334321</v>
      </c>
    </row>
    <row r="18" spans="1:15" ht="38.25" customHeight="1" x14ac:dyDescent="0.25">
      <c r="A18" s="48" t="s">
        <v>11</v>
      </c>
      <c r="B18" s="48" t="s">
        <v>12</v>
      </c>
      <c r="C18" s="10"/>
      <c r="D18" s="49"/>
      <c r="E18" s="10"/>
      <c r="F18" s="49"/>
      <c r="G18" s="111"/>
      <c r="H18" s="51"/>
      <c r="I18" s="50"/>
      <c r="J18" s="51"/>
      <c r="K18" s="26"/>
      <c r="L18" s="47"/>
      <c r="M18" s="51"/>
      <c r="O18" s="8"/>
    </row>
    <row r="19" spans="1:15" ht="45" x14ac:dyDescent="0.25">
      <c r="A19" s="41" t="s">
        <v>52</v>
      </c>
      <c r="B19" s="41" t="s">
        <v>79</v>
      </c>
      <c r="C19" s="123">
        <v>3.0610124513595927</v>
      </c>
      <c r="D19" s="42" t="s">
        <v>87</v>
      </c>
      <c r="E19" s="80"/>
      <c r="F19" s="42" t="s">
        <v>87</v>
      </c>
      <c r="G19" s="134">
        <v>264838.2</v>
      </c>
      <c r="H19" s="45" t="s">
        <v>89</v>
      </c>
      <c r="I19" s="54"/>
      <c r="J19" s="55"/>
      <c r="K19" s="46">
        <f>C19*G19</f>
        <v>810673.02779566206</v>
      </c>
      <c r="L19" s="47">
        <f>G19*E19</f>
        <v>0</v>
      </c>
      <c r="M19" s="45" t="s">
        <v>82</v>
      </c>
      <c r="O19" s="7">
        <f t="shared" ref="O19:O21" si="4">C19*G19</f>
        <v>810673.02779566206</v>
      </c>
    </row>
    <row r="20" spans="1:15" ht="38.25" customHeight="1" x14ac:dyDescent="0.25">
      <c r="A20" s="41" t="s">
        <v>105</v>
      </c>
      <c r="B20" s="41" t="s">
        <v>13</v>
      </c>
      <c r="C20" s="123">
        <v>0.29539100477784086</v>
      </c>
      <c r="D20" s="42" t="s">
        <v>87</v>
      </c>
      <c r="E20" s="80"/>
      <c r="F20" s="42" t="s">
        <v>87</v>
      </c>
      <c r="G20" s="134">
        <v>1686434.3</v>
      </c>
      <c r="H20" s="45" t="s">
        <v>89</v>
      </c>
      <c r="I20" s="54"/>
      <c r="J20" s="55"/>
      <c r="K20" s="46">
        <f>C20*G20</f>
        <v>498157.52236881474</v>
      </c>
      <c r="L20" s="47">
        <f>E20*G20</f>
        <v>0</v>
      </c>
      <c r="M20" s="45" t="s">
        <v>82</v>
      </c>
      <c r="O20" s="7">
        <f>C20*G20</f>
        <v>498157.52236881474</v>
      </c>
    </row>
    <row r="21" spans="1:15" ht="38.25" customHeight="1" x14ac:dyDescent="0.25">
      <c r="A21" s="41" t="s">
        <v>117</v>
      </c>
      <c r="B21" s="41" t="s">
        <v>121</v>
      </c>
      <c r="C21" s="123">
        <v>150</v>
      </c>
      <c r="D21" s="102" t="s">
        <v>129</v>
      </c>
      <c r="E21" s="80"/>
      <c r="F21" s="102" t="s">
        <v>130</v>
      </c>
      <c r="G21" s="134">
        <v>720</v>
      </c>
      <c r="H21" s="45" t="s">
        <v>89</v>
      </c>
      <c r="I21" s="54"/>
      <c r="J21" s="55"/>
      <c r="K21" s="46">
        <f>C21*G21</f>
        <v>108000</v>
      </c>
      <c r="L21" s="47">
        <f>E21*G21</f>
        <v>0</v>
      </c>
      <c r="M21" s="45" t="s">
        <v>82</v>
      </c>
      <c r="O21" s="7">
        <f t="shared" si="4"/>
        <v>108000</v>
      </c>
    </row>
    <row r="22" spans="1:15" ht="38.25" customHeight="1" x14ac:dyDescent="0.25">
      <c r="A22" s="48" t="s">
        <v>14</v>
      </c>
      <c r="B22" s="48" t="s">
        <v>15</v>
      </c>
      <c r="C22" s="10"/>
      <c r="D22" s="49"/>
      <c r="E22" s="10"/>
      <c r="F22" s="49"/>
      <c r="G22" s="111"/>
      <c r="H22" s="51"/>
      <c r="I22" s="50"/>
      <c r="J22" s="51"/>
      <c r="K22" s="26"/>
      <c r="L22" s="47"/>
      <c r="M22" s="51"/>
    </row>
    <row r="23" spans="1:15" ht="38.25" customHeight="1" x14ac:dyDescent="0.25">
      <c r="A23" s="41" t="s">
        <v>53</v>
      </c>
      <c r="B23" s="41" t="s">
        <v>107</v>
      </c>
      <c r="C23" s="122">
        <v>24.017975586371783</v>
      </c>
      <c r="D23" s="42" t="s">
        <v>87</v>
      </c>
      <c r="E23" s="79"/>
      <c r="F23" s="42" t="s">
        <v>87</v>
      </c>
      <c r="G23" s="134">
        <v>265201</v>
      </c>
      <c r="H23" s="45" t="s">
        <v>89</v>
      </c>
      <c r="I23" s="54"/>
      <c r="J23" s="55"/>
      <c r="K23" s="46">
        <f>C23*G23</f>
        <v>6369591.1434813831</v>
      </c>
      <c r="L23" s="47">
        <f>E23*G23</f>
        <v>0</v>
      </c>
      <c r="M23" s="45" t="s">
        <v>82</v>
      </c>
      <c r="O23" s="7">
        <f t="shared" ref="O23:O27" si="5">C23*G23</f>
        <v>6369591.1434813831</v>
      </c>
    </row>
    <row r="24" spans="1:15" ht="38.25" customHeight="1" x14ac:dyDescent="0.25">
      <c r="A24" s="41" t="s">
        <v>54</v>
      </c>
      <c r="B24" s="41" t="s">
        <v>108</v>
      </c>
      <c r="C24" s="122">
        <v>11.185362524184205</v>
      </c>
      <c r="D24" s="42" t="s">
        <v>87</v>
      </c>
      <c r="E24" s="79"/>
      <c r="F24" s="42" t="s">
        <v>87</v>
      </c>
      <c r="G24" s="134">
        <v>58663</v>
      </c>
      <c r="H24" s="45" t="s">
        <v>89</v>
      </c>
      <c r="I24" s="54"/>
      <c r="J24" s="55"/>
      <c r="K24" s="46">
        <f>C24*G24</f>
        <v>656166.92175621807</v>
      </c>
      <c r="L24" s="47">
        <f t="shared" ref="L24:L27" si="6">E24*G24</f>
        <v>0</v>
      </c>
      <c r="M24" s="45" t="s">
        <v>82</v>
      </c>
      <c r="O24" s="7">
        <f t="shared" si="5"/>
        <v>656166.92175621807</v>
      </c>
    </row>
    <row r="25" spans="1:15" ht="38.25" customHeight="1" x14ac:dyDescent="0.25">
      <c r="A25" s="41" t="s">
        <v>100</v>
      </c>
      <c r="B25" s="41" t="s">
        <v>16</v>
      </c>
      <c r="C25" s="122">
        <v>0.6110768124851228</v>
      </c>
      <c r="D25" s="42" t="s">
        <v>87</v>
      </c>
      <c r="E25" s="79"/>
      <c r="F25" s="42" t="s">
        <v>87</v>
      </c>
      <c r="G25" s="134">
        <v>115604</v>
      </c>
      <c r="H25" s="45" t="s">
        <v>89</v>
      </c>
      <c r="I25" s="54"/>
      <c r="J25" s="55"/>
      <c r="K25" s="46">
        <f>C25*G25</f>
        <v>70642.923830530141</v>
      </c>
      <c r="L25" s="47">
        <f t="shared" si="6"/>
        <v>0</v>
      </c>
      <c r="M25" s="45" t="s">
        <v>82</v>
      </c>
      <c r="O25" s="7">
        <f t="shared" si="5"/>
        <v>70642.923830530141</v>
      </c>
    </row>
    <row r="26" spans="1:15" ht="38.25" customHeight="1" x14ac:dyDescent="0.25">
      <c r="A26" s="41" t="s">
        <v>101</v>
      </c>
      <c r="B26" s="41" t="s">
        <v>102</v>
      </c>
      <c r="C26" s="122">
        <v>1920.6131157811997</v>
      </c>
      <c r="D26" s="42" t="s">
        <v>21</v>
      </c>
      <c r="E26" s="79"/>
      <c r="F26" s="42" t="s">
        <v>21</v>
      </c>
      <c r="G26" s="134">
        <v>121</v>
      </c>
      <c r="H26" s="45" t="s">
        <v>83</v>
      </c>
      <c r="I26" s="54"/>
      <c r="J26" s="55"/>
      <c r="K26" s="46">
        <f>C26*G26</f>
        <v>232394.18700952517</v>
      </c>
      <c r="L26" s="47">
        <f t="shared" si="6"/>
        <v>0</v>
      </c>
      <c r="M26" s="45" t="s">
        <v>82</v>
      </c>
      <c r="O26" s="7">
        <f t="shared" si="5"/>
        <v>232394.18700952517</v>
      </c>
    </row>
    <row r="27" spans="1:15" ht="38.25" customHeight="1" x14ac:dyDescent="0.25">
      <c r="A27" s="41" t="s">
        <v>104</v>
      </c>
      <c r="B27" s="41" t="s">
        <v>103</v>
      </c>
      <c r="C27" s="122">
        <v>2.5642171822259212</v>
      </c>
      <c r="D27" s="42" t="s">
        <v>21</v>
      </c>
      <c r="E27" s="79"/>
      <c r="F27" s="42" t="s">
        <v>21</v>
      </c>
      <c r="G27" s="134">
        <v>110015</v>
      </c>
      <c r="H27" s="45" t="s">
        <v>83</v>
      </c>
      <c r="I27" s="54"/>
      <c r="J27" s="55"/>
      <c r="K27" s="46">
        <f>C27*G27</f>
        <v>282102.35330258473</v>
      </c>
      <c r="L27" s="47">
        <f t="shared" si="6"/>
        <v>0</v>
      </c>
      <c r="M27" s="45" t="s">
        <v>82</v>
      </c>
      <c r="O27" s="7">
        <f t="shared" si="5"/>
        <v>282102.35330258473</v>
      </c>
    </row>
    <row r="28" spans="1:15" ht="47.25" x14ac:dyDescent="0.25">
      <c r="A28" s="48" t="s">
        <v>17</v>
      </c>
      <c r="B28" s="48" t="s">
        <v>18</v>
      </c>
      <c r="C28" s="10"/>
      <c r="D28" s="49"/>
      <c r="E28" s="10"/>
      <c r="F28" s="49"/>
      <c r="G28" s="111"/>
      <c r="H28" s="51"/>
      <c r="I28" s="50"/>
      <c r="J28" s="51"/>
      <c r="K28" s="26"/>
      <c r="L28" s="47"/>
      <c r="M28" s="51"/>
    </row>
    <row r="29" spans="1:15" ht="38.25" customHeight="1" x14ac:dyDescent="0.25">
      <c r="A29" s="41" t="s">
        <v>55</v>
      </c>
      <c r="B29" s="41" t="s">
        <v>19</v>
      </c>
      <c r="C29" s="122">
        <v>1.4505808270340399</v>
      </c>
      <c r="D29" s="42" t="s">
        <v>87</v>
      </c>
      <c r="E29" s="79"/>
      <c r="F29" s="42" t="s">
        <v>87</v>
      </c>
      <c r="G29" s="134">
        <v>273941</v>
      </c>
      <c r="H29" s="45" t="s">
        <v>89</v>
      </c>
      <c r="I29" s="54"/>
      <c r="J29" s="55"/>
      <c r="K29" s="46">
        <f>C29*G29</f>
        <v>397373.56233853195</v>
      </c>
      <c r="L29" s="47">
        <f>E29*G29</f>
        <v>0</v>
      </c>
      <c r="M29" s="45" t="s">
        <v>82</v>
      </c>
      <c r="O29" s="7">
        <f t="shared" ref="O29:O30" si="7">C29*G29</f>
        <v>397373.56233853195</v>
      </c>
    </row>
    <row r="30" spans="1:15" ht="38.25" customHeight="1" x14ac:dyDescent="0.25">
      <c r="A30" s="41" t="s">
        <v>56</v>
      </c>
      <c r="B30" s="41" t="s">
        <v>20</v>
      </c>
      <c r="C30" s="122">
        <v>196.41391881978004</v>
      </c>
      <c r="D30" s="42" t="s">
        <v>21</v>
      </c>
      <c r="E30" s="79"/>
      <c r="F30" s="42" t="s">
        <v>21</v>
      </c>
      <c r="G30" s="134">
        <v>401</v>
      </c>
      <c r="H30" s="45" t="s">
        <v>83</v>
      </c>
      <c r="I30" s="54"/>
      <c r="J30" s="55"/>
      <c r="K30" s="46">
        <f>C30*G30</f>
        <v>78761.981446731792</v>
      </c>
      <c r="L30" s="47">
        <f>E30*G30</f>
        <v>0</v>
      </c>
      <c r="M30" s="45" t="s">
        <v>82</v>
      </c>
      <c r="O30" s="7">
        <f t="shared" si="7"/>
        <v>78761.981446731792</v>
      </c>
    </row>
    <row r="31" spans="1:15" ht="38.25" customHeight="1" x14ac:dyDescent="0.25">
      <c r="A31" s="48" t="s">
        <v>22</v>
      </c>
      <c r="B31" s="48" t="s">
        <v>23</v>
      </c>
      <c r="C31" s="10"/>
      <c r="D31" s="49"/>
      <c r="E31" s="10"/>
      <c r="F31" s="49"/>
      <c r="G31" s="111"/>
      <c r="H31" s="51"/>
      <c r="I31" s="50"/>
      <c r="J31" s="51"/>
      <c r="K31" s="26"/>
      <c r="L31" s="47"/>
      <c r="M31" s="51"/>
    </row>
    <row r="32" spans="1:15" ht="38.25" customHeight="1" x14ac:dyDescent="0.25">
      <c r="A32" s="41" t="s">
        <v>57</v>
      </c>
      <c r="B32" s="41" t="s">
        <v>78</v>
      </c>
      <c r="C32" s="122">
        <v>0.46946070402192563</v>
      </c>
      <c r="D32" s="42" t="s">
        <v>87</v>
      </c>
      <c r="E32" s="79"/>
      <c r="F32" s="42" t="s">
        <v>87</v>
      </c>
      <c r="G32" s="134">
        <v>265715.18</v>
      </c>
      <c r="H32" s="45" t="s">
        <v>89</v>
      </c>
      <c r="I32" s="54"/>
      <c r="J32" s="55"/>
      <c r="K32" s="46">
        <f>C32*G32</f>
        <v>124742.8354721127</v>
      </c>
      <c r="L32" s="47">
        <f>E32*G32</f>
        <v>0</v>
      </c>
      <c r="M32" s="45" t="s">
        <v>82</v>
      </c>
      <c r="O32" s="7">
        <f t="shared" ref="O32:O33" si="8">C32*G32</f>
        <v>124742.8354721127</v>
      </c>
    </row>
    <row r="33" spans="1:15" ht="38.25" customHeight="1" x14ac:dyDescent="0.25">
      <c r="A33" s="41" t="s">
        <v>58</v>
      </c>
      <c r="B33" s="41" t="s">
        <v>24</v>
      </c>
      <c r="C33" s="122">
        <v>5.6388032876341407</v>
      </c>
      <c r="D33" s="42" t="s">
        <v>87</v>
      </c>
      <c r="E33" s="79"/>
      <c r="F33" s="42" t="s">
        <v>87</v>
      </c>
      <c r="G33" s="134">
        <v>24624</v>
      </c>
      <c r="H33" s="45" t="s">
        <v>89</v>
      </c>
      <c r="I33" s="54"/>
      <c r="J33" s="55"/>
      <c r="K33" s="46">
        <f>C33*G33</f>
        <v>138849.89215470309</v>
      </c>
      <c r="L33" s="47">
        <f>E33*G33</f>
        <v>0</v>
      </c>
      <c r="M33" s="45" t="s">
        <v>82</v>
      </c>
      <c r="O33" s="7">
        <f t="shared" si="8"/>
        <v>138849.89215470309</v>
      </c>
    </row>
    <row r="34" spans="1:15" ht="47.25" x14ac:dyDescent="0.25">
      <c r="A34" s="48" t="s">
        <v>25</v>
      </c>
      <c r="B34" s="48" t="s">
        <v>26</v>
      </c>
      <c r="C34" s="10"/>
      <c r="D34" s="49"/>
      <c r="E34" s="10"/>
      <c r="F34" s="49"/>
      <c r="G34" s="111"/>
      <c r="H34" s="51"/>
      <c r="I34" s="50"/>
      <c r="J34" s="51"/>
      <c r="K34" s="26"/>
      <c r="L34" s="47"/>
      <c r="M34" s="51"/>
    </row>
    <row r="35" spans="1:15" ht="38.25" customHeight="1" x14ac:dyDescent="0.25">
      <c r="A35" s="41" t="s">
        <v>59</v>
      </c>
      <c r="B35" s="41" t="s">
        <v>27</v>
      </c>
      <c r="C35" s="122">
        <v>851.68083968633869</v>
      </c>
      <c r="D35" s="42" t="s">
        <v>21</v>
      </c>
      <c r="E35" s="79"/>
      <c r="F35" s="42" t="s">
        <v>21</v>
      </c>
      <c r="G35" s="134">
        <v>79</v>
      </c>
      <c r="H35" s="45" t="s">
        <v>83</v>
      </c>
      <c r="I35" s="54"/>
      <c r="J35" s="55"/>
      <c r="K35" s="46">
        <f>C35*G35</f>
        <v>67282.78633522075</v>
      </c>
      <c r="L35" s="47">
        <f>E35*G35</f>
        <v>0</v>
      </c>
      <c r="M35" s="45" t="s">
        <v>82</v>
      </c>
      <c r="O35" s="7">
        <f t="shared" ref="O35:O38" si="9">C35*G35</f>
        <v>67282.78633522075</v>
      </c>
    </row>
    <row r="36" spans="1:15" ht="38.25" customHeight="1" x14ac:dyDescent="0.25">
      <c r="A36" s="41" t="s">
        <v>60</v>
      </c>
      <c r="B36" s="41" t="s">
        <v>28</v>
      </c>
      <c r="C36" s="122">
        <v>1237.055329294629</v>
      </c>
      <c r="D36" s="42" t="s">
        <v>21</v>
      </c>
      <c r="E36" s="79"/>
      <c r="F36" s="42" t="s">
        <v>21</v>
      </c>
      <c r="G36" s="134">
        <v>96</v>
      </c>
      <c r="H36" s="45" t="s">
        <v>83</v>
      </c>
      <c r="I36" s="54"/>
      <c r="J36" s="55"/>
      <c r="K36" s="46">
        <f>C36*G36</f>
        <v>118757.31161228439</v>
      </c>
      <c r="L36" s="47">
        <f t="shared" ref="L36:L37" si="10">E36*G36</f>
        <v>0</v>
      </c>
      <c r="M36" s="45" t="s">
        <v>82</v>
      </c>
      <c r="O36" s="7">
        <f t="shared" si="9"/>
        <v>118757.31161228439</v>
      </c>
    </row>
    <row r="37" spans="1:15" ht="38.25" customHeight="1" x14ac:dyDescent="0.25">
      <c r="A37" s="41" t="s">
        <v>61</v>
      </c>
      <c r="B37" s="41" t="s">
        <v>29</v>
      </c>
      <c r="C37" s="122">
        <v>341.9994854602873</v>
      </c>
      <c r="D37" s="42" t="s">
        <v>21</v>
      </c>
      <c r="E37" s="79"/>
      <c r="F37" s="42" t="s">
        <v>21</v>
      </c>
      <c r="G37" s="134">
        <v>2</v>
      </c>
      <c r="H37" s="45" t="s">
        <v>83</v>
      </c>
      <c r="I37" s="54"/>
      <c r="J37" s="55"/>
      <c r="K37" s="46">
        <f>C37*G37</f>
        <v>683.99897092057461</v>
      </c>
      <c r="L37" s="47">
        <f t="shared" si="10"/>
        <v>0</v>
      </c>
      <c r="M37" s="45" t="s">
        <v>82</v>
      </c>
      <c r="O37" s="7">
        <f t="shared" si="9"/>
        <v>683.99897092057461</v>
      </c>
    </row>
    <row r="38" spans="1:15" ht="38.25" customHeight="1" x14ac:dyDescent="0.25">
      <c r="A38" s="41" t="s">
        <v>62</v>
      </c>
      <c r="B38" s="41" t="s">
        <v>30</v>
      </c>
      <c r="C38" s="122">
        <v>1091.7493291407866</v>
      </c>
      <c r="D38" s="42" t="s">
        <v>21</v>
      </c>
      <c r="E38" s="79"/>
      <c r="F38" s="42" t="s">
        <v>21</v>
      </c>
      <c r="G38" s="134">
        <v>0</v>
      </c>
      <c r="H38" s="45" t="s">
        <v>83</v>
      </c>
      <c r="I38" s="54"/>
      <c r="J38" s="55"/>
      <c r="K38" s="46">
        <f>C38*G38</f>
        <v>0</v>
      </c>
      <c r="L38" s="47">
        <f>E38*G38</f>
        <v>0</v>
      </c>
      <c r="M38" s="45" t="s">
        <v>82</v>
      </c>
      <c r="O38" s="7">
        <f t="shared" si="9"/>
        <v>0</v>
      </c>
    </row>
    <row r="39" spans="1:15" ht="38.25" customHeight="1" x14ac:dyDescent="0.25">
      <c r="A39" s="48" t="s">
        <v>31</v>
      </c>
      <c r="B39" s="48" t="s">
        <v>32</v>
      </c>
      <c r="C39" s="10"/>
      <c r="D39" s="49"/>
      <c r="E39" s="10"/>
      <c r="F39" s="49"/>
      <c r="G39" s="111"/>
      <c r="H39" s="51"/>
      <c r="I39" s="50"/>
      <c r="J39" s="51"/>
      <c r="K39" s="26"/>
      <c r="L39" s="47"/>
      <c r="M39" s="51"/>
    </row>
    <row r="40" spans="1:15" ht="38.25" customHeight="1" x14ac:dyDescent="0.25">
      <c r="A40" s="41" t="s">
        <v>63</v>
      </c>
      <c r="B40" s="41" t="s">
        <v>33</v>
      </c>
      <c r="C40" s="122">
        <v>370.78428390801372</v>
      </c>
      <c r="D40" s="42" t="s">
        <v>21</v>
      </c>
      <c r="E40" s="79"/>
      <c r="F40" s="42" t="s">
        <v>21</v>
      </c>
      <c r="G40" s="134">
        <v>1154</v>
      </c>
      <c r="H40" s="45" t="s">
        <v>83</v>
      </c>
      <c r="I40" s="54"/>
      <c r="J40" s="55"/>
      <c r="K40" s="46">
        <f t="shared" ref="K40:K51" si="11">C40*G40</f>
        <v>427885.06362984783</v>
      </c>
      <c r="L40" s="47">
        <f>E40*G40</f>
        <v>0</v>
      </c>
      <c r="M40" s="45" t="s">
        <v>82</v>
      </c>
      <c r="O40" s="7">
        <f t="shared" ref="O40:O51" si="12">C40*G40</f>
        <v>427885.06362984783</v>
      </c>
    </row>
    <row r="41" spans="1:15" ht="38.25" customHeight="1" x14ac:dyDescent="0.25">
      <c r="A41" s="41" t="s">
        <v>64</v>
      </c>
      <c r="B41" s="41" t="s">
        <v>34</v>
      </c>
      <c r="C41" s="122">
        <v>0.44308650716676129</v>
      </c>
      <c r="D41" s="42" t="s">
        <v>87</v>
      </c>
      <c r="E41" s="79"/>
      <c r="F41" s="42" t="s">
        <v>87</v>
      </c>
      <c r="G41" s="134">
        <v>258715.2</v>
      </c>
      <c r="H41" s="45" t="s">
        <v>89</v>
      </c>
      <c r="I41" s="54"/>
      <c r="J41" s="55"/>
      <c r="K41" s="46">
        <f t="shared" si="11"/>
        <v>114633.21431895008</v>
      </c>
      <c r="L41" s="47">
        <f t="shared" ref="L41:L51" si="13">E41*G41</f>
        <v>0</v>
      </c>
      <c r="M41" s="45" t="s">
        <v>82</v>
      </c>
      <c r="O41" s="7">
        <f t="shared" si="12"/>
        <v>114633.21431895008</v>
      </c>
    </row>
    <row r="42" spans="1:15" ht="38.25" customHeight="1" x14ac:dyDescent="0.25">
      <c r="A42" s="41" t="s">
        <v>65</v>
      </c>
      <c r="B42" s="41" t="s">
        <v>35</v>
      </c>
      <c r="C42" s="122">
        <v>0.6962787969763391</v>
      </c>
      <c r="D42" s="42" t="s">
        <v>87</v>
      </c>
      <c r="E42" s="79"/>
      <c r="F42" s="42" t="s">
        <v>87</v>
      </c>
      <c r="G42" s="134">
        <v>21330</v>
      </c>
      <c r="H42" s="45" t="s">
        <v>89</v>
      </c>
      <c r="I42" s="54"/>
      <c r="J42" s="55"/>
      <c r="K42" s="46">
        <f t="shared" si="11"/>
        <v>14851.626739505313</v>
      </c>
      <c r="L42" s="47">
        <f t="shared" si="13"/>
        <v>0</v>
      </c>
      <c r="M42" s="45" t="s">
        <v>82</v>
      </c>
      <c r="O42" s="7">
        <f t="shared" si="12"/>
        <v>14851.626739505313</v>
      </c>
    </row>
    <row r="43" spans="1:15" ht="38.25" customHeight="1" x14ac:dyDescent="0.25">
      <c r="A43" s="41" t="s">
        <v>66</v>
      </c>
      <c r="B43" s="41" t="s">
        <v>36</v>
      </c>
      <c r="C43" s="122">
        <v>158.69354247752398</v>
      </c>
      <c r="D43" s="42" t="s">
        <v>21</v>
      </c>
      <c r="E43" s="79"/>
      <c r="F43" s="42" t="s">
        <v>21</v>
      </c>
      <c r="G43" s="134">
        <v>7</v>
      </c>
      <c r="H43" s="45" t="s">
        <v>83</v>
      </c>
      <c r="I43" s="54"/>
      <c r="J43" s="55"/>
      <c r="K43" s="46">
        <f t="shared" si="11"/>
        <v>1110.8547973426678</v>
      </c>
      <c r="L43" s="47">
        <f t="shared" si="13"/>
        <v>0</v>
      </c>
      <c r="M43" s="45" t="s">
        <v>82</v>
      </c>
      <c r="O43" s="7">
        <f t="shared" si="12"/>
        <v>1110.8547973426678</v>
      </c>
    </row>
    <row r="44" spans="1:15" ht="38.25" customHeight="1" x14ac:dyDescent="0.25">
      <c r="A44" s="41" t="s">
        <v>67</v>
      </c>
      <c r="B44" s="41" t="s">
        <v>37</v>
      </c>
      <c r="C44" s="122">
        <v>5744.7273370438525</v>
      </c>
      <c r="D44" s="42" t="s">
        <v>21</v>
      </c>
      <c r="E44" s="79"/>
      <c r="F44" s="42" t="s">
        <v>21</v>
      </c>
      <c r="G44" s="134">
        <v>1</v>
      </c>
      <c r="H44" s="45" t="s">
        <v>83</v>
      </c>
      <c r="I44" s="54"/>
      <c r="J44" s="55"/>
      <c r="K44" s="46">
        <f t="shared" si="11"/>
        <v>5744.7273370438525</v>
      </c>
      <c r="L44" s="47">
        <f t="shared" si="13"/>
        <v>0</v>
      </c>
      <c r="M44" s="45" t="s">
        <v>82</v>
      </c>
      <c r="O44" s="7">
        <f t="shared" si="12"/>
        <v>5744.7273370438525</v>
      </c>
    </row>
    <row r="45" spans="1:15" ht="38.25" customHeight="1" x14ac:dyDescent="0.25">
      <c r="A45" s="41" t="s">
        <v>68</v>
      </c>
      <c r="B45" s="41" t="s">
        <v>38</v>
      </c>
      <c r="C45" s="122">
        <v>170.98919305140157</v>
      </c>
      <c r="D45" s="42" t="s">
        <v>21</v>
      </c>
      <c r="E45" s="79"/>
      <c r="F45" s="42" t="s">
        <v>21</v>
      </c>
      <c r="G45" s="134">
        <v>7</v>
      </c>
      <c r="H45" s="45" t="s">
        <v>83</v>
      </c>
      <c r="I45" s="54"/>
      <c r="J45" s="55"/>
      <c r="K45" s="46">
        <f t="shared" si="11"/>
        <v>1196.924351359811</v>
      </c>
      <c r="L45" s="47">
        <f t="shared" si="13"/>
        <v>0</v>
      </c>
      <c r="M45" s="45" t="s">
        <v>82</v>
      </c>
      <c r="O45" s="7">
        <f t="shared" si="12"/>
        <v>1196.924351359811</v>
      </c>
    </row>
    <row r="46" spans="1:15" ht="38.25" customHeight="1" x14ac:dyDescent="0.25">
      <c r="A46" s="41" t="s">
        <v>69</v>
      </c>
      <c r="B46" s="41" t="s">
        <v>39</v>
      </c>
      <c r="C46" s="122">
        <v>1136.727884457584</v>
      </c>
      <c r="D46" s="42" t="s">
        <v>21</v>
      </c>
      <c r="E46" s="79"/>
      <c r="F46" s="42" t="s">
        <v>21</v>
      </c>
      <c r="G46" s="134">
        <v>2</v>
      </c>
      <c r="H46" s="45" t="s">
        <v>83</v>
      </c>
      <c r="I46" s="54"/>
      <c r="J46" s="55"/>
      <c r="K46" s="46">
        <f t="shared" si="11"/>
        <v>2273.4557689151679</v>
      </c>
      <c r="L46" s="47">
        <f t="shared" si="13"/>
        <v>0</v>
      </c>
      <c r="M46" s="45" t="s">
        <v>82</v>
      </c>
      <c r="O46" s="7">
        <f t="shared" si="12"/>
        <v>2273.4557689151679</v>
      </c>
    </row>
    <row r="47" spans="1:15" ht="38.25" customHeight="1" x14ac:dyDescent="0.25">
      <c r="A47" s="41" t="s">
        <v>70</v>
      </c>
      <c r="B47" s="41" t="s">
        <v>40</v>
      </c>
      <c r="C47" s="122">
        <v>114.34796788525061</v>
      </c>
      <c r="D47" s="42" t="s">
        <v>21</v>
      </c>
      <c r="E47" s="79"/>
      <c r="F47" s="42" t="s">
        <v>21</v>
      </c>
      <c r="G47" s="134">
        <v>1233</v>
      </c>
      <c r="H47" s="45" t="s">
        <v>83</v>
      </c>
      <c r="I47" s="54"/>
      <c r="J47" s="55"/>
      <c r="K47" s="46">
        <f t="shared" si="11"/>
        <v>140991.044402514</v>
      </c>
      <c r="L47" s="47">
        <f t="shared" si="13"/>
        <v>0</v>
      </c>
      <c r="M47" s="45" t="s">
        <v>82</v>
      </c>
      <c r="O47" s="7">
        <f t="shared" si="12"/>
        <v>140991.044402514</v>
      </c>
    </row>
    <row r="48" spans="1:15" ht="38.25" customHeight="1" x14ac:dyDescent="0.25">
      <c r="A48" s="41" t="s">
        <v>71</v>
      </c>
      <c r="B48" s="41" t="s">
        <v>41</v>
      </c>
      <c r="C48" s="122">
        <v>361.84870601348399</v>
      </c>
      <c r="D48" s="42" t="s">
        <v>21</v>
      </c>
      <c r="E48" s="79"/>
      <c r="F48" s="42" t="s">
        <v>21</v>
      </c>
      <c r="G48" s="134">
        <v>271</v>
      </c>
      <c r="H48" s="45" t="s">
        <v>83</v>
      </c>
      <c r="I48" s="54"/>
      <c r="J48" s="55"/>
      <c r="K48" s="46">
        <f t="shared" si="11"/>
        <v>98060.999329654165</v>
      </c>
      <c r="L48" s="47">
        <f t="shared" si="13"/>
        <v>0</v>
      </c>
      <c r="M48" s="45" t="s">
        <v>82</v>
      </c>
      <c r="O48" s="7">
        <f t="shared" si="12"/>
        <v>98060.999329654165</v>
      </c>
    </row>
    <row r="49" spans="1:20" ht="38.25" customHeight="1" x14ac:dyDescent="0.25">
      <c r="A49" s="41" t="s">
        <v>72</v>
      </c>
      <c r="B49" s="41" t="s">
        <v>42</v>
      </c>
      <c r="C49" s="122">
        <v>1682.9375013280378</v>
      </c>
      <c r="D49" s="42" t="s">
        <v>21</v>
      </c>
      <c r="E49" s="79"/>
      <c r="F49" s="42" t="s">
        <v>21</v>
      </c>
      <c r="G49" s="134">
        <v>52</v>
      </c>
      <c r="H49" s="45" t="s">
        <v>83</v>
      </c>
      <c r="I49" s="54"/>
      <c r="J49" s="55"/>
      <c r="K49" s="46">
        <f t="shared" si="11"/>
        <v>87512.750069057962</v>
      </c>
      <c r="L49" s="47">
        <f t="shared" si="13"/>
        <v>0</v>
      </c>
      <c r="M49" s="45" t="s">
        <v>82</v>
      </c>
      <c r="O49" s="7">
        <f t="shared" si="12"/>
        <v>87512.750069057962</v>
      </c>
    </row>
    <row r="50" spans="1:20" ht="38.25" customHeight="1" x14ac:dyDescent="0.25">
      <c r="A50" s="41" t="s">
        <v>73</v>
      </c>
      <c r="B50" s="41" t="s">
        <v>43</v>
      </c>
      <c r="C50" s="122">
        <v>411.55351740672677</v>
      </c>
      <c r="D50" s="42" t="s">
        <v>21</v>
      </c>
      <c r="E50" s="79"/>
      <c r="F50" s="42" t="s">
        <v>21</v>
      </c>
      <c r="G50" s="134">
        <v>187</v>
      </c>
      <c r="H50" s="45" t="s">
        <v>83</v>
      </c>
      <c r="I50" s="54"/>
      <c r="J50" s="55"/>
      <c r="K50" s="46">
        <f t="shared" si="11"/>
        <v>76960.507755057901</v>
      </c>
      <c r="L50" s="47">
        <f t="shared" si="13"/>
        <v>0</v>
      </c>
      <c r="M50" s="45" t="s">
        <v>82</v>
      </c>
      <c r="O50" s="7">
        <f t="shared" si="12"/>
        <v>76960.507755057901</v>
      </c>
    </row>
    <row r="51" spans="1:20" ht="38.25" customHeight="1" x14ac:dyDescent="0.25">
      <c r="A51" s="41" t="s">
        <v>74</v>
      </c>
      <c r="B51" s="41" t="s">
        <v>44</v>
      </c>
      <c r="C51" s="122">
        <v>31.227049076514604</v>
      </c>
      <c r="D51" s="42" t="s">
        <v>21</v>
      </c>
      <c r="E51" s="79"/>
      <c r="F51" s="42" t="s">
        <v>21</v>
      </c>
      <c r="G51" s="134">
        <v>482</v>
      </c>
      <c r="H51" s="45" t="s">
        <v>83</v>
      </c>
      <c r="I51" s="54"/>
      <c r="J51" s="55"/>
      <c r="K51" s="46">
        <f t="shared" si="11"/>
        <v>15051.437654880039</v>
      </c>
      <c r="L51" s="47">
        <f t="shared" si="13"/>
        <v>0</v>
      </c>
      <c r="M51" s="45" t="s">
        <v>82</v>
      </c>
      <c r="O51" s="7">
        <f t="shared" si="12"/>
        <v>15051.437654880039</v>
      </c>
    </row>
    <row r="52" spans="1:20" ht="38.25" customHeight="1" x14ac:dyDescent="0.25">
      <c r="A52" s="48" t="s">
        <v>96</v>
      </c>
      <c r="B52" s="48" t="s">
        <v>99</v>
      </c>
      <c r="C52" s="10"/>
      <c r="D52" s="49"/>
      <c r="E52" s="10"/>
      <c r="F52" s="49"/>
      <c r="G52" s="10"/>
      <c r="H52" s="51"/>
      <c r="I52" s="50"/>
      <c r="J52" s="51"/>
      <c r="K52" s="26"/>
      <c r="L52" s="47"/>
      <c r="M52" s="51"/>
    </row>
    <row r="53" spans="1:20" ht="38.25" customHeight="1" x14ac:dyDescent="0.25">
      <c r="A53" s="41" t="s">
        <v>97</v>
      </c>
      <c r="B53" s="41" t="s">
        <v>80</v>
      </c>
      <c r="C53" s="122">
        <v>66768.119526270457</v>
      </c>
      <c r="D53" s="42" t="s">
        <v>81</v>
      </c>
      <c r="E53" s="79"/>
      <c r="F53" s="42" t="s">
        <v>81</v>
      </c>
      <c r="G53" s="135">
        <v>6</v>
      </c>
      <c r="H53" s="45" t="s">
        <v>81</v>
      </c>
      <c r="I53" s="54"/>
      <c r="J53" s="55"/>
      <c r="K53" s="46">
        <f>C53*G53</f>
        <v>400608.71715762274</v>
      </c>
      <c r="L53" s="47">
        <f>E53*G53</f>
        <v>0</v>
      </c>
      <c r="M53" s="45" t="s">
        <v>82</v>
      </c>
      <c r="O53" s="7">
        <f t="shared" ref="O53:O54" si="14">C53*G53</f>
        <v>400608.71715762274</v>
      </c>
    </row>
    <row r="54" spans="1:20" ht="38.25" customHeight="1" x14ac:dyDescent="0.25">
      <c r="A54" s="41" t="s">
        <v>98</v>
      </c>
      <c r="B54" s="41" t="s">
        <v>106</v>
      </c>
      <c r="C54" s="122">
        <v>107787.58410852712</v>
      </c>
      <c r="D54" s="42" t="s">
        <v>81</v>
      </c>
      <c r="E54" s="79"/>
      <c r="F54" s="42" t="s">
        <v>81</v>
      </c>
      <c r="G54" s="135">
        <v>6</v>
      </c>
      <c r="H54" s="45" t="s">
        <v>81</v>
      </c>
      <c r="I54" s="54"/>
      <c r="J54" s="55"/>
      <c r="K54" s="46">
        <f>C54*G54</f>
        <v>646725.50465116277</v>
      </c>
      <c r="L54" s="47">
        <f>E54*G54</f>
        <v>0</v>
      </c>
      <c r="M54" s="45" t="s">
        <v>82</v>
      </c>
      <c r="O54" s="7">
        <f t="shared" si="14"/>
        <v>646725.50465116277</v>
      </c>
    </row>
    <row r="55" spans="1:20" ht="17.25" customHeight="1" x14ac:dyDescent="0.25">
      <c r="A55" s="57"/>
      <c r="B55" s="57"/>
      <c r="C55" s="58"/>
      <c r="E55" s="58"/>
      <c r="F55" s="59"/>
      <c r="G55" s="136"/>
      <c r="H55" s="46"/>
      <c r="I55" s="61"/>
      <c r="J55" s="61"/>
      <c r="K55" s="61"/>
      <c r="L55" s="61"/>
      <c r="M55" s="46"/>
      <c r="O55" s="8"/>
    </row>
    <row r="56" spans="1:20" ht="36.75" customHeight="1" x14ac:dyDescent="0.25">
      <c r="A56" s="62"/>
      <c r="B56" s="62"/>
      <c r="C56" s="63"/>
      <c r="E56" s="63"/>
      <c r="F56" s="11"/>
      <c r="G56" s="137"/>
      <c r="H56" s="11"/>
      <c r="I56" s="11"/>
      <c r="J56" s="11"/>
      <c r="K56" s="11"/>
      <c r="L56" s="70"/>
      <c r="M56" s="11"/>
      <c r="O56" s="8"/>
    </row>
    <row r="57" spans="1:20" x14ac:dyDescent="0.25">
      <c r="B57" s="64" t="s">
        <v>93</v>
      </c>
    </row>
    <row r="58" spans="1:20" ht="36.75" customHeight="1" x14ac:dyDescent="0.25">
      <c r="C58" s="11"/>
      <c r="E58" s="11"/>
      <c r="F58" s="11"/>
      <c r="G58" s="137"/>
      <c r="H58" s="11"/>
      <c r="I58" s="11"/>
      <c r="J58" s="65" t="s">
        <v>112</v>
      </c>
      <c r="K58" s="11"/>
      <c r="L58" s="47">
        <f>SUM(O9:O54)</f>
        <v>19184703.335723873</v>
      </c>
      <c r="M58" s="45" t="s">
        <v>82</v>
      </c>
    </row>
    <row r="59" spans="1:20" x14ac:dyDescent="0.25">
      <c r="K59" s="11"/>
    </row>
    <row r="60" spans="1:20" ht="36.75" customHeight="1" x14ac:dyDescent="0.25">
      <c r="C60" s="11"/>
      <c r="E60" s="11"/>
      <c r="F60" s="11"/>
      <c r="G60" s="137"/>
      <c r="H60" s="11"/>
      <c r="I60" s="11"/>
      <c r="J60" s="65" t="s">
        <v>113</v>
      </c>
      <c r="K60" s="11"/>
      <c r="L60" s="47">
        <f>SUM(L9:L54)</f>
        <v>0</v>
      </c>
      <c r="M60" s="45" t="s">
        <v>82</v>
      </c>
    </row>
    <row r="61" spans="1:20" ht="15.75" x14ac:dyDescent="0.25">
      <c r="N61" s="128"/>
    </row>
    <row r="62" spans="1:20" ht="36.75" customHeight="1" x14ac:dyDescent="0.25">
      <c r="A62" s="18"/>
      <c r="C62" s="11"/>
      <c r="E62" s="11"/>
      <c r="F62" s="11"/>
      <c r="G62" s="137"/>
      <c r="H62" s="11"/>
      <c r="I62" s="11"/>
      <c r="J62" s="71" t="s">
        <v>115</v>
      </c>
      <c r="K62" s="11"/>
      <c r="L62" s="47">
        <f>(1-L60/L58)*100</f>
        <v>100</v>
      </c>
      <c r="M62" s="45" t="s">
        <v>91</v>
      </c>
      <c r="N62" s="86" t="s">
        <v>119</v>
      </c>
    </row>
    <row r="63" spans="1:20" ht="15.75" x14ac:dyDescent="0.25">
      <c r="A63" s="21"/>
      <c r="N63" s="128"/>
    </row>
    <row r="64" spans="1:20" s="17" customFormat="1" ht="60" customHeight="1" x14ac:dyDescent="0.25">
      <c r="A64" s="66"/>
      <c r="B64" s="162" t="s">
        <v>118</v>
      </c>
      <c r="C64" s="162"/>
      <c r="D64" s="162"/>
      <c r="E64" s="162"/>
      <c r="F64" s="162"/>
      <c r="G64" s="162"/>
      <c r="H64" s="162"/>
      <c r="I64" s="162"/>
      <c r="J64" s="19"/>
      <c r="K64" s="19"/>
      <c r="L64" s="1"/>
      <c r="M64" s="45" t="s">
        <v>91</v>
      </c>
      <c r="N64" s="86" t="s">
        <v>120</v>
      </c>
      <c r="O64" s="82"/>
      <c r="P64" s="126"/>
      <c r="Q64" s="126"/>
      <c r="R64" s="126"/>
      <c r="S64" s="126"/>
      <c r="T64" s="126"/>
    </row>
    <row r="65" spans="1:20" ht="15.75" x14ac:dyDescent="0.25">
      <c r="A65" s="67"/>
      <c r="B65" s="68"/>
      <c r="N65" s="128"/>
    </row>
    <row r="66" spans="1:20" s="24" customFormat="1" ht="15.75" x14ac:dyDescent="0.25">
      <c r="A66" s="67"/>
      <c r="B66" s="11"/>
      <c r="C66" s="21"/>
      <c r="D66" s="22"/>
      <c r="E66" s="21"/>
      <c r="F66" s="22"/>
      <c r="G66" s="132"/>
      <c r="I66" s="23"/>
      <c r="L66" s="12"/>
      <c r="N66" s="104"/>
      <c r="O66" s="7"/>
      <c r="P66" s="129"/>
      <c r="Q66" s="129"/>
      <c r="R66" s="129"/>
      <c r="S66" s="129"/>
      <c r="T66" s="129"/>
    </row>
    <row r="67" spans="1:20" s="24" customFormat="1" ht="15.75" x14ac:dyDescent="0.25">
      <c r="A67" s="67"/>
      <c r="B67" s="11"/>
      <c r="C67" s="21"/>
      <c r="D67" s="22"/>
      <c r="E67" s="21"/>
      <c r="F67" s="22"/>
      <c r="G67" s="132"/>
      <c r="I67" s="23"/>
      <c r="L67" s="12"/>
      <c r="N67" s="104"/>
      <c r="O67" s="7"/>
      <c r="P67" s="129"/>
      <c r="Q67" s="129"/>
      <c r="R67" s="129"/>
      <c r="S67" s="129"/>
      <c r="T67" s="129"/>
    </row>
  </sheetData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4:I64"/>
  </mergeCells>
  <printOptions horizontalCentered="1"/>
  <pageMargins left="0.70866141732283472" right="0.70866141732283472" top="0.65" bottom="0.74803149606299213" header="0.31496062992125984" footer="0.31496062992125984"/>
  <pageSetup paperSize="8" scale="47" orientation="portrait" r:id="rId1"/>
  <headerFooter>
    <oddHeader>&amp;R&amp;"Arial Narrow,Grassetto Corsivo"&amp;12Allegato 8- Modello offerta economica</oddHeader>
    <oddFooter>&amp;L&amp;F&amp;RPag.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view="pageLayout" topLeftCell="A44" zoomScale="90" zoomScaleNormal="100" zoomScalePageLayoutView="90" workbookViewId="0">
      <selection activeCell="L34" sqref="L34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132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6" style="11" bestFit="1" customWidth="1"/>
    <col min="15" max="15" width="19.42578125" style="72" hidden="1" customWidth="1"/>
    <col min="16" max="16" width="6.7109375" style="11" customWidth="1"/>
    <col min="17" max="16384" width="9.140625" style="11"/>
  </cols>
  <sheetData>
    <row r="1" spans="1:16" ht="53.25" customHeight="1" x14ac:dyDescent="0.25">
      <c r="A1" s="163" t="s">
        <v>110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6" ht="12.75" customHeight="1" x14ac:dyDescent="0.25">
      <c r="A2" s="15"/>
      <c r="B2" s="15"/>
      <c r="C2" s="15"/>
      <c r="D2" s="15"/>
      <c r="E2" s="15"/>
      <c r="F2" s="15"/>
      <c r="G2" s="130"/>
      <c r="H2" s="15"/>
      <c r="I2" s="15"/>
      <c r="J2" s="15"/>
      <c r="K2" s="15"/>
      <c r="L2" s="16"/>
      <c r="M2" s="15"/>
    </row>
    <row r="3" spans="1:16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31"/>
      <c r="H3" s="19"/>
      <c r="I3" s="19"/>
      <c r="J3" s="19"/>
      <c r="K3" s="19"/>
      <c r="L3" s="20"/>
      <c r="M3" s="19"/>
      <c r="O3" s="73"/>
    </row>
    <row r="4" spans="1:16" ht="15.75" thickBot="1" x14ac:dyDescent="0.3"/>
    <row r="5" spans="1:16" ht="38.25" customHeight="1" thickBot="1" x14ac:dyDescent="0.3">
      <c r="A5" s="25">
        <v>1</v>
      </c>
      <c r="B5" s="69">
        <v>2</v>
      </c>
      <c r="C5" s="158">
        <v>3</v>
      </c>
      <c r="D5" s="159"/>
      <c r="E5" s="158">
        <v>4</v>
      </c>
      <c r="F5" s="159"/>
      <c r="G5" s="160">
        <v>5</v>
      </c>
      <c r="H5" s="161"/>
      <c r="I5" s="160">
        <v>6</v>
      </c>
      <c r="J5" s="161"/>
      <c r="K5" s="26"/>
      <c r="L5" s="160">
        <v>7</v>
      </c>
      <c r="M5" s="161"/>
      <c r="N5" s="74">
        <v>8</v>
      </c>
    </row>
    <row r="6" spans="1:16" ht="38.25" customHeight="1" thickBot="1" x14ac:dyDescent="0.3">
      <c r="A6" s="25" t="s">
        <v>46</v>
      </c>
      <c r="B6" s="69" t="s">
        <v>45</v>
      </c>
      <c r="C6" s="158" t="s">
        <v>92</v>
      </c>
      <c r="D6" s="159"/>
      <c r="E6" s="158" t="s">
        <v>94</v>
      </c>
      <c r="F6" s="159"/>
      <c r="G6" s="160" t="s">
        <v>75</v>
      </c>
      <c r="H6" s="161"/>
      <c r="I6" s="160" t="s">
        <v>75</v>
      </c>
      <c r="J6" s="161"/>
      <c r="K6" s="26" t="s">
        <v>95</v>
      </c>
      <c r="L6" s="27" t="s">
        <v>76</v>
      </c>
      <c r="M6" s="28"/>
      <c r="N6" s="75" t="s">
        <v>109</v>
      </c>
    </row>
    <row r="7" spans="1:16" ht="8.25" customHeight="1" x14ac:dyDescent="0.25">
      <c r="A7" s="29"/>
      <c r="B7" s="29"/>
      <c r="C7" s="29"/>
      <c r="D7" s="30"/>
      <c r="E7" s="29"/>
      <c r="F7" s="30"/>
      <c r="G7" s="133"/>
      <c r="H7" s="32"/>
      <c r="I7" s="31"/>
      <c r="J7" s="32"/>
      <c r="K7" s="26"/>
      <c r="L7" s="33"/>
      <c r="M7" s="32"/>
    </row>
    <row r="8" spans="1:16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5"/>
      <c r="H8" s="38"/>
      <c r="I8" s="37"/>
      <c r="J8" s="38"/>
      <c r="K8" s="26"/>
      <c r="L8" s="39"/>
      <c r="M8" s="38"/>
      <c r="O8" s="40"/>
    </row>
    <row r="9" spans="1:16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138">
        <v>442623</v>
      </c>
      <c r="H9" s="45" t="s">
        <v>88</v>
      </c>
      <c r="I9" s="44">
        <v>2468</v>
      </c>
      <c r="J9" s="45" t="s">
        <v>77</v>
      </c>
      <c r="K9" s="46">
        <f>C9*G9*I9</f>
        <v>1176805.267943661</v>
      </c>
      <c r="L9" s="47">
        <f>E9*G9*I9</f>
        <v>0</v>
      </c>
      <c r="M9" s="45" t="s">
        <v>82</v>
      </c>
      <c r="N9" s="2"/>
      <c r="O9" s="7">
        <f>C9*G9*I9</f>
        <v>1176805.267943661</v>
      </c>
      <c r="P9" s="2"/>
    </row>
    <row r="10" spans="1:16" ht="38.25" customHeight="1" x14ac:dyDescent="0.25">
      <c r="A10" s="41" t="s">
        <v>48</v>
      </c>
      <c r="B10" s="41" t="s">
        <v>3</v>
      </c>
      <c r="C10" s="9">
        <v>2.6533799156641469E-3</v>
      </c>
      <c r="D10" s="42" t="s">
        <v>85</v>
      </c>
      <c r="E10" s="43"/>
      <c r="F10" s="42" t="s">
        <v>85</v>
      </c>
      <c r="G10" s="138">
        <v>1213788</v>
      </c>
      <c r="H10" s="45" t="s">
        <v>88</v>
      </c>
      <c r="I10" s="44">
        <v>2468</v>
      </c>
      <c r="J10" s="45" t="s">
        <v>77</v>
      </c>
      <c r="K10" s="46">
        <f>C10*G10*I10</f>
        <v>7948541.250251011</v>
      </c>
      <c r="L10" s="47">
        <f>E10*G10*I10</f>
        <v>0</v>
      </c>
      <c r="M10" s="45" t="s">
        <v>82</v>
      </c>
      <c r="N10" s="2"/>
      <c r="O10" s="7">
        <f>C10*G10*I10</f>
        <v>7948541.250251011</v>
      </c>
      <c r="P10" s="2"/>
    </row>
    <row r="11" spans="1:16" ht="38.25" customHeight="1" x14ac:dyDescent="0.25">
      <c r="A11" s="48" t="s">
        <v>4</v>
      </c>
      <c r="B11" s="48" t="s">
        <v>5</v>
      </c>
      <c r="C11" s="4"/>
      <c r="D11" s="49"/>
      <c r="E11" s="10"/>
      <c r="F11" s="49"/>
      <c r="G11" s="4"/>
      <c r="H11" s="51"/>
      <c r="I11" s="50"/>
      <c r="J11" s="51"/>
      <c r="K11" s="26"/>
      <c r="L11" s="52"/>
      <c r="M11" s="51"/>
      <c r="N11" s="2"/>
      <c r="O11" s="8"/>
      <c r="P11" s="2"/>
    </row>
    <row r="12" spans="1:16" ht="38.25" customHeight="1" x14ac:dyDescent="0.25">
      <c r="A12" s="41" t="s">
        <v>49</v>
      </c>
      <c r="B12" s="41" t="s">
        <v>6</v>
      </c>
      <c r="C12" s="9">
        <v>1.3322304810368274E-2</v>
      </c>
      <c r="D12" s="42" t="s">
        <v>86</v>
      </c>
      <c r="E12" s="43"/>
      <c r="F12" s="42" t="s">
        <v>86</v>
      </c>
      <c r="G12" s="138">
        <v>129397.5</v>
      </c>
      <c r="H12" s="45" t="s">
        <v>88</v>
      </c>
      <c r="I12" s="44">
        <v>130</v>
      </c>
      <c r="J12" s="45" t="s">
        <v>84</v>
      </c>
      <c r="K12" s="46">
        <f>C12*G12*I12</f>
        <v>224103.48177095174</v>
      </c>
      <c r="L12" s="47">
        <f>E12*G12*I12</f>
        <v>0</v>
      </c>
      <c r="M12" s="45" t="s">
        <v>82</v>
      </c>
      <c r="N12" s="2"/>
      <c r="O12" s="7">
        <f t="shared" ref="O12:O13" si="0">C12*G12*I12</f>
        <v>224103.48177095174</v>
      </c>
      <c r="P12" s="2"/>
    </row>
    <row r="13" spans="1:16" ht="38.25" customHeight="1" x14ac:dyDescent="0.25">
      <c r="A13" s="41" t="s">
        <v>50</v>
      </c>
      <c r="B13" s="41" t="s">
        <v>7</v>
      </c>
      <c r="C13" s="9">
        <v>2.5405787641850981E-2</v>
      </c>
      <c r="D13" s="42" t="s">
        <v>86</v>
      </c>
      <c r="E13" s="43"/>
      <c r="F13" s="42" t="s">
        <v>86</v>
      </c>
      <c r="G13" s="138">
        <v>1162290.19</v>
      </c>
      <c r="H13" s="45" t="s">
        <v>88</v>
      </c>
      <c r="I13" s="44">
        <v>150</v>
      </c>
      <c r="J13" s="45" t="s">
        <v>84</v>
      </c>
      <c r="K13" s="46">
        <f>C13*G13*I13</f>
        <v>4429334.6618019938</v>
      </c>
      <c r="L13" s="47">
        <f>E13*G13*I13</f>
        <v>0</v>
      </c>
      <c r="M13" s="45" t="s">
        <v>82</v>
      </c>
      <c r="N13" s="2"/>
      <c r="O13" s="7">
        <f t="shared" si="0"/>
        <v>4429334.6618019938</v>
      </c>
      <c r="P13" s="2"/>
    </row>
    <row r="14" spans="1:16" ht="38.25" customHeight="1" x14ac:dyDescent="0.25">
      <c r="A14" s="48" t="s">
        <v>8</v>
      </c>
      <c r="B14" s="48" t="s">
        <v>9</v>
      </c>
      <c r="C14" s="4"/>
      <c r="D14" s="49"/>
      <c r="E14" s="10"/>
      <c r="F14" s="49"/>
      <c r="G14" s="4"/>
      <c r="H14" s="51"/>
      <c r="I14" s="50"/>
      <c r="J14" s="51"/>
      <c r="K14" s="26"/>
      <c r="L14" s="52"/>
      <c r="M14" s="51"/>
      <c r="N14" s="2"/>
      <c r="O14" s="8"/>
      <c r="P14" s="2"/>
    </row>
    <row r="15" spans="1:16" ht="38.25" customHeight="1" x14ac:dyDescent="0.25">
      <c r="A15" s="41" t="s">
        <v>51</v>
      </c>
      <c r="B15" s="41" t="s">
        <v>10</v>
      </c>
      <c r="C15" s="14">
        <v>0.99658131218700008</v>
      </c>
      <c r="D15" s="42" t="s">
        <v>87</v>
      </c>
      <c r="E15" s="53"/>
      <c r="F15" s="42" t="s">
        <v>87</v>
      </c>
      <c r="G15" s="138">
        <v>444492</v>
      </c>
      <c r="H15" s="45" t="s">
        <v>89</v>
      </c>
      <c r="I15" s="54"/>
      <c r="J15" s="55"/>
      <c r="K15" s="46">
        <f>C15*G15</f>
        <v>442972.42061662406</v>
      </c>
      <c r="L15" s="47">
        <f>E15*G15</f>
        <v>0</v>
      </c>
      <c r="M15" s="45" t="s">
        <v>82</v>
      </c>
      <c r="N15" s="2"/>
      <c r="O15" s="7">
        <f>C15*G15</f>
        <v>442972.42061662406</v>
      </c>
      <c r="P15" s="2"/>
    </row>
    <row r="16" spans="1:16" ht="38.25" customHeight="1" x14ac:dyDescent="0.25">
      <c r="A16" s="48" t="s">
        <v>11</v>
      </c>
      <c r="B16" s="48" t="s">
        <v>12</v>
      </c>
      <c r="C16" s="4"/>
      <c r="D16" s="49"/>
      <c r="E16" s="10"/>
      <c r="F16" s="49"/>
      <c r="G16" s="4"/>
      <c r="H16" s="51"/>
      <c r="I16" s="50"/>
      <c r="J16" s="51"/>
      <c r="K16" s="26"/>
      <c r="L16" s="47"/>
      <c r="M16" s="51"/>
      <c r="N16" s="2"/>
      <c r="O16" s="8"/>
      <c r="P16" s="2"/>
    </row>
    <row r="17" spans="1:16" ht="45" x14ac:dyDescent="0.25">
      <c r="A17" s="41" t="s">
        <v>52</v>
      </c>
      <c r="B17" s="41" t="s">
        <v>79</v>
      </c>
      <c r="C17" s="13">
        <v>3.0610124513595922</v>
      </c>
      <c r="D17" s="42" t="s">
        <v>87</v>
      </c>
      <c r="E17" s="56"/>
      <c r="F17" s="42" t="s">
        <v>87</v>
      </c>
      <c r="G17" s="138">
        <v>444492</v>
      </c>
      <c r="H17" s="45" t="s">
        <v>89</v>
      </c>
      <c r="I17" s="54"/>
      <c r="J17" s="55"/>
      <c r="K17" s="46">
        <f>C17*G17</f>
        <v>1360595.5465297278</v>
      </c>
      <c r="L17" s="47">
        <f>E17*G17</f>
        <v>0</v>
      </c>
      <c r="M17" s="45" t="s">
        <v>82</v>
      </c>
      <c r="N17" s="2"/>
      <c r="O17" s="7">
        <f t="shared" ref="O17:O19" si="1">C17*G17</f>
        <v>1360595.5465297278</v>
      </c>
      <c r="P17" s="2"/>
    </row>
    <row r="18" spans="1:16" ht="38.25" customHeight="1" x14ac:dyDescent="0.25">
      <c r="A18" s="41" t="s">
        <v>105</v>
      </c>
      <c r="B18" s="41" t="s">
        <v>13</v>
      </c>
      <c r="C18" s="13">
        <v>0.29539100477784092</v>
      </c>
      <c r="D18" s="42" t="s">
        <v>87</v>
      </c>
      <c r="E18" s="56"/>
      <c r="F18" s="42" t="s">
        <v>87</v>
      </c>
      <c r="G18" s="138">
        <v>117315</v>
      </c>
      <c r="H18" s="45" t="s">
        <v>89</v>
      </c>
      <c r="I18" s="54"/>
      <c r="J18" s="55"/>
      <c r="K18" s="46">
        <f>C18*G18</f>
        <v>34653.795725512406</v>
      </c>
      <c r="L18" s="47">
        <f t="shared" ref="L18:L19" si="2">E18*G18</f>
        <v>0</v>
      </c>
      <c r="M18" s="45" t="s">
        <v>82</v>
      </c>
      <c r="N18" s="2"/>
      <c r="O18" s="7">
        <f t="shared" ref="O18" si="3">C18*G18</f>
        <v>34653.795725512406</v>
      </c>
      <c r="P18" s="2"/>
    </row>
    <row r="19" spans="1:16" ht="38.25" customHeight="1" x14ac:dyDescent="0.25">
      <c r="A19" s="41" t="s">
        <v>117</v>
      </c>
      <c r="B19" s="41" t="s">
        <v>122</v>
      </c>
      <c r="C19" s="13">
        <v>150</v>
      </c>
      <c r="D19" s="102" t="s">
        <v>130</v>
      </c>
      <c r="E19" s="56"/>
      <c r="F19" s="102" t="s">
        <v>130</v>
      </c>
      <c r="G19" s="138">
        <v>6500</v>
      </c>
      <c r="H19" s="45" t="s">
        <v>89</v>
      </c>
      <c r="I19" s="54"/>
      <c r="J19" s="55"/>
      <c r="K19" s="46">
        <f>C19*G19</f>
        <v>975000</v>
      </c>
      <c r="L19" s="47">
        <f t="shared" si="2"/>
        <v>0</v>
      </c>
      <c r="M19" s="45" t="s">
        <v>82</v>
      </c>
      <c r="N19" s="2"/>
      <c r="O19" s="7">
        <f t="shared" si="1"/>
        <v>975000</v>
      </c>
      <c r="P19" s="2"/>
    </row>
    <row r="20" spans="1:16" ht="38.25" customHeight="1" x14ac:dyDescent="0.25">
      <c r="A20" s="48" t="s">
        <v>14</v>
      </c>
      <c r="B20" s="48" t="s">
        <v>15</v>
      </c>
      <c r="C20" s="4"/>
      <c r="D20" s="49"/>
      <c r="E20" s="10"/>
      <c r="F20" s="49"/>
      <c r="G20" s="4"/>
      <c r="H20" s="51"/>
      <c r="I20" s="50"/>
      <c r="J20" s="51"/>
      <c r="K20" s="26"/>
      <c r="L20" s="47"/>
      <c r="M20" s="51"/>
      <c r="N20" s="2"/>
      <c r="O20" s="7"/>
      <c r="P20" s="2"/>
    </row>
    <row r="21" spans="1:16" ht="38.25" customHeight="1" x14ac:dyDescent="0.25">
      <c r="A21" s="41" t="s">
        <v>53</v>
      </c>
      <c r="B21" s="41" t="s">
        <v>107</v>
      </c>
      <c r="C21" s="14">
        <v>24.017975586371783</v>
      </c>
      <c r="D21" s="42" t="s">
        <v>87</v>
      </c>
      <c r="E21" s="53"/>
      <c r="F21" s="42" t="s">
        <v>87</v>
      </c>
      <c r="G21" s="138">
        <v>444492</v>
      </c>
      <c r="H21" s="45" t="s">
        <v>89</v>
      </c>
      <c r="I21" s="54"/>
      <c r="J21" s="55"/>
      <c r="K21" s="46">
        <f>C21*G21</f>
        <v>10675798.004337566</v>
      </c>
      <c r="L21" s="47">
        <f>E21*G21</f>
        <v>0</v>
      </c>
      <c r="M21" s="45" t="s">
        <v>82</v>
      </c>
      <c r="N21" s="2"/>
      <c r="O21" s="7">
        <f t="shared" ref="O21:O25" si="4">C21*G21</f>
        <v>10675798.004337566</v>
      </c>
      <c r="P21" s="2"/>
    </row>
    <row r="22" spans="1:16" ht="38.25" customHeight="1" x14ac:dyDescent="0.25">
      <c r="A22" s="41" t="s">
        <v>54</v>
      </c>
      <c r="B22" s="41" t="s">
        <v>108</v>
      </c>
      <c r="C22" s="14">
        <v>11.185362524184205</v>
      </c>
      <c r="D22" s="42" t="s">
        <v>87</v>
      </c>
      <c r="E22" s="53"/>
      <c r="F22" s="42" t="s">
        <v>87</v>
      </c>
      <c r="G22" s="138">
        <v>63370</v>
      </c>
      <c r="H22" s="45" t="s">
        <v>89</v>
      </c>
      <c r="I22" s="54"/>
      <c r="J22" s="55"/>
      <c r="K22" s="46">
        <f>C22*G22</f>
        <v>708816.42315755307</v>
      </c>
      <c r="L22" s="47">
        <f t="shared" ref="L22:L25" si="5">E22*G22</f>
        <v>0</v>
      </c>
      <c r="M22" s="45" t="s">
        <v>82</v>
      </c>
      <c r="N22" s="2"/>
      <c r="O22" s="7">
        <f t="shared" si="4"/>
        <v>708816.42315755307</v>
      </c>
      <c r="P22" s="2"/>
    </row>
    <row r="23" spans="1:16" ht="38.25" customHeight="1" x14ac:dyDescent="0.25">
      <c r="A23" s="41" t="s">
        <v>100</v>
      </c>
      <c r="B23" s="41" t="s">
        <v>16</v>
      </c>
      <c r="C23" s="14">
        <v>0.6110768124851228</v>
      </c>
      <c r="D23" s="42" t="s">
        <v>87</v>
      </c>
      <c r="E23" s="53"/>
      <c r="F23" s="42" t="s">
        <v>87</v>
      </c>
      <c r="G23" s="138">
        <v>182315</v>
      </c>
      <c r="H23" s="45" t="s">
        <v>89</v>
      </c>
      <c r="I23" s="54"/>
      <c r="J23" s="55"/>
      <c r="K23" s="46">
        <f>C23*G23</f>
        <v>111408.46906822517</v>
      </c>
      <c r="L23" s="47">
        <f t="shared" si="5"/>
        <v>0</v>
      </c>
      <c r="M23" s="45" t="s">
        <v>82</v>
      </c>
      <c r="N23" s="2"/>
      <c r="O23" s="7">
        <f t="shared" si="4"/>
        <v>111408.46906822517</v>
      </c>
      <c r="P23" s="2"/>
    </row>
    <row r="24" spans="1:16" ht="38.25" customHeight="1" x14ac:dyDescent="0.25">
      <c r="A24" s="41" t="s">
        <v>101</v>
      </c>
      <c r="B24" s="41" t="s">
        <v>102</v>
      </c>
      <c r="C24" s="14">
        <v>1920.6131157811997</v>
      </c>
      <c r="D24" s="42" t="s">
        <v>21</v>
      </c>
      <c r="E24" s="53"/>
      <c r="F24" s="42" t="s">
        <v>21</v>
      </c>
      <c r="G24" s="138"/>
      <c r="H24" s="45" t="s">
        <v>83</v>
      </c>
      <c r="I24" s="54"/>
      <c r="J24" s="55"/>
      <c r="K24" s="46">
        <f>C24*G24</f>
        <v>0</v>
      </c>
      <c r="L24" s="47">
        <f t="shared" si="5"/>
        <v>0</v>
      </c>
      <c r="M24" s="45" t="s">
        <v>82</v>
      </c>
      <c r="N24" s="2"/>
      <c r="O24" s="7">
        <f t="shared" si="4"/>
        <v>0</v>
      </c>
      <c r="P24" s="2"/>
    </row>
    <row r="25" spans="1:16" ht="38.25" customHeight="1" x14ac:dyDescent="0.25">
      <c r="A25" s="41" t="s">
        <v>104</v>
      </c>
      <c r="B25" s="41" t="s">
        <v>103</v>
      </c>
      <c r="C25" s="14">
        <v>2.5642171822259212</v>
      </c>
      <c r="D25" s="42" t="s">
        <v>21</v>
      </c>
      <c r="E25" s="53"/>
      <c r="F25" s="42" t="s">
        <v>21</v>
      </c>
      <c r="G25" s="138"/>
      <c r="H25" s="45" t="s">
        <v>83</v>
      </c>
      <c r="I25" s="54"/>
      <c r="J25" s="55"/>
      <c r="K25" s="46">
        <f>C25*G25</f>
        <v>0</v>
      </c>
      <c r="L25" s="47">
        <f t="shared" si="5"/>
        <v>0</v>
      </c>
      <c r="M25" s="45" t="s">
        <v>82</v>
      </c>
      <c r="N25" s="2"/>
      <c r="O25" s="7">
        <f t="shared" si="4"/>
        <v>0</v>
      </c>
      <c r="P25" s="2"/>
    </row>
    <row r="26" spans="1:16" ht="47.25" x14ac:dyDescent="0.25">
      <c r="A26" s="48" t="s">
        <v>17</v>
      </c>
      <c r="B26" s="48" t="s">
        <v>18</v>
      </c>
      <c r="C26" s="4"/>
      <c r="D26" s="49"/>
      <c r="E26" s="10"/>
      <c r="F26" s="49"/>
      <c r="G26" s="4"/>
      <c r="H26" s="51"/>
      <c r="I26" s="50"/>
      <c r="J26" s="51"/>
      <c r="K26" s="26"/>
      <c r="L26" s="47"/>
      <c r="M26" s="51"/>
      <c r="N26" s="2"/>
      <c r="O26" s="7"/>
      <c r="P26" s="2"/>
    </row>
    <row r="27" spans="1:16" ht="38.25" customHeight="1" x14ac:dyDescent="0.25">
      <c r="A27" s="41" t="s">
        <v>55</v>
      </c>
      <c r="B27" s="41" t="s">
        <v>19</v>
      </c>
      <c r="C27" s="14">
        <v>1.4505808270340399</v>
      </c>
      <c r="D27" s="42" t="s">
        <v>87</v>
      </c>
      <c r="E27" s="53"/>
      <c r="F27" s="42" t="s">
        <v>87</v>
      </c>
      <c r="G27" s="138">
        <v>381122</v>
      </c>
      <c r="H27" s="45" t="s">
        <v>89</v>
      </c>
      <c r="I27" s="54"/>
      <c r="J27" s="55"/>
      <c r="K27" s="46">
        <f>C27*G27</f>
        <v>552848.2659608674</v>
      </c>
      <c r="L27" s="47">
        <f>E27*G27</f>
        <v>0</v>
      </c>
      <c r="M27" s="45" t="s">
        <v>82</v>
      </c>
      <c r="N27" s="2"/>
      <c r="O27" s="7">
        <f t="shared" ref="O27:O28" si="6">C27*G27</f>
        <v>552848.2659608674</v>
      </c>
      <c r="P27" s="2"/>
    </row>
    <row r="28" spans="1:16" ht="38.25" customHeight="1" x14ac:dyDescent="0.25">
      <c r="A28" s="41" t="s">
        <v>56</v>
      </c>
      <c r="B28" s="41" t="s">
        <v>20</v>
      </c>
      <c r="C28" s="14">
        <v>196.41391881978004</v>
      </c>
      <c r="D28" s="42" t="s">
        <v>21</v>
      </c>
      <c r="E28" s="53"/>
      <c r="F28" s="42" t="s">
        <v>21</v>
      </c>
      <c r="G28" s="138">
        <v>512</v>
      </c>
      <c r="H28" s="45" t="s">
        <v>83</v>
      </c>
      <c r="I28" s="54"/>
      <c r="J28" s="55"/>
      <c r="K28" s="46">
        <f>C28*G28</f>
        <v>100563.92643572738</v>
      </c>
      <c r="L28" s="47">
        <f>E28*G28</f>
        <v>0</v>
      </c>
      <c r="M28" s="45" t="s">
        <v>82</v>
      </c>
      <c r="N28" s="2"/>
      <c r="O28" s="7">
        <f t="shared" si="6"/>
        <v>100563.92643572738</v>
      </c>
      <c r="P28" s="2"/>
    </row>
    <row r="29" spans="1:16" ht="38.25" customHeight="1" x14ac:dyDescent="0.25">
      <c r="A29" s="48" t="s">
        <v>22</v>
      </c>
      <c r="B29" s="48" t="s">
        <v>23</v>
      </c>
      <c r="C29" s="4"/>
      <c r="D29" s="49"/>
      <c r="E29" s="10"/>
      <c r="F29" s="49"/>
      <c r="G29" s="4"/>
      <c r="H29" s="51"/>
      <c r="I29" s="50"/>
      <c r="J29" s="51"/>
      <c r="K29" s="26"/>
      <c r="L29" s="47"/>
      <c r="M29" s="51"/>
      <c r="N29" s="2"/>
      <c r="O29" s="7"/>
      <c r="P29" s="2"/>
    </row>
    <row r="30" spans="1:16" ht="38.25" customHeight="1" x14ac:dyDescent="0.25">
      <c r="A30" s="41" t="s">
        <v>57</v>
      </c>
      <c r="B30" s="41" t="s">
        <v>78</v>
      </c>
      <c r="C30" s="14">
        <v>0.46946070402192563</v>
      </c>
      <c r="D30" s="42" t="s">
        <v>87</v>
      </c>
      <c r="E30" s="53"/>
      <c r="F30" s="42" t="s">
        <v>87</v>
      </c>
      <c r="G30" s="138">
        <v>449725</v>
      </c>
      <c r="H30" s="45" t="s">
        <v>89</v>
      </c>
      <c r="I30" s="54"/>
      <c r="J30" s="55"/>
      <c r="K30" s="46">
        <f>C30*G30</f>
        <v>211128.21511626052</v>
      </c>
      <c r="L30" s="47">
        <f>E30*G30</f>
        <v>0</v>
      </c>
      <c r="M30" s="45" t="s">
        <v>82</v>
      </c>
      <c r="N30" s="2"/>
      <c r="O30" s="7">
        <f t="shared" ref="O30:O31" si="7">C30*G30</f>
        <v>211128.21511626052</v>
      </c>
      <c r="P30" s="2"/>
    </row>
    <row r="31" spans="1:16" ht="38.25" customHeight="1" x14ac:dyDescent="0.25">
      <c r="A31" s="41" t="s">
        <v>58</v>
      </c>
      <c r="B31" s="41" t="s">
        <v>24</v>
      </c>
      <c r="C31" s="14">
        <v>5.6388032876341407</v>
      </c>
      <c r="D31" s="42" t="s">
        <v>87</v>
      </c>
      <c r="E31" s="53"/>
      <c r="F31" s="42" t="s">
        <v>87</v>
      </c>
      <c r="G31" s="138">
        <v>15344</v>
      </c>
      <c r="H31" s="45" t="s">
        <v>89</v>
      </c>
      <c r="I31" s="54"/>
      <c r="J31" s="55"/>
      <c r="K31" s="46">
        <f>C31*G31</f>
        <v>86521.797645458253</v>
      </c>
      <c r="L31" s="47">
        <f>E31*G31</f>
        <v>0</v>
      </c>
      <c r="M31" s="45" t="s">
        <v>82</v>
      </c>
      <c r="N31" s="2"/>
      <c r="O31" s="7">
        <f t="shared" si="7"/>
        <v>86521.797645458253</v>
      </c>
      <c r="P31" s="2"/>
    </row>
    <row r="32" spans="1:16" ht="47.25" x14ac:dyDescent="0.25">
      <c r="A32" s="48" t="s">
        <v>25</v>
      </c>
      <c r="B32" s="48" t="s">
        <v>26</v>
      </c>
      <c r="C32" s="4"/>
      <c r="D32" s="49"/>
      <c r="E32" s="10"/>
      <c r="F32" s="49"/>
      <c r="G32" s="4"/>
      <c r="H32" s="51"/>
      <c r="I32" s="50"/>
      <c r="J32" s="51"/>
      <c r="K32" s="26"/>
      <c r="L32" s="47"/>
      <c r="M32" s="51"/>
      <c r="N32" s="2"/>
      <c r="O32" s="7"/>
      <c r="P32" s="2"/>
    </row>
    <row r="33" spans="1:16" ht="38.25" customHeight="1" x14ac:dyDescent="0.25">
      <c r="A33" s="41" t="s">
        <v>59</v>
      </c>
      <c r="B33" s="41" t="s">
        <v>27</v>
      </c>
      <c r="C33" s="14">
        <v>851.68083968633869</v>
      </c>
      <c r="D33" s="42" t="s">
        <v>21</v>
      </c>
      <c r="E33" s="53"/>
      <c r="F33" s="42" t="s">
        <v>21</v>
      </c>
      <c r="G33" s="138">
        <v>100</v>
      </c>
      <c r="H33" s="45" t="s">
        <v>83</v>
      </c>
      <c r="I33" s="54"/>
      <c r="J33" s="55"/>
      <c r="K33" s="46">
        <f>C33*G33</f>
        <v>85168.083968633873</v>
      </c>
      <c r="L33" s="47">
        <f>E33*G33</f>
        <v>0</v>
      </c>
      <c r="M33" s="45" t="s">
        <v>82</v>
      </c>
      <c r="N33" s="2"/>
      <c r="O33" s="7">
        <f t="shared" ref="O33:O36" si="8">C33*G33</f>
        <v>85168.083968633873</v>
      </c>
      <c r="P33" s="2"/>
    </row>
    <row r="34" spans="1:16" ht="38.25" customHeight="1" x14ac:dyDescent="0.25">
      <c r="A34" s="41" t="s">
        <v>60</v>
      </c>
      <c r="B34" s="41" t="s">
        <v>28</v>
      </c>
      <c r="C34" s="14">
        <v>1237.055329294629</v>
      </c>
      <c r="D34" s="42" t="s">
        <v>21</v>
      </c>
      <c r="E34" s="53"/>
      <c r="F34" s="42" t="s">
        <v>21</v>
      </c>
      <c r="G34" s="138">
        <v>75</v>
      </c>
      <c r="H34" s="45" t="s">
        <v>83</v>
      </c>
      <c r="I34" s="54"/>
      <c r="J34" s="55"/>
      <c r="K34" s="46">
        <f>C34*G34</f>
        <v>92779.149697097178</v>
      </c>
      <c r="L34" s="47">
        <f t="shared" ref="L34:L36" si="9">E34*G34</f>
        <v>0</v>
      </c>
      <c r="M34" s="45" t="s">
        <v>82</v>
      </c>
      <c r="N34" s="2"/>
      <c r="O34" s="7">
        <f t="shared" si="8"/>
        <v>92779.149697097178</v>
      </c>
      <c r="P34" s="2"/>
    </row>
    <row r="35" spans="1:16" ht="38.25" customHeight="1" x14ac:dyDescent="0.25">
      <c r="A35" s="41" t="s">
        <v>61</v>
      </c>
      <c r="B35" s="41" t="s">
        <v>29</v>
      </c>
      <c r="C35" s="14">
        <v>341.9994854602873</v>
      </c>
      <c r="D35" s="42" t="s">
        <v>21</v>
      </c>
      <c r="E35" s="53"/>
      <c r="F35" s="42" t="s">
        <v>21</v>
      </c>
      <c r="G35" s="138">
        <v>1</v>
      </c>
      <c r="H35" s="45" t="s">
        <v>83</v>
      </c>
      <c r="I35" s="54"/>
      <c r="J35" s="55"/>
      <c r="K35" s="46">
        <f>C35*G35</f>
        <v>341.9994854602873</v>
      </c>
      <c r="L35" s="47">
        <f t="shared" si="9"/>
        <v>0</v>
      </c>
      <c r="M35" s="45" t="s">
        <v>82</v>
      </c>
      <c r="N35" s="2"/>
      <c r="O35" s="7">
        <f t="shared" si="8"/>
        <v>341.9994854602873</v>
      </c>
      <c r="P35" s="2"/>
    </row>
    <row r="36" spans="1:16" ht="38.25" customHeight="1" x14ac:dyDescent="0.25">
      <c r="A36" s="41" t="s">
        <v>62</v>
      </c>
      <c r="B36" s="41" t="s">
        <v>30</v>
      </c>
      <c r="C36" s="14">
        <v>1091.7493291407866</v>
      </c>
      <c r="D36" s="42" t="s">
        <v>21</v>
      </c>
      <c r="E36" s="53"/>
      <c r="F36" s="42" t="s">
        <v>21</v>
      </c>
      <c r="G36" s="138">
        <v>0</v>
      </c>
      <c r="H36" s="45" t="s">
        <v>83</v>
      </c>
      <c r="I36" s="54"/>
      <c r="J36" s="55"/>
      <c r="K36" s="46">
        <f>C36*G36</f>
        <v>0</v>
      </c>
      <c r="L36" s="47">
        <f t="shared" si="9"/>
        <v>0</v>
      </c>
      <c r="M36" s="45" t="s">
        <v>82</v>
      </c>
      <c r="N36" s="2"/>
      <c r="O36" s="7">
        <f t="shared" si="8"/>
        <v>0</v>
      </c>
      <c r="P36" s="2"/>
    </row>
    <row r="37" spans="1:16" ht="38.25" customHeight="1" x14ac:dyDescent="0.25">
      <c r="A37" s="48" t="s">
        <v>31</v>
      </c>
      <c r="B37" s="48" t="s">
        <v>32</v>
      </c>
      <c r="C37" s="4"/>
      <c r="D37" s="49"/>
      <c r="E37" s="10"/>
      <c r="F37" s="49"/>
      <c r="G37" s="4"/>
      <c r="H37" s="51"/>
      <c r="I37" s="50"/>
      <c r="J37" s="51"/>
      <c r="K37" s="26"/>
      <c r="L37" s="47"/>
      <c r="M37" s="51"/>
      <c r="N37" s="2"/>
      <c r="O37" s="7"/>
      <c r="P37" s="2"/>
    </row>
    <row r="38" spans="1:16" ht="38.25" customHeight="1" x14ac:dyDescent="0.25">
      <c r="A38" s="41" t="s">
        <v>63</v>
      </c>
      <c r="B38" s="41" t="s">
        <v>33</v>
      </c>
      <c r="C38" s="14">
        <v>370.78428390801372</v>
      </c>
      <c r="D38" s="42" t="s">
        <v>21</v>
      </c>
      <c r="E38" s="53"/>
      <c r="F38" s="42" t="s">
        <v>21</v>
      </c>
      <c r="G38" s="138">
        <v>464</v>
      </c>
      <c r="H38" s="45" t="s">
        <v>83</v>
      </c>
      <c r="I38" s="54"/>
      <c r="J38" s="55"/>
      <c r="K38" s="46">
        <f t="shared" ref="K38:K49" si="10">C38*G38</f>
        <v>172043.90773331837</v>
      </c>
      <c r="L38" s="47">
        <f>E38*G38</f>
        <v>0</v>
      </c>
      <c r="M38" s="45" t="s">
        <v>82</v>
      </c>
      <c r="N38" s="2"/>
      <c r="O38" s="7">
        <f t="shared" ref="O38:O49" si="11">C38*G38</f>
        <v>172043.90773331837</v>
      </c>
      <c r="P38" s="2"/>
    </row>
    <row r="39" spans="1:16" ht="38.25" customHeight="1" x14ac:dyDescent="0.25">
      <c r="A39" s="41" t="s">
        <v>64</v>
      </c>
      <c r="B39" s="41" t="s">
        <v>34</v>
      </c>
      <c r="C39" s="14">
        <v>0.44308650716676129</v>
      </c>
      <c r="D39" s="42" t="s">
        <v>87</v>
      </c>
      <c r="E39" s="53"/>
      <c r="F39" s="42" t="s">
        <v>87</v>
      </c>
      <c r="G39" s="138">
        <v>164370</v>
      </c>
      <c r="H39" s="45" t="s">
        <v>89</v>
      </c>
      <c r="I39" s="54"/>
      <c r="J39" s="55"/>
      <c r="K39" s="46">
        <f t="shared" si="10"/>
        <v>72830.12918300055</v>
      </c>
      <c r="L39" s="47">
        <f t="shared" ref="L39:L49" si="12">E39*G39</f>
        <v>0</v>
      </c>
      <c r="M39" s="45" t="s">
        <v>82</v>
      </c>
      <c r="N39" s="2"/>
      <c r="O39" s="7">
        <f t="shared" si="11"/>
        <v>72830.12918300055</v>
      </c>
      <c r="P39" s="2"/>
    </row>
    <row r="40" spans="1:16" ht="38.25" customHeight="1" x14ac:dyDescent="0.25">
      <c r="A40" s="41" t="s">
        <v>65</v>
      </c>
      <c r="B40" s="41" t="s">
        <v>35</v>
      </c>
      <c r="C40" s="14">
        <v>0.6962787969763391</v>
      </c>
      <c r="D40" s="42" t="s">
        <v>87</v>
      </c>
      <c r="E40" s="53"/>
      <c r="F40" s="42" t="s">
        <v>87</v>
      </c>
      <c r="G40" s="138">
        <v>6</v>
      </c>
      <c r="H40" s="45" t="s">
        <v>89</v>
      </c>
      <c r="I40" s="54"/>
      <c r="J40" s="55"/>
      <c r="K40" s="46">
        <f t="shared" si="10"/>
        <v>4.1776727818580346</v>
      </c>
      <c r="L40" s="47">
        <f t="shared" si="12"/>
        <v>0</v>
      </c>
      <c r="M40" s="45" t="s">
        <v>82</v>
      </c>
      <c r="N40" s="2"/>
      <c r="O40" s="7">
        <f t="shared" si="11"/>
        <v>4.1776727818580346</v>
      </c>
      <c r="P40" s="2"/>
    </row>
    <row r="41" spans="1:16" ht="38.25" customHeight="1" x14ac:dyDescent="0.25">
      <c r="A41" s="41" t="s">
        <v>66</v>
      </c>
      <c r="B41" s="41" t="s">
        <v>36</v>
      </c>
      <c r="C41" s="14">
        <v>158.69354247752398</v>
      </c>
      <c r="D41" s="42" t="s">
        <v>21</v>
      </c>
      <c r="E41" s="53"/>
      <c r="F41" s="42" t="s">
        <v>21</v>
      </c>
      <c r="G41" s="138">
        <v>0</v>
      </c>
      <c r="H41" s="45" t="s">
        <v>83</v>
      </c>
      <c r="I41" s="54"/>
      <c r="J41" s="55"/>
      <c r="K41" s="46">
        <f t="shared" si="10"/>
        <v>0</v>
      </c>
      <c r="L41" s="47">
        <f t="shared" si="12"/>
        <v>0</v>
      </c>
      <c r="M41" s="45" t="s">
        <v>82</v>
      </c>
      <c r="N41" s="2"/>
      <c r="O41" s="7">
        <f t="shared" si="11"/>
        <v>0</v>
      </c>
      <c r="P41" s="2"/>
    </row>
    <row r="42" spans="1:16" ht="38.25" customHeight="1" x14ac:dyDescent="0.25">
      <c r="A42" s="41" t="s">
        <v>67</v>
      </c>
      <c r="B42" s="41" t="s">
        <v>37</v>
      </c>
      <c r="C42" s="14">
        <v>5744.7273370438525</v>
      </c>
      <c r="D42" s="42" t="s">
        <v>21</v>
      </c>
      <c r="E42" s="53"/>
      <c r="F42" s="42" t="s">
        <v>21</v>
      </c>
      <c r="G42" s="138">
        <v>2</v>
      </c>
      <c r="H42" s="45" t="s">
        <v>83</v>
      </c>
      <c r="I42" s="54"/>
      <c r="J42" s="55"/>
      <c r="K42" s="46">
        <f t="shared" si="10"/>
        <v>11489.454674087705</v>
      </c>
      <c r="L42" s="47">
        <f t="shared" si="12"/>
        <v>0</v>
      </c>
      <c r="M42" s="45" t="s">
        <v>82</v>
      </c>
      <c r="N42" s="2"/>
      <c r="O42" s="7">
        <f t="shared" si="11"/>
        <v>11489.454674087705</v>
      </c>
      <c r="P42" s="2"/>
    </row>
    <row r="43" spans="1:16" ht="38.25" customHeight="1" x14ac:dyDescent="0.25">
      <c r="A43" s="41" t="s">
        <v>68</v>
      </c>
      <c r="B43" s="41" t="s">
        <v>38</v>
      </c>
      <c r="C43" s="14">
        <v>170.98919305140157</v>
      </c>
      <c r="D43" s="42" t="s">
        <v>21</v>
      </c>
      <c r="E43" s="53"/>
      <c r="F43" s="42" t="s">
        <v>21</v>
      </c>
      <c r="G43" s="138">
        <v>11</v>
      </c>
      <c r="H43" s="45" t="s">
        <v>83</v>
      </c>
      <c r="I43" s="54"/>
      <c r="J43" s="55"/>
      <c r="K43" s="46">
        <f t="shared" si="10"/>
        <v>1880.8811235654173</v>
      </c>
      <c r="L43" s="47">
        <f t="shared" si="12"/>
        <v>0</v>
      </c>
      <c r="M43" s="45" t="s">
        <v>82</v>
      </c>
      <c r="N43" s="2"/>
      <c r="O43" s="7">
        <f t="shared" si="11"/>
        <v>1880.8811235654173</v>
      </c>
      <c r="P43" s="2"/>
    </row>
    <row r="44" spans="1:16" ht="38.25" customHeight="1" x14ac:dyDescent="0.25">
      <c r="A44" s="41" t="s">
        <v>69</v>
      </c>
      <c r="B44" s="41" t="s">
        <v>39</v>
      </c>
      <c r="C44" s="14">
        <v>1136.727884457584</v>
      </c>
      <c r="D44" s="42" t="s">
        <v>21</v>
      </c>
      <c r="E44" s="53"/>
      <c r="F44" s="42" t="s">
        <v>21</v>
      </c>
      <c r="G44" s="138"/>
      <c r="H44" s="45" t="s">
        <v>83</v>
      </c>
      <c r="I44" s="54"/>
      <c r="J44" s="55"/>
      <c r="K44" s="46">
        <f t="shared" si="10"/>
        <v>0</v>
      </c>
      <c r="L44" s="47">
        <f t="shared" si="12"/>
        <v>0</v>
      </c>
      <c r="M44" s="45" t="s">
        <v>82</v>
      </c>
      <c r="N44" s="2"/>
      <c r="O44" s="7">
        <f t="shared" si="11"/>
        <v>0</v>
      </c>
      <c r="P44" s="2"/>
    </row>
    <row r="45" spans="1:16" ht="38.25" customHeight="1" x14ac:dyDescent="0.25">
      <c r="A45" s="41" t="s">
        <v>70</v>
      </c>
      <c r="B45" s="41" t="s">
        <v>40</v>
      </c>
      <c r="C45" s="14">
        <v>114.34796788525061</v>
      </c>
      <c r="D45" s="42" t="s">
        <v>21</v>
      </c>
      <c r="E45" s="53"/>
      <c r="F45" s="42" t="s">
        <v>21</v>
      </c>
      <c r="G45" s="138"/>
      <c r="H45" s="45" t="s">
        <v>83</v>
      </c>
      <c r="I45" s="54"/>
      <c r="J45" s="55"/>
      <c r="K45" s="46">
        <f t="shared" si="10"/>
        <v>0</v>
      </c>
      <c r="L45" s="47">
        <f t="shared" si="12"/>
        <v>0</v>
      </c>
      <c r="M45" s="45" t="s">
        <v>82</v>
      </c>
      <c r="N45" s="2"/>
      <c r="O45" s="7">
        <f t="shared" si="11"/>
        <v>0</v>
      </c>
      <c r="P45" s="2"/>
    </row>
    <row r="46" spans="1:16" ht="38.25" customHeight="1" x14ac:dyDescent="0.25">
      <c r="A46" s="41" t="s">
        <v>71</v>
      </c>
      <c r="B46" s="41" t="s">
        <v>41</v>
      </c>
      <c r="C46" s="14">
        <v>361.84870601348399</v>
      </c>
      <c r="D46" s="42" t="s">
        <v>21</v>
      </c>
      <c r="E46" s="53"/>
      <c r="F46" s="42" t="s">
        <v>21</v>
      </c>
      <c r="G46" s="138"/>
      <c r="H46" s="45" t="s">
        <v>83</v>
      </c>
      <c r="I46" s="54"/>
      <c r="J46" s="55"/>
      <c r="K46" s="46">
        <f t="shared" si="10"/>
        <v>0</v>
      </c>
      <c r="L46" s="47">
        <f t="shared" si="12"/>
        <v>0</v>
      </c>
      <c r="M46" s="45" t="s">
        <v>82</v>
      </c>
      <c r="N46" s="2"/>
      <c r="O46" s="7">
        <f t="shared" si="11"/>
        <v>0</v>
      </c>
      <c r="P46" s="2"/>
    </row>
    <row r="47" spans="1:16" ht="38.25" customHeight="1" x14ac:dyDescent="0.25">
      <c r="A47" s="41" t="s">
        <v>72</v>
      </c>
      <c r="B47" s="41" t="s">
        <v>42</v>
      </c>
      <c r="C47" s="14">
        <v>1682.9375013280378</v>
      </c>
      <c r="D47" s="42" t="s">
        <v>21</v>
      </c>
      <c r="E47" s="53"/>
      <c r="F47" s="42" t="s">
        <v>21</v>
      </c>
      <c r="G47" s="138">
        <v>132</v>
      </c>
      <c r="H47" s="45" t="s">
        <v>83</v>
      </c>
      <c r="I47" s="54"/>
      <c r="J47" s="55"/>
      <c r="K47" s="46">
        <f t="shared" si="10"/>
        <v>222147.75017530099</v>
      </c>
      <c r="L47" s="47">
        <f t="shared" si="12"/>
        <v>0</v>
      </c>
      <c r="M47" s="45" t="s">
        <v>82</v>
      </c>
      <c r="N47" s="2"/>
      <c r="O47" s="7">
        <f t="shared" si="11"/>
        <v>222147.75017530099</v>
      </c>
      <c r="P47" s="2"/>
    </row>
    <row r="48" spans="1:16" ht="38.25" customHeight="1" x14ac:dyDescent="0.25">
      <c r="A48" s="41" t="s">
        <v>73</v>
      </c>
      <c r="B48" s="41" t="s">
        <v>43</v>
      </c>
      <c r="C48" s="14">
        <v>411.55351740672677</v>
      </c>
      <c r="D48" s="42" t="s">
        <v>21</v>
      </c>
      <c r="E48" s="53"/>
      <c r="F48" s="42" t="s">
        <v>21</v>
      </c>
      <c r="G48" s="138"/>
      <c r="H48" s="45" t="s">
        <v>83</v>
      </c>
      <c r="I48" s="54"/>
      <c r="J48" s="55"/>
      <c r="K48" s="46">
        <f t="shared" si="10"/>
        <v>0</v>
      </c>
      <c r="L48" s="47">
        <f t="shared" si="12"/>
        <v>0</v>
      </c>
      <c r="M48" s="45" t="s">
        <v>82</v>
      </c>
      <c r="N48" s="2"/>
      <c r="O48" s="7">
        <f t="shared" si="11"/>
        <v>0</v>
      </c>
      <c r="P48" s="2"/>
    </row>
    <row r="49" spans="1:16" ht="38.25" customHeight="1" x14ac:dyDescent="0.25">
      <c r="A49" s="41" t="s">
        <v>74</v>
      </c>
      <c r="B49" s="41" t="s">
        <v>44</v>
      </c>
      <c r="C49" s="14">
        <v>31.227049076514604</v>
      </c>
      <c r="D49" s="42" t="s">
        <v>21</v>
      </c>
      <c r="E49" s="53"/>
      <c r="F49" s="42" t="s">
        <v>21</v>
      </c>
      <c r="G49" s="138"/>
      <c r="H49" s="45" t="s">
        <v>83</v>
      </c>
      <c r="I49" s="54"/>
      <c r="J49" s="55"/>
      <c r="K49" s="46">
        <f t="shared" si="10"/>
        <v>0</v>
      </c>
      <c r="L49" s="47">
        <f t="shared" si="12"/>
        <v>0</v>
      </c>
      <c r="M49" s="45" t="s">
        <v>82</v>
      </c>
      <c r="N49" s="2"/>
      <c r="O49" s="7">
        <f t="shared" si="11"/>
        <v>0</v>
      </c>
      <c r="P49" s="2"/>
    </row>
    <row r="50" spans="1:16" ht="38.25" customHeight="1" x14ac:dyDescent="0.25">
      <c r="A50" s="48" t="s">
        <v>96</v>
      </c>
      <c r="B50" s="48" t="s">
        <v>99</v>
      </c>
      <c r="C50" s="4"/>
      <c r="D50" s="49"/>
      <c r="E50" s="10"/>
      <c r="F50" s="49"/>
      <c r="G50" s="4"/>
      <c r="H50" s="51"/>
      <c r="I50" s="50"/>
      <c r="J50" s="51"/>
      <c r="K50" s="26"/>
      <c r="L50" s="47"/>
      <c r="M50" s="51"/>
      <c r="N50" s="2"/>
      <c r="O50" s="7"/>
      <c r="P50" s="2"/>
    </row>
    <row r="51" spans="1:16" ht="38.25" customHeight="1" x14ac:dyDescent="0.25">
      <c r="A51" s="41" t="s">
        <v>97</v>
      </c>
      <c r="B51" s="41" t="s">
        <v>80</v>
      </c>
      <c r="C51" s="14">
        <v>66768.119526270457</v>
      </c>
      <c r="D51" s="42" t="s">
        <v>81</v>
      </c>
      <c r="E51" s="53"/>
      <c r="F51" s="42" t="s">
        <v>81</v>
      </c>
      <c r="G51" s="138">
        <v>1</v>
      </c>
      <c r="H51" s="45" t="s">
        <v>81</v>
      </c>
      <c r="I51" s="54"/>
      <c r="J51" s="55"/>
      <c r="K51" s="46">
        <f>C51*G51</f>
        <v>66768.119526270457</v>
      </c>
      <c r="L51" s="47">
        <f>E51*G51</f>
        <v>0</v>
      </c>
      <c r="M51" s="45" t="s">
        <v>82</v>
      </c>
      <c r="N51" s="2"/>
      <c r="O51" s="7">
        <f t="shared" ref="O51:O52" si="13">C51*G51</f>
        <v>66768.119526270457</v>
      </c>
      <c r="P51" s="2"/>
    </row>
    <row r="52" spans="1:16" ht="38.25" customHeight="1" x14ac:dyDescent="0.25">
      <c r="A52" s="41" t="s">
        <v>98</v>
      </c>
      <c r="B52" s="41" t="s">
        <v>106</v>
      </c>
      <c r="C52" s="14">
        <v>107787.58410852712</v>
      </c>
      <c r="D52" s="42" t="s">
        <v>81</v>
      </c>
      <c r="E52" s="53"/>
      <c r="F52" s="42" t="s">
        <v>81</v>
      </c>
      <c r="G52" s="138">
        <v>6</v>
      </c>
      <c r="H52" s="45" t="s">
        <v>81</v>
      </c>
      <c r="I52" s="54"/>
      <c r="J52" s="55"/>
      <c r="K52" s="46">
        <f>C52*G52</f>
        <v>646725.50465116277</v>
      </c>
      <c r="L52" s="47">
        <f>E52*G52</f>
        <v>0</v>
      </c>
      <c r="M52" s="45" t="s">
        <v>82</v>
      </c>
      <c r="N52" s="2"/>
      <c r="O52" s="7">
        <f t="shared" si="13"/>
        <v>646725.50465116277</v>
      </c>
      <c r="P52" s="2"/>
    </row>
    <row r="53" spans="1:16" ht="17.25" customHeight="1" x14ac:dyDescent="0.25">
      <c r="A53" s="57"/>
      <c r="B53" s="57"/>
      <c r="C53" s="58"/>
      <c r="E53" s="58"/>
      <c r="F53" s="59"/>
      <c r="G53" s="136"/>
      <c r="H53" s="46"/>
      <c r="I53" s="61"/>
      <c r="J53" s="61"/>
      <c r="K53" s="61"/>
      <c r="L53" s="61"/>
      <c r="M53" s="46"/>
      <c r="O53" s="40"/>
    </row>
    <row r="54" spans="1:16" ht="36.75" customHeight="1" x14ac:dyDescent="0.25">
      <c r="A54" s="62"/>
      <c r="B54" s="62"/>
      <c r="C54" s="63"/>
      <c r="E54" s="63"/>
      <c r="F54" s="11"/>
      <c r="G54" s="137"/>
      <c r="H54" s="11"/>
      <c r="I54" s="11"/>
      <c r="J54" s="11"/>
      <c r="K54" s="11"/>
      <c r="L54" s="11"/>
      <c r="M54" s="11"/>
      <c r="O54" s="40"/>
    </row>
    <row r="55" spans="1:16" x14ac:dyDescent="0.25">
      <c r="B55" s="64" t="s">
        <v>93</v>
      </c>
    </row>
    <row r="56" spans="1:16" ht="36.75" customHeight="1" x14ac:dyDescent="0.25">
      <c r="C56" s="11"/>
      <c r="E56" s="11"/>
      <c r="F56" s="11"/>
      <c r="G56" s="137"/>
      <c r="H56" s="11"/>
      <c r="I56" s="11"/>
      <c r="J56" s="65" t="s">
        <v>112</v>
      </c>
      <c r="K56" s="11"/>
      <c r="L56" s="47">
        <f>SUM(O9:O52)</f>
        <v>30411270.684251823</v>
      </c>
      <c r="M56" s="45" t="s">
        <v>82</v>
      </c>
    </row>
    <row r="57" spans="1:16" x14ac:dyDescent="0.25">
      <c r="K57" s="11"/>
    </row>
    <row r="58" spans="1:16" ht="36.75" customHeight="1" x14ac:dyDescent="0.25">
      <c r="C58" s="11"/>
      <c r="E58" s="11"/>
      <c r="F58" s="11"/>
      <c r="G58" s="137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6" ht="15.75" x14ac:dyDescent="0.25">
      <c r="N59" s="76"/>
    </row>
    <row r="60" spans="1:16" ht="36.75" customHeight="1" x14ac:dyDescent="0.25">
      <c r="A60" s="18"/>
      <c r="C60" s="11"/>
      <c r="E60" s="11"/>
      <c r="F60" s="11"/>
      <c r="G60" s="137"/>
      <c r="H60" s="11"/>
      <c r="I60" s="11"/>
      <c r="J60" s="71" t="s">
        <v>115</v>
      </c>
      <c r="K60" s="11"/>
      <c r="L60" s="47">
        <f>(1-L58/L56)*100</f>
        <v>100</v>
      </c>
      <c r="M60" s="45" t="s">
        <v>91</v>
      </c>
      <c r="N60" s="77" t="s">
        <v>119</v>
      </c>
    </row>
    <row r="61" spans="1:16" ht="15.75" x14ac:dyDescent="0.25">
      <c r="A61" s="21"/>
      <c r="N61" s="76"/>
    </row>
    <row r="62" spans="1:16" s="17" customFormat="1" ht="60" customHeight="1" x14ac:dyDescent="0.25">
      <c r="A62" s="66"/>
      <c r="B62" s="162" t="s">
        <v>118</v>
      </c>
      <c r="C62" s="162"/>
      <c r="D62" s="162"/>
      <c r="E62" s="162"/>
      <c r="F62" s="162"/>
      <c r="G62" s="162"/>
      <c r="H62" s="162"/>
      <c r="I62" s="162"/>
      <c r="J62" s="19"/>
      <c r="K62" s="19"/>
      <c r="L62" s="1"/>
      <c r="M62" s="45" t="s">
        <v>91</v>
      </c>
      <c r="N62" s="77" t="s">
        <v>120</v>
      </c>
      <c r="O62" s="73"/>
    </row>
    <row r="63" spans="1:16" ht="15.75" x14ac:dyDescent="0.25">
      <c r="A63" s="67"/>
      <c r="B63" s="68"/>
      <c r="N63" s="76"/>
    </row>
    <row r="64" spans="1:16" ht="15.75" x14ac:dyDescent="0.25">
      <c r="A64" s="67"/>
    </row>
    <row r="65" spans="1:1" ht="15.75" x14ac:dyDescent="0.25">
      <c r="A65" s="67"/>
    </row>
  </sheetData>
  <sheetProtection selectLockedCells="1"/>
  <mergeCells count="11">
    <mergeCell ref="C6:D6"/>
    <mergeCell ref="E6:F6"/>
    <mergeCell ref="G6:H6"/>
    <mergeCell ref="I6:J6"/>
    <mergeCell ref="B62:I62"/>
    <mergeCell ref="A1:M1"/>
    <mergeCell ref="C5:D5"/>
    <mergeCell ref="E5:F5"/>
    <mergeCell ref="G5:H5"/>
    <mergeCell ref="I5:J5"/>
    <mergeCell ref="L5:M5"/>
  </mergeCells>
  <printOptions horizontalCentered="1"/>
  <pageMargins left="0.70866141732283472" right="0.70866141732283472" top="0.65" bottom="0.74803149606299213" header="0.31496062992125984" footer="0.31496062992125984"/>
  <pageSetup paperSize="9" scale="33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65"/>
  <sheetViews>
    <sheetView view="pageLayout" topLeftCell="A40" zoomScale="70" zoomScaleNormal="100" zoomScalePageLayoutView="70" workbookViewId="0">
      <selection activeCell="G9" sqref="G9:G52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6" style="11" hidden="1" customWidth="1"/>
    <col min="15" max="15" width="18.140625" style="72" hidden="1" customWidth="1"/>
    <col min="16" max="16" width="0" style="11" hidden="1" customWidth="1"/>
    <col min="17" max="16384" width="9.140625" style="11"/>
  </cols>
  <sheetData>
    <row r="1" spans="1:15" ht="53.25" customHeight="1" x14ac:dyDescent="0.25">
      <c r="A1" s="163" t="s">
        <v>111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5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3"/>
    </row>
    <row r="4" spans="1:15" ht="15.75" thickBot="1" x14ac:dyDescent="0.3"/>
    <row r="5" spans="1:15" ht="38.25" customHeight="1" thickBot="1" x14ac:dyDescent="0.3">
      <c r="A5" s="25">
        <v>1</v>
      </c>
      <c r="B5" s="103">
        <v>2</v>
      </c>
      <c r="C5" s="158">
        <v>3</v>
      </c>
      <c r="D5" s="159"/>
      <c r="E5" s="158">
        <v>4</v>
      </c>
      <c r="F5" s="159"/>
      <c r="G5" s="160">
        <v>5</v>
      </c>
      <c r="H5" s="161"/>
      <c r="I5" s="160">
        <v>6</v>
      </c>
      <c r="J5" s="161"/>
      <c r="K5" s="26"/>
      <c r="L5" s="160">
        <v>7</v>
      </c>
      <c r="M5" s="161"/>
      <c r="N5" s="74">
        <v>8</v>
      </c>
    </row>
    <row r="6" spans="1:15" ht="38.25" customHeight="1" thickBot="1" x14ac:dyDescent="0.3">
      <c r="A6" s="25" t="s">
        <v>46</v>
      </c>
      <c r="B6" s="103" t="s">
        <v>45</v>
      </c>
      <c r="C6" s="158" t="s">
        <v>92</v>
      </c>
      <c r="D6" s="159"/>
      <c r="E6" s="158" t="s">
        <v>94</v>
      </c>
      <c r="F6" s="159"/>
      <c r="G6" s="160" t="s">
        <v>75</v>
      </c>
      <c r="H6" s="161"/>
      <c r="I6" s="160" t="s">
        <v>75</v>
      </c>
      <c r="J6" s="161"/>
      <c r="K6" s="26" t="s">
        <v>95</v>
      </c>
      <c r="L6" s="27" t="s">
        <v>76</v>
      </c>
      <c r="M6" s="28"/>
      <c r="N6" s="75" t="s">
        <v>109</v>
      </c>
    </row>
    <row r="7" spans="1:15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5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5" ht="38.25" customHeight="1" x14ac:dyDescent="0.25">
      <c r="A9" s="41" t="s">
        <v>47</v>
      </c>
      <c r="B9" s="41" t="s">
        <v>2</v>
      </c>
      <c r="C9" s="121">
        <v>1.0772722457596435E-3</v>
      </c>
      <c r="D9" s="42" t="s">
        <v>85</v>
      </c>
      <c r="E9" s="43"/>
      <c r="F9" s="42" t="s">
        <v>85</v>
      </c>
      <c r="G9" s="139">
        <v>434360</v>
      </c>
      <c r="H9" s="45" t="s">
        <v>88</v>
      </c>
      <c r="I9" s="44">
        <v>2383</v>
      </c>
      <c r="J9" s="45" t="s">
        <v>77</v>
      </c>
      <c r="K9" s="46">
        <f>C9*G9*I9</f>
        <v>1115062.8268682223</v>
      </c>
      <c r="L9" s="47">
        <f>E9*G9*I9</f>
        <v>0</v>
      </c>
      <c r="M9" s="45" t="s">
        <v>82</v>
      </c>
      <c r="O9" s="72">
        <f>C9*G9*I9</f>
        <v>1115062.8268682223</v>
      </c>
    </row>
    <row r="10" spans="1:15" ht="38.25" customHeight="1" x14ac:dyDescent="0.25">
      <c r="A10" s="41" t="s">
        <v>48</v>
      </c>
      <c r="B10" s="41" t="s">
        <v>3</v>
      </c>
      <c r="C10" s="121">
        <v>2.6533799156641469E-3</v>
      </c>
      <c r="D10" s="42" t="s">
        <v>85</v>
      </c>
      <c r="E10" s="43"/>
      <c r="F10" s="42" t="s">
        <v>85</v>
      </c>
      <c r="G10" s="139">
        <v>327473</v>
      </c>
      <c r="H10" s="45" t="s">
        <v>88</v>
      </c>
      <c r="I10" s="44">
        <v>2383</v>
      </c>
      <c r="J10" s="45" t="s">
        <v>77</v>
      </c>
      <c r="K10" s="46">
        <f>C10*G10*I10</f>
        <v>2070613.1999144056</v>
      </c>
      <c r="L10" s="47">
        <f>E10*G10*I10</f>
        <v>0</v>
      </c>
      <c r="M10" s="45" t="s">
        <v>82</v>
      </c>
      <c r="O10" s="72">
        <f>C10*G10*I10</f>
        <v>2070613.1999144056</v>
      </c>
    </row>
    <row r="11" spans="1:15" ht="38.25" customHeight="1" x14ac:dyDescent="0.25">
      <c r="A11" s="48" t="s">
        <v>4</v>
      </c>
      <c r="B11" s="48" t="s">
        <v>5</v>
      </c>
      <c r="C11" s="10"/>
      <c r="D11" s="49"/>
      <c r="E11" s="10"/>
      <c r="F11" s="49"/>
      <c r="G11" s="10"/>
      <c r="H11" s="51"/>
      <c r="I11" s="50"/>
      <c r="J11" s="51"/>
      <c r="K11" s="26"/>
      <c r="L11" s="52"/>
      <c r="M11" s="51"/>
      <c r="O11" s="40"/>
    </row>
    <row r="12" spans="1:15" ht="38.25" customHeight="1" x14ac:dyDescent="0.25">
      <c r="A12" s="41" t="s">
        <v>49</v>
      </c>
      <c r="B12" s="41" t="s">
        <v>6</v>
      </c>
      <c r="C12" s="121">
        <v>1.3322304810368274E-2</v>
      </c>
      <c r="D12" s="42" t="s">
        <v>86</v>
      </c>
      <c r="E12" s="43"/>
      <c r="F12" s="42" t="s">
        <v>86</v>
      </c>
      <c r="G12" s="139">
        <v>434360.3</v>
      </c>
      <c r="H12" s="45" t="s">
        <v>88</v>
      </c>
      <c r="I12" s="44">
        <v>183</v>
      </c>
      <c r="J12" s="45" t="s">
        <v>84</v>
      </c>
      <c r="K12" s="46">
        <f>C12*G12*I12</f>
        <v>1058962.4974845103</v>
      </c>
      <c r="L12" s="47">
        <f>E12*G12*I12</f>
        <v>0</v>
      </c>
      <c r="M12" s="45" t="s">
        <v>82</v>
      </c>
      <c r="O12" s="72">
        <f t="shared" ref="O12:O13" si="0">C12*G12*I12</f>
        <v>1058962.4974845103</v>
      </c>
    </row>
    <row r="13" spans="1:15" ht="38.25" customHeight="1" x14ac:dyDescent="0.25">
      <c r="A13" s="41" t="s">
        <v>50</v>
      </c>
      <c r="B13" s="41" t="s">
        <v>7</v>
      </c>
      <c r="C13" s="121">
        <v>2.5405787641850981E-2</v>
      </c>
      <c r="D13" s="42" t="s">
        <v>86</v>
      </c>
      <c r="E13" s="43"/>
      <c r="F13" s="42" t="s">
        <v>86</v>
      </c>
      <c r="G13" s="139">
        <v>327472.7</v>
      </c>
      <c r="H13" s="45" t="s">
        <v>88</v>
      </c>
      <c r="I13" s="44">
        <v>183</v>
      </c>
      <c r="J13" s="45" t="s">
        <v>84</v>
      </c>
      <c r="K13" s="46">
        <f>C13*G13*I13</f>
        <v>1522505.4430707542</v>
      </c>
      <c r="L13" s="47">
        <f>E13*G13*I13</f>
        <v>0</v>
      </c>
      <c r="M13" s="45" t="s">
        <v>82</v>
      </c>
      <c r="O13" s="72">
        <f t="shared" si="0"/>
        <v>1522505.4430707542</v>
      </c>
    </row>
    <row r="14" spans="1:15" ht="38.25" customHeight="1" x14ac:dyDescent="0.25">
      <c r="A14" s="48" t="s">
        <v>8</v>
      </c>
      <c r="B14" s="48" t="s">
        <v>9</v>
      </c>
      <c r="C14" s="10"/>
      <c r="D14" s="49"/>
      <c r="E14" s="10"/>
      <c r="F14" s="49"/>
      <c r="G14" s="10"/>
      <c r="H14" s="51"/>
      <c r="I14" s="50"/>
      <c r="J14" s="51"/>
      <c r="K14" s="26"/>
      <c r="L14" s="52"/>
      <c r="M14" s="51"/>
      <c r="O14" s="40"/>
    </row>
    <row r="15" spans="1:15" ht="38.25" customHeight="1" x14ac:dyDescent="0.25">
      <c r="A15" s="41" t="s">
        <v>51</v>
      </c>
      <c r="B15" s="41" t="s">
        <v>10</v>
      </c>
      <c r="C15" s="122">
        <v>0.99658131218700008</v>
      </c>
      <c r="D15" s="42" t="s">
        <v>87</v>
      </c>
      <c r="E15" s="53"/>
      <c r="F15" s="42" t="s">
        <v>87</v>
      </c>
      <c r="G15" s="140">
        <v>226671</v>
      </c>
      <c r="H15" s="45" t="s">
        <v>89</v>
      </c>
      <c r="I15" s="54"/>
      <c r="J15" s="55"/>
      <c r="K15" s="46">
        <f>C15*G15</f>
        <v>225896.08261473948</v>
      </c>
      <c r="L15" s="47">
        <f>E15*G15</f>
        <v>0</v>
      </c>
      <c r="M15" s="45" t="s">
        <v>82</v>
      </c>
      <c r="O15" s="72">
        <f>C15*G15</f>
        <v>225896.08261473948</v>
      </c>
    </row>
    <row r="16" spans="1:15" ht="38.25" customHeight="1" x14ac:dyDescent="0.25">
      <c r="A16" s="48" t="s">
        <v>11</v>
      </c>
      <c r="B16" s="48" t="s">
        <v>12</v>
      </c>
      <c r="C16" s="10"/>
      <c r="D16" s="49"/>
      <c r="E16" s="10"/>
      <c r="F16" s="49"/>
      <c r="G16" s="10"/>
      <c r="H16" s="51"/>
      <c r="I16" s="50"/>
      <c r="J16" s="51"/>
      <c r="K16" s="26"/>
      <c r="L16" s="52"/>
      <c r="M16" s="51"/>
      <c r="O16" s="40"/>
    </row>
    <row r="17" spans="1:15" ht="45" x14ac:dyDescent="0.25">
      <c r="A17" s="41" t="s">
        <v>52</v>
      </c>
      <c r="B17" s="41" t="s">
        <v>79</v>
      </c>
      <c r="C17" s="123">
        <v>3.0610124513595922</v>
      </c>
      <c r="D17" s="42" t="s">
        <v>87</v>
      </c>
      <c r="E17" s="56"/>
      <c r="F17" s="42" t="s">
        <v>87</v>
      </c>
      <c r="G17" s="140">
        <v>229405</v>
      </c>
      <c r="H17" s="45" t="s">
        <v>89</v>
      </c>
      <c r="I17" s="54"/>
      <c r="J17" s="55"/>
      <c r="K17" s="46">
        <f>C17*G17</f>
        <v>702211.5614041473</v>
      </c>
      <c r="L17" s="47">
        <f>E17*G17</f>
        <v>0</v>
      </c>
      <c r="M17" s="45" t="s">
        <v>82</v>
      </c>
      <c r="O17" s="72">
        <f t="shared" ref="O17:O19" si="1">C17*G17</f>
        <v>702211.5614041473</v>
      </c>
    </row>
    <row r="18" spans="1:15" ht="38.25" customHeight="1" x14ac:dyDescent="0.25">
      <c r="A18" s="41" t="s">
        <v>105</v>
      </c>
      <c r="B18" s="41" t="s">
        <v>13</v>
      </c>
      <c r="C18" s="123">
        <v>0.29539100477784092</v>
      </c>
      <c r="D18" s="42" t="s">
        <v>87</v>
      </c>
      <c r="E18" s="56"/>
      <c r="F18" s="42" t="s">
        <v>87</v>
      </c>
      <c r="G18" s="140">
        <v>143815.20000000001</v>
      </c>
      <c r="H18" s="45" t="s">
        <v>89</v>
      </c>
      <c r="I18" s="54"/>
      <c r="J18" s="55"/>
      <c r="K18" s="46">
        <f>C18*G18</f>
        <v>42481.716430326152</v>
      </c>
      <c r="L18" s="47">
        <f t="shared" ref="L18:L19" si="2">E18*G18</f>
        <v>0</v>
      </c>
      <c r="M18" s="45" t="s">
        <v>82</v>
      </c>
      <c r="O18" s="72">
        <f t="shared" ref="O18" si="3">C18*G18</f>
        <v>42481.716430326152</v>
      </c>
    </row>
    <row r="19" spans="1:15" ht="38.25" customHeight="1" x14ac:dyDescent="0.25">
      <c r="A19" s="41" t="s">
        <v>117</v>
      </c>
      <c r="B19" s="41" t="s">
        <v>122</v>
      </c>
      <c r="C19" s="123">
        <v>150</v>
      </c>
      <c r="D19" s="102" t="s">
        <v>21</v>
      </c>
      <c r="E19" s="56"/>
      <c r="F19" s="102" t="s">
        <v>130</v>
      </c>
      <c r="G19" s="135"/>
      <c r="H19" s="45" t="s">
        <v>89</v>
      </c>
      <c r="I19" s="54"/>
      <c r="J19" s="55"/>
      <c r="K19" s="46">
        <f>C19*G19</f>
        <v>0</v>
      </c>
      <c r="L19" s="47">
        <f t="shared" si="2"/>
        <v>0</v>
      </c>
      <c r="M19" s="45" t="s">
        <v>82</v>
      </c>
      <c r="O19" s="72">
        <f t="shared" si="1"/>
        <v>0</v>
      </c>
    </row>
    <row r="20" spans="1:15" ht="38.25" customHeight="1" x14ac:dyDescent="0.25">
      <c r="A20" s="48" t="s">
        <v>14</v>
      </c>
      <c r="B20" s="48" t="s">
        <v>15</v>
      </c>
      <c r="C20" s="10"/>
      <c r="D20" s="49"/>
      <c r="E20" s="10"/>
      <c r="F20" s="49"/>
      <c r="G20" s="10"/>
      <c r="H20" s="51"/>
      <c r="I20" s="50"/>
      <c r="J20" s="51"/>
      <c r="K20" s="26"/>
      <c r="L20" s="52"/>
      <c r="M20" s="51"/>
    </row>
    <row r="21" spans="1:15" ht="38.25" customHeight="1" x14ac:dyDescent="0.25">
      <c r="A21" s="41" t="s">
        <v>53</v>
      </c>
      <c r="B21" s="41" t="s">
        <v>107</v>
      </c>
      <c r="C21" s="122">
        <v>24.017975586371783</v>
      </c>
      <c r="D21" s="42" t="s">
        <v>87</v>
      </c>
      <c r="E21" s="53"/>
      <c r="F21" s="42" t="s">
        <v>87</v>
      </c>
      <c r="G21" s="135">
        <v>18376.8</v>
      </c>
      <c r="H21" s="45" t="s">
        <v>89</v>
      </c>
      <c r="I21" s="54"/>
      <c r="J21" s="55"/>
      <c r="K21" s="46">
        <f>C21*G21</f>
        <v>441373.53375563695</v>
      </c>
      <c r="L21" s="47">
        <f>E21*G21</f>
        <v>0</v>
      </c>
      <c r="M21" s="45" t="s">
        <v>82</v>
      </c>
      <c r="O21" s="72">
        <f t="shared" ref="O21:O25" si="4">C21*G21</f>
        <v>441373.53375563695</v>
      </c>
    </row>
    <row r="22" spans="1:15" ht="38.25" customHeight="1" x14ac:dyDescent="0.25">
      <c r="A22" s="41" t="s">
        <v>54</v>
      </c>
      <c r="B22" s="41" t="s">
        <v>108</v>
      </c>
      <c r="C22" s="122">
        <v>11.185362524184205</v>
      </c>
      <c r="D22" s="42" t="s">
        <v>87</v>
      </c>
      <c r="E22" s="53"/>
      <c r="F22" s="42" t="s">
        <v>87</v>
      </c>
      <c r="G22" s="139">
        <v>212294.2</v>
      </c>
      <c r="H22" s="45" t="s">
        <v>89</v>
      </c>
      <c r="I22" s="54"/>
      <c r="J22" s="55"/>
      <c r="K22" s="46">
        <f>C22*G22</f>
        <v>2374587.5887816665</v>
      </c>
      <c r="L22" s="47">
        <f t="shared" ref="L22:L25" si="5">E22*G22</f>
        <v>0</v>
      </c>
      <c r="M22" s="45" t="s">
        <v>82</v>
      </c>
      <c r="O22" s="72">
        <f t="shared" si="4"/>
        <v>2374587.5887816665</v>
      </c>
    </row>
    <row r="23" spans="1:15" ht="38.25" customHeight="1" x14ac:dyDescent="0.25">
      <c r="A23" s="41" t="s">
        <v>100</v>
      </c>
      <c r="B23" s="41" t="s">
        <v>16</v>
      </c>
      <c r="C23" s="122">
        <v>0.6110768124851228</v>
      </c>
      <c r="D23" s="42" t="s">
        <v>87</v>
      </c>
      <c r="E23" s="53"/>
      <c r="F23" s="42" t="s">
        <v>87</v>
      </c>
      <c r="G23" s="139">
        <v>143915.20000000001</v>
      </c>
      <c r="H23" s="45" t="s">
        <v>89</v>
      </c>
      <c r="I23" s="54"/>
      <c r="J23" s="55"/>
      <c r="K23" s="46">
        <f>C23*G23</f>
        <v>87943.241684158958</v>
      </c>
      <c r="L23" s="47">
        <f t="shared" si="5"/>
        <v>0</v>
      </c>
      <c r="M23" s="45" t="s">
        <v>82</v>
      </c>
      <c r="O23" s="72">
        <f t="shared" si="4"/>
        <v>87943.241684158958</v>
      </c>
    </row>
    <row r="24" spans="1:15" ht="38.25" customHeight="1" x14ac:dyDescent="0.25">
      <c r="A24" s="41" t="s">
        <v>101</v>
      </c>
      <c r="B24" s="41" t="s">
        <v>102</v>
      </c>
      <c r="C24" s="122">
        <v>1920.6131157811997</v>
      </c>
      <c r="D24" s="42" t="s">
        <v>21</v>
      </c>
      <c r="E24" s="53"/>
      <c r="F24" s="42" t="s">
        <v>21</v>
      </c>
      <c r="G24" s="135">
        <v>6</v>
      </c>
      <c r="H24" s="45" t="s">
        <v>83</v>
      </c>
      <c r="I24" s="54"/>
      <c r="J24" s="55"/>
      <c r="K24" s="46">
        <f>C24*G24</f>
        <v>11523.678694687198</v>
      </c>
      <c r="L24" s="47">
        <f t="shared" si="5"/>
        <v>0</v>
      </c>
      <c r="M24" s="45" t="s">
        <v>82</v>
      </c>
      <c r="O24" s="72">
        <f t="shared" si="4"/>
        <v>11523.678694687198</v>
      </c>
    </row>
    <row r="25" spans="1:15" ht="38.25" customHeight="1" x14ac:dyDescent="0.25">
      <c r="A25" s="41" t="s">
        <v>104</v>
      </c>
      <c r="B25" s="41" t="s">
        <v>103</v>
      </c>
      <c r="C25" s="122">
        <v>2.5642171822259212</v>
      </c>
      <c r="D25" s="42" t="s">
        <v>21</v>
      </c>
      <c r="E25" s="53"/>
      <c r="F25" s="42" t="s">
        <v>21</v>
      </c>
      <c r="G25" s="135"/>
      <c r="H25" s="45" t="s">
        <v>83</v>
      </c>
      <c r="I25" s="54"/>
      <c r="J25" s="55"/>
      <c r="K25" s="46">
        <f>C25*G25</f>
        <v>0</v>
      </c>
      <c r="L25" s="47">
        <f t="shared" si="5"/>
        <v>0</v>
      </c>
      <c r="M25" s="45" t="s">
        <v>82</v>
      </c>
      <c r="O25" s="72">
        <f t="shared" si="4"/>
        <v>0</v>
      </c>
    </row>
    <row r="26" spans="1:15" ht="47.25" x14ac:dyDescent="0.25">
      <c r="A26" s="48" t="s">
        <v>17</v>
      </c>
      <c r="B26" s="48" t="s">
        <v>18</v>
      </c>
      <c r="C26" s="10"/>
      <c r="D26" s="49"/>
      <c r="E26" s="10"/>
      <c r="F26" s="49"/>
      <c r="G26" s="10"/>
      <c r="H26" s="51"/>
      <c r="I26" s="50"/>
      <c r="J26" s="51"/>
      <c r="K26" s="26"/>
      <c r="L26" s="52"/>
      <c r="M26" s="51"/>
    </row>
    <row r="27" spans="1:15" ht="38.25" customHeight="1" x14ac:dyDescent="0.25">
      <c r="A27" s="41" t="s">
        <v>55</v>
      </c>
      <c r="B27" s="41" t="s">
        <v>19</v>
      </c>
      <c r="C27" s="115">
        <v>1.4505808270340399</v>
      </c>
      <c r="D27" s="42" t="s">
        <v>87</v>
      </c>
      <c r="E27" s="53"/>
      <c r="F27" s="42" t="s">
        <v>87</v>
      </c>
      <c r="G27" s="141">
        <v>208331.30000000002</v>
      </c>
      <c r="H27" s="45" t="s">
        <v>89</v>
      </c>
      <c r="I27" s="54"/>
      <c r="J27" s="55"/>
      <c r="K27" s="46">
        <f>C27*G27</f>
        <v>302201.38945107668</v>
      </c>
      <c r="L27" s="47">
        <f>E27*G27</f>
        <v>0</v>
      </c>
      <c r="M27" s="45" t="s">
        <v>82</v>
      </c>
      <c r="O27" s="72">
        <f t="shared" ref="O27:O28" si="6">C27*G27</f>
        <v>302201.38945107668</v>
      </c>
    </row>
    <row r="28" spans="1:15" ht="38.25" customHeight="1" x14ac:dyDescent="0.25">
      <c r="A28" s="41" t="s">
        <v>56</v>
      </c>
      <c r="B28" s="41" t="s">
        <v>20</v>
      </c>
      <c r="C28" s="115">
        <v>196.41391881978004</v>
      </c>
      <c r="D28" s="42" t="s">
        <v>21</v>
      </c>
      <c r="E28" s="53"/>
      <c r="F28" s="42" t="s">
        <v>21</v>
      </c>
      <c r="G28" s="142">
        <v>874</v>
      </c>
      <c r="H28" s="45" t="s">
        <v>83</v>
      </c>
      <c r="I28" s="54"/>
      <c r="J28" s="55"/>
      <c r="K28" s="46">
        <f>C28*G28</f>
        <v>171665.76504848775</v>
      </c>
      <c r="L28" s="47">
        <f>E28*G28</f>
        <v>0</v>
      </c>
      <c r="M28" s="45" t="s">
        <v>82</v>
      </c>
      <c r="O28" s="72">
        <f t="shared" si="6"/>
        <v>171665.76504848775</v>
      </c>
    </row>
    <row r="29" spans="1:15" ht="38.25" customHeight="1" x14ac:dyDescent="0.25">
      <c r="A29" s="48" t="s">
        <v>22</v>
      </c>
      <c r="B29" s="48" t="s">
        <v>23</v>
      </c>
      <c r="C29" s="111"/>
      <c r="D29" s="49"/>
      <c r="E29" s="10"/>
      <c r="F29" s="49"/>
      <c r="G29" s="111"/>
      <c r="H29" s="51"/>
      <c r="I29" s="50"/>
      <c r="J29" s="51"/>
      <c r="K29" s="26"/>
      <c r="L29" s="52"/>
      <c r="M29" s="51"/>
    </row>
    <row r="30" spans="1:15" ht="38.25" customHeight="1" x14ac:dyDescent="0.25">
      <c r="A30" s="41" t="s">
        <v>57</v>
      </c>
      <c r="B30" s="41" t="s">
        <v>78</v>
      </c>
      <c r="C30" s="115">
        <v>0.46946070402192563</v>
      </c>
      <c r="D30" s="42" t="s">
        <v>87</v>
      </c>
      <c r="E30" s="53"/>
      <c r="F30" s="42" t="s">
        <v>87</v>
      </c>
      <c r="G30" s="142">
        <v>134229.5</v>
      </c>
      <c r="H30" s="45" t="s">
        <v>89</v>
      </c>
      <c r="I30" s="54"/>
      <c r="J30" s="55"/>
      <c r="K30" s="46">
        <f>C30*G30</f>
        <v>63015.475570511066</v>
      </c>
      <c r="L30" s="47">
        <f>E30*G30</f>
        <v>0</v>
      </c>
      <c r="M30" s="45" t="s">
        <v>82</v>
      </c>
      <c r="O30" s="72">
        <f t="shared" ref="O30:O31" si="7">C30*G30</f>
        <v>63015.475570511066</v>
      </c>
    </row>
    <row r="31" spans="1:15" ht="38.25" customHeight="1" x14ac:dyDescent="0.25">
      <c r="A31" s="41" t="s">
        <v>58</v>
      </c>
      <c r="B31" s="41" t="s">
        <v>24</v>
      </c>
      <c r="C31" s="115">
        <v>5.6388032876341407</v>
      </c>
      <c r="D31" s="42" t="s">
        <v>87</v>
      </c>
      <c r="E31" s="53"/>
      <c r="F31" s="42" t="s">
        <v>87</v>
      </c>
      <c r="G31" s="134">
        <v>200</v>
      </c>
      <c r="H31" s="45" t="s">
        <v>89</v>
      </c>
      <c r="I31" s="54"/>
      <c r="J31" s="55"/>
      <c r="K31" s="46">
        <f>C31*G31</f>
        <v>1127.7606575268283</v>
      </c>
      <c r="L31" s="47">
        <f>E31*G31</f>
        <v>0</v>
      </c>
      <c r="M31" s="45" t="s">
        <v>82</v>
      </c>
      <c r="O31" s="72">
        <f t="shared" si="7"/>
        <v>1127.7606575268283</v>
      </c>
    </row>
    <row r="32" spans="1:15" ht="47.25" x14ac:dyDescent="0.25">
      <c r="A32" s="48" t="s">
        <v>25</v>
      </c>
      <c r="B32" s="48" t="s">
        <v>26</v>
      </c>
      <c r="C32" s="111"/>
      <c r="D32" s="49"/>
      <c r="E32" s="10"/>
      <c r="F32" s="49"/>
      <c r="G32" s="111"/>
      <c r="H32" s="51"/>
      <c r="I32" s="50"/>
      <c r="J32" s="51"/>
      <c r="K32" s="26"/>
      <c r="L32" s="52"/>
      <c r="M32" s="51"/>
    </row>
    <row r="33" spans="1:20" ht="38.25" customHeight="1" x14ac:dyDescent="0.25">
      <c r="A33" s="41" t="s">
        <v>59</v>
      </c>
      <c r="B33" s="41" t="s">
        <v>27</v>
      </c>
      <c r="C33" s="115">
        <v>851.68083968633869</v>
      </c>
      <c r="D33" s="42" t="s">
        <v>21</v>
      </c>
      <c r="E33" s="53"/>
      <c r="F33" s="42" t="s">
        <v>21</v>
      </c>
      <c r="G33" s="142">
        <v>158</v>
      </c>
      <c r="H33" s="45" t="s">
        <v>83</v>
      </c>
      <c r="I33" s="54"/>
      <c r="J33" s="55"/>
      <c r="K33" s="46">
        <f>C33*G33</f>
        <v>134565.5726704415</v>
      </c>
      <c r="L33" s="47">
        <f>E33*G33</f>
        <v>0</v>
      </c>
      <c r="M33" s="45" t="s">
        <v>82</v>
      </c>
      <c r="O33" s="72">
        <f t="shared" ref="O33:O36" si="8">C33*G33</f>
        <v>134565.5726704415</v>
      </c>
    </row>
    <row r="34" spans="1:20" ht="38.25" customHeight="1" x14ac:dyDescent="0.25">
      <c r="A34" s="41" t="s">
        <v>60</v>
      </c>
      <c r="B34" s="41" t="s">
        <v>28</v>
      </c>
      <c r="C34" s="115">
        <v>1237.055329294629</v>
      </c>
      <c r="D34" s="42" t="s">
        <v>21</v>
      </c>
      <c r="E34" s="53"/>
      <c r="F34" s="42" t="s">
        <v>21</v>
      </c>
      <c r="G34" s="134">
        <v>37</v>
      </c>
      <c r="H34" s="45" t="s">
        <v>83</v>
      </c>
      <c r="I34" s="54"/>
      <c r="J34" s="55"/>
      <c r="K34" s="46">
        <f>C34*G34</f>
        <v>45771.047183901275</v>
      </c>
      <c r="L34" s="47">
        <f t="shared" ref="L34:L36" si="9">E34*G34</f>
        <v>0</v>
      </c>
      <c r="M34" s="45" t="s">
        <v>82</v>
      </c>
      <c r="O34" s="72">
        <f t="shared" si="8"/>
        <v>45771.047183901275</v>
      </c>
    </row>
    <row r="35" spans="1:20" ht="38.25" customHeight="1" x14ac:dyDescent="0.25">
      <c r="A35" s="41" t="s">
        <v>61</v>
      </c>
      <c r="B35" s="41" t="s">
        <v>29</v>
      </c>
      <c r="C35" s="115">
        <v>341.9994854602873</v>
      </c>
      <c r="D35" s="42" t="s">
        <v>21</v>
      </c>
      <c r="E35" s="53"/>
      <c r="F35" s="42" t="s">
        <v>21</v>
      </c>
      <c r="G35" s="142">
        <v>2</v>
      </c>
      <c r="H35" s="45" t="s">
        <v>83</v>
      </c>
      <c r="I35" s="54"/>
      <c r="J35" s="55"/>
      <c r="K35" s="46">
        <f>C35*G35</f>
        <v>683.99897092057461</v>
      </c>
      <c r="L35" s="47">
        <f t="shared" si="9"/>
        <v>0</v>
      </c>
      <c r="M35" s="45" t="s">
        <v>82</v>
      </c>
      <c r="O35" s="72">
        <f t="shared" si="8"/>
        <v>683.99897092057461</v>
      </c>
    </row>
    <row r="36" spans="1:20" ht="38.25" customHeight="1" x14ac:dyDescent="0.25">
      <c r="A36" s="41" t="s">
        <v>62</v>
      </c>
      <c r="B36" s="41" t="s">
        <v>30</v>
      </c>
      <c r="C36" s="115">
        <v>1091.7493291407866</v>
      </c>
      <c r="D36" s="42" t="s">
        <v>21</v>
      </c>
      <c r="E36" s="53"/>
      <c r="F36" s="42" t="s">
        <v>21</v>
      </c>
      <c r="G36" s="134">
        <v>0</v>
      </c>
      <c r="H36" s="45" t="s">
        <v>83</v>
      </c>
      <c r="I36" s="54"/>
      <c r="J36" s="55"/>
      <c r="K36" s="46">
        <f>C36*G36</f>
        <v>0</v>
      </c>
      <c r="L36" s="47">
        <f t="shared" si="9"/>
        <v>0</v>
      </c>
      <c r="M36" s="45" t="s">
        <v>82</v>
      </c>
      <c r="O36" s="72">
        <f t="shared" si="8"/>
        <v>0</v>
      </c>
    </row>
    <row r="37" spans="1:20" ht="38.25" customHeight="1" x14ac:dyDescent="0.25">
      <c r="A37" s="48" t="s">
        <v>31</v>
      </c>
      <c r="B37" s="48" t="s">
        <v>32</v>
      </c>
      <c r="C37" s="111"/>
      <c r="D37" s="49"/>
      <c r="E37" s="10"/>
      <c r="F37" s="49"/>
      <c r="G37" s="111"/>
      <c r="H37" s="51"/>
      <c r="I37" s="50"/>
      <c r="J37" s="51"/>
      <c r="K37" s="26"/>
      <c r="L37" s="52"/>
      <c r="M37" s="51"/>
    </row>
    <row r="38" spans="1:20" ht="38.25" customHeight="1" x14ac:dyDescent="0.25">
      <c r="A38" s="41" t="s">
        <v>63</v>
      </c>
      <c r="B38" s="41" t="s">
        <v>33</v>
      </c>
      <c r="C38" s="115">
        <v>370.78428390801372</v>
      </c>
      <c r="D38" s="42" t="s">
        <v>21</v>
      </c>
      <c r="E38" s="53"/>
      <c r="F38" s="42" t="s">
        <v>21</v>
      </c>
      <c r="G38" s="142">
        <v>209</v>
      </c>
      <c r="H38" s="45" t="s">
        <v>83</v>
      </c>
      <c r="I38" s="54"/>
      <c r="J38" s="55"/>
      <c r="K38" s="46">
        <f t="shared" ref="K38:K49" si="10">C38*G38</f>
        <v>77493.915336774866</v>
      </c>
      <c r="L38" s="47">
        <f>E38*G38</f>
        <v>0</v>
      </c>
      <c r="M38" s="45" t="s">
        <v>82</v>
      </c>
      <c r="O38" s="72">
        <f t="shared" ref="O38:O49" si="11">C38*G38</f>
        <v>77493.915336774866</v>
      </c>
      <c r="Q38" s="104"/>
      <c r="R38" s="104"/>
      <c r="S38" s="104"/>
      <c r="T38" s="104"/>
    </row>
    <row r="39" spans="1:20" ht="38.25" customHeight="1" x14ac:dyDescent="0.25">
      <c r="A39" s="41" t="s">
        <v>64</v>
      </c>
      <c r="B39" s="41" t="s">
        <v>34</v>
      </c>
      <c r="C39" s="115">
        <v>0.44308650716676129</v>
      </c>
      <c r="D39" s="42" t="s">
        <v>87</v>
      </c>
      <c r="E39" s="53"/>
      <c r="F39" s="42" t="s">
        <v>87</v>
      </c>
      <c r="G39" s="142">
        <v>112921</v>
      </c>
      <c r="H39" s="45" t="s">
        <v>89</v>
      </c>
      <c r="I39" s="54"/>
      <c r="J39" s="55"/>
      <c r="K39" s="46">
        <f t="shared" si="10"/>
        <v>50033.771475777852</v>
      </c>
      <c r="L39" s="47">
        <f t="shared" ref="L39:L49" si="12">E39*G39</f>
        <v>0</v>
      </c>
      <c r="M39" s="45" t="s">
        <v>82</v>
      </c>
      <c r="O39" s="72">
        <f t="shared" si="11"/>
        <v>50033.771475777852</v>
      </c>
      <c r="Q39" s="104"/>
      <c r="R39" s="104"/>
      <c r="S39" s="104"/>
      <c r="T39" s="104"/>
    </row>
    <row r="40" spans="1:20" ht="38.25" customHeight="1" x14ac:dyDescent="0.25">
      <c r="A40" s="41" t="s">
        <v>65</v>
      </c>
      <c r="B40" s="41" t="s">
        <v>35</v>
      </c>
      <c r="C40" s="115">
        <v>0.6962787969763391</v>
      </c>
      <c r="D40" s="42" t="s">
        <v>87</v>
      </c>
      <c r="E40" s="53"/>
      <c r="F40" s="42" t="s">
        <v>87</v>
      </c>
      <c r="G40" s="142">
        <v>773.5</v>
      </c>
      <c r="H40" s="45" t="s">
        <v>89</v>
      </c>
      <c r="I40" s="54"/>
      <c r="J40" s="55"/>
      <c r="K40" s="46">
        <f t="shared" si="10"/>
        <v>538.57164946119826</v>
      </c>
      <c r="L40" s="47">
        <f t="shared" si="12"/>
        <v>0</v>
      </c>
      <c r="M40" s="45" t="s">
        <v>82</v>
      </c>
      <c r="O40" s="72">
        <f t="shared" si="11"/>
        <v>538.57164946119826</v>
      </c>
      <c r="Q40" s="104"/>
      <c r="R40" s="104"/>
      <c r="S40" s="104"/>
      <c r="T40" s="104"/>
    </row>
    <row r="41" spans="1:20" ht="38.25" customHeight="1" x14ac:dyDescent="0.25">
      <c r="A41" s="41" t="s">
        <v>66</v>
      </c>
      <c r="B41" s="41" t="s">
        <v>36</v>
      </c>
      <c r="C41" s="115">
        <v>158.69354247752398</v>
      </c>
      <c r="D41" s="42" t="s">
        <v>21</v>
      </c>
      <c r="E41" s="53"/>
      <c r="F41" s="42" t="s">
        <v>21</v>
      </c>
      <c r="G41" s="134">
        <v>0</v>
      </c>
      <c r="H41" s="45" t="s">
        <v>83</v>
      </c>
      <c r="I41" s="54"/>
      <c r="J41" s="55"/>
      <c r="K41" s="46">
        <f t="shared" si="10"/>
        <v>0</v>
      </c>
      <c r="L41" s="47">
        <f t="shared" si="12"/>
        <v>0</v>
      </c>
      <c r="M41" s="45" t="s">
        <v>82</v>
      </c>
      <c r="O41" s="72">
        <f t="shared" si="11"/>
        <v>0</v>
      </c>
      <c r="Q41" s="104"/>
      <c r="R41" s="104"/>
      <c r="S41" s="104"/>
      <c r="T41" s="104"/>
    </row>
    <row r="42" spans="1:20" ht="38.25" customHeight="1" x14ac:dyDescent="0.25">
      <c r="A42" s="41" t="s">
        <v>67</v>
      </c>
      <c r="B42" s="41" t="s">
        <v>37</v>
      </c>
      <c r="C42" s="115">
        <v>5744.7273370438525</v>
      </c>
      <c r="D42" s="42" t="s">
        <v>21</v>
      </c>
      <c r="E42" s="53"/>
      <c r="F42" s="42" t="s">
        <v>21</v>
      </c>
      <c r="G42" s="134">
        <v>1</v>
      </c>
      <c r="H42" s="45" t="s">
        <v>83</v>
      </c>
      <c r="I42" s="54"/>
      <c r="J42" s="55"/>
      <c r="K42" s="46">
        <f t="shared" si="10"/>
        <v>5744.7273370438525</v>
      </c>
      <c r="L42" s="47">
        <f t="shared" si="12"/>
        <v>0</v>
      </c>
      <c r="M42" s="45" t="s">
        <v>82</v>
      </c>
      <c r="O42" s="72">
        <f t="shared" si="11"/>
        <v>5744.7273370438525</v>
      </c>
      <c r="Q42" s="104"/>
      <c r="R42" s="104"/>
      <c r="S42" s="104"/>
      <c r="T42" s="104"/>
    </row>
    <row r="43" spans="1:20" ht="38.25" customHeight="1" x14ac:dyDescent="0.25">
      <c r="A43" s="41" t="s">
        <v>68</v>
      </c>
      <c r="B43" s="41" t="s">
        <v>38</v>
      </c>
      <c r="C43" s="115">
        <v>170.98919305140157</v>
      </c>
      <c r="D43" s="42" t="s">
        <v>21</v>
      </c>
      <c r="E43" s="53"/>
      <c r="F43" s="42" t="s">
        <v>21</v>
      </c>
      <c r="G43" s="134">
        <v>1</v>
      </c>
      <c r="H43" s="45" t="s">
        <v>83</v>
      </c>
      <c r="I43" s="54"/>
      <c r="J43" s="55"/>
      <c r="K43" s="46">
        <f t="shared" si="10"/>
        <v>170.98919305140157</v>
      </c>
      <c r="L43" s="47">
        <f t="shared" si="12"/>
        <v>0</v>
      </c>
      <c r="M43" s="45" t="s">
        <v>82</v>
      </c>
      <c r="O43" s="72">
        <f t="shared" si="11"/>
        <v>170.98919305140157</v>
      </c>
      <c r="Q43" s="104"/>
      <c r="R43" s="104"/>
      <c r="S43" s="104"/>
      <c r="T43" s="104"/>
    </row>
    <row r="44" spans="1:20" ht="38.25" customHeight="1" x14ac:dyDescent="0.25">
      <c r="A44" s="41" t="s">
        <v>69</v>
      </c>
      <c r="B44" s="41" t="s">
        <v>39</v>
      </c>
      <c r="C44" s="115">
        <v>1136.727884457584</v>
      </c>
      <c r="D44" s="42" t="s">
        <v>21</v>
      </c>
      <c r="E44" s="53"/>
      <c r="F44" s="42" t="s">
        <v>21</v>
      </c>
      <c r="G44" s="134">
        <v>1</v>
      </c>
      <c r="H44" s="45" t="s">
        <v>83</v>
      </c>
      <c r="I44" s="54"/>
      <c r="J44" s="55"/>
      <c r="K44" s="46">
        <f t="shared" si="10"/>
        <v>1136.727884457584</v>
      </c>
      <c r="L44" s="47">
        <f t="shared" si="12"/>
        <v>0</v>
      </c>
      <c r="M44" s="45" t="s">
        <v>82</v>
      </c>
      <c r="O44" s="72">
        <f t="shared" si="11"/>
        <v>1136.727884457584</v>
      </c>
      <c r="Q44" s="104"/>
      <c r="R44" s="104"/>
      <c r="S44" s="104"/>
      <c r="T44" s="104"/>
    </row>
    <row r="45" spans="1:20" ht="38.25" customHeight="1" x14ac:dyDescent="0.25">
      <c r="A45" s="41" t="s">
        <v>70</v>
      </c>
      <c r="B45" s="41" t="s">
        <v>40</v>
      </c>
      <c r="C45" s="115">
        <v>114.34796788525061</v>
      </c>
      <c r="D45" s="42" t="s">
        <v>21</v>
      </c>
      <c r="E45" s="53"/>
      <c r="F45" s="42" t="s">
        <v>21</v>
      </c>
      <c r="G45" s="143">
        <v>326</v>
      </c>
      <c r="H45" s="45" t="s">
        <v>83</v>
      </c>
      <c r="I45" s="54"/>
      <c r="J45" s="55"/>
      <c r="K45" s="46">
        <f t="shared" si="10"/>
        <v>37277.437530591698</v>
      </c>
      <c r="L45" s="47">
        <f t="shared" si="12"/>
        <v>0</v>
      </c>
      <c r="M45" s="45" t="s">
        <v>82</v>
      </c>
      <c r="O45" s="72">
        <f t="shared" si="11"/>
        <v>37277.437530591698</v>
      </c>
      <c r="Q45" s="104"/>
      <c r="R45" s="104"/>
      <c r="S45" s="104"/>
      <c r="T45" s="104"/>
    </row>
    <row r="46" spans="1:20" ht="38.25" customHeight="1" x14ac:dyDescent="0.25">
      <c r="A46" s="41" t="s">
        <v>71</v>
      </c>
      <c r="B46" s="41" t="s">
        <v>41</v>
      </c>
      <c r="C46" s="115">
        <v>361.84870601348399</v>
      </c>
      <c r="D46" s="42" t="s">
        <v>21</v>
      </c>
      <c r="E46" s="53"/>
      <c r="F46" s="42" t="s">
        <v>21</v>
      </c>
      <c r="G46" s="134">
        <v>27</v>
      </c>
      <c r="H46" s="45" t="s">
        <v>83</v>
      </c>
      <c r="I46" s="54"/>
      <c r="J46" s="55"/>
      <c r="K46" s="46">
        <f t="shared" si="10"/>
        <v>9769.9150623640671</v>
      </c>
      <c r="L46" s="47">
        <f t="shared" si="12"/>
        <v>0</v>
      </c>
      <c r="M46" s="45" t="s">
        <v>82</v>
      </c>
      <c r="O46" s="72">
        <f t="shared" si="11"/>
        <v>9769.9150623640671</v>
      </c>
      <c r="Q46" s="104"/>
      <c r="R46" s="104"/>
      <c r="S46" s="104"/>
      <c r="T46" s="104"/>
    </row>
    <row r="47" spans="1:20" ht="38.25" customHeight="1" x14ac:dyDescent="0.25">
      <c r="A47" s="41" t="s">
        <v>72</v>
      </c>
      <c r="B47" s="41" t="s">
        <v>42</v>
      </c>
      <c r="C47" s="115">
        <v>1682.9375013280378</v>
      </c>
      <c r="D47" s="42" t="s">
        <v>21</v>
      </c>
      <c r="E47" s="53"/>
      <c r="F47" s="42" t="s">
        <v>21</v>
      </c>
      <c r="G47" s="134">
        <v>3</v>
      </c>
      <c r="H47" s="45" t="s">
        <v>83</v>
      </c>
      <c r="I47" s="54"/>
      <c r="J47" s="55"/>
      <c r="K47" s="46">
        <f t="shared" si="10"/>
        <v>5048.8125039841134</v>
      </c>
      <c r="L47" s="47">
        <f t="shared" si="12"/>
        <v>0</v>
      </c>
      <c r="M47" s="45" t="s">
        <v>82</v>
      </c>
      <c r="O47" s="72">
        <f t="shared" si="11"/>
        <v>5048.8125039841134</v>
      </c>
      <c r="Q47" s="104"/>
      <c r="R47" s="104"/>
      <c r="S47" s="104"/>
      <c r="T47" s="104"/>
    </row>
    <row r="48" spans="1:20" ht="38.25" customHeight="1" x14ac:dyDescent="0.25">
      <c r="A48" s="41" t="s">
        <v>73</v>
      </c>
      <c r="B48" s="41" t="s">
        <v>43</v>
      </c>
      <c r="C48" s="115">
        <v>411.55351740672677</v>
      </c>
      <c r="D48" s="42" t="s">
        <v>21</v>
      </c>
      <c r="E48" s="53"/>
      <c r="F48" s="42" t="s">
        <v>21</v>
      </c>
      <c r="G48" s="134">
        <v>77</v>
      </c>
      <c r="H48" s="45" t="s">
        <v>83</v>
      </c>
      <c r="I48" s="54"/>
      <c r="J48" s="55"/>
      <c r="K48" s="46">
        <f t="shared" si="10"/>
        <v>31689.620840317963</v>
      </c>
      <c r="L48" s="47">
        <f t="shared" si="12"/>
        <v>0</v>
      </c>
      <c r="M48" s="45" t="s">
        <v>82</v>
      </c>
      <c r="O48" s="72">
        <f t="shared" si="11"/>
        <v>31689.620840317963</v>
      </c>
      <c r="Q48" s="104"/>
      <c r="R48" s="104"/>
      <c r="S48" s="104"/>
      <c r="T48" s="104"/>
    </row>
    <row r="49" spans="1:20" ht="38.25" customHeight="1" x14ac:dyDescent="0.25">
      <c r="A49" s="41" t="s">
        <v>74</v>
      </c>
      <c r="B49" s="41" t="s">
        <v>44</v>
      </c>
      <c r="C49" s="115">
        <v>31.227049076514604</v>
      </c>
      <c r="D49" s="42" t="s">
        <v>21</v>
      </c>
      <c r="E49" s="53"/>
      <c r="F49" s="42" t="s">
        <v>21</v>
      </c>
      <c r="G49" s="134"/>
      <c r="H49" s="45" t="s">
        <v>83</v>
      </c>
      <c r="I49" s="54"/>
      <c r="J49" s="55"/>
      <c r="K49" s="46">
        <f t="shared" si="10"/>
        <v>0</v>
      </c>
      <c r="L49" s="47">
        <f t="shared" si="12"/>
        <v>0</v>
      </c>
      <c r="M49" s="45" t="s">
        <v>82</v>
      </c>
      <c r="O49" s="72">
        <f t="shared" si="11"/>
        <v>0</v>
      </c>
      <c r="Q49" s="104"/>
      <c r="R49" s="104"/>
      <c r="S49" s="104"/>
      <c r="T49" s="104"/>
    </row>
    <row r="50" spans="1:20" ht="38.25" customHeight="1" x14ac:dyDescent="0.25">
      <c r="A50" s="48" t="s">
        <v>96</v>
      </c>
      <c r="B50" s="48" t="s">
        <v>99</v>
      </c>
      <c r="C50" s="111"/>
      <c r="D50" s="49"/>
      <c r="E50" s="10"/>
      <c r="F50" s="49"/>
      <c r="G50" s="111"/>
      <c r="H50" s="51"/>
      <c r="I50" s="50"/>
      <c r="J50" s="51"/>
      <c r="K50" s="26"/>
      <c r="L50" s="52"/>
      <c r="M50" s="51"/>
      <c r="Q50" s="104"/>
      <c r="R50" s="104"/>
      <c r="S50" s="104"/>
      <c r="T50" s="104"/>
    </row>
    <row r="51" spans="1:20" ht="38.25" customHeight="1" x14ac:dyDescent="0.25">
      <c r="A51" s="41" t="s">
        <v>97</v>
      </c>
      <c r="B51" s="41" t="s">
        <v>80</v>
      </c>
      <c r="C51" s="115">
        <v>66768.119526270457</v>
      </c>
      <c r="D51" s="42" t="s">
        <v>81</v>
      </c>
      <c r="E51" s="53"/>
      <c r="F51" s="42" t="s">
        <v>81</v>
      </c>
      <c r="G51" s="134">
        <v>25</v>
      </c>
      <c r="H51" s="45" t="s">
        <v>81</v>
      </c>
      <c r="I51" s="54"/>
      <c r="J51" s="55"/>
      <c r="K51" s="46">
        <f>C51*G51</f>
        <v>1669202.9881567615</v>
      </c>
      <c r="L51" s="47">
        <f>E51*G51</f>
        <v>0</v>
      </c>
      <c r="M51" s="45" t="s">
        <v>82</v>
      </c>
      <c r="O51" s="72">
        <f t="shared" ref="O51:O52" si="13">C51*G51</f>
        <v>1669202.9881567615</v>
      </c>
      <c r="Q51" s="104"/>
      <c r="R51" s="104"/>
      <c r="S51" s="104"/>
      <c r="T51" s="104"/>
    </row>
    <row r="52" spans="1:20" ht="38.25" customHeight="1" x14ac:dyDescent="0.25">
      <c r="A52" s="41" t="s">
        <v>98</v>
      </c>
      <c r="B52" s="41" t="s">
        <v>106</v>
      </c>
      <c r="C52" s="115">
        <v>107787.58410852712</v>
      </c>
      <c r="D52" s="42" t="s">
        <v>81</v>
      </c>
      <c r="E52" s="53"/>
      <c r="F52" s="42" t="s">
        <v>81</v>
      </c>
      <c r="G52" s="134">
        <v>0</v>
      </c>
      <c r="H52" s="45" t="s">
        <v>81</v>
      </c>
      <c r="I52" s="54"/>
      <c r="J52" s="55"/>
      <c r="K52" s="46">
        <f>C52*G52</f>
        <v>0</v>
      </c>
      <c r="L52" s="47">
        <f>E52*G52</f>
        <v>0</v>
      </c>
      <c r="M52" s="45" t="s">
        <v>82</v>
      </c>
      <c r="O52" s="72">
        <f t="shared" si="13"/>
        <v>0</v>
      </c>
      <c r="Q52" s="104"/>
      <c r="R52" s="104"/>
      <c r="S52" s="104"/>
      <c r="T52" s="104"/>
    </row>
    <row r="53" spans="1:20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40"/>
    </row>
    <row r="54" spans="1:20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40"/>
    </row>
    <row r="55" spans="1:20" x14ac:dyDescent="0.25">
      <c r="B55" s="64" t="s">
        <v>93</v>
      </c>
    </row>
    <row r="56" spans="1:20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124">
        <f>SUM(O9:O52)</f>
        <v>12260299.857226709</v>
      </c>
      <c r="M56" s="45" t="s">
        <v>82</v>
      </c>
    </row>
    <row r="57" spans="1:20" x14ac:dyDescent="0.25">
      <c r="K57" s="11"/>
    </row>
    <row r="58" spans="1:20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20" ht="15.75" x14ac:dyDescent="0.25">
      <c r="N59" s="76"/>
    </row>
    <row r="60" spans="1:20" ht="36.75" customHeight="1" x14ac:dyDescent="0.25">
      <c r="A60" s="66"/>
      <c r="C60" s="11"/>
      <c r="E60" s="11"/>
      <c r="F60" s="11"/>
      <c r="G60" s="11"/>
      <c r="H60" s="11"/>
      <c r="I60" s="11"/>
      <c r="J60" s="65" t="s">
        <v>114</v>
      </c>
      <c r="K60" s="11"/>
      <c r="L60" s="47">
        <f>(1-L58/L56)*100</f>
        <v>100</v>
      </c>
      <c r="M60" s="45" t="s">
        <v>91</v>
      </c>
      <c r="N60" s="77" t="s">
        <v>119</v>
      </c>
    </row>
    <row r="61" spans="1:20" ht="15.75" x14ac:dyDescent="0.25">
      <c r="N61" s="76"/>
    </row>
    <row r="62" spans="1:20" s="17" customFormat="1" ht="60" customHeight="1" x14ac:dyDescent="0.25">
      <c r="A62" s="66"/>
      <c r="B62" s="162" t="s">
        <v>118</v>
      </c>
      <c r="C62" s="162"/>
      <c r="D62" s="162"/>
      <c r="E62" s="162"/>
      <c r="F62" s="162"/>
      <c r="G62" s="162"/>
      <c r="H62" s="162"/>
      <c r="I62" s="162"/>
      <c r="J62" s="19"/>
      <c r="K62" s="19"/>
      <c r="L62" s="1"/>
      <c r="M62" s="45" t="s">
        <v>91</v>
      </c>
      <c r="N62" s="77" t="s">
        <v>120</v>
      </c>
      <c r="O62" s="73"/>
    </row>
    <row r="63" spans="1:20" ht="15.75" x14ac:dyDescent="0.25">
      <c r="A63" s="67"/>
      <c r="B63" s="68"/>
      <c r="N63" s="76"/>
    </row>
    <row r="64" spans="1:20" ht="15.75" x14ac:dyDescent="0.25">
      <c r="A64" s="67"/>
    </row>
    <row r="65" spans="1:1" ht="15.75" x14ac:dyDescent="0.25">
      <c r="A65" s="67"/>
    </row>
  </sheetData>
  <sheetProtection selectLockedCells="1"/>
  <mergeCells count="11">
    <mergeCell ref="C6:D6"/>
    <mergeCell ref="E6:F6"/>
    <mergeCell ref="G6:H6"/>
    <mergeCell ref="I6:J6"/>
    <mergeCell ref="B62:I62"/>
    <mergeCell ref="A1:M1"/>
    <mergeCell ref="C5:D5"/>
    <mergeCell ref="E5:F5"/>
    <mergeCell ref="G5:H5"/>
    <mergeCell ref="I5:J5"/>
    <mergeCell ref="L5:M5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67"/>
  <sheetViews>
    <sheetView view="pageLayout" topLeftCell="A44" zoomScale="70" zoomScaleNormal="100" zoomScalePageLayoutView="70" workbookViewId="0">
      <selection activeCell="L55" sqref="L55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6" style="11" customWidth="1"/>
    <col min="15" max="15" width="18.140625" style="72" hidden="1" customWidth="1"/>
    <col min="16" max="16" width="0" style="11" hidden="1" customWidth="1"/>
    <col min="17" max="16384" width="9.140625" style="11"/>
  </cols>
  <sheetData>
    <row r="1" spans="1:17" ht="53.25" customHeight="1" x14ac:dyDescent="0.25">
      <c r="A1" s="163" t="s">
        <v>125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7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7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3"/>
    </row>
    <row r="4" spans="1:17" ht="15.75" thickBot="1" x14ac:dyDescent="0.3"/>
    <row r="5" spans="1:17" ht="38.25" customHeight="1" thickBot="1" x14ac:dyDescent="0.3">
      <c r="A5" s="25">
        <v>1</v>
      </c>
      <c r="B5" s="103">
        <v>2</v>
      </c>
      <c r="C5" s="158">
        <v>3</v>
      </c>
      <c r="D5" s="159"/>
      <c r="E5" s="158">
        <v>4</v>
      </c>
      <c r="F5" s="159"/>
      <c r="G5" s="160">
        <v>5</v>
      </c>
      <c r="H5" s="161"/>
      <c r="I5" s="160">
        <v>6</v>
      </c>
      <c r="J5" s="161"/>
      <c r="K5" s="26"/>
      <c r="L5" s="160">
        <v>7</v>
      </c>
      <c r="M5" s="161"/>
      <c r="N5" s="74">
        <v>8</v>
      </c>
    </row>
    <row r="6" spans="1:17" ht="38.25" customHeight="1" thickBot="1" x14ac:dyDescent="0.3">
      <c r="A6" s="25" t="s">
        <v>46</v>
      </c>
      <c r="B6" s="103" t="s">
        <v>45</v>
      </c>
      <c r="C6" s="158" t="s">
        <v>92</v>
      </c>
      <c r="D6" s="159"/>
      <c r="E6" s="158" t="s">
        <v>94</v>
      </c>
      <c r="F6" s="159"/>
      <c r="G6" s="160" t="s">
        <v>75</v>
      </c>
      <c r="H6" s="161"/>
      <c r="I6" s="160" t="s">
        <v>75</v>
      </c>
      <c r="J6" s="161"/>
      <c r="K6" s="26" t="s">
        <v>95</v>
      </c>
      <c r="L6" s="27" t="s">
        <v>76</v>
      </c>
      <c r="M6" s="28"/>
      <c r="N6" s="75" t="s">
        <v>109</v>
      </c>
    </row>
    <row r="7" spans="1:17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7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7" ht="38.25" customHeight="1" x14ac:dyDescent="0.25">
      <c r="A9" s="41" t="s">
        <v>47</v>
      </c>
      <c r="B9" s="41" t="s">
        <v>2</v>
      </c>
      <c r="C9" s="106">
        <v>1.0772722457596435E-3</v>
      </c>
      <c r="D9" s="107" t="s">
        <v>85</v>
      </c>
      <c r="E9" s="43"/>
      <c r="F9" s="42" t="s">
        <v>85</v>
      </c>
      <c r="G9" s="134">
        <v>175185</v>
      </c>
      <c r="H9" s="109" t="s">
        <v>88</v>
      </c>
      <c r="I9" s="108">
        <v>2473</v>
      </c>
      <c r="J9" s="109" t="s">
        <v>77</v>
      </c>
      <c r="K9" s="110">
        <f>C9*G9*I9</f>
        <v>466709.35359742603</v>
      </c>
      <c r="L9" s="95">
        <f>E9*G9*I9</f>
        <v>0</v>
      </c>
      <c r="M9" s="109" t="s">
        <v>82</v>
      </c>
      <c r="N9" s="104"/>
      <c r="O9" s="7">
        <f>C9*G9*I9</f>
        <v>466709.35359742603</v>
      </c>
      <c r="P9" s="104"/>
      <c r="Q9" s="104"/>
    </row>
    <row r="10" spans="1:17" ht="38.25" customHeight="1" x14ac:dyDescent="0.25">
      <c r="A10" s="41" t="s">
        <v>47</v>
      </c>
      <c r="B10" s="41" t="s">
        <v>2</v>
      </c>
      <c r="C10" s="106">
        <v>1.0772722457596435E-3</v>
      </c>
      <c r="D10" s="107" t="s">
        <v>85</v>
      </c>
      <c r="E10" s="43"/>
      <c r="F10" s="42" t="s">
        <v>85</v>
      </c>
      <c r="G10" s="134">
        <v>62417</v>
      </c>
      <c r="H10" s="109" t="s">
        <v>88</v>
      </c>
      <c r="I10" s="108">
        <v>4163</v>
      </c>
      <c r="J10" s="109" t="s">
        <v>77</v>
      </c>
      <c r="K10" s="110">
        <f>C10*G10*I10</f>
        <v>279920.54364178219</v>
      </c>
      <c r="L10" s="95">
        <f>E10*G10*I10</f>
        <v>0</v>
      </c>
      <c r="M10" s="109" t="s">
        <v>82</v>
      </c>
      <c r="N10" s="104"/>
      <c r="O10" s="7">
        <f>C10*G10*I10</f>
        <v>279920.54364178219</v>
      </c>
      <c r="P10" s="104"/>
      <c r="Q10" s="104"/>
    </row>
    <row r="11" spans="1:17" ht="38.25" customHeight="1" x14ac:dyDescent="0.25">
      <c r="A11" s="41" t="s">
        <v>48</v>
      </c>
      <c r="B11" s="41" t="s">
        <v>3</v>
      </c>
      <c r="C11" s="106">
        <v>2.6533799156641469E-3</v>
      </c>
      <c r="D11" s="107" t="s">
        <v>85</v>
      </c>
      <c r="E11" s="43"/>
      <c r="F11" s="42" t="s">
        <v>85</v>
      </c>
      <c r="G11" s="134">
        <v>381976</v>
      </c>
      <c r="H11" s="109" t="s">
        <v>88</v>
      </c>
      <c r="I11" s="108">
        <v>2473</v>
      </c>
      <c r="J11" s="109" t="s">
        <v>77</v>
      </c>
      <c r="K11" s="110">
        <f>C11*G11*I11</f>
        <v>2506453.3756043459</v>
      </c>
      <c r="L11" s="95">
        <f>I11*G11*E11</f>
        <v>0</v>
      </c>
      <c r="M11" s="109" t="s">
        <v>82</v>
      </c>
      <c r="N11" s="104"/>
      <c r="O11" s="7">
        <f>C11*G11*I11</f>
        <v>2506453.3756043459</v>
      </c>
      <c r="P11" s="104"/>
      <c r="Q11" s="104"/>
    </row>
    <row r="12" spans="1:17" ht="38.25" customHeight="1" x14ac:dyDescent="0.25">
      <c r="A12" s="41" t="s">
        <v>48</v>
      </c>
      <c r="B12" s="41" t="s">
        <v>3</v>
      </c>
      <c r="C12" s="106">
        <v>2.6533799156641469E-3</v>
      </c>
      <c r="D12" s="107" t="s">
        <v>85</v>
      </c>
      <c r="E12" s="43"/>
      <c r="F12" s="42" t="s">
        <v>85</v>
      </c>
      <c r="G12" s="134">
        <v>63904</v>
      </c>
      <c r="H12" s="109" t="s">
        <v>88</v>
      </c>
      <c r="I12" s="108">
        <v>4163</v>
      </c>
      <c r="J12" s="109" t="s">
        <v>77</v>
      </c>
      <c r="K12" s="110">
        <f>C12*G12*I12</f>
        <v>705884.8997136947</v>
      </c>
      <c r="L12" s="95">
        <f>E12*G12*I12</f>
        <v>0</v>
      </c>
      <c r="M12" s="109" t="s">
        <v>82</v>
      </c>
      <c r="N12" s="104"/>
      <c r="O12" s="7">
        <f>C12*G12*I12</f>
        <v>705884.8997136947</v>
      </c>
      <c r="P12" s="104"/>
      <c r="Q12" s="104"/>
    </row>
    <row r="13" spans="1:17" ht="38.25" customHeight="1" x14ac:dyDescent="0.25">
      <c r="A13" s="48" t="s">
        <v>4</v>
      </c>
      <c r="B13" s="48" t="s">
        <v>5</v>
      </c>
      <c r="C13" s="111"/>
      <c r="D13" s="112"/>
      <c r="E13" s="10"/>
      <c r="F13" s="49"/>
      <c r="G13" s="111"/>
      <c r="H13" s="114"/>
      <c r="I13" s="113"/>
      <c r="J13" s="114"/>
      <c r="K13" s="105"/>
      <c r="L13" s="99">
        <f>E13*G13*I13</f>
        <v>0</v>
      </c>
      <c r="M13" s="114"/>
      <c r="N13" s="104"/>
      <c r="O13" s="8"/>
      <c r="P13" s="104"/>
      <c r="Q13" s="104"/>
    </row>
    <row r="14" spans="1:17" ht="38.25" customHeight="1" x14ac:dyDescent="0.25">
      <c r="A14" s="41" t="s">
        <v>49</v>
      </c>
      <c r="B14" s="41" t="s">
        <v>6</v>
      </c>
      <c r="C14" s="106">
        <v>1.3322304810368274E-2</v>
      </c>
      <c r="D14" s="107" t="s">
        <v>86</v>
      </c>
      <c r="E14" s="43"/>
      <c r="F14" s="42" t="s">
        <v>86</v>
      </c>
      <c r="G14" s="134">
        <v>60814</v>
      </c>
      <c r="H14" s="109" t="s">
        <v>88</v>
      </c>
      <c r="I14" s="108">
        <v>130</v>
      </c>
      <c r="J14" s="109" t="s">
        <v>84</v>
      </c>
      <c r="K14" s="110">
        <f>C14*G14*I14</f>
        <v>105323.74381590572</v>
      </c>
      <c r="L14" s="95">
        <f>I14*G14*E14</f>
        <v>0</v>
      </c>
      <c r="M14" s="109" t="s">
        <v>82</v>
      </c>
      <c r="N14" s="104"/>
      <c r="O14" s="7">
        <f t="shared" ref="O14:O15" si="0">C14*G14*I14</f>
        <v>105323.74381590572</v>
      </c>
      <c r="P14" s="104"/>
      <c r="Q14" s="104"/>
    </row>
    <row r="15" spans="1:17" ht="38.25" customHeight="1" x14ac:dyDescent="0.25">
      <c r="A15" s="41" t="s">
        <v>50</v>
      </c>
      <c r="B15" s="41" t="s">
        <v>7</v>
      </c>
      <c r="C15" s="106">
        <v>2.5405787641850981E-2</v>
      </c>
      <c r="D15" s="107" t="s">
        <v>86</v>
      </c>
      <c r="E15" s="43"/>
      <c r="F15" s="42" t="s">
        <v>86</v>
      </c>
      <c r="G15" s="134">
        <v>408470</v>
      </c>
      <c r="H15" s="109" t="s">
        <v>88</v>
      </c>
      <c r="I15" s="108">
        <v>150</v>
      </c>
      <c r="J15" s="109" t="s">
        <v>84</v>
      </c>
      <c r="K15" s="110">
        <f>C15*G15*I15</f>
        <v>1556625.3117100308</v>
      </c>
      <c r="L15" s="95">
        <f>E15*G15*I15</f>
        <v>0</v>
      </c>
      <c r="M15" s="109" t="s">
        <v>82</v>
      </c>
      <c r="N15" s="104"/>
      <c r="O15" s="7">
        <f t="shared" si="0"/>
        <v>1556625.3117100308</v>
      </c>
      <c r="P15" s="104"/>
      <c r="Q15" s="104"/>
    </row>
    <row r="16" spans="1:17" ht="38.25" customHeight="1" x14ac:dyDescent="0.25">
      <c r="A16" s="48" t="s">
        <v>8</v>
      </c>
      <c r="B16" s="48" t="s">
        <v>9</v>
      </c>
      <c r="C16" s="111"/>
      <c r="D16" s="112"/>
      <c r="E16" s="10"/>
      <c r="F16" s="49"/>
      <c r="G16" s="111"/>
      <c r="H16" s="114"/>
      <c r="I16" s="113"/>
      <c r="J16" s="114"/>
      <c r="K16" s="105"/>
      <c r="L16" s="99"/>
      <c r="M16" s="114"/>
      <c r="N16" s="104"/>
      <c r="O16" s="8"/>
      <c r="P16" s="104"/>
      <c r="Q16" s="104"/>
    </row>
    <row r="17" spans="1:17" ht="38.25" customHeight="1" x14ac:dyDescent="0.25">
      <c r="A17" s="41" t="s">
        <v>51</v>
      </c>
      <c r="B17" s="41" t="s">
        <v>10</v>
      </c>
      <c r="C17" s="115">
        <v>0.99658131218700008</v>
      </c>
      <c r="D17" s="107" t="s">
        <v>87</v>
      </c>
      <c r="E17" s="53"/>
      <c r="F17" s="42" t="s">
        <v>87</v>
      </c>
      <c r="G17" s="134">
        <v>213276</v>
      </c>
      <c r="H17" s="109" t="s">
        <v>89</v>
      </c>
      <c r="I17" s="116"/>
      <c r="J17" s="117"/>
      <c r="K17" s="110">
        <f>C17*G17</f>
        <v>212546.87593799463</v>
      </c>
      <c r="L17" s="95">
        <f>E17*G17</f>
        <v>0</v>
      </c>
      <c r="M17" s="109" t="s">
        <v>82</v>
      </c>
      <c r="N17" s="104"/>
      <c r="O17" s="7">
        <f>C17*G17</f>
        <v>212546.87593799463</v>
      </c>
      <c r="P17" s="104"/>
      <c r="Q17" s="104"/>
    </row>
    <row r="18" spans="1:17" ht="38.25" customHeight="1" x14ac:dyDescent="0.25">
      <c r="A18" s="48" t="s">
        <v>11</v>
      </c>
      <c r="B18" s="48" t="s">
        <v>12</v>
      </c>
      <c r="C18" s="111"/>
      <c r="D18" s="112"/>
      <c r="E18" s="10"/>
      <c r="F18" s="49"/>
      <c r="G18" s="111"/>
      <c r="H18" s="114"/>
      <c r="I18" s="113"/>
      <c r="J18" s="114"/>
      <c r="K18" s="105"/>
      <c r="L18" s="99">
        <f t="shared" ref="L18:L19" si="1">E18*G18</f>
        <v>0</v>
      </c>
      <c r="M18" s="114"/>
      <c r="N18" s="104"/>
      <c r="O18" s="8"/>
      <c r="P18" s="104"/>
      <c r="Q18" s="104"/>
    </row>
    <row r="19" spans="1:17" ht="45" x14ac:dyDescent="0.25">
      <c r="A19" s="41" t="s">
        <v>52</v>
      </c>
      <c r="B19" s="41" t="s">
        <v>79</v>
      </c>
      <c r="C19" s="118">
        <v>3.0610124513595922</v>
      </c>
      <c r="D19" s="107" t="s">
        <v>87</v>
      </c>
      <c r="E19" s="56"/>
      <c r="F19" s="42" t="s">
        <v>87</v>
      </c>
      <c r="G19" s="134">
        <v>213276</v>
      </c>
      <c r="H19" s="109" t="s">
        <v>89</v>
      </c>
      <c r="I19" s="116"/>
      <c r="J19" s="117"/>
      <c r="K19" s="110">
        <f>C19*G19</f>
        <v>652840.49157616834</v>
      </c>
      <c r="L19" s="95">
        <f t="shared" si="1"/>
        <v>0</v>
      </c>
      <c r="M19" s="109" t="s">
        <v>82</v>
      </c>
      <c r="N19" s="104"/>
      <c r="O19" s="7">
        <f t="shared" ref="O19:O21" si="2">C19*G19</f>
        <v>652840.49157616834</v>
      </c>
      <c r="P19" s="104"/>
      <c r="Q19" s="104"/>
    </row>
    <row r="20" spans="1:17" ht="38.25" customHeight="1" x14ac:dyDescent="0.25">
      <c r="A20" s="41" t="s">
        <v>105</v>
      </c>
      <c r="B20" s="41" t="s">
        <v>13</v>
      </c>
      <c r="C20" s="118">
        <v>0.29539100477784092</v>
      </c>
      <c r="D20" s="107" t="s">
        <v>87</v>
      </c>
      <c r="E20" s="56"/>
      <c r="F20" s="42" t="s">
        <v>87</v>
      </c>
      <c r="G20" s="134">
        <v>163776</v>
      </c>
      <c r="H20" s="109" t="s">
        <v>89</v>
      </c>
      <c r="I20" s="116"/>
      <c r="J20" s="117"/>
      <c r="K20" s="110">
        <f>C20*G20</f>
        <v>48377.957198495671</v>
      </c>
      <c r="L20" s="95">
        <f>G20*E20</f>
        <v>0</v>
      </c>
      <c r="M20" s="109" t="s">
        <v>82</v>
      </c>
      <c r="N20" s="104"/>
      <c r="O20" s="7">
        <f t="shared" si="2"/>
        <v>48377.957198495671</v>
      </c>
      <c r="P20" s="104"/>
      <c r="Q20" s="104"/>
    </row>
    <row r="21" spans="1:17" ht="38.25" customHeight="1" x14ac:dyDescent="0.25">
      <c r="A21" s="41" t="s">
        <v>117</v>
      </c>
      <c r="B21" s="41" t="s">
        <v>122</v>
      </c>
      <c r="C21" s="118">
        <v>150</v>
      </c>
      <c r="D21" s="119" t="s">
        <v>21</v>
      </c>
      <c r="E21" s="56"/>
      <c r="F21" s="102" t="s">
        <v>21</v>
      </c>
      <c r="G21" s="134">
        <v>12</v>
      </c>
      <c r="H21" s="109" t="s">
        <v>89</v>
      </c>
      <c r="I21" s="116"/>
      <c r="J21" s="117"/>
      <c r="K21" s="110">
        <f>C21*G21</f>
        <v>1800</v>
      </c>
      <c r="L21" s="95">
        <f>E21*G21</f>
        <v>0</v>
      </c>
      <c r="M21" s="109" t="s">
        <v>82</v>
      </c>
      <c r="N21" s="104"/>
      <c r="O21" s="7">
        <f t="shared" si="2"/>
        <v>1800</v>
      </c>
      <c r="P21" s="104"/>
      <c r="Q21" s="104"/>
    </row>
    <row r="22" spans="1:17" ht="38.25" customHeight="1" x14ac:dyDescent="0.25">
      <c r="A22" s="48" t="s">
        <v>14</v>
      </c>
      <c r="B22" s="48" t="s">
        <v>15</v>
      </c>
      <c r="C22" s="111"/>
      <c r="D22" s="112"/>
      <c r="E22" s="10"/>
      <c r="F22" s="49"/>
      <c r="G22" s="111"/>
      <c r="H22" s="114"/>
      <c r="I22" s="113"/>
      <c r="J22" s="114"/>
      <c r="K22" s="105"/>
      <c r="L22" s="99">
        <f t="shared" ref="L22:L25" si="3">E22*G22</f>
        <v>0</v>
      </c>
      <c r="M22" s="114"/>
      <c r="N22" s="104"/>
      <c r="O22" s="7"/>
      <c r="P22" s="104"/>
      <c r="Q22" s="104"/>
    </row>
    <row r="23" spans="1:17" ht="38.25" customHeight="1" x14ac:dyDescent="0.25">
      <c r="A23" s="41" t="s">
        <v>53</v>
      </c>
      <c r="B23" s="41" t="s">
        <v>107</v>
      </c>
      <c r="C23" s="115">
        <v>24.017975586371783</v>
      </c>
      <c r="D23" s="107" t="s">
        <v>87</v>
      </c>
      <c r="E23" s="53"/>
      <c r="F23" s="42" t="s">
        <v>87</v>
      </c>
      <c r="G23" s="142">
        <v>114473</v>
      </c>
      <c r="H23" s="109" t="s">
        <v>89</v>
      </c>
      <c r="I23" s="116"/>
      <c r="J23" s="117"/>
      <c r="K23" s="110">
        <f>C23*G23</f>
        <v>2749409.7192987371</v>
      </c>
      <c r="L23" s="95">
        <f t="shared" si="3"/>
        <v>0</v>
      </c>
      <c r="M23" s="109" t="s">
        <v>82</v>
      </c>
      <c r="N23" s="104"/>
      <c r="O23" s="7">
        <f t="shared" ref="O23:O27" si="4">C23*G23</f>
        <v>2749409.7192987371</v>
      </c>
      <c r="P23" s="104"/>
      <c r="Q23" s="104"/>
    </row>
    <row r="24" spans="1:17" ht="38.25" customHeight="1" x14ac:dyDescent="0.25">
      <c r="A24" s="41" t="s">
        <v>54</v>
      </c>
      <c r="B24" s="41" t="s">
        <v>108</v>
      </c>
      <c r="C24" s="115">
        <v>11.185362524184205</v>
      </c>
      <c r="D24" s="107" t="s">
        <v>87</v>
      </c>
      <c r="E24" s="53"/>
      <c r="F24" s="42" t="s">
        <v>87</v>
      </c>
      <c r="G24" s="142">
        <v>120303</v>
      </c>
      <c r="H24" s="109" t="s">
        <v>89</v>
      </c>
      <c r="I24" s="116"/>
      <c r="J24" s="117"/>
      <c r="K24" s="110">
        <f>C24*G24</f>
        <v>1345632.6677469325</v>
      </c>
      <c r="L24" s="95">
        <f t="shared" si="3"/>
        <v>0</v>
      </c>
      <c r="M24" s="109" t="s">
        <v>82</v>
      </c>
      <c r="N24" s="104"/>
      <c r="O24" s="7">
        <f t="shared" si="4"/>
        <v>1345632.6677469325</v>
      </c>
      <c r="P24" s="104"/>
      <c r="Q24" s="104"/>
    </row>
    <row r="25" spans="1:17" ht="38.25" customHeight="1" x14ac:dyDescent="0.25">
      <c r="A25" s="41" t="s">
        <v>100</v>
      </c>
      <c r="B25" s="41" t="s">
        <v>16</v>
      </c>
      <c r="C25" s="115">
        <v>0.6110768124851228</v>
      </c>
      <c r="D25" s="107" t="s">
        <v>87</v>
      </c>
      <c r="E25" s="53"/>
      <c r="F25" s="42" t="s">
        <v>87</v>
      </c>
      <c r="G25" s="134">
        <v>54000</v>
      </c>
      <c r="H25" s="109" t="s">
        <v>89</v>
      </c>
      <c r="I25" s="116"/>
      <c r="J25" s="117"/>
      <c r="K25" s="110">
        <f>C25*G25</f>
        <v>32998.147874196635</v>
      </c>
      <c r="L25" s="95">
        <f t="shared" si="3"/>
        <v>0</v>
      </c>
      <c r="M25" s="109" t="s">
        <v>82</v>
      </c>
      <c r="N25" s="104"/>
      <c r="O25" s="7">
        <f t="shared" si="4"/>
        <v>32998.147874196635</v>
      </c>
      <c r="P25" s="104"/>
      <c r="Q25" s="104"/>
    </row>
    <row r="26" spans="1:17" ht="38.25" customHeight="1" x14ac:dyDescent="0.25">
      <c r="A26" s="41" t="s">
        <v>101</v>
      </c>
      <c r="B26" s="41" t="s">
        <v>102</v>
      </c>
      <c r="C26" s="115">
        <v>1920.6131157811997</v>
      </c>
      <c r="D26" s="107" t="s">
        <v>21</v>
      </c>
      <c r="E26" s="53"/>
      <c r="F26" s="42" t="s">
        <v>21</v>
      </c>
      <c r="G26" s="134">
        <v>0</v>
      </c>
      <c r="H26" s="109" t="s">
        <v>83</v>
      </c>
      <c r="I26" s="116"/>
      <c r="J26" s="117"/>
      <c r="K26" s="110">
        <f>C26*G26</f>
        <v>0</v>
      </c>
      <c r="L26" s="95">
        <f>G26*E26</f>
        <v>0</v>
      </c>
      <c r="M26" s="109" t="s">
        <v>82</v>
      </c>
      <c r="N26" s="104"/>
      <c r="O26" s="7">
        <f t="shared" si="4"/>
        <v>0</v>
      </c>
      <c r="P26" s="104"/>
      <c r="Q26" s="104"/>
    </row>
    <row r="27" spans="1:17" ht="38.25" customHeight="1" x14ac:dyDescent="0.25">
      <c r="A27" s="41" t="s">
        <v>104</v>
      </c>
      <c r="B27" s="41" t="s">
        <v>103</v>
      </c>
      <c r="C27" s="115">
        <v>2.5642171822259212</v>
      </c>
      <c r="D27" s="107" t="s">
        <v>21</v>
      </c>
      <c r="E27" s="53"/>
      <c r="F27" s="42" t="s">
        <v>21</v>
      </c>
      <c r="G27" s="134">
        <v>22</v>
      </c>
      <c r="H27" s="109" t="s">
        <v>83</v>
      </c>
      <c r="I27" s="116"/>
      <c r="J27" s="117"/>
      <c r="K27" s="110">
        <f>C27*G27</f>
        <v>56.412778008970264</v>
      </c>
      <c r="L27" s="95">
        <f>E27*G27</f>
        <v>0</v>
      </c>
      <c r="M27" s="109" t="s">
        <v>82</v>
      </c>
      <c r="N27" s="104"/>
      <c r="O27" s="7">
        <f t="shared" si="4"/>
        <v>56.412778008970264</v>
      </c>
      <c r="P27" s="104"/>
      <c r="Q27" s="104"/>
    </row>
    <row r="28" spans="1:17" ht="47.25" x14ac:dyDescent="0.25">
      <c r="A28" s="48" t="s">
        <v>17</v>
      </c>
      <c r="B28" s="48" t="s">
        <v>18</v>
      </c>
      <c r="C28" s="111"/>
      <c r="D28" s="112"/>
      <c r="E28" s="10"/>
      <c r="F28" s="49"/>
      <c r="G28" s="111"/>
      <c r="H28" s="114"/>
      <c r="I28" s="113"/>
      <c r="J28" s="114"/>
      <c r="K28" s="105"/>
      <c r="L28" s="99">
        <f>E28*G28</f>
        <v>0</v>
      </c>
      <c r="M28" s="114"/>
      <c r="N28" s="104"/>
      <c r="O28" s="7"/>
      <c r="P28" s="104"/>
      <c r="Q28" s="104"/>
    </row>
    <row r="29" spans="1:17" ht="38.25" customHeight="1" x14ac:dyDescent="0.25">
      <c r="A29" s="41" t="s">
        <v>55</v>
      </c>
      <c r="B29" s="41" t="s">
        <v>19</v>
      </c>
      <c r="C29" s="115">
        <v>1.4505808270340399</v>
      </c>
      <c r="D29" s="107" t="s">
        <v>87</v>
      </c>
      <c r="E29" s="53"/>
      <c r="F29" s="42" t="s">
        <v>87</v>
      </c>
      <c r="G29" s="134">
        <v>184729</v>
      </c>
      <c r="H29" s="109" t="s">
        <v>89</v>
      </c>
      <c r="I29" s="116"/>
      <c r="J29" s="117"/>
      <c r="K29" s="110">
        <f>C29*G29</f>
        <v>267964.34559717117</v>
      </c>
      <c r="L29" s="95">
        <f>G29*E29</f>
        <v>0</v>
      </c>
      <c r="M29" s="109" t="s">
        <v>82</v>
      </c>
      <c r="N29" s="104"/>
      <c r="O29" s="7">
        <f t="shared" ref="O29:O30" si="5">C29*G29</f>
        <v>267964.34559717117</v>
      </c>
      <c r="P29" s="104"/>
      <c r="Q29" s="104"/>
    </row>
    <row r="30" spans="1:17" ht="38.25" customHeight="1" x14ac:dyDescent="0.25">
      <c r="A30" s="41" t="s">
        <v>56</v>
      </c>
      <c r="B30" s="41" t="s">
        <v>20</v>
      </c>
      <c r="C30" s="115">
        <v>196.41391881978004</v>
      </c>
      <c r="D30" s="107" t="s">
        <v>21</v>
      </c>
      <c r="E30" s="53"/>
      <c r="F30" s="42" t="s">
        <v>21</v>
      </c>
      <c r="G30" s="134">
        <v>290</v>
      </c>
      <c r="H30" s="109" t="s">
        <v>83</v>
      </c>
      <c r="I30" s="116"/>
      <c r="J30" s="117"/>
      <c r="K30" s="110">
        <f>C30*G30</f>
        <v>56960.036457736212</v>
      </c>
      <c r="L30" s="95">
        <f>E30*G30</f>
        <v>0</v>
      </c>
      <c r="M30" s="109" t="s">
        <v>82</v>
      </c>
      <c r="N30" s="104"/>
      <c r="O30" s="7">
        <f t="shared" si="5"/>
        <v>56960.036457736212</v>
      </c>
      <c r="P30" s="104"/>
      <c r="Q30" s="104"/>
    </row>
    <row r="31" spans="1:17" ht="38.25" customHeight="1" x14ac:dyDescent="0.25">
      <c r="A31" s="48" t="s">
        <v>22</v>
      </c>
      <c r="B31" s="48" t="s">
        <v>23</v>
      </c>
      <c r="C31" s="111"/>
      <c r="D31" s="112"/>
      <c r="E31" s="10"/>
      <c r="F31" s="49"/>
      <c r="G31" s="111"/>
      <c r="H31" s="114"/>
      <c r="I31" s="113"/>
      <c r="J31" s="114"/>
      <c r="K31" s="105"/>
      <c r="L31" s="99">
        <f>E31*G31</f>
        <v>0</v>
      </c>
      <c r="M31" s="114"/>
      <c r="N31" s="104"/>
      <c r="O31" s="7"/>
      <c r="P31" s="104"/>
      <c r="Q31" s="104"/>
    </row>
    <row r="32" spans="1:17" ht="38.25" customHeight="1" x14ac:dyDescent="0.25">
      <c r="A32" s="41" t="s">
        <v>57</v>
      </c>
      <c r="B32" s="41" t="s">
        <v>78</v>
      </c>
      <c r="C32" s="115">
        <v>0.46946070402192563</v>
      </c>
      <c r="D32" s="107" t="s">
        <v>87</v>
      </c>
      <c r="E32" s="53"/>
      <c r="F32" s="42" t="s">
        <v>87</v>
      </c>
      <c r="G32" s="134">
        <v>228776</v>
      </c>
      <c r="H32" s="109" t="s">
        <v>89</v>
      </c>
      <c r="I32" s="116"/>
      <c r="J32" s="117"/>
      <c r="K32" s="110">
        <f>C32*G32</f>
        <v>107401.34202332006</v>
      </c>
      <c r="L32" s="95">
        <f>G32*E32</f>
        <v>0</v>
      </c>
      <c r="M32" s="109" t="s">
        <v>82</v>
      </c>
      <c r="N32" s="104"/>
      <c r="O32" s="7">
        <f t="shared" ref="O32:O33" si="6">C32*G32</f>
        <v>107401.34202332006</v>
      </c>
      <c r="P32" s="104"/>
      <c r="Q32" s="104"/>
    </row>
    <row r="33" spans="1:17" ht="38.25" customHeight="1" x14ac:dyDescent="0.25">
      <c r="A33" s="41" t="s">
        <v>58</v>
      </c>
      <c r="B33" s="41" t="s">
        <v>24</v>
      </c>
      <c r="C33" s="115">
        <v>5.6388032876341407</v>
      </c>
      <c r="D33" s="107" t="s">
        <v>87</v>
      </c>
      <c r="E33" s="53"/>
      <c r="F33" s="42" t="s">
        <v>87</v>
      </c>
      <c r="G33" s="134">
        <v>16930</v>
      </c>
      <c r="H33" s="109" t="s">
        <v>89</v>
      </c>
      <c r="I33" s="116"/>
      <c r="J33" s="117"/>
      <c r="K33" s="110">
        <f>C33*G33</f>
        <v>95464.939659645999</v>
      </c>
      <c r="L33" s="95">
        <f>E33*G33</f>
        <v>0</v>
      </c>
      <c r="M33" s="109" t="s">
        <v>82</v>
      </c>
      <c r="N33" s="104"/>
      <c r="O33" s="7">
        <f t="shared" si="6"/>
        <v>95464.939659645999</v>
      </c>
      <c r="P33" s="104"/>
      <c r="Q33" s="104"/>
    </row>
    <row r="34" spans="1:17" ht="47.25" x14ac:dyDescent="0.25">
      <c r="A34" s="48" t="s">
        <v>25</v>
      </c>
      <c r="B34" s="48" t="s">
        <v>26</v>
      </c>
      <c r="C34" s="111"/>
      <c r="D34" s="112"/>
      <c r="E34" s="10"/>
      <c r="F34" s="49"/>
      <c r="G34" s="111"/>
      <c r="H34" s="114"/>
      <c r="I34" s="113"/>
      <c r="J34" s="114"/>
      <c r="K34" s="105"/>
      <c r="L34" s="99">
        <f t="shared" ref="L34:L36" si="7">E34*G34</f>
        <v>0</v>
      </c>
      <c r="M34" s="114"/>
      <c r="N34" s="104"/>
      <c r="O34" s="7"/>
      <c r="P34" s="104"/>
      <c r="Q34" s="104"/>
    </row>
    <row r="35" spans="1:17" ht="38.25" customHeight="1" x14ac:dyDescent="0.25">
      <c r="A35" s="41" t="s">
        <v>59</v>
      </c>
      <c r="B35" s="41" t="s">
        <v>27</v>
      </c>
      <c r="C35" s="115">
        <v>851.68083968633869</v>
      </c>
      <c r="D35" s="107" t="s">
        <v>21</v>
      </c>
      <c r="E35" s="53"/>
      <c r="F35" s="42" t="s">
        <v>21</v>
      </c>
      <c r="G35" s="134">
        <v>43</v>
      </c>
      <c r="H35" s="109" t="s">
        <v>83</v>
      </c>
      <c r="I35" s="116"/>
      <c r="J35" s="117"/>
      <c r="K35" s="110">
        <f>C35*G35</f>
        <v>36622.276106512567</v>
      </c>
      <c r="L35" s="95">
        <f t="shared" si="7"/>
        <v>0</v>
      </c>
      <c r="M35" s="109" t="s">
        <v>82</v>
      </c>
      <c r="N35" s="104"/>
      <c r="O35" s="7">
        <f t="shared" ref="O35:O38" si="8">C35*G35</f>
        <v>36622.276106512567</v>
      </c>
      <c r="P35" s="104"/>
      <c r="Q35" s="104"/>
    </row>
    <row r="36" spans="1:17" ht="38.25" customHeight="1" x14ac:dyDescent="0.25">
      <c r="A36" s="41" t="s">
        <v>60</v>
      </c>
      <c r="B36" s="41" t="s">
        <v>28</v>
      </c>
      <c r="C36" s="115">
        <v>1237.055329294629</v>
      </c>
      <c r="D36" s="107" t="s">
        <v>21</v>
      </c>
      <c r="E36" s="53"/>
      <c r="F36" s="42" t="s">
        <v>21</v>
      </c>
      <c r="G36" s="134">
        <v>39</v>
      </c>
      <c r="H36" s="109" t="s">
        <v>83</v>
      </c>
      <c r="I36" s="116"/>
      <c r="J36" s="117"/>
      <c r="K36" s="110">
        <f>C36*G36</f>
        <v>48245.157842490531</v>
      </c>
      <c r="L36" s="95">
        <f t="shared" si="7"/>
        <v>0</v>
      </c>
      <c r="M36" s="109" t="s">
        <v>82</v>
      </c>
      <c r="N36" s="104"/>
      <c r="O36" s="7">
        <f t="shared" si="8"/>
        <v>48245.157842490531</v>
      </c>
      <c r="P36" s="104"/>
      <c r="Q36" s="104"/>
    </row>
    <row r="37" spans="1:17" ht="38.25" customHeight="1" x14ac:dyDescent="0.25">
      <c r="A37" s="41" t="s">
        <v>61</v>
      </c>
      <c r="B37" s="41" t="s">
        <v>29</v>
      </c>
      <c r="C37" s="115">
        <v>341.9994854602873</v>
      </c>
      <c r="D37" s="107" t="s">
        <v>21</v>
      </c>
      <c r="E37" s="53"/>
      <c r="F37" s="42" t="s">
        <v>21</v>
      </c>
      <c r="G37" s="134">
        <v>2</v>
      </c>
      <c r="H37" s="109" t="s">
        <v>83</v>
      </c>
      <c r="I37" s="116"/>
      <c r="J37" s="117"/>
      <c r="K37" s="110">
        <f>C37*G37</f>
        <v>683.99897092057461</v>
      </c>
      <c r="L37" s="95">
        <f>G37*E37</f>
        <v>0</v>
      </c>
      <c r="M37" s="109" t="s">
        <v>82</v>
      </c>
      <c r="N37" s="104"/>
      <c r="O37" s="7">
        <f t="shared" si="8"/>
        <v>683.99897092057461</v>
      </c>
      <c r="P37" s="104"/>
      <c r="Q37" s="104"/>
    </row>
    <row r="38" spans="1:17" ht="38.25" customHeight="1" x14ac:dyDescent="0.25">
      <c r="A38" s="41" t="s">
        <v>62</v>
      </c>
      <c r="B38" s="41" t="s">
        <v>30</v>
      </c>
      <c r="C38" s="115">
        <v>1091.7493291407866</v>
      </c>
      <c r="D38" s="107" t="s">
        <v>21</v>
      </c>
      <c r="E38" s="53"/>
      <c r="F38" s="42" t="s">
        <v>21</v>
      </c>
      <c r="G38" s="134">
        <v>0</v>
      </c>
      <c r="H38" s="109" t="s">
        <v>83</v>
      </c>
      <c r="I38" s="116"/>
      <c r="J38" s="117"/>
      <c r="K38" s="110">
        <f>C38*G38</f>
        <v>0</v>
      </c>
      <c r="L38" s="95">
        <f>E38*G38</f>
        <v>0</v>
      </c>
      <c r="M38" s="109" t="s">
        <v>82</v>
      </c>
      <c r="N38" s="104"/>
      <c r="O38" s="7">
        <f t="shared" si="8"/>
        <v>0</v>
      </c>
      <c r="P38" s="104"/>
      <c r="Q38" s="104"/>
    </row>
    <row r="39" spans="1:17" ht="38.25" customHeight="1" x14ac:dyDescent="0.25">
      <c r="A39" s="48" t="s">
        <v>31</v>
      </c>
      <c r="B39" s="48" t="s">
        <v>32</v>
      </c>
      <c r="C39" s="111"/>
      <c r="D39" s="112"/>
      <c r="E39" s="10"/>
      <c r="F39" s="49"/>
      <c r="G39" s="111"/>
      <c r="H39" s="114"/>
      <c r="I39" s="113"/>
      <c r="J39" s="114"/>
      <c r="K39" s="105"/>
      <c r="L39" s="99">
        <f t="shared" ref="L39:L49" si="9">E39*G39</f>
        <v>0</v>
      </c>
      <c r="M39" s="114"/>
      <c r="N39" s="104"/>
      <c r="O39" s="7"/>
      <c r="P39" s="104"/>
      <c r="Q39" s="104"/>
    </row>
    <row r="40" spans="1:17" ht="38.25" customHeight="1" x14ac:dyDescent="0.25">
      <c r="A40" s="41" t="s">
        <v>63</v>
      </c>
      <c r="B40" s="41" t="s">
        <v>33</v>
      </c>
      <c r="C40" s="115">
        <v>370.78428390801372</v>
      </c>
      <c r="D40" s="107" t="s">
        <v>21</v>
      </c>
      <c r="E40" s="53"/>
      <c r="F40" s="42" t="s">
        <v>21</v>
      </c>
      <c r="G40" s="134">
        <v>89</v>
      </c>
      <c r="H40" s="109" t="s">
        <v>83</v>
      </c>
      <c r="I40" s="116"/>
      <c r="J40" s="117"/>
      <c r="K40" s="110">
        <f t="shared" ref="K40:K51" si="10">C40*G40</f>
        <v>32999.801267813222</v>
      </c>
      <c r="L40" s="95">
        <f t="shared" si="9"/>
        <v>0</v>
      </c>
      <c r="M40" s="109" t="s">
        <v>82</v>
      </c>
      <c r="N40" s="104"/>
      <c r="O40" s="7">
        <f t="shared" ref="O40:O51" si="11">C40*G40</f>
        <v>32999.801267813222</v>
      </c>
      <c r="P40" s="104"/>
      <c r="Q40" s="104"/>
    </row>
    <row r="41" spans="1:17" ht="38.25" customHeight="1" x14ac:dyDescent="0.25">
      <c r="A41" s="41" t="s">
        <v>64</v>
      </c>
      <c r="B41" s="41" t="s">
        <v>34</v>
      </c>
      <c r="C41" s="115">
        <v>0.44308650716676129</v>
      </c>
      <c r="D41" s="107" t="s">
        <v>87</v>
      </c>
      <c r="E41" s="53"/>
      <c r="F41" s="42" t="s">
        <v>87</v>
      </c>
      <c r="G41" s="134">
        <v>67553</v>
      </c>
      <c r="H41" s="109" t="s">
        <v>89</v>
      </c>
      <c r="I41" s="116"/>
      <c r="J41" s="117"/>
      <c r="K41" s="110">
        <f t="shared" si="10"/>
        <v>29931.822818636225</v>
      </c>
      <c r="L41" s="95">
        <f t="shared" si="9"/>
        <v>0</v>
      </c>
      <c r="M41" s="109" t="s">
        <v>82</v>
      </c>
      <c r="N41" s="104"/>
      <c r="O41" s="7">
        <f t="shared" si="11"/>
        <v>29931.822818636225</v>
      </c>
      <c r="P41" s="104"/>
      <c r="Q41" s="104"/>
    </row>
    <row r="42" spans="1:17" ht="38.25" customHeight="1" x14ac:dyDescent="0.25">
      <c r="A42" s="41" t="s">
        <v>65</v>
      </c>
      <c r="B42" s="41" t="s">
        <v>35</v>
      </c>
      <c r="C42" s="115">
        <v>0.6962787969763391</v>
      </c>
      <c r="D42" s="107" t="s">
        <v>87</v>
      </c>
      <c r="E42" s="53"/>
      <c r="F42" s="42" t="s">
        <v>87</v>
      </c>
      <c r="G42" s="134">
        <v>500</v>
      </c>
      <c r="H42" s="109" t="s">
        <v>89</v>
      </c>
      <c r="I42" s="116"/>
      <c r="J42" s="117"/>
      <c r="K42" s="110">
        <f t="shared" si="10"/>
        <v>348.13939848816955</v>
      </c>
      <c r="L42" s="95">
        <f t="shared" si="9"/>
        <v>0</v>
      </c>
      <c r="M42" s="109" t="s">
        <v>82</v>
      </c>
      <c r="N42" s="104"/>
      <c r="O42" s="7">
        <f t="shared" si="11"/>
        <v>348.13939848816955</v>
      </c>
      <c r="P42" s="104"/>
      <c r="Q42" s="104"/>
    </row>
    <row r="43" spans="1:17" ht="38.25" customHeight="1" x14ac:dyDescent="0.25">
      <c r="A43" s="41" t="s">
        <v>66</v>
      </c>
      <c r="B43" s="41" t="s">
        <v>36</v>
      </c>
      <c r="C43" s="115">
        <v>158.69354247752398</v>
      </c>
      <c r="D43" s="107" t="s">
        <v>21</v>
      </c>
      <c r="E43" s="53"/>
      <c r="F43" s="42" t="s">
        <v>21</v>
      </c>
      <c r="G43" s="134">
        <v>0</v>
      </c>
      <c r="H43" s="109" t="s">
        <v>83</v>
      </c>
      <c r="I43" s="116"/>
      <c r="J43" s="117"/>
      <c r="K43" s="110">
        <f t="shared" si="10"/>
        <v>0</v>
      </c>
      <c r="L43" s="95">
        <f t="shared" si="9"/>
        <v>0</v>
      </c>
      <c r="M43" s="109" t="s">
        <v>82</v>
      </c>
      <c r="N43" s="104"/>
      <c r="O43" s="7">
        <f t="shared" si="11"/>
        <v>0</v>
      </c>
      <c r="P43" s="104"/>
      <c r="Q43" s="104"/>
    </row>
    <row r="44" spans="1:17" ht="38.25" customHeight="1" x14ac:dyDescent="0.25">
      <c r="A44" s="41" t="s">
        <v>67</v>
      </c>
      <c r="B44" s="41" t="s">
        <v>37</v>
      </c>
      <c r="C44" s="115">
        <v>5744.7273370438525</v>
      </c>
      <c r="D44" s="107" t="s">
        <v>21</v>
      </c>
      <c r="E44" s="53"/>
      <c r="F44" s="42" t="s">
        <v>21</v>
      </c>
      <c r="G44" s="134">
        <v>1</v>
      </c>
      <c r="H44" s="109" t="s">
        <v>83</v>
      </c>
      <c r="I44" s="116"/>
      <c r="J44" s="117"/>
      <c r="K44" s="110">
        <f t="shared" si="10"/>
        <v>5744.7273370438525</v>
      </c>
      <c r="L44" s="95">
        <f t="shared" si="9"/>
        <v>0</v>
      </c>
      <c r="M44" s="109" t="s">
        <v>82</v>
      </c>
      <c r="N44" s="104"/>
      <c r="O44" s="7">
        <f t="shared" si="11"/>
        <v>5744.7273370438525</v>
      </c>
      <c r="P44" s="104"/>
      <c r="Q44" s="104"/>
    </row>
    <row r="45" spans="1:17" ht="38.25" customHeight="1" x14ac:dyDescent="0.25">
      <c r="A45" s="41" t="s">
        <v>68</v>
      </c>
      <c r="B45" s="41" t="s">
        <v>38</v>
      </c>
      <c r="C45" s="115">
        <v>170.98919305140157</v>
      </c>
      <c r="D45" s="107" t="s">
        <v>21</v>
      </c>
      <c r="E45" s="53"/>
      <c r="F45" s="42" t="s">
        <v>21</v>
      </c>
      <c r="G45" s="134">
        <v>1</v>
      </c>
      <c r="H45" s="109" t="s">
        <v>83</v>
      </c>
      <c r="I45" s="116"/>
      <c r="J45" s="117"/>
      <c r="K45" s="110">
        <f t="shared" si="10"/>
        <v>170.98919305140157</v>
      </c>
      <c r="L45" s="95">
        <f t="shared" si="9"/>
        <v>0</v>
      </c>
      <c r="M45" s="109" t="s">
        <v>82</v>
      </c>
      <c r="N45" s="104"/>
      <c r="O45" s="7">
        <f t="shared" si="11"/>
        <v>170.98919305140157</v>
      </c>
      <c r="P45" s="104"/>
      <c r="Q45" s="104"/>
    </row>
    <row r="46" spans="1:17" ht="38.25" customHeight="1" x14ac:dyDescent="0.25">
      <c r="A46" s="41" t="s">
        <v>69</v>
      </c>
      <c r="B46" s="41" t="s">
        <v>39</v>
      </c>
      <c r="C46" s="115">
        <v>1136.727884457584</v>
      </c>
      <c r="D46" s="107" t="s">
        <v>21</v>
      </c>
      <c r="E46" s="53"/>
      <c r="F46" s="42" t="s">
        <v>21</v>
      </c>
      <c r="G46" s="134">
        <v>4</v>
      </c>
      <c r="H46" s="109" t="s">
        <v>83</v>
      </c>
      <c r="I46" s="116"/>
      <c r="J46" s="117"/>
      <c r="K46" s="110">
        <f t="shared" si="10"/>
        <v>4546.9115378303359</v>
      </c>
      <c r="L46" s="95">
        <f t="shared" si="9"/>
        <v>0</v>
      </c>
      <c r="M46" s="109" t="s">
        <v>82</v>
      </c>
      <c r="N46" s="104"/>
      <c r="O46" s="7">
        <f t="shared" si="11"/>
        <v>4546.9115378303359</v>
      </c>
      <c r="P46" s="104"/>
      <c r="Q46" s="104"/>
    </row>
    <row r="47" spans="1:17" ht="38.25" customHeight="1" x14ac:dyDescent="0.25">
      <c r="A47" s="41" t="s">
        <v>70</v>
      </c>
      <c r="B47" s="41" t="s">
        <v>40</v>
      </c>
      <c r="C47" s="115">
        <v>114.34796788525061</v>
      </c>
      <c r="D47" s="107" t="s">
        <v>21</v>
      </c>
      <c r="E47" s="53"/>
      <c r="F47" s="42" t="s">
        <v>21</v>
      </c>
      <c r="G47" s="134">
        <v>475</v>
      </c>
      <c r="H47" s="109" t="s">
        <v>83</v>
      </c>
      <c r="I47" s="116"/>
      <c r="J47" s="117"/>
      <c r="K47" s="110">
        <f t="shared" si="10"/>
        <v>54315.284745494042</v>
      </c>
      <c r="L47" s="95">
        <f t="shared" si="9"/>
        <v>0</v>
      </c>
      <c r="M47" s="109" t="s">
        <v>82</v>
      </c>
      <c r="N47" s="104"/>
      <c r="O47" s="7">
        <f t="shared" si="11"/>
        <v>54315.284745494042</v>
      </c>
      <c r="P47" s="104"/>
      <c r="Q47" s="104"/>
    </row>
    <row r="48" spans="1:17" ht="38.25" customHeight="1" x14ac:dyDescent="0.25">
      <c r="A48" s="41" t="s">
        <v>71</v>
      </c>
      <c r="B48" s="41" t="s">
        <v>41</v>
      </c>
      <c r="C48" s="115">
        <v>361.84870601348399</v>
      </c>
      <c r="D48" s="107" t="s">
        <v>21</v>
      </c>
      <c r="E48" s="53"/>
      <c r="F48" s="42" t="s">
        <v>21</v>
      </c>
      <c r="G48" s="134">
        <v>17</v>
      </c>
      <c r="H48" s="109" t="s">
        <v>83</v>
      </c>
      <c r="I48" s="116"/>
      <c r="J48" s="117"/>
      <c r="K48" s="110">
        <f t="shared" si="10"/>
        <v>6151.4280022292278</v>
      </c>
      <c r="L48" s="95">
        <f t="shared" si="9"/>
        <v>0</v>
      </c>
      <c r="M48" s="109" t="s">
        <v>82</v>
      </c>
      <c r="N48" s="104"/>
      <c r="O48" s="7">
        <f t="shared" si="11"/>
        <v>6151.4280022292278</v>
      </c>
      <c r="P48" s="104"/>
      <c r="Q48" s="104"/>
    </row>
    <row r="49" spans="1:17" ht="38.25" customHeight="1" x14ac:dyDescent="0.25">
      <c r="A49" s="41" t="s">
        <v>72</v>
      </c>
      <c r="B49" s="41" t="s">
        <v>42</v>
      </c>
      <c r="C49" s="115">
        <v>1682.9375013280378</v>
      </c>
      <c r="D49" s="107" t="s">
        <v>21</v>
      </c>
      <c r="E49" s="53"/>
      <c r="F49" s="42" t="s">
        <v>21</v>
      </c>
      <c r="G49" s="134">
        <v>1</v>
      </c>
      <c r="H49" s="109" t="s">
        <v>83</v>
      </c>
      <c r="I49" s="116"/>
      <c r="J49" s="117"/>
      <c r="K49" s="110">
        <f t="shared" si="10"/>
        <v>1682.9375013280378</v>
      </c>
      <c r="L49" s="95">
        <f t="shared" si="9"/>
        <v>0</v>
      </c>
      <c r="M49" s="109" t="s">
        <v>82</v>
      </c>
      <c r="N49" s="104"/>
      <c r="O49" s="7">
        <f t="shared" si="11"/>
        <v>1682.9375013280378</v>
      </c>
      <c r="P49" s="104"/>
      <c r="Q49" s="104"/>
    </row>
    <row r="50" spans="1:17" ht="38.25" customHeight="1" x14ac:dyDescent="0.25">
      <c r="A50" s="41" t="s">
        <v>73</v>
      </c>
      <c r="B50" s="41" t="s">
        <v>43</v>
      </c>
      <c r="C50" s="115">
        <v>411.55351740672677</v>
      </c>
      <c r="D50" s="107" t="s">
        <v>21</v>
      </c>
      <c r="E50" s="53"/>
      <c r="F50" s="42" t="s">
        <v>21</v>
      </c>
      <c r="G50" s="134">
        <v>93</v>
      </c>
      <c r="H50" s="109" t="s">
        <v>83</v>
      </c>
      <c r="I50" s="116"/>
      <c r="J50" s="117"/>
      <c r="K50" s="110">
        <f t="shared" si="10"/>
        <v>38274.477118825591</v>
      </c>
      <c r="L50" s="95">
        <f>G50*E50</f>
        <v>0</v>
      </c>
      <c r="M50" s="109" t="s">
        <v>82</v>
      </c>
      <c r="N50" s="104"/>
      <c r="O50" s="7">
        <f t="shared" si="11"/>
        <v>38274.477118825591</v>
      </c>
      <c r="P50" s="104"/>
      <c r="Q50" s="104"/>
    </row>
    <row r="51" spans="1:17" ht="38.25" customHeight="1" x14ac:dyDescent="0.25">
      <c r="A51" s="41" t="s">
        <v>74</v>
      </c>
      <c r="B51" s="41" t="s">
        <v>44</v>
      </c>
      <c r="C51" s="115">
        <v>31.227049076514604</v>
      </c>
      <c r="D51" s="107" t="s">
        <v>21</v>
      </c>
      <c r="E51" s="53"/>
      <c r="F51" s="42" t="s">
        <v>21</v>
      </c>
      <c r="G51" s="134">
        <v>500</v>
      </c>
      <c r="H51" s="109" t="s">
        <v>83</v>
      </c>
      <c r="I51" s="116"/>
      <c r="J51" s="117"/>
      <c r="K51" s="110">
        <f t="shared" si="10"/>
        <v>15613.524538257301</v>
      </c>
      <c r="L51" s="95">
        <f>E51*G51</f>
        <v>0</v>
      </c>
      <c r="M51" s="109" t="s">
        <v>82</v>
      </c>
      <c r="N51" s="104"/>
      <c r="O51" s="7">
        <f t="shared" si="11"/>
        <v>15613.524538257301</v>
      </c>
      <c r="P51" s="104"/>
      <c r="Q51" s="104"/>
    </row>
    <row r="52" spans="1:17" ht="38.25" customHeight="1" x14ac:dyDescent="0.25">
      <c r="A52" s="48" t="s">
        <v>96</v>
      </c>
      <c r="B52" s="48" t="s">
        <v>99</v>
      </c>
      <c r="C52" s="111"/>
      <c r="D52" s="112"/>
      <c r="E52" s="10"/>
      <c r="F52" s="49"/>
      <c r="G52" s="111"/>
      <c r="H52" s="114"/>
      <c r="I52" s="113"/>
      <c r="J52" s="114"/>
      <c r="K52" s="105"/>
      <c r="L52" s="99">
        <f>E52*G52</f>
        <v>0</v>
      </c>
      <c r="M52" s="114"/>
      <c r="N52" s="104"/>
      <c r="O52" s="7"/>
      <c r="P52" s="104"/>
      <c r="Q52" s="104"/>
    </row>
    <row r="53" spans="1:17" ht="38.25" customHeight="1" x14ac:dyDescent="0.25">
      <c r="A53" s="41" t="s">
        <v>97</v>
      </c>
      <c r="B53" s="41" t="s">
        <v>80</v>
      </c>
      <c r="C53" s="115">
        <v>66768.119526270457</v>
      </c>
      <c r="D53" s="107" t="s">
        <v>81</v>
      </c>
      <c r="E53" s="53"/>
      <c r="F53" s="42" t="s">
        <v>81</v>
      </c>
      <c r="G53" s="134">
        <v>17</v>
      </c>
      <c r="H53" s="109" t="s">
        <v>81</v>
      </c>
      <c r="I53" s="116"/>
      <c r="J53" s="117"/>
      <c r="K53" s="110">
        <f>C53*G53</f>
        <v>1135058.0319465979</v>
      </c>
      <c r="L53" s="95">
        <f>E53*G53</f>
        <v>0</v>
      </c>
      <c r="M53" s="109" t="s">
        <v>82</v>
      </c>
      <c r="N53" s="104"/>
      <c r="O53" s="7">
        <f t="shared" ref="O53:O54" si="12">C53*G53</f>
        <v>1135058.0319465979</v>
      </c>
      <c r="P53" s="104"/>
      <c r="Q53" s="104"/>
    </row>
    <row r="54" spans="1:17" ht="38.25" customHeight="1" x14ac:dyDescent="0.25">
      <c r="A54" s="41" t="s">
        <v>98</v>
      </c>
      <c r="B54" s="41" t="s">
        <v>106</v>
      </c>
      <c r="C54" s="115">
        <v>107787.58410852712</v>
      </c>
      <c r="D54" s="107" t="s">
        <v>81</v>
      </c>
      <c r="E54" s="53"/>
      <c r="F54" s="42" t="s">
        <v>81</v>
      </c>
      <c r="G54" s="134">
        <v>0</v>
      </c>
      <c r="H54" s="109" t="s">
        <v>81</v>
      </c>
      <c r="I54" s="116"/>
      <c r="J54" s="117"/>
      <c r="K54" s="110">
        <f>C54*G54</f>
        <v>0</v>
      </c>
      <c r="L54" s="95">
        <f>E54*G54</f>
        <v>0</v>
      </c>
      <c r="M54" s="109" t="s">
        <v>82</v>
      </c>
      <c r="N54" s="104"/>
      <c r="O54" s="7">
        <f t="shared" si="12"/>
        <v>0</v>
      </c>
      <c r="P54" s="104"/>
      <c r="Q54" s="104"/>
    </row>
    <row r="55" spans="1:17" ht="17.25" customHeight="1" x14ac:dyDescent="0.25">
      <c r="A55" s="57"/>
      <c r="B55" s="57"/>
      <c r="C55" s="58"/>
      <c r="E55" s="58"/>
      <c r="F55" s="59"/>
      <c r="G55" s="60"/>
      <c r="H55" s="46"/>
      <c r="I55" s="61"/>
      <c r="J55" s="61"/>
      <c r="K55" s="61"/>
      <c r="L55" s="61"/>
      <c r="M55" s="46"/>
      <c r="O55" s="40"/>
    </row>
    <row r="56" spans="1:17" ht="36.75" customHeight="1" x14ac:dyDescent="0.25">
      <c r="A56" s="62"/>
      <c r="B56" s="62"/>
      <c r="C56" s="63"/>
      <c r="E56" s="63"/>
      <c r="F56" s="11"/>
      <c r="G56" s="11"/>
      <c r="H56" s="11"/>
      <c r="I56" s="11"/>
      <c r="J56" s="11"/>
      <c r="K56" s="11"/>
      <c r="L56" s="40"/>
      <c r="M56" s="11"/>
      <c r="O56" s="40"/>
    </row>
    <row r="57" spans="1:17" x14ac:dyDescent="0.25">
      <c r="B57" s="64" t="s">
        <v>93</v>
      </c>
    </row>
    <row r="58" spans="1:17" ht="36.75" customHeight="1" x14ac:dyDescent="0.25">
      <c r="C58" s="11"/>
      <c r="E58" s="11"/>
      <c r="F58" s="11"/>
      <c r="G58" s="11"/>
      <c r="H58" s="11"/>
      <c r="I58" s="11"/>
      <c r="J58" s="65" t="s">
        <v>112</v>
      </c>
      <c r="K58" s="11"/>
      <c r="L58" s="125">
        <f>SUM(O9:O54)</f>
        <v>12602759.672557112</v>
      </c>
      <c r="M58" s="45" t="s">
        <v>82</v>
      </c>
    </row>
    <row r="59" spans="1:17" x14ac:dyDescent="0.25">
      <c r="K59" s="11"/>
    </row>
    <row r="60" spans="1:17" ht="36.75" customHeight="1" x14ac:dyDescent="0.25">
      <c r="C60" s="11"/>
      <c r="E60" s="11"/>
      <c r="F60" s="11"/>
      <c r="G60" s="11"/>
      <c r="H60" s="11"/>
      <c r="I60" s="11"/>
      <c r="J60" s="65" t="s">
        <v>113</v>
      </c>
      <c r="K60" s="11"/>
      <c r="L60" s="47">
        <f>SUM(L9:L54)</f>
        <v>0</v>
      </c>
      <c r="M60" s="45" t="s">
        <v>82</v>
      </c>
    </row>
    <row r="61" spans="1:17" ht="15.75" x14ac:dyDescent="0.25">
      <c r="N61" s="76"/>
    </row>
    <row r="62" spans="1:17" ht="36.75" customHeight="1" x14ac:dyDescent="0.25">
      <c r="A62" s="66"/>
      <c r="C62" s="11"/>
      <c r="E62" s="11"/>
      <c r="F62" s="11"/>
      <c r="G62" s="11"/>
      <c r="H62" s="11"/>
      <c r="I62" s="11"/>
      <c r="J62" s="65" t="s">
        <v>114</v>
      </c>
      <c r="K62" s="11"/>
      <c r="L62" s="47">
        <f>(1-L60/L58)*100</f>
        <v>100</v>
      </c>
      <c r="M62" s="45" t="s">
        <v>91</v>
      </c>
      <c r="N62" s="77" t="s">
        <v>119</v>
      </c>
    </row>
    <row r="63" spans="1:17" ht="15.75" x14ac:dyDescent="0.25">
      <c r="N63" s="76"/>
    </row>
    <row r="64" spans="1:17" s="17" customFormat="1" ht="60" customHeight="1" x14ac:dyDescent="0.25">
      <c r="A64" s="66"/>
      <c r="B64" s="162" t="s">
        <v>118</v>
      </c>
      <c r="C64" s="162"/>
      <c r="D64" s="162"/>
      <c r="E64" s="162"/>
      <c r="F64" s="162"/>
      <c r="G64" s="162"/>
      <c r="H64" s="162"/>
      <c r="I64" s="162"/>
      <c r="J64" s="19"/>
      <c r="K64" s="19"/>
      <c r="L64" s="1"/>
      <c r="M64" s="45" t="s">
        <v>91</v>
      </c>
      <c r="N64" s="77" t="s">
        <v>120</v>
      </c>
      <c r="O64" s="73"/>
    </row>
    <row r="65" spans="1:14" ht="15.75" x14ac:dyDescent="0.25">
      <c r="A65" s="67"/>
      <c r="B65" s="68"/>
      <c r="N65" s="76"/>
    </row>
    <row r="66" spans="1:14" ht="15.75" x14ac:dyDescent="0.25">
      <c r="A66" s="67"/>
    </row>
    <row r="67" spans="1:14" ht="15.75" x14ac:dyDescent="0.25">
      <c r="A67" s="67"/>
    </row>
  </sheetData>
  <sheetProtection selectLockedCells="1"/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4:I64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1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view="pageLayout" topLeftCell="A50" zoomScale="90" zoomScaleNormal="100" zoomScalePageLayoutView="90" workbookViewId="0">
      <selection activeCell="L52" sqref="L52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7.7109375" style="11" customWidth="1"/>
    <col min="15" max="15" width="21" style="72" hidden="1" customWidth="1"/>
    <col min="16" max="16384" width="9.140625" style="11"/>
  </cols>
  <sheetData>
    <row r="1" spans="1:16" ht="53.25" customHeight="1" x14ac:dyDescent="0.25">
      <c r="A1" s="163" t="s">
        <v>124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6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6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3"/>
    </row>
    <row r="4" spans="1:16" ht="15.75" thickBot="1" x14ac:dyDescent="0.3"/>
    <row r="5" spans="1:16" ht="38.25" customHeight="1" thickBot="1" x14ac:dyDescent="0.3">
      <c r="A5" s="25">
        <v>1</v>
      </c>
      <c r="B5" s="69">
        <v>2</v>
      </c>
      <c r="C5" s="158">
        <v>3</v>
      </c>
      <c r="D5" s="159"/>
      <c r="E5" s="158">
        <v>4</v>
      </c>
      <c r="F5" s="159"/>
      <c r="G5" s="160">
        <v>5</v>
      </c>
      <c r="H5" s="161"/>
      <c r="I5" s="160">
        <v>6</v>
      </c>
      <c r="J5" s="161"/>
      <c r="K5" s="26"/>
      <c r="L5" s="160">
        <v>7</v>
      </c>
      <c r="M5" s="161"/>
      <c r="N5" s="74">
        <v>8</v>
      </c>
    </row>
    <row r="6" spans="1:16" ht="38.25" customHeight="1" thickBot="1" x14ac:dyDescent="0.3">
      <c r="A6" s="25" t="s">
        <v>46</v>
      </c>
      <c r="B6" s="69" t="s">
        <v>45</v>
      </c>
      <c r="C6" s="158" t="s">
        <v>92</v>
      </c>
      <c r="D6" s="159"/>
      <c r="E6" s="158" t="s">
        <v>94</v>
      </c>
      <c r="F6" s="159"/>
      <c r="G6" s="160" t="s">
        <v>75</v>
      </c>
      <c r="H6" s="161"/>
      <c r="I6" s="160" t="s">
        <v>75</v>
      </c>
      <c r="J6" s="161"/>
      <c r="K6" s="26" t="s">
        <v>95</v>
      </c>
      <c r="L6" s="27" t="s">
        <v>76</v>
      </c>
      <c r="M6" s="28"/>
      <c r="N6" s="75" t="s">
        <v>109</v>
      </c>
    </row>
    <row r="7" spans="1:16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6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6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138">
        <v>1121342</v>
      </c>
      <c r="H9" s="45" t="s">
        <v>88</v>
      </c>
      <c r="I9" s="3">
        <v>2371</v>
      </c>
      <c r="J9" s="45" t="s">
        <v>77</v>
      </c>
      <c r="K9" s="46">
        <f>C9*G9*I9</f>
        <v>2864145.7472275309</v>
      </c>
      <c r="L9" s="47">
        <f>E9*G9*I9</f>
        <v>0</v>
      </c>
      <c r="M9" s="45" t="s">
        <v>82</v>
      </c>
      <c r="N9" s="2"/>
      <c r="O9" s="7">
        <f>C9*G9*I9</f>
        <v>2864145.7472275309</v>
      </c>
      <c r="P9" s="2"/>
    </row>
    <row r="10" spans="1:16" ht="38.25" customHeight="1" x14ac:dyDescent="0.25">
      <c r="A10" s="41" t="s">
        <v>48</v>
      </c>
      <c r="B10" s="41" t="s">
        <v>3</v>
      </c>
      <c r="C10" s="9">
        <v>2.6533799156641469E-3</v>
      </c>
      <c r="D10" s="42" t="s">
        <v>85</v>
      </c>
      <c r="E10" s="43"/>
      <c r="F10" s="42" t="s">
        <v>85</v>
      </c>
      <c r="G10" s="138">
        <v>663879</v>
      </c>
      <c r="H10" s="45" t="s">
        <v>88</v>
      </c>
      <c r="I10" s="3">
        <v>2371</v>
      </c>
      <c r="J10" s="45" t="s">
        <v>77</v>
      </c>
      <c r="K10" s="46">
        <f>C10*G10*I10</f>
        <v>4176571.5191289708</v>
      </c>
      <c r="L10" s="47">
        <f>E10*G10*I10</f>
        <v>0</v>
      </c>
      <c r="M10" s="45" t="s">
        <v>82</v>
      </c>
      <c r="N10" s="2"/>
      <c r="O10" s="7">
        <f>C10*G10*I10</f>
        <v>4176571.5191289708</v>
      </c>
      <c r="P10" s="2"/>
    </row>
    <row r="11" spans="1:16" ht="38.25" customHeight="1" x14ac:dyDescent="0.25">
      <c r="A11" s="48" t="s">
        <v>4</v>
      </c>
      <c r="B11" s="48" t="s">
        <v>5</v>
      </c>
      <c r="C11" s="4"/>
      <c r="D11" s="49"/>
      <c r="E11" s="10"/>
      <c r="F11" s="49"/>
      <c r="G11" s="4"/>
      <c r="H11" s="51"/>
      <c r="I11" s="5"/>
      <c r="J11" s="51"/>
      <c r="K11" s="26"/>
      <c r="L11" s="52"/>
      <c r="M11" s="51"/>
      <c r="N11" s="2"/>
      <c r="O11" s="8"/>
      <c r="P11" s="2"/>
    </row>
    <row r="12" spans="1:16" ht="38.25" customHeight="1" x14ac:dyDescent="0.25">
      <c r="A12" s="41" t="s">
        <v>49</v>
      </c>
      <c r="B12" s="41" t="s">
        <v>6</v>
      </c>
      <c r="C12" s="9">
        <v>1.3322304810368274E-2</v>
      </c>
      <c r="D12" s="42" t="s">
        <v>86</v>
      </c>
      <c r="E12" s="43"/>
      <c r="F12" s="42" t="s">
        <v>86</v>
      </c>
      <c r="G12" s="138">
        <v>331213</v>
      </c>
      <c r="H12" s="45" t="s">
        <v>88</v>
      </c>
      <c r="I12" s="3">
        <v>130</v>
      </c>
      <c r="J12" s="45" t="s">
        <v>84</v>
      </c>
      <c r="K12" s="46">
        <f>C12*G12*I12</f>
        <v>573627.6706103459</v>
      </c>
      <c r="L12" s="47">
        <f>E12*G12*I12</f>
        <v>0</v>
      </c>
      <c r="M12" s="45" t="s">
        <v>82</v>
      </c>
      <c r="N12" s="2"/>
      <c r="O12" s="7">
        <f t="shared" ref="O12:O13" si="0">C12*G12*I12</f>
        <v>573627.6706103459</v>
      </c>
      <c r="P12" s="2"/>
    </row>
    <row r="13" spans="1:16" ht="38.25" customHeight="1" x14ac:dyDescent="0.25">
      <c r="A13" s="41" t="s">
        <v>50</v>
      </c>
      <c r="B13" s="41" t="s">
        <v>7</v>
      </c>
      <c r="C13" s="9">
        <v>2.5405787641850981E-2</v>
      </c>
      <c r="D13" s="42" t="s">
        <v>86</v>
      </c>
      <c r="E13" s="43"/>
      <c r="F13" s="42" t="s">
        <v>86</v>
      </c>
      <c r="G13" s="138">
        <v>646518</v>
      </c>
      <c r="H13" s="45" t="s">
        <v>88</v>
      </c>
      <c r="I13" s="3">
        <v>150</v>
      </c>
      <c r="J13" s="45" t="s">
        <v>84</v>
      </c>
      <c r="K13" s="46">
        <f>C13*G13*I13</f>
        <v>2463794.8521951321</v>
      </c>
      <c r="L13" s="47">
        <f>E13*G13*I13</f>
        <v>0</v>
      </c>
      <c r="M13" s="45" t="s">
        <v>82</v>
      </c>
      <c r="N13" s="2"/>
      <c r="O13" s="7">
        <f t="shared" si="0"/>
        <v>2463794.8521951321</v>
      </c>
      <c r="P13" s="2"/>
    </row>
    <row r="14" spans="1:16" ht="38.25" customHeight="1" x14ac:dyDescent="0.25">
      <c r="A14" s="48" t="s">
        <v>8</v>
      </c>
      <c r="B14" s="48" t="s">
        <v>9</v>
      </c>
      <c r="C14" s="4"/>
      <c r="D14" s="49"/>
      <c r="E14" s="10"/>
      <c r="F14" s="49"/>
      <c r="G14" s="4"/>
      <c r="H14" s="51"/>
      <c r="I14" s="5"/>
      <c r="J14" s="51"/>
      <c r="K14" s="26"/>
      <c r="L14" s="52"/>
      <c r="M14" s="51"/>
      <c r="N14" s="2"/>
      <c r="O14" s="8"/>
      <c r="P14" s="2"/>
    </row>
    <row r="15" spans="1:16" ht="38.25" customHeight="1" x14ac:dyDescent="0.25">
      <c r="A15" s="41" t="s">
        <v>51</v>
      </c>
      <c r="B15" s="41" t="s">
        <v>10</v>
      </c>
      <c r="C15" s="14">
        <v>0.99658131218700008</v>
      </c>
      <c r="D15" s="42" t="s">
        <v>87</v>
      </c>
      <c r="E15" s="53"/>
      <c r="F15" s="42" t="s">
        <v>87</v>
      </c>
      <c r="G15" s="138">
        <v>346942</v>
      </c>
      <c r="H15" s="45" t="s">
        <v>89</v>
      </c>
      <c r="I15" s="6"/>
      <c r="J15" s="55"/>
      <c r="K15" s="46">
        <f>C15*G15</f>
        <v>345755.9136127822</v>
      </c>
      <c r="L15" s="47">
        <f>E15*G15</f>
        <v>0</v>
      </c>
      <c r="M15" s="45" t="s">
        <v>82</v>
      </c>
      <c r="N15" s="2"/>
      <c r="O15" s="7">
        <f>C15*G15</f>
        <v>345755.9136127822</v>
      </c>
      <c r="P15" s="2"/>
    </row>
    <row r="16" spans="1:16" ht="38.25" customHeight="1" x14ac:dyDescent="0.25">
      <c r="A16" s="48" t="s">
        <v>11</v>
      </c>
      <c r="B16" s="48" t="s">
        <v>12</v>
      </c>
      <c r="C16" s="4"/>
      <c r="D16" s="49"/>
      <c r="E16" s="10"/>
      <c r="F16" s="49"/>
      <c r="G16" s="4"/>
      <c r="H16" s="51"/>
      <c r="I16" s="50"/>
      <c r="J16" s="51"/>
      <c r="K16" s="26"/>
      <c r="L16" s="52"/>
      <c r="M16" s="51"/>
      <c r="N16" s="2"/>
      <c r="O16" s="8"/>
      <c r="P16" s="2"/>
    </row>
    <row r="17" spans="1:16" ht="45" x14ac:dyDescent="0.25">
      <c r="A17" s="41" t="s">
        <v>52</v>
      </c>
      <c r="B17" s="41" t="s">
        <v>79</v>
      </c>
      <c r="C17" s="13">
        <v>3.0610124513595922</v>
      </c>
      <c r="D17" s="42" t="s">
        <v>87</v>
      </c>
      <c r="E17" s="56"/>
      <c r="F17" s="42" t="s">
        <v>87</v>
      </c>
      <c r="G17" s="138">
        <v>330350</v>
      </c>
      <c r="H17" s="45" t="s">
        <v>89</v>
      </c>
      <c r="I17" s="54"/>
      <c r="J17" s="55"/>
      <c r="K17" s="46">
        <f>C17*G17</f>
        <v>1011205.4633066413</v>
      </c>
      <c r="L17" s="47">
        <f>E17*G17</f>
        <v>0</v>
      </c>
      <c r="M17" s="45" t="s">
        <v>82</v>
      </c>
      <c r="N17" s="2"/>
      <c r="O17" s="7">
        <f t="shared" ref="O17:O19" si="1">C17*G17</f>
        <v>1011205.4633066413</v>
      </c>
      <c r="P17" s="2"/>
    </row>
    <row r="18" spans="1:16" ht="38.25" customHeight="1" x14ac:dyDescent="0.25">
      <c r="A18" s="41" t="s">
        <v>105</v>
      </c>
      <c r="B18" s="41" t="s">
        <v>13</v>
      </c>
      <c r="C18" s="13">
        <v>0.29539100477784092</v>
      </c>
      <c r="D18" s="42" t="s">
        <v>87</v>
      </c>
      <c r="E18" s="56"/>
      <c r="F18" s="42" t="s">
        <v>87</v>
      </c>
      <c r="G18" s="138">
        <v>300728</v>
      </c>
      <c r="H18" s="45" t="s">
        <v>89</v>
      </c>
      <c r="I18" s="54"/>
      <c r="J18" s="55"/>
      <c r="K18" s="46">
        <f>C18*G18</f>
        <v>88832.34608483054</v>
      </c>
      <c r="L18" s="47">
        <f>E18*G18</f>
        <v>0</v>
      </c>
      <c r="M18" s="45" t="s">
        <v>82</v>
      </c>
      <c r="N18" s="2"/>
      <c r="O18" s="7">
        <f t="shared" si="1"/>
        <v>88832.34608483054</v>
      </c>
      <c r="P18" s="2"/>
    </row>
    <row r="19" spans="1:16" ht="38.25" customHeight="1" x14ac:dyDescent="0.25">
      <c r="A19" s="41" t="s">
        <v>117</v>
      </c>
      <c r="B19" s="41" t="s">
        <v>122</v>
      </c>
      <c r="C19" s="13">
        <v>150</v>
      </c>
      <c r="D19" s="102" t="s">
        <v>130</v>
      </c>
      <c r="E19" s="56"/>
      <c r="F19" s="102" t="s">
        <v>130</v>
      </c>
      <c r="G19" s="138">
        <v>120</v>
      </c>
      <c r="H19" s="45" t="s">
        <v>89</v>
      </c>
      <c r="I19" s="54"/>
      <c r="J19" s="55"/>
      <c r="K19" s="46">
        <f>C19*G19</f>
        <v>18000</v>
      </c>
      <c r="L19" s="47">
        <f>E19*G19</f>
        <v>0</v>
      </c>
      <c r="M19" s="45" t="s">
        <v>82</v>
      </c>
      <c r="N19" s="2"/>
      <c r="O19" s="7">
        <f t="shared" si="1"/>
        <v>18000</v>
      </c>
      <c r="P19" s="2"/>
    </row>
    <row r="20" spans="1:16" ht="38.25" customHeight="1" x14ac:dyDescent="0.25">
      <c r="A20" s="48" t="s">
        <v>14</v>
      </c>
      <c r="B20" s="48" t="s">
        <v>15</v>
      </c>
      <c r="C20" s="4"/>
      <c r="D20" s="49"/>
      <c r="E20" s="10"/>
      <c r="F20" s="49"/>
      <c r="G20" s="4"/>
      <c r="H20" s="51"/>
      <c r="I20" s="50"/>
      <c r="J20" s="51"/>
      <c r="K20" s="26"/>
      <c r="L20" s="52"/>
      <c r="M20" s="51"/>
      <c r="N20" s="2"/>
      <c r="O20" s="7"/>
      <c r="P20" s="2"/>
    </row>
    <row r="21" spans="1:16" ht="38.25" customHeight="1" x14ac:dyDescent="0.25">
      <c r="A21" s="41" t="s">
        <v>53</v>
      </c>
      <c r="B21" s="41" t="s">
        <v>107</v>
      </c>
      <c r="C21" s="14">
        <v>24.017975586371783</v>
      </c>
      <c r="D21" s="42" t="s">
        <v>87</v>
      </c>
      <c r="E21" s="53"/>
      <c r="F21" s="42" t="s">
        <v>87</v>
      </c>
      <c r="G21" s="138">
        <v>347361</v>
      </c>
      <c r="H21" s="45" t="s">
        <v>89</v>
      </c>
      <c r="I21" s="54"/>
      <c r="J21" s="55"/>
      <c r="K21" s="46">
        <f>C21*G21</f>
        <v>8342908.0176576888</v>
      </c>
      <c r="L21" s="47">
        <f>E21*G21</f>
        <v>0</v>
      </c>
      <c r="M21" s="45" t="s">
        <v>82</v>
      </c>
      <c r="N21" s="2"/>
      <c r="O21" s="7">
        <f t="shared" ref="O21:O25" si="2">C21*G21</f>
        <v>8342908.0176576888</v>
      </c>
      <c r="P21" s="2"/>
    </row>
    <row r="22" spans="1:16" ht="38.25" customHeight="1" x14ac:dyDescent="0.25">
      <c r="A22" s="41" t="s">
        <v>54</v>
      </c>
      <c r="B22" s="41" t="s">
        <v>108</v>
      </c>
      <c r="C22" s="14">
        <v>11.185362524184205</v>
      </c>
      <c r="D22" s="42" t="s">
        <v>87</v>
      </c>
      <c r="E22" s="53"/>
      <c r="F22" s="42" t="s">
        <v>87</v>
      </c>
      <c r="G22" s="138">
        <v>180311</v>
      </c>
      <c r="H22" s="45" t="s">
        <v>89</v>
      </c>
      <c r="I22" s="54"/>
      <c r="J22" s="55"/>
      <c r="K22" s="46">
        <f>C22*G22</f>
        <v>2016843.9020981782</v>
      </c>
      <c r="L22" s="47">
        <f>E22*G22</f>
        <v>0</v>
      </c>
      <c r="M22" s="45" t="s">
        <v>82</v>
      </c>
      <c r="N22" s="2"/>
      <c r="O22" s="7">
        <f t="shared" si="2"/>
        <v>2016843.9020981782</v>
      </c>
      <c r="P22" s="2"/>
    </row>
    <row r="23" spans="1:16" ht="38.25" customHeight="1" x14ac:dyDescent="0.25">
      <c r="A23" s="41" t="s">
        <v>100</v>
      </c>
      <c r="B23" s="41" t="s">
        <v>16</v>
      </c>
      <c r="C23" s="14">
        <v>0.6110768124851228</v>
      </c>
      <c r="D23" s="42" t="s">
        <v>87</v>
      </c>
      <c r="E23" s="53"/>
      <c r="F23" s="42" t="s">
        <v>87</v>
      </c>
      <c r="G23" s="138">
        <v>300728</v>
      </c>
      <c r="H23" s="45" t="s">
        <v>89</v>
      </c>
      <c r="I23" s="54"/>
      <c r="J23" s="55"/>
      <c r="K23" s="46">
        <f>C23*G23</f>
        <v>183767.907665026</v>
      </c>
      <c r="L23" s="47">
        <f>E23*G23</f>
        <v>0</v>
      </c>
      <c r="M23" s="45" t="s">
        <v>82</v>
      </c>
      <c r="N23" s="2"/>
      <c r="O23" s="7">
        <f t="shared" si="2"/>
        <v>183767.907665026</v>
      </c>
      <c r="P23" s="2"/>
    </row>
    <row r="24" spans="1:16" ht="38.25" customHeight="1" x14ac:dyDescent="0.25">
      <c r="A24" s="41" t="s">
        <v>101</v>
      </c>
      <c r="B24" s="41" t="s">
        <v>102</v>
      </c>
      <c r="C24" s="14">
        <v>1920.6131157811997</v>
      </c>
      <c r="D24" s="42" t="s">
        <v>21</v>
      </c>
      <c r="E24" s="53"/>
      <c r="F24" s="42" t="s">
        <v>21</v>
      </c>
      <c r="G24" s="138">
        <v>96</v>
      </c>
      <c r="H24" s="45" t="s">
        <v>83</v>
      </c>
      <c r="I24" s="54"/>
      <c r="J24" s="55"/>
      <c r="K24" s="46">
        <f>C24*G24</f>
        <v>184378.85911499517</v>
      </c>
      <c r="L24" s="47">
        <f>E24*G24</f>
        <v>0</v>
      </c>
      <c r="M24" s="45" t="s">
        <v>82</v>
      </c>
      <c r="N24" s="2"/>
      <c r="O24" s="7">
        <f t="shared" si="2"/>
        <v>184378.85911499517</v>
      </c>
      <c r="P24" s="2"/>
    </row>
    <row r="25" spans="1:16" ht="38.25" customHeight="1" x14ac:dyDescent="0.25">
      <c r="A25" s="41" t="s">
        <v>104</v>
      </c>
      <c r="B25" s="41" t="s">
        <v>103</v>
      </c>
      <c r="C25" s="14">
        <v>2.5642171822259212</v>
      </c>
      <c r="D25" s="42" t="s">
        <v>21</v>
      </c>
      <c r="E25" s="53"/>
      <c r="F25" s="42" t="s">
        <v>21</v>
      </c>
      <c r="G25" s="138">
        <v>18</v>
      </c>
      <c r="H25" s="45" t="s">
        <v>83</v>
      </c>
      <c r="I25" s="54"/>
      <c r="J25" s="55"/>
      <c r="K25" s="46">
        <f>C25*G25</f>
        <v>46.155909280066581</v>
      </c>
      <c r="L25" s="47">
        <f>E25*G25</f>
        <v>0</v>
      </c>
      <c r="M25" s="45" t="s">
        <v>82</v>
      </c>
      <c r="N25" s="2"/>
      <c r="O25" s="7">
        <f t="shared" si="2"/>
        <v>46.155909280066581</v>
      </c>
      <c r="P25" s="2"/>
    </row>
    <row r="26" spans="1:16" ht="47.25" x14ac:dyDescent="0.25">
      <c r="A26" s="48" t="s">
        <v>17</v>
      </c>
      <c r="B26" s="48" t="s">
        <v>18</v>
      </c>
      <c r="C26" s="4"/>
      <c r="D26" s="49"/>
      <c r="E26" s="10"/>
      <c r="F26" s="49"/>
      <c r="G26" s="4"/>
      <c r="H26" s="51"/>
      <c r="I26" s="50"/>
      <c r="J26" s="51"/>
      <c r="K26" s="26"/>
      <c r="L26" s="52"/>
      <c r="M26" s="51"/>
      <c r="N26" s="2"/>
      <c r="O26" s="7"/>
      <c r="P26" s="2"/>
    </row>
    <row r="27" spans="1:16" ht="38.25" customHeight="1" x14ac:dyDescent="0.25">
      <c r="A27" s="41" t="s">
        <v>55</v>
      </c>
      <c r="B27" s="41" t="s">
        <v>19</v>
      </c>
      <c r="C27" s="14">
        <v>1.4505808270340399</v>
      </c>
      <c r="D27" s="42" t="s">
        <v>87</v>
      </c>
      <c r="E27" s="53"/>
      <c r="F27" s="42" t="s">
        <v>87</v>
      </c>
      <c r="G27" s="138">
        <v>165273</v>
      </c>
      <c r="H27" s="45" t="s">
        <v>89</v>
      </c>
      <c r="I27" s="54"/>
      <c r="J27" s="55"/>
      <c r="K27" s="46">
        <f>C27*G27</f>
        <v>239741.84502639688</v>
      </c>
      <c r="L27" s="47">
        <f>E27*G27</f>
        <v>0</v>
      </c>
      <c r="M27" s="45" t="s">
        <v>82</v>
      </c>
      <c r="N27" s="2"/>
      <c r="O27" s="7">
        <f t="shared" ref="O27:O28" si="3">C27*G27</f>
        <v>239741.84502639688</v>
      </c>
      <c r="P27" s="2"/>
    </row>
    <row r="28" spans="1:16" ht="38.25" customHeight="1" x14ac:dyDescent="0.25">
      <c r="A28" s="41" t="s">
        <v>56</v>
      </c>
      <c r="B28" s="41" t="s">
        <v>20</v>
      </c>
      <c r="C28" s="14">
        <v>196.41391881978004</v>
      </c>
      <c r="D28" s="42" t="s">
        <v>21</v>
      </c>
      <c r="E28" s="53"/>
      <c r="F28" s="42" t="s">
        <v>21</v>
      </c>
      <c r="G28" s="138">
        <v>406</v>
      </c>
      <c r="H28" s="45" t="s">
        <v>83</v>
      </c>
      <c r="I28" s="54"/>
      <c r="J28" s="55"/>
      <c r="K28" s="46">
        <f>C28*G28</f>
        <v>79744.051040830702</v>
      </c>
      <c r="L28" s="47">
        <f>E28*G28</f>
        <v>0</v>
      </c>
      <c r="M28" s="45" t="s">
        <v>82</v>
      </c>
      <c r="N28" s="2"/>
      <c r="O28" s="7">
        <f t="shared" si="3"/>
        <v>79744.051040830702</v>
      </c>
      <c r="P28" s="2"/>
    </row>
    <row r="29" spans="1:16" ht="38.25" customHeight="1" x14ac:dyDescent="0.25">
      <c r="A29" s="48" t="s">
        <v>22</v>
      </c>
      <c r="B29" s="48" t="s">
        <v>23</v>
      </c>
      <c r="C29" s="4"/>
      <c r="D29" s="49"/>
      <c r="E29" s="10"/>
      <c r="F29" s="49"/>
      <c r="G29" s="4"/>
      <c r="H29" s="51"/>
      <c r="I29" s="50"/>
      <c r="J29" s="51"/>
      <c r="K29" s="26"/>
      <c r="L29" s="52"/>
      <c r="M29" s="51"/>
      <c r="N29" s="2"/>
      <c r="O29" s="7"/>
      <c r="P29" s="2"/>
    </row>
    <row r="30" spans="1:16" ht="38.25" customHeight="1" x14ac:dyDescent="0.25">
      <c r="A30" s="41" t="s">
        <v>57</v>
      </c>
      <c r="B30" s="41" t="s">
        <v>78</v>
      </c>
      <c r="C30" s="14">
        <v>0.46946070402192563</v>
      </c>
      <c r="D30" s="42" t="s">
        <v>87</v>
      </c>
      <c r="E30" s="53"/>
      <c r="F30" s="42" t="s">
        <v>87</v>
      </c>
      <c r="G30" s="138">
        <v>347481</v>
      </c>
      <c r="H30" s="45" t="s">
        <v>89</v>
      </c>
      <c r="I30" s="54"/>
      <c r="J30" s="55"/>
      <c r="K30" s="46">
        <f>C30*G30</f>
        <v>163128.67489424275</v>
      </c>
      <c r="L30" s="47">
        <f>E30*G30</f>
        <v>0</v>
      </c>
      <c r="M30" s="45" t="s">
        <v>82</v>
      </c>
      <c r="N30" s="2"/>
      <c r="O30" s="7">
        <f t="shared" ref="O30:O31" si="4">C30*G30</f>
        <v>163128.67489424275</v>
      </c>
      <c r="P30" s="2"/>
    </row>
    <row r="31" spans="1:16" ht="38.25" customHeight="1" x14ac:dyDescent="0.25">
      <c r="A31" s="41" t="s">
        <v>58</v>
      </c>
      <c r="B31" s="41" t="s">
        <v>24</v>
      </c>
      <c r="C31" s="14">
        <v>5.6388032876341407</v>
      </c>
      <c r="D31" s="42" t="s">
        <v>87</v>
      </c>
      <c r="E31" s="53"/>
      <c r="F31" s="42" t="s">
        <v>87</v>
      </c>
      <c r="G31" s="138">
        <v>4215</v>
      </c>
      <c r="H31" s="45" t="s">
        <v>89</v>
      </c>
      <c r="I31" s="54"/>
      <c r="J31" s="55"/>
      <c r="K31" s="46">
        <f>C31*G31</f>
        <v>23767.555857377902</v>
      </c>
      <c r="L31" s="47">
        <f>E31*G31</f>
        <v>0</v>
      </c>
      <c r="M31" s="45" t="s">
        <v>82</v>
      </c>
      <c r="N31" s="2"/>
      <c r="O31" s="7">
        <f t="shared" si="4"/>
        <v>23767.555857377902</v>
      </c>
      <c r="P31" s="2"/>
    </row>
    <row r="32" spans="1:16" ht="47.25" x14ac:dyDescent="0.25">
      <c r="A32" s="48" t="s">
        <v>25</v>
      </c>
      <c r="B32" s="48" t="s">
        <v>26</v>
      </c>
      <c r="C32" s="4"/>
      <c r="D32" s="49"/>
      <c r="E32" s="10"/>
      <c r="F32" s="49"/>
      <c r="G32" s="4"/>
      <c r="H32" s="51"/>
      <c r="I32" s="50"/>
      <c r="J32" s="51"/>
      <c r="K32" s="26"/>
      <c r="L32" s="52"/>
      <c r="M32" s="51"/>
      <c r="N32" s="2"/>
      <c r="O32" s="7"/>
      <c r="P32" s="2"/>
    </row>
    <row r="33" spans="1:16" ht="38.25" customHeight="1" x14ac:dyDescent="0.25">
      <c r="A33" s="41" t="s">
        <v>59</v>
      </c>
      <c r="B33" s="41" t="s">
        <v>27</v>
      </c>
      <c r="C33" s="14">
        <v>851.68083968633869</v>
      </c>
      <c r="D33" s="42" t="s">
        <v>21</v>
      </c>
      <c r="E33" s="53"/>
      <c r="F33" s="42" t="s">
        <v>21</v>
      </c>
      <c r="G33" s="138">
        <v>124</v>
      </c>
      <c r="H33" s="45" t="s">
        <v>83</v>
      </c>
      <c r="I33" s="54"/>
      <c r="J33" s="55"/>
      <c r="K33" s="46">
        <f>C33*G33</f>
        <v>105608.424121106</v>
      </c>
      <c r="L33" s="47">
        <f>E33*G33</f>
        <v>0</v>
      </c>
      <c r="M33" s="45" t="s">
        <v>82</v>
      </c>
      <c r="N33" s="2"/>
      <c r="O33" s="7">
        <f t="shared" ref="O33:O36" si="5">C33*G33</f>
        <v>105608.424121106</v>
      </c>
      <c r="P33" s="2"/>
    </row>
    <row r="34" spans="1:16" ht="38.25" customHeight="1" x14ac:dyDescent="0.25">
      <c r="A34" s="41" t="s">
        <v>60</v>
      </c>
      <c r="B34" s="41" t="s">
        <v>28</v>
      </c>
      <c r="C34" s="14">
        <v>1237.055329294629</v>
      </c>
      <c r="D34" s="42" t="s">
        <v>21</v>
      </c>
      <c r="E34" s="53"/>
      <c r="F34" s="42" t="s">
        <v>21</v>
      </c>
      <c r="G34" s="138">
        <v>61</v>
      </c>
      <c r="H34" s="45" t="s">
        <v>83</v>
      </c>
      <c r="I34" s="54"/>
      <c r="J34" s="55"/>
      <c r="K34" s="46">
        <f>C34*G34</f>
        <v>75460.375086972374</v>
      </c>
      <c r="L34" s="47">
        <f>E34*G34</f>
        <v>0</v>
      </c>
      <c r="M34" s="45" t="s">
        <v>82</v>
      </c>
      <c r="N34" s="2"/>
      <c r="O34" s="7">
        <f t="shared" si="5"/>
        <v>75460.375086972374</v>
      </c>
      <c r="P34" s="2"/>
    </row>
    <row r="35" spans="1:16" ht="38.25" customHeight="1" x14ac:dyDescent="0.25">
      <c r="A35" s="41" t="s">
        <v>61</v>
      </c>
      <c r="B35" s="41" t="s">
        <v>29</v>
      </c>
      <c r="C35" s="14">
        <v>341.9994854602873</v>
      </c>
      <c r="D35" s="42" t="s">
        <v>21</v>
      </c>
      <c r="E35" s="53"/>
      <c r="F35" s="42" t="s">
        <v>21</v>
      </c>
      <c r="G35" s="138">
        <v>5</v>
      </c>
      <c r="H35" s="45" t="s">
        <v>83</v>
      </c>
      <c r="I35" s="54"/>
      <c r="J35" s="55"/>
      <c r="K35" s="46">
        <f>C35*G35</f>
        <v>1709.9974273014366</v>
      </c>
      <c r="L35" s="47">
        <f>E35*G35</f>
        <v>0</v>
      </c>
      <c r="M35" s="45" t="s">
        <v>82</v>
      </c>
      <c r="N35" s="2"/>
      <c r="O35" s="7">
        <f t="shared" si="5"/>
        <v>1709.9974273014366</v>
      </c>
      <c r="P35" s="2"/>
    </row>
    <row r="36" spans="1:16" ht="38.25" customHeight="1" x14ac:dyDescent="0.25">
      <c r="A36" s="41" t="s">
        <v>62</v>
      </c>
      <c r="B36" s="41" t="s">
        <v>30</v>
      </c>
      <c r="C36" s="14">
        <v>1091.7493291407866</v>
      </c>
      <c r="D36" s="42" t="s">
        <v>21</v>
      </c>
      <c r="E36" s="53"/>
      <c r="F36" s="42" t="s">
        <v>21</v>
      </c>
      <c r="G36" s="138">
        <v>3</v>
      </c>
      <c r="H36" s="45" t="s">
        <v>83</v>
      </c>
      <c r="I36" s="54"/>
      <c r="J36" s="55"/>
      <c r="K36" s="46">
        <f>C36*G36</f>
        <v>3275.24798742236</v>
      </c>
      <c r="L36" s="47">
        <f>E36*G36</f>
        <v>0</v>
      </c>
      <c r="M36" s="45" t="s">
        <v>82</v>
      </c>
      <c r="N36" s="2"/>
      <c r="O36" s="7">
        <f t="shared" si="5"/>
        <v>3275.24798742236</v>
      </c>
      <c r="P36" s="2"/>
    </row>
    <row r="37" spans="1:16" ht="38.25" customHeight="1" x14ac:dyDescent="0.25">
      <c r="A37" s="48" t="s">
        <v>31</v>
      </c>
      <c r="B37" s="48" t="s">
        <v>32</v>
      </c>
      <c r="C37" s="4"/>
      <c r="D37" s="49"/>
      <c r="E37" s="10"/>
      <c r="F37" s="49"/>
      <c r="G37" s="4"/>
      <c r="H37" s="51"/>
      <c r="I37" s="50"/>
      <c r="J37" s="51"/>
      <c r="K37" s="26"/>
      <c r="L37" s="52"/>
      <c r="M37" s="51"/>
      <c r="N37" s="2"/>
      <c r="O37" s="7"/>
      <c r="P37" s="2"/>
    </row>
    <row r="38" spans="1:16" ht="38.25" customHeight="1" x14ac:dyDescent="0.25">
      <c r="A38" s="41" t="s">
        <v>63</v>
      </c>
      <c r="B38" s="41" t="s">
        <v>33</v>
      </c>
      <c r="C38" s="14">
        <v>370.78428390801372</v>
      </c>
      <c r="D38" s="42" t="s">
        <v>21</v>
      </c>
      <c r="E38" s="53"/>
      <c r="F38" s="42" t="s">
        <v>21</v>
      </c>
      <c r="G38" s="138">
        <v>425</v>
      </c>
      <c r="H38" s="45" t="s">
        <v>83</v>
      </c>
      <c r="I38" s="54"/>
      <c r="J38" s="55"/>
      <c r="K38" s="46">
        <f t="shared" ref="K38:K49" si="6">C38*G38</f>
        <v>157583.32066090583</v>
      </c>
      <c r="L38" s="47">
        <f t="shared" ref="L38:L49" si="7">E38*G38</f>
        <v>0</v>
      </c>
      <c r="M38" s="45" t="s">
        <v>82</v>
      </c>
      <c r="N38" s="2"/>
      <c r="O38" s="7">
        <f t="shared" ref="O38:O49" si="8">C38*G38</f>
        <v>157583.32066090583</v>
      </c>
      <c r="P38" s="2"/>
    </row>
    <row r="39" spans="1:16" ht="38.25" customHeight="1" x14ac:dyDescent="0.25">
      <c r="A39" s="41" t="s">
        <v>64</v>
      </c>
      <c r="B39" s="41" t="s">
        <v>34</v>
      </c>
      <c r="C39" s="14">
        <v>0.44308650716676129</v>
      </c>
      <c r="D39" s="42" t="s">
        <v>87</v>
      </c>
      <c r="E39" s="53"/>
      <c r="F39" s="42" t="s">
        <v>87</v>
      </c>
      <c r="G39" s="138">
        <v>213343</v>
      </c>
      <c r="H39" s="45" t="s">
        <v>89</v>
      </c>
      <c r="I39" s="54"/>
      <c r="J39" s="55"/>
      <c r="K39" s="46">
        <f t="shared" si="6"/>
        <v>94529.404698478349</v>
      </c>
      <c r="L39" s="47">
        <f t="shared" si="7"/>
        <v>0</v>
      </c>
      <c r="M39" s="45" t="s">
        <v>82</v>
      </c>
      <c r="N39" s="2"/>
      <c r="O39" s="7">
        <f t="shared" si="8"/>
        <v>94529.404698478349</v>
      </c>
      <c r="P39" s="2"/>
    </row>
    <row r="40" spans="1:16" ht="38.25" customHeight="1" x14ac:dyDescent="0.25">
      <c r="A40" s="41" t="s">
        <v>65</v>
      </c>
      <c r="B40" s="41" t="s">
        <v>35</v>
      </c>
      <c r="C40" s="14">
        <v>0.6962787969763391</v>
      </c>
      <c r="D40" s="42" t="s">
        <v>87</v>
      </c>
      <c r="E40" s="53"/>
      <c r="F40" s="42" t="s">
        <v>87</v>
      </c>
      <c r="G40" s="138">
        <v>7463</v>
      </c>
      <c r="H40" s="45" t="s">
        <v>89</v>
      </c>
      <c r="I40" s="54"/>
      <c r="J40" s="55"/>
      <c r="K40" s="46">
        <f t="shared" si="6"/>
        <v>5196.3286618344191</v>
      </c>
      <c r="L40" s="47">
        <f t="shared" si="7"/>
        <v>0</v>
      </c>
      <c r="M40" s="45" t="s">
        <v>82</v>
      </c>
      <c r="N40" s="2"/>
      <c r="O40" s="7">
        <f t="shared" si="8"/>
        <v>5196.3286618344191</v>
      </c>
      <c r="P40" s="2"/>
    </row>
    <row r="41" spans="1:16" ht="38.25" customHeight="1" x14ac:dyDescent="0.25">
      <c r="A41" s="41" t="s">
        <v>66</v>
      </c>
      <c r="B41" s="41" t="s">
        <v>36</v>
      </c>
      <c r="C41" s="14">
        <v>158.69354247752398</v>
      </c>
      <c r="D41" s="42" t="s">
        <v>21</v>
      </c>
      <c r="E41" s="53"/>
      <c r="F41" s="42" t="s">
        <v>21</v>
      </c>
      <c r="G41" s="138">
        <v>2</v>
      </c>
      <c r="H41" s="45" t="s">
        <v>83</v>
      </c>
      <c r="I41" s="54"/>
      <c r="J41" s="55"/>
      <c r="K41" s="46">
        <f t="shared" si="6"/>
        <v>317.38708495504795</v>
      </c>
      <c r="L41" s="47">
        <f t="shared" si="7"/>
        <v>0</v>
      </c>
      <c r="M41" s="45" t="s">
        <v>82</v>
      </c>
      <c r="N41" s="2"/>
      <c r="O41" s="7">
        <f t="shared" si="8"/>
        <v>317.38708495504795</v>
      </c>
      <c r="P41" s="2"/>
    </row>
    <row r="42" spans="1:16" ht="38.25" customHeight="1" x14ac:dyDescent="0.25">
      <c r="A42" s="41" t="s">
        <v>67</v>
      </c>
      <c r="B42" s="41" t="s">
        <v>37</v>
      </c>
      <c r="C42" s="14">
        <v>5744.7273370438525</v>
      </c>
      <c r="D42" s="42" t="s">
        <v>21</v>
      </c>
      <c r="E42" s="53"/>
      <c r="F42" s="42" t="s">
        <v>21</v>
      </c>
      <c r="G42" s="138">
        <v>3</v>
      </c>
      <c r="H42" s="45" t="s">
        <v>83</v>
      </c>
      <c r="I42" s="54"/>
      <c r="J42" s="55"/>
      <c r="K42" s="46">
        <f t="shared" si="6"/>
        <v>17234.182011131557</v>
      </c>
      <c r="L42" s="47">
        <f t="shared" si="7"/>
        <v>0</v>
      </c>
      <c r="M42" s="45" t="s">
        <v>82</v>
      </c>
      <c r="N42" s="2"/>
      <c r="O42" s="7">
        <f t="shared" si="8"/>
        <v>17234.182011131557</v>
      </c>
      <c r="P42" s="2"/>
    </row>
    <row r="43" spans="1:16" ht="38.25" customHeight="1" x14ac:dyDescent="0.25">
      <c r="A43" s="41" t="s">
        <v>68</v>
      </c>
      <c r="B43" s="41" t="s">
        <v>38</v>
      </c>
      <c r="C43" s="14">
        <v>170.98919305140157</v>
      </c>
      <c r="D43" s="42" t="s">
        <v>21</v>
      </c>
      <c r="E43" s="53"/>
      <c r="F43" s="42" t="s">
        <v>21</v>
      </c>
      <c r="G43" s="138">
        <v>0</v>
      </c>
      <c r="H43" s="45" t="s">
        <v>83</v>
      </c>
      <c r="I43" s="54"/>
      <c r="J43" s="55"/>
      <c r="K43" s="46">
        <f t="shared" si="6"/>
        <v>0</v>
      </c>
      <c r="L43" s="47">
        <f t="shared" si="7"/>
        <v>0</v>
      </c>
      <c r="M43" s="45" t="s">
        <v>82</v>
      </c>
      <c r="N43" s="2"/>
      <c r="O43" s="7">
        <f t="shared" si="8"/>
        <v>0</v>
      </c>
      <c r="P43" s="2"/>
    </row>
    <row r="44" spans="1:16" ht="38.25" customHeight="1" x14ac:dyDescent="0.25">
      <c r="A44" s="41" t="s">
        <v>69</v>
      </c>
      <c r="B44" s="41" t="s">
        <v>39</v>
      </c>
      <c r="C44" s="14">
        <v>1136.727884457584</v>
      </c>
      <c r="D44" s="42" t="s">
        <v>21</v>
      </c>
      <c r="E44" s="53"/>
      <c r="F44" s="42" t="s">
        <v>21</v>
      </c>
      <c r="G44" s="138">
        <v>1</v>
      </c>
      <c r="H44" s="45" t="s">
        <v>83</v>
      </c>
      <c r="I44" s="54"/>
      <c r="J44" s="55"/>
      <c r="K44" s="46">
        <f t="shared" si="6"/>
        <v>1136.727884457584</v>
      </c>
      <c r="L44" s="47">
        <f t="shared" si="7"/>
        <v>0</v>
      </c>
      <c r="M44" s="45" t="s">
        <v>82</v>
      </c>
      <c r="N44" s="2"/>
      <c r="O44" s="7">
        <f t="shared" si="8"/>
        <v>1136.727884457584</v>
      </c>
      <c r="P44" s="2"/>
    </row>
    <row r="45" spans="1:16" ht="38.25" customHeight="1" x14ac:dyDescent="0.25">
      <c r="A45" s="41" t="s">
        <v>70</v>
      </c>
      <c r="B45" s="41" t="s">
        <v>40</v>
      </c>
      <c r="C45" s="14">
        <v>114.34796788525061</v>
      </c>
      <c r="D45" s="42" t="s">
        <v>21</v>
      </c>
      <c r="E45" s="53"/>
      <c r="F45" s="42" t="s">
        <v>21</v>
      </c>
      <c r="G45" s="138">
        <v>278</v>
      </c>
      <c r="H45" s="45" t="s">
        <v>83</v>
      </c>
      <c r="I45" s="54"/>
      <c r="J45" s="55"/>
      <c r="K45" s="46">
        <f t="shared" si="6"/>
        <v>31788.735072099669</v>
      </c>
      <c r="L45" s="47">
        <f t="shared" si="7"/>
        <v>0</v>
      </c>
      <c r="M45" s="45" t="s">
        <v>82</v>
      </c>
      <c r="N45" s="2"/>
      <c r="O45" s="7">
        <f t="shared" si="8"/>
        <v>31788.735072099669</v>
      </c>
      <c r="P45" s="2"/>
    </row>
    <row r="46" spans="1:16" ht="38.25" customHeight="1" x14ac:dyDescent="0.25">
      <c r="A46" s="41" t="s">
        <v>71</v>
      </c>
      <c r="B46" s="41" t="s">
        <v>41</v>
      </c>
      <c r="C46" s="14">
        <v>361.84870601348399</v>
      </c>
      <c r="D46" s="42" t="s">
        <v>21</v>
      </c>
      <c r="E46" s="53"/>
      <c r="F46" s="42" t="s">
        <v>21</v>
      </c>
      <c r="G46" s="138">
        <v>27</v>
      </c>
      <c r="H46" s="45" t="s">
        <v>83</v>
      </c>
      <c r="I46" s="54"/>
      <c r="J46" s="55"/>
      <c r="K46" s="46">
        <f t="shared" si="6"/>
        <v>9769.9150623640671</v>
      </c>
      <c r="L46" s="47">
        <f t="shared" si="7"/>
        <v>0</v>
      </c>
      <c r="M46" s="45" t="s">
        <v>82</v>
      </c>
      <c r="N46" s="2"/>
      <c r="O46" s="7">
        <f t="shared" si="8"/>
        <v>9769.9150623640671</v>
      </c>
      <c r="P46" s="2"/>
    </row>
    <row r="47" spans="1:16" ht="38.25" customHeight="1" x14ac:dyDescent="0.25">
      <c r="A47" s="41" t="s">
        <v>72</v>
      </c>
      <c r="B47" s="41" t="s">
        <v>42</v>
      </c>
      <c r="C47" s="14">
        <v>1682.9375013280378</v>
      </c>
      <c r="D47" s="42" t="s">
        <v>21</v>
      </c>
      <c r="E47" s="53"/>
      <c r="F47" s="42" t="s">
        <v>21</v>
      </c>
      <c r="G47" s="138">
        <v>94</v>
      </c>
      <c r="H47" s="45" t="s">
        <v>83</v>
      </c>
      <c r="I47" s="54"/>
      <c r="J47" s="55"/>
      <c r="K47" s="46">
        <f t="shared" si="6"/>
        <v>158196.12512483555</v>
      </c>
      <c r="L47" s="47">
        <f t="shared" si="7"/>
        <v>0</v>
      </c>
      <c r="M47" s="45" t="s">
        <v>82</v>
      </c>
      <c r="N47" s="2"/>
      <c r="O47" s="7">
        <f t="shared" si="8"/>
        <v>158196.12512483555</v>
      </c>
      <c r="P47" s="2"/>
    </row>
    <row r="48" spans="1:16" ht="38.25" customHeight="1" x14ac:dyDescent="0.25">
      <c r="A48" s="41" t="s">
        <v>73</v>
      </c>
      <c r="B48" s="41" t="s">
        <v>43</v>
      </c>
      <c r="C48" s="14">
        <v>411.55351740672677</v>
      </c>
      <c r="D48" s="42" t="s">
        <v>21</v>
      </c>
      <c r="E48" s="53"/>
      <c r="F48" s="42" t="s">
        <v>21</v>
      </c>
      <c r="G48" s="138">
        <v>108</v>
      </c>
      <c r="H48" s="45" t="s">
        <v>83</v>
      </c>
      <c r="I48" s="54"/>
      <c r="J48" s="55"/>
      <c r="K48" s="46">
        <f t="shared" si="6"/>
        <v>44447.779879926493</v>
      </c>
      <c r="L48" s="47">
        <f t="shared" si="7"/>
        <v>0</v>
      </c>
      <c r="M48" s="45" t="s">
        <v>82</v>
      </c>
      <c r="N48" s="2"/>
      <c r="O48" s="7">
        <f t="shared" si="8"/>
        <v>44447.779879926493</v>
      </c>
      <c r="P48" s="2"/>
    </row>
    <row r="49" spans="1:16" ht="38.25" customHeight="1" x14ac:dyDescent="0.25">
      <c r="A49" s="41" t="s">
        <v>74</v>
      </c>
      <c r="B49" s="41" t="s">
        <v>44</v>
      </c>
      <c r="C49" s="14">
        <v>31.227049076514604</v>
      </c>
      <c r="D49" s="42" t="s">
        <v>21</v>
      </c>
      <c r="E49" s="53"/>
      <c r="F49" s="42" t="s">
        <v>21</v>
      </c>
      <c r="G49" s="138">
        <v>382</v>
      </c>
      <c r="H49" s="45" t="s">
        <v>83</v>
      </c>
      <c r="I49" s="54"/>
      <c r="J49" s="55"/>
      <c r="K49" s="46">
        <f t="shared" si="6"/>
        <v>11928.732747228578</v>
      </c>
      <c r="L49" s="47">
        <f t="shared" si="7"/>
        <v>0</v>
      </c>
      <c r="M49" s="45" t="s">
        <v>82</v>
      </c>
      <c r="N49" s="2"/>
      <c r="O49" s="7">
        <f t="shared" si="8"/>
        <v>11928.732747228578</v>
      </c>
      <c r="P49" s="2"/>
    </row>
    <row r="50" spans="1:16" ht="38.25" customHeight="1" x14ac:dyDescent="0.25">
      <c r="A50" s="48" t="s">
        <v>96</v>
      </c>
      <c r="B50" s="48" t="s">
        <v>99</v>
      </c>
      <c r="C50" s="4"/>
      <c r="D50" s="49"/>
      <c r="E50" s="10"/>
      <c r="F50" s="49"/>
      <c r="G50" s="4"/>
      <c r="H50" s="51"/>
      <c r="I50" s="50"/>
      <c r="J50" s="51"/>
      <c r="K50" s="26"/>
      <c r="L50" s="52"/>
      <c r="M50" s="51"/>
      <c r="N50" s="2"/>
      <c r="O50" s="7"/>
      <c r="P50" s="2"/>
    </row>
    <row r="51" spans="1:16" ht="38.25" customHeight="1" x14ac:dyDescent="0.25">
      <c r="A51" s="41" t="s">
        <v>97</v>
      </c>
      <c r="B51" s="41" t="s">
        <v>80</v>
      </c>
      <c r="C51" s="14">
        <v>66768.119526270457</v>
      </c>
      <c r="D51" s="42" t="s">
        <v>81</v>
      </c>
      <c r="E51" s="53"/>
      <c r="F51" s="42" t="s">
        <v>81</v>
      </c>
      <c r="G51" s="138">
        <v>42</v>
      </c>
      <c r="H51" s="45" t="s">
        <v>81</v>
      </c>
      <c r="I51" s="54"/>
      <c r="J51" s="55"/>
      <c r="K51" s="46">
        <f>C51*G51</f>
        <v>2804261.0201033591</v>
      </c>
      <c r="L51" s="47">
        <f>E51*G51</f>
        <v>0</v>
      </c>
      <c r="M51" s="45" t="s">
        <v>82</v>
      </c>
      <c r="N51" s="2"/>
      <c r="O51" s="7">
        <f t="shared" ref="O51:O52" si="9">C51*G51</f>
        <v>2804261.0201033591</v>
      </c>
      <c r="P51" s="2"/>
    </row>
    <row r="52" spans="1:16" ht="38.25" customHeight="1" x14ac:dyDescent="0.25">
      <c r="A52" s="41" t="s">
        <v>98</v>
      </c>
      <c r="B52" s="41" t="s">
        <v>106</v>
      </c>
      <c r="C52" s="14">
        <v>107787.58410852712</v>
      </c>
      <c r="D52" s="42" t="s">
        <v>81</v>
      </c>
      <c r="E52" s="53"/>
      <c r="F52" s="42" t="s">
        <v>81</v>
      </c>
      <c r="G52" s="138">
        <v>11</v>
      </c>
      <c r="H52" s="45" t="s">
        <v>81</v>
      </c>
      <c r="I52" s="54"/>
      <c r="J52" s="55"/>
      <c r="K52" s="46">
        <f>C52*G52</f>
        <v>1185663.4251937983</v>
      </c>
      <c r="L52" s="47">
        <f>E52*G52</f>
        <v>0</v>
      </c>
      <c r="M52" s="45" t="s">
        <v>82</v>
      </c>
      <c r="N52" s="2"/>
      <c r="O52" s="7">
        <f t="shared" si="9"/>
        <v>1185663.4251937983</v>
      </c>
      <c r="P52" s="2"/>
    </row>
    <row r="53" spans="1:16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40"/>
    </row>
    <row r="54" spans="1:16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40"/>
    </row>
    <row r="55" spans="1:16" x14ac:dyDescent="0.25">
      <c r="B55" s="64" t="s">
        <v>93</v>
      </c>
    </row>
    <row r="56" spans="1:16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47">
        <f>SUM(O9:O52)</f>
        <v>27484367.610238418</v>
      </c>
      <c r="M56" s="45" t="s">
        <v>82</v>
      </c>
    </row>
    <row r="57" spans="1:16" x14ac:dyDescent="0.25">
      <c r="K57" s="11"/>
    </row>
    <row r="58" spans="1:16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6" ht="15.75" x14ac:dyDescent="0.25">
      <c r="N59" s="76"/>
    </row>
    <row r="60" spans="1:16" ht="36.75" customHeight="1" x14ac:dyDescent="0.25">
      <c r="A60" s="66"/>
      <c r="C60" s="11"/>
      <c r="E60" s="11"/>
      <c r="F60" s="11"/>
      <c r="G60" s="11"/>
      <c r="H60" s="11"/>
      <c r="I60" s="11"/>
      <c r="J60" s="65" t="s">
        <v>114</v>
      </c>
      <c r="K60" s="11"/>
      <c r="L60" s="47">
        <f>(1-L58/L56)*100</f>
        <v>100</v>
      </c>
      <c r="M60" s="45" t="s">
        <v>91</v>
      </c>
      <c r="N60" s="77" t="s">
        <v>119</v>
      </c>
    </row>
    <row r="61" spans="1:16" ht="15.75" x14ac:dyDescent="0.25">
      <c r="N61" s="76"/>
    </row>
    <row r="62" spans="1:16" s="17" customFormat="1" ht="60" customHeight="1" x14ac:dyDescent="0.25">
      <c r="A62" s="66"/>
      <c r="B62" s="162" t="s">
        <v>118</v>
      </c>
      <c r="C62" s="162"/>
      <c r="D62" s="162"/>
      <c r="E62" s="162"/>
      <c r="F62" s="162"/>
      <c r="G62" s="162"/>
      <c r="H62" s="162"/>
      <c r="I62" s="162"/>
      <c r="J62" s="19"/>
      <c r="K62" s="19"/>
      <c r="L62" s="1"/>
      <c r="M62" s="45" t="s">
        <v>91</v>
      </c>
      <c r="N62" s="77" t="s">
        <v>120</v>
      </c>
      <c r="O62" s="73"/>
    </row>
    <row r="63" spans="1:16" ht="15.75" x14ac:dyDescent="0.25">
      <c r="A63" s="67"/>
      <c r="B63" s="68"/>
      <c r="N63" s="76"/>
    </row>
    <row r="64" spans="1:16" ht="15.75" x14ac:dyDescent="0.25">
      <c r="A64" s="67"/>
    </row>
    <row r="65" spans="1:1" ht="15.75" x14ac:dyDescent="0.25">
      <c r="A65" s="67"/>
    </row>
  </sheetData>
  <sheetProtection selectLockedCells="1"/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2:I62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5"/>
  <sheetViews>
    <sheetView view="pageLayout" topLeftCell="A47" zoomScale="85" zoomScaleNormal="100" zoomScalePageLayoutView="85" workbookViewId="0">
      <selection activeCell="Q53" sqref="Q53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7.7109375" style="2" customWidth="1"/>
    <col min="15" max="15" width="21" style="7" hidden="1" customWidth="1"/>
    <col min="16" max="18" width="9.140625" style="2"/>
    <col min="19" max="16384" width="9.140625" style="11"/>
  </cols>
  <sheetData>
    <row r="1" spans="1:18" ht="53.25" customHeight="1" x14ac:dyDescent="0.25">
      <c r="A1" s="163" t="s">
        <v>123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8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8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N3" s="81"/>
      <c r="O3" s="82"/>
      <c r="P3" s="81"/>
      <c r="Q3" s="81"/>
      <c r="R3" s="81"/>
    </row>
    <row r="4" spans="1:18" ht="15.75" thickBot="1" x14ac:dyDescent="0.3"/>
    <row r="5" spans="1:18" ht="38.25" customHeight="1" thickBot="1" x14ac:dyDescent="0.3">
      <c r="A5" s="25">
        <v>1</v>
      </c>
      <c r="B5" s="69">
        <v>2</v>
      </c>
      <c r="C5" s="158">
        <v>3</v>
      </c>
      <c r="D5" s="159"/>
      <c r="E5" s="158">
        <v>4</v>
      </c>
      <c r="F5" s="159"/>
      <c r="G5" s="160">
        <v>5</v>
      </c>
      <c r="H5" s="161"/>
      <c r="I5" s="160">
        <v>6</v>
      </c>
      <c r="J5" s="161"/>
      <c r="K5" s="26"/>
      <c r="L5" s="160">
        <v>7</v>
      </c>
      <c r="M5" s="161"/>
      <c r="N5" s="83">
        <v>8</v>
      </c>
    </row>
    <row r="6" spans="1:18" ht="38.25" customHeight="1" thickBot="1" x14ac:dyDescent="0.3">
      <c r="A6" s="25" t="s">
        <v>46</v>
      </c>
      <c r="B6" s="69" t="s">
        <v>45</v>
      </c>
      <c r="C6" s="158" t="s">
        <v>92</v>
      </c>
      <c r="D6" s="159"/>
      <c r="E6" s="158" t="s">
        <v>94</v>
      </c>
      <c r="F6" s="159"/>
      <c r="G6" s="160" t="s">
        <v>75</v>
      </c>
      <c r="H6" s="161"/>
      <c r="I6" s="160" t="s">
        <v>75</v>
      </c>
      <c r="J6" s="161"/>
      <c r="K6" s="26" t="s">
        <v>95</v>
      </c>
      <c r="L6" s="27" t="s">
        <v>76</v>
      </c>
      <c r="M6" s="28"/>
      <c r="N6" s="84" t="s">
        <v>109</v>
      </c>
    </row>
    <row r="7" spans="1:18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8" ht="38.25" customHeight="1" x14ac:dyDescent="0.25">
      <c r="A8" s="88" t="s">
        <v>0</v>
      </c>
      <c r="B8" s="88" t="s">
        <v>1</v>
      </c>
      <c r="C8" s="89"/>
      <c r="D8" s="90"/>
      <c r="E8" s="35"/>
      <c r="F8" s="36"/>
      <c r="G8" s="37"/>
      <c r="H8" s="38"/>
      <c r="I8" s="37"/>
      <c r="J8" s="38"/>
      <c r="K8" s="26"/>
      <c r="L8" s="39"/>
      <c r="M8" s="38"/>
      <c r="O8" s="8"/>
    </row>
    <row r="9" spans="1:18" ht="38.25" customHeight="1" x14ac:dyDescent="0.25">
      <c r="A9" s="91" t="s">
        <v>47</v>
      </c>
      <c r="B9" s="91" t="s">
        <v>2</v>
      </c>
      <c r="C9" s="9">
        <v>1.0772722457596435E-3</v>
      </c>
      <c r="D9" s="92" t="s">
        <v>85</v>
      </c>
      <c r="E9" s="43"/>
      <c r="F9" s="42" t="s">
        <v>85</v>
      </c>
      <c r="G9" s="138">
        <v>714482</v>
      </c>
      <c r="H9" s="93" t="s">
        <v>88</v>
      </c>
      <c r="I9" s="3">
        <v>2468</v>
      </c>
      <c r="J9" s="93" t="s">
        <v>77</v>
      </c>
      <c r="K9" s="94">
        <f>C9*G9*I9</f>
        <v>1899598.939618869</v>
      </c>
      <c r="L9" s="95">
        <f>E9*G9*I9</f>
        <v>0</v>
      </c>
      <c r="M9" s="45" t="s">
        <v>82</v>
      </c>
      <c r="O9" s="7">
        <f>C9*G9*I9</f>
        <v>1899598.939618869</v>
      </c>
    </row>
    <row r="10" spans="1:18" ht="38.25" customHeight="1" x14ac:dyDescent="0.25">
      <c r="A10" s="91" t="s">
        <v>48</v>
      </c>
      <c r="B10" s="91" t="s">
        <v>3</v>
      </c>
      <c r="C10" s="9">
        <v>2.6533799156641469E-3</v>
      </c>
      <c r="D10" s="92" t="s">
        <v>85</v>
      </c>
      <c r="E10" s="43"/>
      <c r="F10" s="42" t="s">
        <v>85</v>
      </c>
      <c r="G10" s="138">
        <v>596907</v>
      </c>
      <c r="H10" s="93" t="s">
        <v>88</v>
      </c>
      <c r="I10" s="3">
        <v>2468</v>
      </c>
      <c r="J10" s="93" t="s">
        <v>77</v>
      </c>
      <c r="K10" s="94">
        <f>C10*G10*I10</f>
        <v>3908870.3398481286</v>
      </c>
      <c r="L10" s="95">
        <f>E10*G10*I10</f>
        <v>0</v>
      </c>
      <c r="M10" s="45" t="s">
        <v>82</v>
      </c>
      <c r="O10" s="7">
        <f>C10*G10*I10</f>
        <v>3908870.3398481286</v>
      </c>
    </row>
    <row r="11" spans="1:18" ht="38.25" customHeight="1" x14ac:dyDescent="0.25">
      <c r="A11" s="96" t="s">
        <v>4</v>
      </c>
      <c r="B11" s="96" t="s">
        <v>5</v>
      </c>
      <c r="C11" s="4"/>
      <c r="D11" s="97"/>
      <c r="E11" s="10"/>
      <c r="F11" s="49"/>
      <c r="G11" s="4"/>
      <c r="H11" s="98"/>
      <c r="I11" s="5"/>
      <c r="J11" s="98"/>
      <c r="K11" s="87"/>
      <c r="L11" s="99"/>
      <c r="M11" s="51"/>
      <c r="O11" s="8"/>
    </row>
    <row r="12" spans="1:18" ht="38.25" customHeight="1" x14ac:dyDescent="0.25">
      <c r="A12" s="91" t="s">
        <v>49</v>
      </c>
      <c r="B12" s="91" t="s">
        <v>6</v>
      </c>
      <c r="C12" s="9">
        <v>1.3322304810368274E-2</v>
      </c>
      <c r="D12" s="92" t="s">
        <v>86</v>
      </c>
      <c r="E12" s="43"/>
      <c r="F12" s="42" t="s">
        <v>86</v>
      </c>
      <c r="G12" s="138">
        <v>270624</v>
      </c>
      <c r="H12" s="93" t="s">
        <v>88</v>
      </c>
      <c r="I12" s="3">
        <v>130</v>
      </c>
      <c r="J12" s="93" t="s">
        <v>84</v>
      </c>
      <c r="K12" s="94">
        <f>C12*G12*I12</f>
        <v>468693.6042101435</v>
      </c>
      <c r="L12" s="95">
        <f>E12*G12*I12</f>
        <v>0</v>
      </c>
      <c r="M12" s="45" t="s">
        <v>82</v>
      </c>
      <c r="O12" s="7">
        <f t="shared" ref="O12:O13" si="0">C12*G12*I12</f>
        <v>468693.6042101435</v>
      </c>
    </row>
    <row r="13" spans="1:18" ht="38.25" customHeight="1" x14ac:dyDescent="0.25">
      <c r="A13" s="91" t="s">
        <v>50</v>
      </c>
      <c r="B13" s="91" t="s">
        <v>7</v>
      </c>
      <c r="C13" s="9">
        <v>2.5405787641850981E-2</v>
      </c>
      <c r="D13" s="92" t="s">
        <v>86</v>
      </c>
      <c r="E13" s="43"/>
      <c r="F13" s="42" t="s">
        <v>86</v>
      </c>
      <c r="G13" s="138">
        <v>771232</v>
      </c>
      <c r="H13" s="93" t="s">
        <v>88</v>
      </c>
      <c r="I13" s="3">
        <v>150</v>
      </c>
      <c r="J13" s="93" t="s">
        <v>84</v>
      </c>
      <c r="K13" s="94">
        <f>C13*G13*I13</f>
        <v>2939063.4621900022</v>
      </c>
      <c r="L13" s="95">
        <f>E13*G13*I13</f>
        <v>0</v>
      </c>
      <c r="M13" s="45" t="s">
        <v>82</v>
      </c>
      <c r="O13" s="7">
        <f t="shared" si="0"/>
        <v>2939063.4621900022</v>
      </c>
    </row>
    <row r="14" spans="1:18" ht="38.25" customHeight="1" x14ac:dyDescent="0.25">
      <c r="A14" s="96" t="s">
        <v>8</v>
      </c>
      <c r="B14" s="96" t="s">
        <v>9</v>
      </c>
      <c r="C14" s="4"/>
      <c r="D14" s="97"/>
      <c r="E14" s="10"/>
      <c r="F14" s="49"/>
      <c r="G14" s="4"/>
      <c r="H14" s="98"/>
      <c r="I14" s="5"/>
      <c r="J14" s="98"/>
      <c r="K14" s="87"/>
      <c r="L14" s="99"/>
      <c r="M14" s="51"/>
      <c r="O14" s="8"/>
    </row>
    <row r="15" spans="1:18" ht="38.25" customHeight="1" x14ac:dyDescent="0.25">
      <c r="A15" s="91" t="s">
        <v>51</v>
      </c>
      <c r="B15" s="91" t="s">
        <v>10</v>
      </c>
      <c r="C15" s="14">
        <v>0.99658131218700008</v>
      </c>
      <c r="D15" s="92" t="s">
        <v>87</v>
      </c>
      <c r="E15" s="53"/>
      <c r="F15" s="42" t="s">
        <v>87</v>
      </c>
      <c r="G15" s="138">
        <v>312388</v>
      </c>
      <c r="H15" s="93" t="s">
        <v>89</v>
      </c>
      <c r="I15" s="6"/>
      <c r="J15" s="100"/>
      <c r="K15" s="94">
        <f>C15*G15</f>
        <v>311320.04295147257</v>
      </c>
      <c r="L15" s="95">
        <f>E15*G15</f>
        <v>0</v>
      </c>
      <c r="M15" s="45" t="s">
        <v>82</v>
      </c>
      <c r="O15" s="7">
        <f>C15*G15</f>
        <v>311320.04295147257</v>
      </c>
    </row>
    <row r="16" spans="1:18" ht="38.25" customHeight="1" x14ac:dyDescent="0.25">
      <c r="A16" s="96" t="s">
        <v>11</v>
      </c>
      <c r="B16" s="96" t="s">
        <v>12</v>
      </c>
      <c r="C16" s="4"/>
      <c r="D16" s="97"/>
      <c r="E16" s="10"/>
      <c r="F16" s="49"/>
      <c r="G16" s="4"/>
      <c r="H16" s="98"/>
      <c r="I16" s="5"/>
      <c r="J16" s="98"/>
      <c r="K16" s="87"/>
      <c r="L16" s="99"/>
      <c r="M16" s="51"/>
      <c r="O16" s="8"/>
    </row>
    <row r="17" spans="1:15" ht="45" x14ac:dyDescent="0.25">
      <c r="A17" s="91" t="s">
        <v>52</v>
      </c>
      <c r="B17" s="91" t="s">
        <v>79</v>
      </c>
      <c r="C17" s="13">
        <v>3.0610124513595922</v>
      </c>
      <c r="D17" s="92" t="s">
        <v>87</v>
      </c>
      <c r="E17" s="56"/>
      <c r="F17" s="42" t="s">
        <v>87</v>
      </c>
      <c r="G17" s="135">
        <v>318450</v>
      </c>
      <c r="H17" s="45" t="s">
        <v>89</v>
      </c>
      <c r="I17" s="54"/>
      <c r="J17" s="100"/>
      <c r="K17" s="94">
        <f>C17*G17</f>
        <v>974779.41513546219</v>
      </c>
      <c r="L17" s="95">
        <f>E17*G17</f>
        <v>0</v>
      </c>
      <c r="M17" s="45" t="s">
        <v>82</v>
      </c>
      <c r="O17" s="7">
        <f t="shared" ref="O17:O19" si="1">C17*G17</f>
        <v>974779.41513546219</v>
      </c>
    </row>
    <row r="18" spans="1:15" ht="38.25" customHeight="1" x14ac:dyDescent="0.25">
      <c r="A18" s="91" t="s">
        <v>105</v>
      </c>
      <c r="B18" s="91" t="s">
        <v>13</v>
      </c>
      <c r="C18" s="13">
        <v>0.29539100477784092</v>
      </c>
      <c r="D18" s="92" t="s">
        <v>87</v>
      </c>
      <c r="E18" s="56"/>
      <c r="F18" s="42" t="s">
        <v>87</v>
      </c>
      <c r="G18" s="138">
        <v>110067</v>
      </c>
      <c r="H18" s="93" t="s">
        <v>89</v>
      </c>
      <c r="I18" s="6"/>
      <c r="J18" s="100"/>
      <c r="K18" s="94">
        <f>C18*G18</f>
        <v>32512.801722882617</v>
      </c>
      <c r="L18" s="95">
        <f>E18*G18</f>
        <v>0</v>
      </c>
      <c r="M18" s="45" t="s">
        <v>82</v>
      </c>
      <c r="O18" s="7">
        <f t="shared" si="1"/>
        <v>32512.801722882617</v>
      </c>
    </row>
    <row r="19" spans="1:15" ht="38.25" customHeight="1" x14ac:dyDescent="0.25">
      <c r="A19" s="91" t="s">
        <v>117</v>
      </c>
      <c r="B19" s="91" t="s">
        <v>122</v>
      </c>
      <c r="C19" s="13">
        <v>150</v>
      </c>
      <c r="D19" s="101" t="s">
        <v>130</v>
      </c>
      <c r="E19" s="56"/>
      <c r="F19" s="102" t="s">
        <v>130</v>
      </c>
      <c r="G19" s="138">
        <v>0</v>
      </c>
      <c r="H19" s="93" t="s">
        <v>89</v>
      </c>
      <c r="I19" s="6"/>
      <c r="J19" s="100"/>
      <c r="K19" s="94">
        <f>C19*G19</f>
        <v>0</v>
      </c>
      <c r="L19" s="95">
        <f>E19*G19</f>
        <v>0</v>
      </c>
      <c r="M19" s="45" t="s">
        <v>82</v>
      </c>
      <c r="O19" s="7">
        <f t="shared" si="1"/>
        <v>0</v>
      </c>
    </row>
    <row r="20" spans="1:15" ht="38.25" customHeight="1" x14ac:dyDescent="0.25">
      <c r="A20" s="96" t="s">
        <v>14</v>
      </c>
      <c r="B20" s="96" t="s">
        <v>15</v>
      </c>
      <c r="C20" s="4"/>
      <c r="D20" s="97"/>
      <c r="E20" s="10"/>
      <c r="F20" s="49"/>
      <c r="G20" s="4"/>
      <c r="H20" s="98"/>
      <c r="I20" s="5"/>
      <c r="J20" s="98"/>
      <c r="K20" s="87"/>
      <c r="L20" s="99"/>
      <c r="M20" s="51"/>
    </row>
    <row r="21" spans="1:15" ht="38.25" customHeight="1" x14ac:dyDescent="0.25">
      <c r="A21" s="91" t="s">
        <v>53</v>
      </c>
      <c r="B21" s="91" t="s">
        <v>107</v>
      </c>
      <c r="C21" s="14">
        <v>24.017975586371783</v>
      </c>
      <c r="D21" s="92" t="s">
        <v>87</v>
      </c>
      <c r="E21" s="53"/>
      <c r="F21" s="42" t="s">
        <v>87</v>
      </c>
      <c r="G21" s="138">
        <v>153650</v>
      </c>
      <c r="H21" s="93" t="s">
        <v>89</v>
      </c>
      <c r="I21" s="6"/>
      <c r="J21" s="100"/>
      <c r="K21" s="94">
        <f>C21*G21</f>
        <v>3690361.9488460245</v>
      </c>
      <c r="L21" s="95">
        <f>E21*G21</f>
        <v>0</v>
      </c>
      <c r="M21" s="45" t="s">
        <v>82</v>
      </c>
      <c r="O21" s="7">
        <f t="shared" ref="O21:O25" si="2">C21*G21</f>
        <v>3690361.9488460245</v>
      </c>
    </row>
    <row r="22" spans="1:15" ht="38.25" customHeight="1" x14ac:dyDescent="0.25">
      <c r="A22" s="91" t="s">
        <v>54</v>
      </c>
      <c r="B22" s="91" t="s">
        <v>108</v>
      </c>
      <c r="C22" s="14">
        <v>11.185362524184205</v>
      </c>
      <c r="D22" s="92" t="s">
        <v>87</v>
      </c>
      <c r="E22" s="53"/>
      <c r="F22" s="42" t="s">
        <v>87</v>
      </c>
      <c r="G22" s="138">
        <v>227282</v>
      </c>
      <c r="H22" s="93" t="s">
        <v>89</v>
      </c>
      <c r="I22" s="6"/>
      <c r="J22" s="100"/>
      <c r="K22" s="94">
        <f>C22*G22</f>
        <v>2542231.5652216347</v>
      </c>
      <c r="L22" s="95">
        <f>E22*G22</f>
        <v>0</v>
      </c>
      <c r="M22" s="45" t="s">
        <v>82</v>
      </c>
      <c r="O22" s="7">
        <f t="shared" si="2"/>
        <v>2542231.5652216347</v>
      </c>
    </row>
    <row r="23" spans="1:15" ht="38.25" customHeight="1" x14ac:dyDescent="0.25">
      <c r="A23" s="91" t="s">
        <v>100</v>
      </c>
      <c r="B23" s="91" t="s">
        <v>16</v>
      </c>
      <c r="C23" s="14">
        <v>0.6110768124851228</v>
      </c>
      <c r="D23" s="92" t="s">
        <v>87</v>
      </c>
      <c r="E23" s="53"/>
      <c r="F23" s="42" t="s">
        <v>87</v>
      </c>
      <c r="G23" s="138">
        <v>268219</v>
      </c>
      <c r="H23" s="93" t="s">
        <v>89</v>
      </c>
      <c r="I23" s="6"/>
      <c r="J23" s="100"/>
      <c r="K23" s="94">
        <f>C23*G23</f>
        <v>163902.41156794716</v>
      </c>
      <c r="L23" s="95">
        <f>E23*G23</f>
        <v>0</v>
      </c>
      <c r="M23" s="45" t="s">
        <v>82</v>
      </c>
      <c r="O23" s="7">
        <f t="shared" si="2"/>
        <v>163902.41156794716</v>
      </c>
    </row>
    <row r="24" spans="1:15" ht="38.25" customHeight="1" x14ac:dyDescent="0.25">
      <c r="A24" s="91" t="s">
        <v>101</v>
      </c>
      <c r="B24" s="91" t="s">
        <v>102</v>
      </c>
      <c r="C24" s="14">
        <v>1920.6131157811997</v>
      </c>
      <c r="D24" s="92" t="s">
        <v>21</v>
      </c>
      <c r="E24" s="53"/>
      <c r="F24" s="42" t="s">
        <v>21</v>
      </c>
      <c r="G24" s="138">
        <v>73</v>
      </c>
      <c r="H24" s="93" t="s">
        <v>83</v>
      </c>
      <c r="I24" s="6"/>
      <c r="J24" s="100"/>
      <c r="K24" s="94">
        <f>C24*G24</f>
        <v>140204.75745202758</v>
      </c>
      <c r="L24" s="95">
        <f>E24*G24</f>
        <v>0</v>
      </c>
      <c r="M24" s="45" t="s">
        <v>82</v>
      </c>
      <c r="O24" s="7">
        <f t="shared" si="2"/>
        <v>140204.75745202758</v>
      </c>
    </row>
    <row r="25" spans="1:15" ht="38.25" customHeight="1" x14ac:dyDescent="0.25">
      <c r="A25" s="91" t="s">
        <v>104</v>
      </c>
      <c r="B25" s="91" t="s">
        <v>103</v>
      </c>
      <c r="C25" s="14">
        <v>2.5642171822259212</v>
      </c>
      <c r="D25" s="92" t="s">
        <v>21</v>
      </c>
      <c r="E25" s="53"/>
      <c r="F25" s="42" t="s">
        <v>21</v>
      </c>
      <c r="G25" s="138">
        <v>65299</v>
      </c>
      <c r="H25" s="93" t="s">
        <v>83</v>
      </c>
      <c r="I25" s="6"/>
      <c r="J25" s="100"/>
      <c r="K25" s="94">
        <f>C25*G25</f>
        <v>167440.81778217043</v>
      </c>
      <c r="L25" s="95">
        <f>E25*G25</f>
        <v>0</v>
      </c>
      <c r="M25" s="45" t="s">
        <v>82</v>
      </c>
      <c r="O25" s="7">
        <f t="shared" si="2"/>
        <v>167440.81778217043</v>
      </c>
    </row>
    <row r="26" spans="1:15" ht="47.25" x14ac:dyDescent="0.25">
      <c r="A26" s="96" t="s">
        <v>17</v>
      </c>
      <c r="B26" s="96" t="s">
        <v>18</v>
      </c>
      <c r="C26" s="4"/>
      <c r="D26" s="97"/>
      <c r="E26" s="10"/>
      <c r="F26" s="49"/>
      <c r="G26" s="4"/>
      <c r="H26" s="98"/>
      <c r="I26" s="5"/>
      <c r="J26" s="98"/>
      <c r="K26" s="87"/>
      <c r="L26" s="99"/>
      <c r="M26" s="51"/>
    </row>
    <row r="27" spans="1:15" ht="38.25" customHeight="1" x14ac:dyDescent="0.25">
      <c r="A27" s="91" t="s">
        <v>55</v>
      </c>
      <c r="B27" s="91" t="s">
        <v>19</v>
      </c>
      <c r="C27" s="14">
        <v>1.4505808270340399</v>
      </c>
      <c r="D27" s="92" t="s">
        <v>87</v>
      </c>
      <c r="E27" s="53"/>
      <c r="F27" s="42" t="s">
        <v>87</v>
      </c>
      <c r="G27" s="138">
        <v>380932</v>
      </c>
      <c r="H27" s="93" t="s">
        <v>89</v>
      </c>
      <c r="I27" s="6"/>
      <c r="J27" s="100"/>
      <c r="K27" s="94">
        <f>C27*G27</f>
        <v>552572.65560373093</v>
      </c>
      <c r="L27" s="95">
        <f>E27*G27</f>
        <v>0</v>
      </c>
      <c r="M27" s="45" t="s">
        <v>82</v>
      </c>
      <c r="O27" s="7">
        <f t="shared" ref="O27:O28" si="3">C27*G27</f>
        <v>552572.65560373093</v>
      </c>
    </row>
    <row r="28" spans="1:15" ht="38.25" customHeight="1" x14ac:dyDescent="0.25">
      <c r="A28" s="91" t="s">
        <v>56</v>
      </c>
      <c r="B28" s="91" t="s">
        <v>20</v>
      </c>
      <c r="C28" s="14">
        <v>196.41391881978004</v>
      </c>
      <c r="D28" s="92" t="s">
        <v>21</v>
      </c>
      <c r="E28" s="53"/>
      <c r="F28" s="42" t="s">
        <v>21</v>
      </c>
      <c r="G28" s="138">
        <v>349</v>
      </c>
      <c r="H28" s="93" t="s">
        <v>83</v>
      </c>
      <c r="I28" s="6"/>
      <c r="J28" s="100"/>
      <c r="K28" s="94">
        <f>C28*G28</f>
        <v>68548.457668103234</v>
      </c>
      <c r="L28" s="95">
        <f>E28*G28</f>
        <v>0</v>
      </c>
      <c r="M28" s="45" t="s">
        <v>82</v>
      </c>
      <c r="O28" s="7">
        <f t="shared" si="3"/>
        <v>68548.457668103234</v>
      </c>
    </row>
    <row r="29" spans="1:15" ht="38.25" customHeight="1" x14ac:dyDescent="0.25">
      <c r="A29" s="96" t="s">
        <v>22</v>
      </c>
      <c r="B29" s="96" t="s">
        <v>23</v>
      </c>
      <c r="C29" s="4"/>
      <c r="D29" s="97"/>
      <c r="E29" s="10"/>
      <c r="F29" s="49"/>
      <c r="G29" s="4"/>
      <c r="H29" s="98"/>
      <c r="I29" s="5"/>
      <c r="J29" s="98"/>
      <c r="K29" s="87"/>
      <c r="L29" s="99"/>
      <c r="M29" s="51"/>
    </row>
    <row r="30" spans="1:15" ht="38.25" customHeight="1" x14ac:dyDescent="0.25">
      <c r="A30" s="91" t="s">
        <v>57</v>
      </c>
      <c r="B30" s="91" t="s">
        <v>78</v>
      </c>
      <c r="C30" s="14">
        <v>0.46946070402192563</v>
      </c>
      <c r="D30" s="92" t="s">
        <v>87</v>
      </c>
      <c r="E30" s="53"/>
      <c r="F30" s="42" t="s">
        <v>87</v>
      </c>
      <c r="G30" s="138">
        <v>0</v>
      </c>
      <c r="H30" s="93" t="s">
        <v>89</v>
      </c>
      <c r="I30" s="6"/>
      <c r="J30" s="100"/>
      <c r="K30" s="94">
        <f>C30*G30</f>
        <v>0</v>
      </c>
      <c r="L30" s="95">
        <f>E30*G30</f>
        <v>0</v>
      </c>
      <c r="M30" s="45" t="s">
        <v>82</v>
      </c>
      <c r="O30" s="7">
        <f t="shared" ref="O30:O31" si="4">C30*G30</f>
        <v>0</v>
      </c>
    </row>
    <row r="31" spans="1:15" ht="38.25" customHeight="1" x14ac:dyDescent="0.25">
      <c r="A31" s="91" t="s">
        <v>58</v>
      </c>
      <c r="B31" s="91" t="s">
        <v>24</v>
      </c>
      <c r="C31" s="14">
        <v>5.6388032876341407</v>
      </c>
      <c r="D31" s="92" t="s">
        <v>87</v>
      </c>
      <c r="E31" s="53"/>
      <c r="F31" s="42" t="s">
        <v>87</v>
      </c>
      <c r="G31" s="138">
        <v>400</v>
      </c>
      <c r="H31" s="93" t="s">
        <v>89</v>
      </c>
      <c r="I31" s="6"/>
      <c r="J31" s="100"/>
      <c r="K31" s="94">
        <f>C31*G31</f>
        <v>2255.5213150536565</v>
      </c>
      <c r="L31" s="95">
        <f>E31*G31</f>
        <v>0</v>
      </c>
      <c r="M31" s="45" t="s">
        <v>82</v>
      </c>
      <c r="O31" s="7">
        <f t="shared" si="4"/>
        <v>2255.5213150536565</v>
      </c>
    </row>
    <row r="32" spans="1:15" ht="47.25" x14ac:dyDescent="0.25">
      <c r="A32" s="96" t="s">
        <v>25</v>
      </c>
      <c r="B32" s="96" t="s">
        <v>26</v>
      </c>
      <c r="C32" s="4"/>
      <c r="D32" s="97"/>
      <c r="E32" s="10"/>
      <c r="F32" s="49"/>
      <c r="G32" s="4"/>
      <c r="H32" s="98"/>
      <c r="I32" s="5"/>
      <c r="J32" s="98"/>
      <c r="K32" s="87"/>
      <c r="L32" s="99"/>
      <c r="M32" s="51"/>
    </row>
    <row r="33" spans="1:15" ht="38.25" customHeight="1" x14ac:dyDescent="0.25">
      <c r="A33" s="91" t="s">
        <v>59</v>
      </c>
      <c r="B33" s="91" t="s">
        <v>27</v>
      </c>
      <c r="C33" s="14">
        <v>851.68083968633869</v>
      </c>
      <c r="D33" s="92" t="s">
        <v>21</v>
      </c>
      <c r="E33" s="53"/>
      <c r="F33" s="42" t="s">
        <v>21</v>
      </c>
      <c r="G33" s="138">
        <v>110</v>
      </c>
      <c r="H33" s="93" t="s">
        <v>83</v>
      </c>
      <c r="I33" s="6"/>
      <c r="J33" s="100"/>
      <c r="K33" s="94">
        <f>C33*G33</f>
        <v>93684.89236549726</v>
      </c>
      <c r="L33" s="95">
        <f>E33*G33</f>
        <v>0</v>
      </c>
      <c r="M33" s="45" t="s">
        <v>82</v>
      </c>
      <c r="O33" s="7">
        <f t="shared" ref="O33:O36" si="5">C33*G33</f>
        <v>93684.89236549726</v>
      </c>
    </row>
    <row r="34" spans="1:15" ht="38.25" customHeight="1" x14ac:dyDescent="0.25">
      <c r="A34" s="91" t="s">
        <v>60</v>
      </c>
      <c r="B34" s="91" t="s">
        <v>28</v>
      </c>
      <c r="C34" s="14">
        <v>1237.055329294629</v>
      </c>
      <c r="D34" s="92" t="s">
        <v>21</v>
      </c>
      <c r="E34" s="53"/>
      <c r="F34" s="42" t="s">
        <v>21</v>
      </c>
      <c r="G34" s="138">
        <v>60</v>
      </c>
      <c r="H34" s="93" t="s">
        <v>83</v>
      </c>
      <c r="I34" s="6"/>
      <c r="J34" s="100"/>
      <c r="K34" s="94">
        <f>C34*G34</f>
        <v>74223.319757677746</v>
      </c>
      <c r="L34" s="95">
        <f>E34*G34</f>
        <v>0</v>
      </c>
      <c r="M34" s="45" t="s">
        <v>82</v>
      </c>
      <c r="O34" s="7">
        <f t="shared" si="5"/>
        <v>74223.319757677746</v>
      </c>
    </row>
    <row r="35" spans="1:15" ht="38.25" customHeight="1" x14ac:dyDescent="0.25">
      <c r="A35" s="91" t="s">
        <v>61</v>
      </c>
      <c r="B35" s="91" t="s">
        <v>29</v>
      </c>
      <c r="C35" s="14">
        <v>341.9994854602873</v>
      </c>
      <c r="D35" s="92" t="s">
        <v>21</v>
      </c>
      <c r="E35" s="53"/>
      <c r="F35" s="42" t="s">
        <v>21</v>
      </c>
      <c r="G35" s="138">
        <v>1</v>
      </c>
      <c r="H35" s="93" t="s">
        <v>83</v>
      </c>
      <c r="I35" s="6"/>
      <c r="J35" s="100"/>
      <c r="K35" s="94">
        <f>C35*G35</f>
        <v>341.9994854602873</v>
      </c>
      <c r="L35" s="95">
        <f>E35*G35</f>
        <v>0</v>
      </c>
      <c r="M35" s="45" t="s">
        <v>82</v>
      </c>
      <c r="O35" s="7">
        <f t="shared" si="5"/>
        <v>341.9994854602873</v>
      </c>
    </row>
    <row r="36" spans="1:15" ht="38.25" customHeight="1" x14ac:dyDescent="0.25">
      <c r="A36" s="91" t="s">
        <v>62</v>
      </c>
      <c r="B36" s="91" t="s">
        <v>30</v>
      </c>
      <c r="C36" s="14">
        <v>1091.7493291407866</v>
      </c>
      <c r="D36" s="92" t="s">
        <v>21</v>
      </c>
      <c r="E36" s="53"/>
      <c r="F36" s="42" t="s">
        <v>21</v>
      </c>
      <c r="G36" s="138">
        <v>4</v>
      </c>
      <c r="H36" s="93" t="s">
        <v>83</v>
      </c>
      <c r="I36" s="6"/>
      <c r="J36" s="100"/>
      <c r="K36" s="94">
        <f>C36*G36</f>
        <v>4366.9973165631463</v>
      </c>
      <c r="L36" s="95">
        <f>E36*G36</f>
        <v>0</v>
      </c>
      <c r="M36" s="45" t="s">
        <v>82</v>
      </c>
      <c r="O36" s="7">
        <f t="shared" si="5"/>
        <v>4366.9973165631463</v>
      </c>
    </row>
    <row r="37" spans="1:15" ht="38.25" customHeight="1" x14ac:dyDescent="0.25">
      <c r="A37" s="96" t="s">
        <v>31</v>
      </c>
      <c r="B37" s="96" t="s">
        <v>32</v>
      </c>
      <c r="C37" s="4"/>
      <c r="D37" s="97"/>
      <c r="E37" s="10"/>
      <c r="F37" s="49"/>
      <c r="G37" s="4"/>
      <c r="H37" s="98"/>
      <c r="I37" s="5"/>
      <c r="J37" s="98"/>
      <c r="K37" s="87"/>
      <c r="L37" s="99"/>
      <c r="M37" s="51"/>
    </row>
    <row r="38" spans="1:15" ht="38.25" customHeight="1" x14ac:dyDescent="0.25">
      <c r="A38" s="91" t="s">
        <v>63</v>
      </c>
      <c r="B38" s="91" t="s">
        <v>33</v>
      </c>
      <c r="C38" s="14">
        <v>370.78428390801372</v>
      </c>
      <c r="D38" s="92" t="s">
        <v>21</v>
      </c>
      <c r="E38" s="53"/>
      <c r="F38" s="42" t="s">
        <v>21</v>
      </c>
      <c r="G38" s="138">
        <v>392</v>
      </c>
      <c r="H38" s="93" t="s">
        <v>83</v>
      </c>
      <c r="I38" s="6"/>
      <c r="J38" s="100"/>
      <c r="K38" s="94">
        <f t="shared" ref="K38:K49" si="6">C38*G38</f>
        <v>145347.43929194138</v>
      </c>
      <c r="L38" s="95">
        <f t="shared" ref="L38:L49" si="7">E38*G38</f>
        <v>0</v>
      </c>
      <c r="M38" s="45" t="s">
        <v>82</v>
      </c>
      <c r="O38" s="7">
        <f t="shared" ref="O38:O49" si="8">C38*G38</f>
        <v>145347.43929194138</v>
      </c>
    </row>
    <row r="39" spans="1:15" ht="38.25" customHeight="1" x14ac:dyDescent="0.25">
      <c r="A39" s="91" t="s">
        <v>64</v>
      </c>
      <c r="B39" s="91" t="s">
        <v>34</v>
      </c>
      <c r="C39" s="14">
        <v>0.44308650716676129</v>
      </c>
      <c r="D39" s="92" t="s">
        <v>87</v>
      </c>
      <c r="E39" s="53"/>
      <c r="F39" s="42" t="s">
        <v>87</v>
      </c>
      <c r="G39" s="138">
        <v>136041</v>
      </c>
      <c r="H39" s="93" t="s">
        <v>89</v>
      </c>
      <c r="I39" s="6"/>
      <c r="J39" s="100"/>
      <c r="K39" s="94">
        <f t="shared" si="6"/>
        <v>60277.931521473372</v>
      </c>
      <c r="L39" s="95">
        <f t="shared" si="7"/>
        <v>0</v>
      </c>
      <c r="M39" s="45" t="s">
        <v>82</v>
      </c>
      <c r="O39" s="7">
        <f t="shared" si="8"/>
        <v>60277.931521473372</v>
      </c>
    </row>
    <row r="40" spans="1:15" ht="38.25" customHeight="1" x14ac:dyDescent="0.25">
      <c r="A40" s="91" t="s">
        <v>65</v>
      </c>
      <c r="B40" s="91" t="s">
        <v>35</v>
      </c>
      <c r="C40" s="14">
        <v>0.6962787969763391</v>
      </c>
      <c r="D40" s="92" t="s">
        <v>87</v>
      </c>
      <c r="E40" s="53"/>
      <c r="F40" s="42" t="s">
        <v>87</v>
      </c>
      <c r="G40" s="138">
        <v>21740</v>
      </c>
      <c r="H40" s="93" t="s">
        <v>89</v>
      </c>
      <c r="I40" s="6"/>
      <c r="J40" s="100"/>
      <c r="K40" s="94">
        <f t="shared" si="6"/>
        <v>15137.101046265612</v>
      </c>
      <c r="L40" s="95">
        <f t="shared" si="7"/>
        <v>0</v>
      </c>
      <c r="M40" s="45" t="s">
        <v>82</v>
      </c>
      <c r="O40" s="7">
        <f t="shared" si="8"/>
        <v>15137.101046265612</v>
      </c>
    </row>
    <row r="41" spans="1:15" ht="38.25" customHeight="1" x14ac:dyDescent="0.25">
      <c r="A41" s="91" t="s">
        <v>66</v>
      </c>
      <c r="B41" s="91" t="s">
        <v>36</v>
      </c>
      <c r="C41" s="14">
        <v>158.69354247752398</v>
      </c>
      <c r="D41" s="92" t="s">
        <v>21</v>
      </c>
      <c r="E41" s="53"/>
      <c r="F41" s="42" t="s">
        <v>21</v>
      </c>
      <c r="G41" s="138">
        <v>9</v>
      </c>
      <c r="H41" s="93" t="s">
        <v>83</v>
      </c>
      <c r="I41" s="6"/>
      <c r="J41" s="100"/>
      <c r="K41" s="94">
        <f t="shared" si="6"/>
        <v>1428.2418822977158</v>
      </c>
      <c r="L41" s="95">
        <f t="shared" si="7"/>
        <v>0</v>
      </c>
      <c r="M41" s="45" t="s">
        <v>82</v>
      </c>
      <c r="O41" s="7">
        <f t="shared" si="8"/>
        <v>1428.2418822977158</v>
      </c>
    </row>
    <row r="42" spans="1:15" ht="38.25" customHeight="1" x14ac:dyDescent="0.25">
      <c r="A42" s="91" t="s">
        <v>67</v>
      </c>
      <c r="B42" s="91" t="s">
        <v>37</v>
      </c>
      <c r="C42" s="14">
        <v>5744.7273370438525</v>
      </c>
      <c r="D42" s="92" t="s">
        <v>21</v>
      </c>
      <c r="E42" s="53"/>
      <c r="F42" s="42" t="s">
        <v>21</v>
      </c>
      <c r="G42" s="138">
        <v>5</v>
      </c>
      <c r="H42" s="93" t="s">
        <v>83</v>
      </c>
      <c r="I42" s="6"/>
      <c r="J42" s="100"/>
      <c r="K42" s="94">
        <f t="shared" si="6"/>
        <v>28723.636685219262</v>
      </c>
      <c r="L42" s="95">
        <f t="shared" si="7"/>
        <v>0</v>
      </c>
      <c r="M42" s="45" t="s">
        <v>82</v>
      </c>
      <c r="O42" s="7">
        <f t="shared" si="8"/>
        <v>28723.636685219262</v>
      </c>
    </row>
    <row r="43" spans="1:15" ht="38.25" customHeight="1" x14ac:dyDescent="0.25">
      <c r="A43" s="91" t="s">
        <v>68</v>
      </c>
      <c r="B43" s="91" t="s">
        <v>38</v>
      </c>
      <c r="C43" s="14">
        <v>170.98919305140157</v>
      </c>
      <c r="D43" s="92" t="s">
        <v>21</v>
      </c>
      <c r="E43" s="53"/>
      <c r="F43" s="42" t="s">
        <v>21</v>
      </c>
      <c r="G43" s="138">
        <v>3</v>
      </c>
      <c r="H43" s="93" t="s">
        <v>83</v>
      </c>
      <c r="I43" s="6"/>
      <c r="J43" s="100"/>
      <c r="K43" s="94">
        <f t="shared" si="6"/>
        <v>512.96757915420471</v>
      </c>
      <c r="L43" s="95">
        <f t="shared" si="7"/>
        <v>0</v>
      </c>
      <c r="M43" s="45" t="s">
        <v>82</v>
      </c>
      <c r="O43" s="7">
        <f t="shared" si="8"/>
        <v>512.96757915420471</v>
      </c>
    </row>
    <row r="44" spans="1:15" ht="38.25" customHeight="1" x14ac:dyDescent="0.25">
      <c r="A44" s="91" t="s">
        <v>69</v>
      </c>
      <c r="B44" s="91" t="s">
        <v>39</v>
      </c>
      <c r="C44" s="14">
        <v>1136.727884457584</v>
      </c>
      <c r="D44" s="92" t="s">
        <v>21</v>
      </c>
      <c r="E44" s="53"/>
      <c r="F44" s="42" t="s">
        <v>21</v>
      </c>
      <c r="G44" s="138">
        <v>3</v>
      </c>
      <c r="H44" s="93" t="s">
        <v>83</v>
      </c>
      <c r="I44" s="6"/>
      <c r="J44" s="100"/>
      <c r="K44" s="94">
        <f t="shared" si="6"/>
        <v>3410.1836533727519</v>
      </c>
      <c r="L44" s="95">
        <f t="shared" si="7"/>
        <v>0</v>
      </c>
      <c r="M44" s="45" t="s">
        <v>82</v>
      </c>
      <c r="O44" s="7">
        <f t="shared" si="8"/>
        <v>3410.1836533727519</v>
      </c>
    </row>
    <row r="45" spans="1:15" ht="38.25" customHeight="1" x14ac:dyDescent="0.25">
      <c r="A45" s="91" t="s">
        <v>70</v>
      </c>
      <c r="B45" s="91" t="s">
        <v>40</v>
      </c>
      <c r="C45" s="14">
        <v>114.34796788525061</v>
      </c>
      <c r="D45" s="92" t="s">
        <v>21</v>
      </c>
      <c r="E45" s="53"/>
      <c r="F45" s="42" t="s">
        <v>21</v>
      </c>
      <c r="G45" s="138">
        <v>504</v>
      </c>
      <c r="H45" s="93" t="s">
        <v>83</v>
      </c>
      <c r="I45" s="6"/>
      <c r="J45" s="100"/>
      <c r="K45" s="94">
        <f t="shared" si="6"/>
        <v>57631.375814166306</v>
      </c>
      <c r="L45" s="95">
        <f t="shared" si="7"/>
        <v>0</v>
      </c>
      <c r="M45" s="45" t="s">
        <v>82</v>
      </c>
      <c r="O45" s="7">
        <f t="shared" si="8"/>
        <v>57631.375814166306</v>
      </c>
    </row>
    <row r="46" spans="1:15" ht="38.25" customHeight="1" x14ac:dyDescent="0.25">
      <c r="A46" s="91" t="s">
        <v>71</v>
      </c>
      <c r="B46" s="91" t="s">
        <v>41</v>
      </c>
      <c r="C46" s="14">
        <v>361.84870601348399</v>
      </c>
      <c r="D46" s="92" t="s">
        <v>21</v>
      </c>
      <c r="E46" s="53"/>
      <c r="F46" s="42" t="s">
        <v>21</v>
      </c>
      <c r="G46" s="138">
        <v>55</v>
      </c>
      <c r="H46" s="93" t="s">
        <v>83</v>
      </c>
      <c r="I46" s="6"/>
      <c r="J46" s="100"/>
      <c r="K46" s="94">
        <f t="shared" si="6"/>
        <v>19901.678830741621</v>
      </c>
      <c r="L46" s="95">
        <f t="shared" si="7"/>
        <v>0</v>
      </c>
      <c r="M46" s="45" t="s">
        <v>82</v>
      </c>
      <c r="O46" s="7">
        <f t="shared" si="8"/>
        <v>19901.678830741621</v>
      </c>
    </row>
    <row r="47" spans="1:15" ht="38.25" customHeight="1" x14ac:dyDescent="0.25">
      <c r="A47" s="91" t="s">
        <v>72</v>
      </c>
      <c r="B47" s="91" t="s">
        <v>42</v>
      </c>
      <c r="C47" s="14">
        <v>1682.9375013280378</v>
      </c>
      <c r="D47" s="92" t="s">
        <v>21</v>
      </c>
      <c r="E47" s="53"/>
      <c r="F47" s="42" t="s">
        <v>21</v>
      </c>
      <c r="G47" s="138">
        <v>2</v>
      </c>
      <c r="H47" s="93" t="s">
        <v>83</v>
      </c>
      <c r="I47" s="6"/>
      <c r="J47" s="100"/>
      <c r="K47" s="94">
        <f t="shared" si="6"/>
        <v>3365.8750026560756</v>
      </c>
      <c r="L47" s="95">
        <f t="shared" si="7"/>
        <v>0</v>
      </c>
      <c r="M47" s="45" t="s">
        <v>82</v>
      </c>
      <c r="O47" s="7">
        <f t="shared" si="8"/>
        <v>3365.8750026560756</v>
      </c>
    </row>
    <row r="48" spans="1:15" ht="38.25" customHeight="1" x14ac:dyDescent="0.25">
      <c r="A48" s="91" t="s">
        <v>73</v>
      </c>
      <c r="B48" s="91" t="s">
        <v>43</v>
      </c>
      <c r="C48" s="14">
        <v>411.55351740672677</v>
      </c>
      <c r="D48" s="92" t="s">
        <v>21</v>
      </c>
      <c r="E48" s="53"/>
      <c r="F48" s="42" t="s">
        <v>21</v>
      </c>
      <c r="G48" s="138">
        <v>106</v>
      </c>
      <c r="H48" s="93" t="s">
        <v>83</v>
      </c>
      <c r="I48" s="6"/>
      <c r="J48" s="100"/>
      <c r="K48" s="94">
        <f t="shared" si="6"/>
        <v>43624.67284511304</v>
      </c>
      <c r="L48" s="95">
        <f t="shared" si="7"/>
        <v>0</v>
      </c>
      <c r="M48" s="45" t="s">
        <v>82</v>
      </c>
      <c r="O48" s="7">
        <f t="shared" si="8"/>
        <v>43624.67284511304</v>
      </c>
    </row>
    <row r="49" spans="1:18" ht="38.25" customHeight="1" x14ac:dyDescent="0.25">
      <c r="A49" s="91" t="s">
        <v>74</v>
      </c>
      <c r="B49" s="91" t="s">
        <v>44</v>
      </c>
      <c r="C49" s="14">
        <v>31.227049076514604</v>
      </c>
      <c r="D49" s="92" t="s">
        <v>21</v>
      </c>
      <c r="E49" s="53"/>
      <c r="F49" s="42" t="s">
        <v>21</v>
      </c>
      <c r="G49" s="138"/>
      <c r="H49" s="93" t="s">
        <v>83</v>
      </c>
      <c r="I49" s="6"/>
      <c r="J49" s="100"/>
      <c r="K49" s="94">
        <f t="shared" si="6"/>
        <v>0</v>
      </c>
      <c r="L49" s="95">
        <f t="shared" si="7"/>
        <v>0</v>
      </c>
      <c r="M49" s="45" t="s">
        <v>82</v>
      </c>
      <c r="O49" s="7">
        <f t="shared" si="8"/>
        <v>0</v>
      </c>
    </row>
    <row r="50" spans="1:18" ht="38.25" customHeight="1" x14ac:dyDescent="0.25">
      <c r="A50" s="96" t="s">
        <v>96</v>
      </c>
      <c r="B50" s="96" t="s">
        <v>99</v>
      </c>
      <c r="C50" s="4"/>
      <c r="D50" s="97"/>
      <c r="E50" s="10"/>
      <c r="F50" s="49"/>
      <c r="G50" s="4"/>
      <c r="H50" s="98"/>
      <c r="I50" s="5"/>
      <c r="J50" s="98"/>
      <c r="K50" s="87"/>
      <c r="L50" s="99"/>
      <c r="M50" s="51"/>
    </row>
    <row r="51" spans="1:18" ht="38.25" customHeight="1" x14ac:dyDescent="0.25">
      <c r="A51" s="91" t="s">
        <v>97</v>
      </c>
      <c r="B51" s="91" t="s">
        <v>80</v>
      </c>
      <c r="C51" s="14">
        <v>66768.119526270457</v>
      </c>
      <c r="D51" s="92" t="s">
        <v>81</v>
      </c>
      <c r="E51" s="53"/>
      <c r="F51" s="42" t="s">
        <v>81</v>
      </c>
      <c r="G51" s="138">
        <v>10</v>
      </c>
      <c r="H51" s="93" t="s">
        <v>81</v>
      </c>
      <c r="I51" s="6"/>
      <c r="J51" s="100"/>
      <c r="K51" s="94">
        <f>C51*G51</f>
        <v>667681.19526270451</v>
      </c>
      <c r="L51" s="95">
        <f>E51*G51</f>
        <v>0</v>
      </c>
      <c r="M51" s="45" t="s">
        <v>82</v>
      </c>
      <c r="O51" s="7">
        <f t="shared" ref="O51:O52" si="9">C51*G51</f>
        <v>667681.19526270451</v>
      </c>
    </row>
    <row r="52" spans="1:18" ht="38.25" customHeight="1" x14ac:dyDescent="0.25">
      <c r="A52" s="91" t="s">
        <v>98</v>
      </c>
      <c r="B52" s="91" t="s">
        <v>106</v>
      </c>
      <c r="C52" s="14">
        <v>107787.58410852712</v>
      </c>
      <c r="D52" s="92" t="s">
        <v>81</v>
      </c>
      <c r="E52" s="53"/>
      <c r="F52" s="42" t="s">
        <v>81</v>
      </c>
      <c r="G52" s="138">
        <v>20</v>
      </c>
      <c r="H52" s="93" t="s">
        <v>81</v>
      </c>
      <c r="I52" s="6"/>
      <c r="J52" s="100"/>
      <c r="K52" s="94">
        <f>C52*G52</f>
        <v>2155751.6821705424</v>
      </c>
      <c r="L52" s="95">
        <f>E52*G52</f>
        <v>0</v>
      </c>
      <c r="M52" s="45" t="s">
        <v>82</v>
      </c>
      <c r="O52" s="7">
        <f t="shared" si="9"/>
        <v>2155751.6821705424</v>
      </c>
    </row>
    <row r="53" spans="1:18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8"/>
    </row>
    <row r="54" spans="1:18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8"/>
    </row>
    <row r="55" spans="1:18" x14ac:dyDescent="0.25">
      <c r="B55" s="64" t="s">
        <v>93</v>
      </c>
    </row>
    <row r="56" spans="1:18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47">
        <f>SUM(O9:O52)</f>
        <v>21237767.931644492</v>
      </c>
      <c r="M56" s="45" t="s">
        <v>82</v>
      </c>
    </row>
    <row r="57" spans="1:18" x14ac:dyDescent="0.25">
      <c r="K57" s="11"/>
    </row>
    <row r="58" spans="1:18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8" ht="15.75" x14ac:dyDescent="0.25">
      <c r="N59" s="85"/>
    </row>
    <row r="60" spans="1:18" ht="36.75" customHeight="1" x14ac:dyDescent="0.25">
      <c r="A60" s="66"/>
      <c r="C60" s="11"/>
      <c r="E60" s="11"/>
      <c r="F60" s="11"/>
      <c r="G60" s="11"/>
      <c r="H60" s="11"/>
      <c r="I60" s="11"/>
      <c r="J60" s="65" t="s">
        <v>114</v>
      </c>
      <c r="K60" s="11"/>
      <c r="L60" s="47">
        <f>(1-L58/L56)*100</f>
        <v>100</v>
      </c>
      <c r="M60" s="45" t="s">
        <v>91</v>
      </c>
      <c r="N60" s="86" t="s">
        <v>119</v>
      </c>
    </row>
    <row r="61" spans="1:18" ht="15.75" x14ac:dyDescent="0.25">
      <c r="N61" s="85"/>
    </row>
    <row r="62" spans="1:18" s="17" customFormat="1" ht="60" customHeight="1" x14ac:dyDescent="0.25">
      <c r="A62" s="66"/>
      <c r="B62" s="162" t="s">
        <v>118</v>
      </c>
      <c r="C62" s="162"/>
      <c r="D62" s="162"/>
      <c r="E62" s="162"/>
      <c r="F62" s="162"/>
      <c r="G62" s="162"/>
      <c r="H62" s="162"/>
      <c r="I62" s="162"/>
      <c r="J62" s="19"/>
      <c r="K62" s="19"/>
      <c r="L62" s="1"/>
      <c r="M62" s="45" t="s">
        <v>91</v>
      </c>
      <c r="N62" s="86" t="s">
        <v>120</v>
      </c>
      <c r="O62" s="82"/>
      <c r="P62" s="81"/>
      <c r="Q62" s="81"/>
      <c r="R62" s="81"/>
    </row>
    <row r="63" spans="1:18" ht="15.75" x14ac:dyDescent="0.25">
      <c r="A63" s="67"/>
      <c r="B63" s="68"/>
      <c r="N63" s="85"/>
    </row>
    <row r="64" spans="1:18" ht="15.75" x14ac:dyDescent="0.25">
      <c r="A64" s="67"/>
    </row>
    <row r="65" spans="1:1" ht="15.75" x14ac:dyDescent="0.25">
      <c r="A65" s="67"/>
    </row>
  </sheetData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2:I62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13</vt:i4>
      </vt:variant>
    </vt:vector>
  </HeadingPairs>
  <TitlesOfParts>
    <vt:vector size="20" baseType="lpstr">
      <vt:lpstr>Intestazione</vt:lpstr>
      <vt:lpstr>Offerta Lotto 1</vt:lpstr>
      <vt:lpstr>Offerta Lotto 2</vt:lpstr>
      <vt:lpstr>Offerta Lotto 3</vt:lpstr>
      <vt:lpstr>Offerta Lotto 4</vt:lpstr>
      <vt:lpstr>Offerta Lotto 5</vt:lpstr>
      <vt:lpstr>Offerta Lotto 6</vt:lpstr>
      <vt:lpstr>Intestazione!Area_stampa</vt:lpstr>
      <vt:lpstr>'Offerta Lotto 1'!Area_stampa</vt:lpstr>
      <vt:lpstr>'Offerta Lotto 2'!Area_stampa</vt:lpstr>
      <vt:lpstr>'Offerta Lotto 3'!Area_stampa</vt:lpstr>
      <vt:lpstr>'Offerta Lotto 4'!Area_stampa</vt:lpstr>
      <vt:lpstr>'Offerta Lotto 5'!Area_stampa</vt:lpstr>
      <vt:lpstr>'Offerta Lotto 6'!Area_stampa</vt:lpstr>
      <vt:lpstr>'Offerta Lotto 1'!Titoli_stampa</vt:lpstr>
      <vt:lpstr>'Offerta Lotto 2'!Titoli_stampa</vt:lpstr>
      <vt:lpstr>'Offerta Lotto 3'!Titoli_stampa</vt:lpstr>
      <vt:lpstr>'Offerta Lotto 4'!Titoli_stampa</vt:lpstr>
      <vt:lpstr>'Offerta Lotto 5'!Titoli_stampa</vt:lpstr>
      <vt:lpstr>'Offerta Lotto 6'!Titoli_stampa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RveAdmin</dc:creator>
  <cp:lastModifiedBy>Stefano Peripoli</cp:lastModifiedBy>
  <cp:lastPrinted>2024-06-06T13:00:50Z</cp:lastPrinted>
  <dcterms:created xsi:type="dcterms:W3CDTF">2018-06-26T13:13:47Z</dcterms:created>
  <dcterms:modified xsi:type="dcterms:W3CDTF">2024-06-10T09:06:30Z</dcterms:modified>
</cp:coreProperties>
</file>