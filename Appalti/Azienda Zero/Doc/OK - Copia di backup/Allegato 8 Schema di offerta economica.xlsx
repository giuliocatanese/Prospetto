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wpnaspg01\CRAS\GARE\2023.026 - APPALTO CALORE 2 (GE.V.E.)\2-GARA\7 - Indizione procedura\File Sintel GVE\"/>
    </mc:Choice>
  </mc:AlternateContent>
  <bookViews>
    <workbookView xWindow="10185" yWindow="225" windowWidth="10230" windowHeight="7935" firstSheet="2" activeTab="6"/>
  </bookViews>
  <sheets>
    <sheet name="Intestazione" sheetId="7" r:id="rId1"/>
    <sheet name="Offerta Lotto 1" sheetId="13" r:id="rId2"/>
    <sheet name="Offerta Lotto 2" sheetId="3" r:id="rId3"/>
    <sheet name="Offerta Lotto 3" sheetId="4" r:id="rId4"/>
    <sheet name="Offerta Lotto 4" sheetId="9" r:id="rId5"/>
    <sheet name="Offerta Lotto 5" sheetId="10" r:id="rId6"/>
    <sheet name="Offerta Lotto 6" sheetId="12" r:id="rId7"/>
  </sheets>
  <definedNames>
    <definedName name="_xlnm.Print_Area" localSheetId="0">Intestazione!$A$1:$G$12</definedName>
    <definedName name="_xlnm.Print_Area" localSheetId="1">'Offerta Lotto 1'!$A$1:$P$66</definedName>
    <definedName name="_xlnm.Print_Area" localSheetId="2">'Offerta Lotto 2'!$A$1:$P$64</definedName>
    <definedName name="_xlnm.Print_Area" localSheetId="3">'Offerta Lotto 3'!$A$1:$P$64</definedName>
    <definedName name="_xlnm.Print_Area" localSheetId="4">'Offerta Lotto 4'!$A$1:$P$66</definedName>
    <definedName name="_xlnm.Print_Area" localSheetId="5">'Offerta Lotto 5'!$A$1:$P$64</definedName>
    <definedName name="_xlnm.Print_Area" localSheetId="6">'Offerta Lotto 6'!$A$1:$P$64</definedName>
    <definedName name="_xlnm.Print_Titles" localSheetId="1">'Offerta Lotto 1'!$6:$7</definedName>
    <definedName name="_xlnm.Print_Titles" localSheetId="2">'Offerta Lotto 2'!$6:$7</definedName>
    <definedName name="_xlnm.Print_Titles" localSheetId="3">'Offerta Lotto 3'!$6:$7</definedName>
    <definedName name="_xlnm.Print_Titles" localSheetId="4">'Offerta Lotto 4'!$6:$7</definedName>
    <definedName name="_xlnm.Print_Titles" localSheetId="5">'Offerta Lotto 5'!$6:$7</definedName>
    <definedName name="_xlnm.Print_Titles" localSheetId="6">'Offerta Lotto 6'!$6:$7</definedName>
  </definedNames>
  <calcPr calcId="152511"/>
</workbook>
</file>

<file path=xl/calcChain.xml><?xml version="1.0" encoding="utf-8"?>
<calcChain xmlns="http://schemas.openxmlformats.org/spreadsheetml/2006/main">
  <c r="K19" i="4" l="1"/>
  <c r="L19" i="4"/>
  <c r="O19" i="4"/>
  <c r="L53" i="9" l="1"/>
  <c r="L60" i="9"/>
  <c r="L52" i="9"/>
  <c r="L51" i="9"/>
  <c r="L49" i="9"/>
  <c r="L48" i="9"/>
  <c r="L47" i="9"/>
  <c r="L46" i="9"/>
  <c r="L45" i="9"/>
  <c r="L44" i="9"/>
  <c r="L43" i="9"/>
  <c r="L42" i="9"/>
  <c r="L41" i="9"/>
  <c r="L40" i="9"/>
  <c r="L39" i="9"/>
  <c r="L38" i="9"/>
  <c r="L36" i="9"/>
  <c r="L35" i="9"/>
  <c r="L34" i="9"/>
  <c r="L33" i="9"/>
  <c r="L31" i="9"/>
  <c r="L30" i="9"/>
  <c r="L28" i="9"/>
  <c r="L27" i="9"/>
  <c r="L25" i="9"/>
  <c r="L24" i="9"/>
  <c r="L23" i="9"/>
  <c r="L22" i="9"/>
  <c r="L21" i="9"/>
  <c r="L19" i="9"/>
  <c r="L18" i="9"/>
  <c r="L17" i="9"/>
  <c r="L15" i="9"/>
  <c r="L13" i="9"/>
  <c r="L12" i="9"/>
  <c r="L10" i="9"/>
  <c r="L9" i="9"/>
  <c r="L58" i="4"/>
  <c r="L52" i="4"/>
  <c r="L51" i="4"/>
  <c r="L49" i="4"/>
  <c r="L48" i="4"/>
  <c r="L47" i="4"/>
  <c r="L46" i="4"/>
  <c r="L45" i="4"/>
  <c r="L44" i="4"/>
  <c r="L43" i="4"/>
  <c r="L42" i="4"/>
  <c r="L41" i="4"/>
  <c r="L40" i="4"/>
  <c r="L39" i="4"/>
  <c r="L38" i="4"/>
  <c r="L36" i="4"/>
  <c r="L35" i="4"/>
  <c r="L34" i="4"/>
  <c r="L33" i="4"/>
  <c r="L31" i="4"/>
  <c r="L30" i="4"/>
  <c r="L28" i="4"/>
  <c r="L27" i="4"/>
  <c r="L25" i="4"/>
  <c r="L24" i="4"/>
  <c r="L23" i="4"/>
  <c r="L22" i="4"/>
  <c r="L21" i="4"/>
  <c r="L18" i="4"/>
  <c r="L17" i="4"/>
  <c r="L15" i="4"/>
  <c r="L13" i="4"/>
  <c r="L12" i="4"/>
  <c r="L10" i="4"/>
  <c r="L9" i="4"/>
  <c r="L58" i="3"/>
  <c r="L52" i="3"/>
  <c r="L51" i="3"/>
  <c r="L39" i="3"/>
  <c r="L40" i="3"/>
  <c r="L41" i="3"/>
  <c r="L42" i="3"/>
  <c r="L43" i="3"/>
  <c r="L44" i="3"/>
  <c r="L45" i="3"/>
  <c r="L46" i="3"/>
  <c r="L47" i="3"/>
  <c r="L48" i="3"/>
  <c r="L49" i="3"/>
  <c r="L38" i="3"/>
  <c r="L34" i="3"/>
  <c r="L35" i="3"/>
  <c r="L36" i="3"/>
  <c r="L33" i="3"/>
  <c r="L31" i="3"/>
  <c r="L30" i="3"/>
  <c r="L28" i="3"/>
  <c r="L27" i="3"/>
  <c r="L22" i="3"/>
  <c r="L23" i="3"/>
  <c r="L24" i="3"/>
  <c r="L25" i="3"/>
  <c r="L21" i="3"/>
  <c r="L18" i="3"/>
  <c r="L19" i="3"/>
  <c r="L17" i="3"/>
  <c r="L15" i="3"/>
  <c r="L13" i="3"/>
  <c r="L12" i="3"/>
  <c r="L10" i="3"/>
  <c r="L9" i="3"/>
  <c r="L54" i="13"/>
  <c r="L53" i="13"/>
  <c r="L41" i="13"/>
  <c r="L42" i="13"/>
  <c r="L43" i="13"/>
  <c r="L44" i="13"/>
  <c r="L45" i="13"/>
  <c r="L46" i="13"/>
  <c r="L47" i="13"/>
  <c r="L48" i="13"/>
  <c r="L49" i="13"/>
  <c r="L50" i="13"/>
  <c r="L51" i="13"/>
  <c r="L40" i="13"/>
  <c r="L36" i="13"/>
  <c r="L37" i="13"/>
  <c r="L38" i="13"/>
  <c r="L35" i="13"/>
  <c r="L33" i="13"/>
  <c r="L32" i="13"/>
  <c r="L30" i="13"/>
  <c r="L29" i="13"/>
  <c r="L24" i="13"/>
  <c r="L25" i="13"/>
  <c r="L26" i="13"/>
  <c r="L27" i="13"/>
  <c r="L23" i="13"/>
  <c r="L21" i="13"/>
  <c r="L20" i="13"/>
  <c r="L19" i="13"/>
  <c r="L17" i="13"/>
  <c r="L13" i="13"/>
  <c r="L14" i="13"/>
  <c r="L15" i="13"/>
  <c r="L12" i="13"/>
  <c r="L10" i="13"/>
  <c r="L9" i="13"/>
  <c r="O17" i="13"/>
  <c r="O14" i="13"/>
  <c r="K14" i="13"/>
  <c r="O12" i="13"/>
  <c r="K12" i="13"/>
  <c r="O54" i="13"/>
  <c r="K54" i="13"/>
  <c r="O53" i="13"/>
  <c r="K53" i="13"/>
  <c r="O51" i="13"/>
  <c r="K51" i="13"/>
  <c r="O50" i="13"/>
  <c r="K50" i="13"/>
  <c r="O49" i="13"/>
  <c r="K49" i="13"/>
  <c r="O48" i="13"/>
  <c r="K48" i="13"/>
  <c r="O47" i="13"/>
  <c r="K47" i="13"/>
  <c r="O46" i="13"/>
  <c r="K46" i="13"/>
  <c r="O45" i="13"/>
  <c r="K45" i="13"/>
  <c r="O44" i="13"/>
  <c r="K44" i="13"/>
  <c r="O43" i="13"/>
  <c r="K43" i="13"/>
  <c r="O42" i="13"/>
  <c r="K42" i="13"/>
  <c r="O41" i="13"/>
  <c r="K41" i="13"/>
  <c r="O40" i="13"/>
  <c r="K40" i="13"/>
  <c r="O38" i="13"/>
  <c r="K38" i="13"/>
  <c r="O37" i="13"/>
  <c r="K37" i="13"/>
  <c r="O36" i="13"/>
  <c r="K36" i="13"/>
  <c r="O35" i="13"/>
  <c r="K35" i="13"/>
  <c r="O33" i="13"/>
  <c r="K33" i="13"/>
  <c r="O32" i="13"/>
  <c r="K32" i="13"/>
  <c r="O30" i="13"/>
  <c r="K30" i="13"/>
  <c r="O29" i="13"/>
  <c r="K29" i="13"/>
  <c r="O27" i="13"/>
  <c r="K27" i="13"/>
  <c r="O26" i="13"/>
  <c r="K26" i="13"/>
  <c r="O25" i="13"/>
  <c r="K25" i="13"/>
  <c r="O24" i="13"/>
  <c r="K24" i="13"/>
  <c r="O23" i="13"/>
  <c r="K23" i="13"/>
  <c r="O21" i="13"/>
  <c r="K21" i="13"/>
  <c r="O20" i="13"/>
  <c r="K20" i="13"/>
  <c r="O19" i="13"/>
  <c r="K19" i="13"/>
  <c r="K17" i="13"/>
  <c r="O15" i="13"/>
  <c r="K15" i="13"/>
  <c r="O13" i="13"/>
  <c r="K13" i="13"/>
  <c r="O10" i="13"/>
  <c r="K10" i="13"/>
  <c r="O9" i="13"/>
  <c r="L54" i="9"/>
  <c r="O13" i="12"/>
  <c r="O11" i="9"/>
  <c r="O10" i="9"/>
  <c r="O52" i="12"/>
  <c r="L52" i="12"/>
  <c r="O51" i="12"/>
  <c r="L51" i="12"/>
  <c r="O49" i="12"/>
  <c r="L49" i="12"/>
  <c r="O48" i="12"/>
  <c r="L48" i="12"/>
  <c r="O47" i="12"/>
  <c r="L47" i="12"/>
  <c r="O46" i="12"/>
  <c r="L46" i="12"/>
  <c r="O45" i="12"/>
  <c r="L45" i="12"/>
  <c r="O44" i="12"/>
  <c r="L44" i="12"/>
  <c r="O43" i="12"/>
  <c r="L43" i="12"/>
  <c r="O42" i="12"/>
  <c r="L42" i="12"/>
  <c r="O41" i="12"/>
  <c r="L41" i="12"/>
  <c r="O40" i="12"/>
  <c r="L40" i="12"/>
  <c r="O39" i="12"/>
  <c r="L39" i="12"/>
  <c r="O38" i="12"/>
  <c r="L38" i="12"/>
  <c r="O36" i="12"/>
  <c r="L36" i="12"/>
  <c r="O35" i="12"/>
  <c r="L35" i="12"/>
  <c r="O34" i="12"/>
  <c r="L34" i="12"/>
  <c r="O33" i="12"/>
  <c r="L33" i="12"/>
  <c r="O31" i="12"/>
  <c r="L31" i="12"/>
  <c r="O30" i="12"/>
  <c r="L30" i="12"/>
  <c r="O28" i="12"/>
  <c r="L28" i="12"/>
  <c r="O27" i="12"/>
  <c r="L27" i="12"/>
  <c r="O25" i="12"/>
  <c r="L25" i="12"/>
  <c r="O24" i="12"/>
  <c r="L24" i="12"/>
  <c r="O23" i="12"/>
  <c r="L23" i="12"/>
  <c r="O22" i="12"/>
  <c r="L22" i="12"/>
  <c r="O21" i="12"/>
  <c r="L21" i="12"/>
  <c r="O19" i="12"/>
  <c r="L19" i="12"/>
  <c r="O18" i="12"/>
  <c r="L18" i="12"/>
  <c r="O17" i="12"/>
  <c r="L17" i="12"/>
  <c r="O15" i="12"/>
  <c r="L15" i="12"/>
  <c r="L13" i="12"/>
  <c r="O12" i="12"/>
  <c r="L12" i="12"/>
  <c r="O10" i="12"/>
  <c r="L10" i="12"/>
  <c r="O9" i="12"/>
  <c r="L9" i="12"/>
  <c r="O52" i="10"/>
  <c r="L52" i="10"/>
  <c r="O51" i="10"/>
  <c r="L51" i="10"/>
  <c r="O49" i="10"/>
  <c r="L49" i="10"/>
  <c r="O48" i="10"/>
  <c r="L48" i="10"/>
  <c r="O47" i="10"/>
  <c r="L47" i="10"/>
  <c r="O46" i="10"/>
  <c r="L46" i="10"/>
  <c r="O45" i="10"/>
  <c r="L45" i="10"/>
  <c r="O44" i="10"/>
  <c r="L44" i="10"/>
  <c r="O43" i="10"/>
  <c r="L43" i="10"/>
  <c r="O42" i="10"/>
  <c r="L42" i="10"/>
  <c r="O41" i="10"/>
  <c r="L41" i="10"/>
  <c r="O40" i="10"/>
  <c r="L40" i="10"/>
  <c r="O39" i="10"/>
  <c r="L39" i="10"/>
  <c r="O38" i="10"/>
  <c r="L38" i="10"/>
  <c r="O36" i="10"/>
  <c r="L36" i="10"/>
  <c r="O35" i="10"/>
  <c r="L35" i="10"/>
  <c r="O34" i="10"/>
  <c r="L34" i="10"/>
  <c r="O33" i="10"/>
  <c r="L33" i="10"/>
  <c r="O31" i="10"/>
  <c r="L31" i="10"/>
  <c r="O30" i="10"/>
  <c r="L30" i="10"/>
  <c r="O28" i="10"/>
  <c r="L28" i="10"/>
  <c r="O27" i="10"/>
  <c r="L27" i="10"/>
  <c r="O25" i="10"/>
  <c r="L25" i="10"/>
  <c r="O24" i="10"/>
  <c r="L24" i="10"/>
  <c r="O23" i="10"/>
  <c r="L23" i="10"/>
  <c r="O22" i="10"/>
  <c r="L22" i="10"/>
  <c r="O21" i="10"/>
  <c r="L21" i="10"/>
  <c r="O19" i="10"/>
  <c r="L19" i="10"/>
  <c r="O18" i="10"/>
  <c r="L18" i="10"/>
  <c r="O17" i="10"/>
  <c r="L17" i="10"/>
  <c r="O15" i="10"/>
  <c r="L15" i="10"/>
  <c r="O13" i="10"/>
  <c r="L13" i="10"/>
  <c r="O12" i="10"/>
  <c r="L12" i="10"/>
  <c r="O10" i="10"/>
  <c r="L10" i="10"/>
  <c r="O9" i="10"/>
  <c r="L56" i="10" s="1"/>
  <c r="L9" i="10"/>
  <c r="O18" i="4"/>
  <c r="L60" i="13" l="1"/>
  <c r="K9" i="13"/>
  <c r="L58" i="13"/>
  <c r="L56" i="12"/>
  <c r="K11" i="9"/>
  <c r="O12" i="9"/>
  <c r="O21" i="9"/>
  <c r="O26" i="9"/>
  <c r="O32" i="9"/>
  <c r="O37" i="9"/>
  <c r="O44" i="9"/>
  <c r="O50" i="9"/>
  <c r="K10" i="9"/>
  <c r="O15" i="9"/>
  <c r="O19" i="9"/>
  <c r="O24" i="9"/>
  <c r="O29" i="9"/>
  <c r="O35" i="9"/>
  <c r="O40" i="9"/>
  <c r="O42" i="9"/>
  <c r="O46" i="9"/>
  <c r="O48" i="9"/>
  <c r="O53" i="9"/>
  <c r="O9" i="9"/>
  <c r="O14" i="9"/>
  <c r="O17" i="9"/>
  <c r="O20" i="9"/>
  <c r="O23" i="9"/>
  <c r="O25" i="9"/>
  <c r="O27" i="9"/>
  <c r="O30" i="9"/>
  <c r="O33" i="9"/>
  <c r="O36" i="9"/>
  <c r="O38" i="9"/>
  <c r="O41" i="9"/>
  <c r="O43" i="9"/>
  <c r="O45" i="9"/>
  <c r="O47" i="9"/>
  <c r="O49" i="9"/>
  <c r="O51" i="9"/>
  <c r="O54" i="9"/>
  <c r="L58" i="12"/>
  <c r="K9" i="12"/>
  <c r="K10" i="12"/>
  <c r="K12" i="12"/>
  <c r="K13" i="12"/>
  <c r="K15" i="12"/>
  <c r="K17" i="12"/>
  <c r="K18" i="12"/>
  <c r="K19" i="12"/>
  <c r="K21" i="12"/>
  <c r="K22" i="12"/>
  <c r="K23" i="12"/>
  <c r="K24" i="12"/>
  <c r="K25" i="12"/>
  <c r="K27" i="12"/>
  <c r="K28" i="12"/>
  <c r="K30" i="12"/>
  <c r="K31" i="12"/>
  <c r="K33" i="12"/>
  <c r="K34" i="12"/>
  <c r="K35" i="12"/>
  <c r="K36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1" i="12"/>
  <c r="K52" i="12"/>
  <c r="L58" i="10"/>
  <c r="L60" i="10" s="1"/>
  <c r="K9" i="10"/>
  <c r="K10" i="10"/>
  <c r="K12" i="10"/>
  <c r="K13" i="10"/>
  <c r="K15" i="10"/>
  <c r="K17" i="10"/>
  <c r="K18" i="10"/>
  <c r="K19" i="10"/>
  <c r="K21" i="10"/>
  <c r="K22" i="10"/>
  <c r="K23" i="10"/>
  <c r="K24" i="10"/>
  <c r="K25" i="10"/>
  <c r="K27" i="10"/>
  <c r="K28" i="10"/>
  <c r="K30" i="10"/>
  <c r="K31" i="10"/>
  <c r="K33" i="10"/>
  <c r="K34" i="10"/>
  <c r="K35" i="10"/>
  <c r="K36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1" i="10"/>
  <c r="K52" i="10"/>
  <c r="K9" i="9"/>
  <c r="K12" i="9"/>
  <c r="K14" i="9"/>
  <c r="K15" i="9"/>
  <c r="K17" i="9"/>
  <c r="K19" i="9"/>
  <c r="K20" i="9"/>
  <c r="K21" i="9"/>
  <c r="K23" i="9"/>
  <c r="K24" i="9"/>
  <c r="K25" i="9"/>
  <c r="K26" i="9"/>
  <c r="K27" i="9"/>
  <c r="K29" i="9"/>
  <c r="K30" i="9"/>
  <c r="K32" i="9"/>
  <c r="K33" i="9"/>
  <c r="K35" i="9"/>
  <c r="K36" i="9"/>
  <c r="K37" i="9"/>
  <c r="K38" i="9"/>
  <c r="K40" i="9"/>
  <c r="K41" i="9"/>
  <c r="K42" i="9"/>
  <c r="K43" i="9"/>
  <c r="K44" i="9"/>
  <c r="K45" i="9"/>
  <c r="K46" i="9"/>
  <c r="K47" i="9"/>
  <c r="K48" i="9"/>
  <c r="K49" i="9"/>
  <c r="K50" i="9"/>
  <c r="K51" i="9"/>
  <c r="K53" i="9"/>
  <c r="K54" i="9"/>
  <c r="K18" i="4"/>
  <c r="O18" i="3"/>
  <c r="K18" i="3"/>
  <c r="L60" i="12" l="1"/>
  <c r="L58" i="9"/>
  <c r="L62" i="13"/>
  <c r="O51" i="4" l="1"/>
  <c r="O48" i="4"/>
  <c r="O46" i="4"/>
  <c r="O44" i="4"/>
  <c r="O42" i="4"/>
  <c r="O40" i="4"/>
  <c r="O39" i="4"/>
  <c r="O34" i="4"/>
  <c r="O28" i="4"/>
  <c r="O23" i="4"/>
  <c r="O17" i="4"/>
  <c r="O13" i="4"/>
  <c r="O12" i="4"/>
  <c r="O10" i="4"/>
  <c r="O51" i="3"/>
  <c r="O42" i="3"/>
  <c r="O39" i="3"/>
  <c r="O17" i="3"/>
  <c r="K13" i="3"/>
  <c r="O25" i="4" l="1"/>
  <c r="O21" i="4"/>
  <c r="O36" i="4"/>
  <c r="O31" i="4"/>
  <c r="O36" i="3"/>
  <c r="O21" i="3"/>
  <c r="O46" i="3"/>
  <c r="O23" i="3"/>
  <c r="O34" i="3"/>
  <c r="O40" i="3"/>
  <c r="O48" i="3"/>
  <c r="O10" i="3"/>
  <c r="O28" i="3"/>
  <c r="O44" i="3"/>
  <c r="O27" i="4"/>
  <c r="O22" i="4"/>
  <c r="O33" i="4"/>
  <c r="O24" i="4"/>
  <c r="O30" i="4"/>
  <c r="O35" i="4"/>
  <c r="O52" i="4"/>
  <c r="O38" i="4"/>
  <c r="O41" i="4"/>
  <c r="O43" i="4"/>
  <c r="O45" i="4"/>
  <c r="O47" i="4"/>
  <c r="O49" i="4"/>
  <c r="O15" i="4"/>
  <c r="O9" i="4"/>
  <c r="K12" i="4"/>
  <c r="K22" i="4"/>
  <c r="K10" i="4"/>
  <c r="K13" i="4"/>
  <c r="K17" i="4"/>
  <c r="K21" i="4"/>
  <c r="K23" i="4"/>
  <c r="K25" i="4"/>
  <c r="K28" i="4"/>
  <c r="K31" i="4"/>
  <c r="K34" i="4"/>
  <c r="K36" i="4"/>
  <c r="K39" i="4"/>
  <c r="K40" i="4"/>
  <c r="K42" i="4"/>
  <c r="K44" i="4"/>
  <c r="K46" i="4"/>
  <c r="K48" i="4"/>
  <c r="K51" i="4"/>
  <c r="K9" i="4"/>
  <c r="K15" i="4"/>
  <c r="K24" i="4"/>
  <c r="K27" i="4"/>
  <c r="K30" i="4"/>
  <c r="K33" i="4"/>
  <c r="K35" i="4"/>
  <c r="K38" i="4"/>
  <c r="K41" i="4"/>
  <c r="K43" i="4"/>
  <c r="K45" i="4"/>
  <c r="K47" i="4"/>
  <c r="K49" i="4"/>
  <c r="K52" i="4"/>
  <c r="O13" i="3"/>
  <c r="K30" i="3"/>
  <c r="O24" i="3"/>
  <c r="O19" i="3"/>
  <c r="O27" i="3"/>
  <c r="O30" i="3"/>
  <c r="O12" i="3"/>
  <c r="O22" i="3"/>
  <c r="K24" i="3"/>
  <c r="O33" i="3"/>
  <c r="O35" i="3"/>
  <c r="O38" i="3"/>
  <c r="O41" i="3"/>
  <c r="O43" i="3"/>
  <c r="O45" i="3"/>
  <c r="O47" i="3"/>
  <c r="O49" i="3"/>
  <c r="O52" i="3"/>
  <c r="K10" i="3"/>
  <c r="K17" i="3"/>
  <c r="K22" i="3"/>
  <c r="K27" i="3"/>
  <c r="K33" i="3"/>
  <c r="O9" i="3"/>
  <c r="O15" i="3"/>
  <c r="K21" i="3"/>
  <c r="O25" i="3"/>
  <c r="O31" i="3"/>
  <c r="K35" i="3"/>
  <c r="K38" i="3"/>
  <c r="K41" i="3"/>
  <c r="K43" i="3"/>
  <c r="K45" i="3"/>
  <c r="K47" i="3"/>
  <c r="K49" i="3"/>
  <c r="K52" i="3"/>
  <c r="K9" i="3"/>
  <c r="K12" i="3"/>
  <c r="K15" i="3"/>
  <c r="K19" i="3"/>
  <c r="K23" i="3"/>
  <c r="K25" i="3"/>
  <c r="K28" i="3"/>
  <c r="K31" i="3"/>
  <c r="K34" i="3"/>
  <c r="K36" i="3"/>
  <c r="K39" i="3"/>
  <c r="K40" i="3"/>
  <c r="K42" i="3"/>
  <c r="K44" i="3"/>
  <c r="K46" i="3"/>
  <c r="K48" i="3"/>
  <c r="K51" i="3"/>
  <c r="L56" i="4" l="1"/>
  <c r="L56" i="3"/>
  <c r="L60" i="3" s="1"/>
  <c r="L60" i="4" l="1"/>
  <c r="L62" i="9"/>
</calcChain>
</file>

<file path=xl/sharedStrings.xml><?xml version="1.0" encoding="utf-8"?>
<sst xmlns="http://schemas.openxmlformats.org/spreadsheetml/2006/main" count="1567" uniqueCount="129">
  <si>
    <t>A</t>
  </si>
  <si>
    <t>Servizio di climatizzazione invernale</t>
  </si>
  <si>
    <t>Riscaldamento invernale</t>
  </si>
  <si>
    <t>Condizionamento invernale</t>
  </si>
  <si>
    <t>B</t>
  </si>
  <si>
    <t>Servizio di climatizzazione estiva</t>
  </si>
  <si>
    <t>Condizionamento estivo senza presenza di impianti di ricambio dell’aria</t>
  </si>
  <si>
    <t>Condizionamento estivo con impianti di ricambio dell’aria</t>
  </si>
  <si>
    <t>C</t>
  </si>
  <si>
    <t>Altri servizi termici</t>
  </si>
  <si>
    <t>Impianto di acqua calda sanitaria e da altre utenze termiche</t>
  </si>
  <si>
    <t>D</t>
  </si>
  <si>
    <t>Servizio di gestione degli impianti idrico sanitari e reti fognarie</t>
  </si>
  <si>
    <t>Impianti di smaltimento delle acque meteoriche</t>
  </si>
  <si>
    <t>E</t>
  </si>
  <si>
    <t>Servizio energia impianti elettrici</t>
  </si>
  <si>
    <t>Impianti di illuminazione esterna</t>
  </si>
  <si>
    <t>F</t>
  </si>
  <si>
    <t>Servizio di gestione degli impianti speciali di sicurezza e di comunicazione</t>
  </si>
  <si>
    <t>Impianti speciali di sicurezza e di comunicazione</t>
  </si>
  <si>
    <t>Impianti televisivi a circuito chiuso</t>
  </si>
  <si>
    <t>€/cad.</t>
  </si>
  <si>
    <t>G</t>
  </si>
  <si>
    <t>Servizio di gestione di impianti e sistemi antincendio</t>
  </si>
  <si>
    <t>Impianti di spegnimento automatico</t>
  </si>
  <si>
    <t>H</t>
  </si>
  <si>
    <t>Servizio di gestione di impianti elevatori e di trasporto verticale e orizzontale</t>
  </si>
  <si>
    <t>Impianti elevatori (fino a 5 fermate)</t>
  </si>
  <si>
    <t>Impianti elevatori (oltre 5 fermate)</t>
  </si>
  <si>
    <t>Servoscala e montascale</t>
  </si>
  <si>
    <t>Scale mobili e maciapiedi mobili</t>
  </si>
  <si>
    <t>J</t>
  </si>
  <si>
    <t>Servizio di gestione di altri impianti tecnologici</t>
  </si>
  <si>
    <t>Porte automatiche, sbarre e cancelli automatizzati</t>
  </si>
  <si>
    <t>Sistemi di prevenzione della legionellosi</t>
  </si>
  <si>
    <t>Impianti di irrigazione</t>
  </si>
  <si>
    <t>Pozzi di prelievo acqua di falda</t>
  </si>
  <si>
    <t>Elisuperfici</t>
  </si>
  <si>
    <t>Impianti SOV (Sorveglianza Ostacoli al Volo)</t>
  </si>
  <si>
    <t>Vasche terapeutiche</t>
  </si>
  <si>
    <t>Frigoriferi, frigocongelatori, frigoemoteche, celle frigorifere</t>
  </si>
  <si>
    <t>Cappe chimiche, biologiche e a flusso laminare</t>
  </si>
  <si>
    <t>Impianti di posta pneumatica</t>
  </si>
  <si>
    <t>Lavapadelle</t>
  </si>
  <si>
    <t>Elettrodomestici vari</t>
  </si>
  <si>
    <t>Elemento di prezzo</t>
  </si>
  <si>
    <r>
      <t>P</t>
    </r>
    <r>
      <rPr>
        <b/>
        <vertAlign val="subscript"/>
        <sz val="12"/>
        <color rgb="FF000000"/>
        <rFont val="Arial"/>
        <family val="2"/>
      </rPr>
      <t>x</t>
    </r>
  </si>
  <si>
    <r>
      <t>P</t>
    </r>
    <r>
      <rPr>
        <vertAlign val="subscript"/>
        <sz val="12"/>
        <color rgb="FF000000"/>
        <rFont val="Arial"/>
        <family val="2"/>
      </rPr>
      <t>A1</t>
    </r>
  </si>
  <si>
    <r>
      <t>P</t>
    </r>
    <r>
      <rPr>
        <vertAlign val="subscript"/>
        <sz val="12"/>
        <color rgb="FF000000"/>
        <rFont val="Arial"/>
        <family val="2"/>
      </rPr>
      <t>A2</t>
    </r>
  </si>
  <si>
    <r>
      <t>P</t>
    </r>
    <r>
      <rPr>
        <vertAlign val="subscript"/>
        <sz val="12"/>
        <color rgb="FF000000"/>
        <rFont val="Arial"/>
        <family val="2"/>
      </rPr>
      <t>B1</t>
    </r>
  </si>
  <si>
    <r>
      <t>P</t>
    </r>
    <r>
      <rPr>
        <vertAlign val="subscript"/>
        <sz val="12"/>
        <color rgb="FF000000"/>
        <rFont val="Arial"/>
        <family val="2"/>
      </rPr>
      <t>B2</t>
    </r>
  </si>
  <si>
    <r>
      <t>P</t>
    </r>
    <r>
      <rPr>
        <vertAlign val="subscript"/>
        <sz val="12"/>
        <color rgb="FF000000"/>
        <rFont val="Arial"/>
        <family val="2"/>
      </rPr>
      <t>C1</t>
    </r>
  </si>
  <si>
    <r>
      <t>P</t>
    </r>
    <r>
      <rPr>
        <vertAlign val="subscript"/>
        <sz val="12"/>
        <color rgb="FF000000"/>
        <rFont val="Arial"/>
        <family val="2"/>
      </rPr>
      <t>D1</t>
    </r>
  </si>
  <si>
    <r>
      <t>P</t>
    </r>
    <r>
      <rPr>
        <vertAlign val="subscript"/>
        <sz val="12"/>
        <color rgb="FF000000"/>
        <rFont val="Arial"/>
        <family val="2"/>
      </rPr>
      <t>E1</t>
    </r>
  </si>
  <si>
    <r>
      <t>P</t>
    </r>
    <r>
      <rPr>
        <vertAlign val="subscript"/>
        <sz val="12"/>
        <color rgb="FF000000"/>
        <rFont val="Arial"/>
        <family val="2"/>
      </rPr>
      <t>E2</t>
    </r>
  </si>
  <si>
    <r>
      <t>P</t>
    </r>
    <r>
      <rPr>
        <vertAlign val="subscript"/>
        <sz val="12"/>
        <color rgb="FF000000"/>
        <rFont val="Arial"/>
        <family val="2"/>
      </rPr>
      <t>F1</t>
    </r>
  </si>
  <si>
    <r>
      <t>P</t>
    </r>
    <r>
      <rPr>
        <vertAlign val="subscript"/>
        <sz val="12"/>
        <color rgb="FF000000"/>
        <rFont val="Arial"/>
        <family val="2"/>
      </rPr>
      <t>F2</t>
    </r>
  </si>
  <si>
    <r>
      <t>P</t>
    </r>
    <r>
      <rPr>
        <vertAlign val="subscript"/>
        <sz val="12"/>
        <color rgb="FF000000"/>
        <rFont val="Arial"/>
        <family val="2"/>
      </rPr>
      <t>G1</t>
    </r>
  </si>
  <si>
    <r>
      <t>P</t>
    </r>
    <r>
      <rPr>
        <vertAlign val="subscript"/>
        <sz val="12"/>
        <color rgb="FF000000"/>
        <rFont val="Arial"/>
        <family val="2"/>
      </rPr>
      <t>G2</t>
    </r>
  </si>
  <si>
    <r>
      <t>P</t>
    </r>
    <r>
      <rPr>
        <vertAlign val="subscript"/>
        <sz val="12"/>
        <color rgb="FF000000"/>
        <rFont val="Arial"/>
        <family val="2"/>
      </rPr>
      <t>H1</t>
    </r>
  </si>
  <si>
    <r>
      <t>P</t>
    </r>
    <r>
      <rPr>
        <vertAlign val="subscript"/>
        <sz val="12"/>
        <color rgb="FF000000"/>
        <rFont val="Arial"/>
        <family val="2"/>
      </rPr>
      <t>H2</t>
    </r>
  </si>
  <si>
    <r>
      <t>P</t>
    </r>
    <r>
      <rPr>
        <vertAlign val="subscript"/>
        <sz val="12"/>
        <color rgb="FF000000"/>
        <rFont val="Arial"/>
        <family val="2"/>
      </rPr>
      <t>H3</t>
    </r>
  </si>
  <si>
    <r>
      <t>P</t>
    </r>
    <r>
      <rPr>
        <vertAlign val="subscript"/>
        <sz val="12"/>
        <color rgb="FF000000"/>
        <rFont val="Arial"/>
        <family val="2"/>
      </rPr>
      <t>H4</t>
    </r>
  </si>
  <si>
    <r>
      <t>P</t>
    </r>
    <r>
      <rPr>
        <vertAlign val="subscript"/>
        <sz val="12"/>
        <color rgb="FF000000"/>
        <rFont val="Arial"/>
        <family val="2"/>
      </rPr>
      <t>J1</t>
    </r>
  </si>
  <si>
    <r>
      <t>P</t>
    </r>
    <r>
      <rPr>
        <vertAlign val="subscript"/>
        <sz val="12"/>
        <color rgb="FF000000"/>
        <rFont val="Arial"/>
        <family val="2"/>
      </rPr>
      <t>J2</t>
    </r>
  </si>
  <si>
    <r>
      <t>P</t>
    </r>
    <r>
      <rPr>
        <vertAlign val="subscript"/>
        <sz val="12"/>
        <color rgb="FF000000"/>
        <rFont val="Arial"/>
        <family val="2"/>
      </rPr>
      <t>J4</t>
    </r>
  </si>
  <si>
    <r>
      <t>P</t>
    </r>
    <r>
      <rPr>
        <vertAlign val="subscript"/>
        <sz val="12"/>
        <color rgb="FF000000"/>
        <rFont val="Arial"/>
        <family val="2"/>
      </rPr>
      <t>J5</t>
    </r>
  </si>
  <si>
    <r>
      <t>P</t>
    </r>
    <r>
      <rPr>
        <vertAlign val="subscript"/>
        <sz val="12"/>
        <color rgb="FF000000"/>
        <rFont val="Arial"/>
        <family val="2"/>
      </rPr>
      <t>J6</t>
    </r>
  </si>
  <si>
    <r>
      <t>P</t>
    </r>
    <r>
      <rPr>
        <vertAlign val="subscript"/>
        <sz val="12"/>
        <color rgb="FF000000"/>
        <rFont val="Arial"/>
        <family val="2"/>
      </rPr>
      <t>J7</t>
    </r>
  </si>
  <si>
    <r>
      <t>P</t>
    </r>
    <r>
      <rPr>
        <vertAlign val="subscript"/>
        <sz val="12"/>
        <color rgb="FF000000"/>
        <rFont val="Arial"/>
        <family val="2"/>
      </rPr>
      <t>J8</t>
    </r>
  </si>
  <si>
    <r>
      <t>P</t>
    </r>
    <r>
      <rPr>
        <vertAlign val="subscript"/>
        <sz val="12"/>
        <color rgb="FF000000"/>
        <rFont val="Arial"/>
        <family val="2"/>
      </rPr>
      <t>J9</t>
    </r>
  </si>
  <si>
    <r>
      <t>P</t>
    </r>
    <r>
      <rPr>
        <vertAlign val="subscript"/>
        <sz val="12"/>
        <color rgb="FF000000"/>
        <rFont val="Arial"/>
        <family val="2"/>
      </rPr>
      <t>J10</t>
    </r>
  </si>
  <si>
    <r>
      <t>P</t>
    </r>
    <r>
      <rPr>
        <vertAlign val="subscript"/>
        <sz val="12"/>
        <color rgb="FF000000"/>
        <rFont val="Arial"/>
        <family val="2"/>
      </rPr>
      <t>J11</t>
    </r>
  </si>
  <si>
    <r>
      <t>P</t>
    </r>
    <r>
      <rPr>
        <vertAlign val="subscript"/>
        <sz val="12"/>
        <color rgb="FF000000"/>
        <rFont val="Arial"/>
        <family val="2"/>
      </rPr>
      <t>J12</t>
    </r>
  </si>
  <si>
    <r>
      <t>P</t>
    </r>
    <r>
      <rPr>
        <vertAlign val="subscript"/>
        <sz val="12"/>
        <color rgb="FF000000"/>
        <rFont val="Arial"/>
        <family val="2"/>
      </rPr>
      <t>J13</t>
    </r>
  </si>
  <si>
    <t>Q.tà</t>
  </si>
  <si>
    <t>Totale</t>
  </si>
  <si>
    <t>GG</t>
  </si>
  <si>
    <t>Impianti e  sistemi di protezione antincendio</t>
  </si>
  <si>
    <t>Impianti idrico-sanitari e di trattamento dell’acqua e impianti di trattamento e smaltimento reflui e reti fognari</t>
  </si>
  <si>
    <t>Servizio di presidio giornaliero specializzato</t>
  </si>
  <si>
    <t>n°</t>
  </si>
  <si>
    <t>€</t>
  </si>
  <si>
    <t>cad.</t>
  </si>
  <si>
    <t>gg</t>
  </si>
  <si>
    <r>
      <t>€/(m</t>
    </r>
    <r>
      <rPr>
        <vertAlign val="superscript"/>
        <sz val="11"/>
        <color rgb="FF000000"/>
        <rFont val="Arial"/>
        <family val="2"/>
      </rPr>
      <t>3</t>
    </r>
    <r>
      <rPr>
        <sz val="11"/>
        <color rgb="FF000000"/>
        <rFont val="Arial"/>
        <family val="2"/>
      </rPr>
      <t>∙GG)</t>
    </r>
  </si>
  <si>
    <r>
      <t>€/(m</t>
    </r>
    <r>
      <rPr>
        <vertAlign val="superscript"/>
        <sz val="11"/>
        <color rgb="FF000000"/>
        <rFont val="Arial"/>
        <family val="2"/>
      </rPr>
      <t>3</t>
    </r>
    <r>
      <rPr>
        <sz val="11"/>
        <color rgb="FF000000"/>
        <rFont val="Arial"/>
        <family val="2"/>
      </rPr>
      <t>∙gg)</t>
    </r>
  </si>
  <si>
    <r>
      <t>€/m</t>
    </r>
    <r>
      <rPr>
        <vertAlign val="superscript"/>
        <sz val="11"/>
        <color rgb="FF000000"/>
        <rFont val="Arial"/>
        <family val="2"/>
      </rPr>
      <t>2</t>
    </r>
  </si>
  <si>
    <r>
      <t>m</t>
    </r>
    <r>
      <rPr>
        <vertAlign val="superscript"/>
        <sz val="11"/>
        <color rgb="FF000000"/>
        <rFont val="Arial"/>
        <family val="2"/>
      </rPr>
      <t>3</t>
    </r>
  </si>
  <si>
    <r>
      <t>m</t>
    </r>
    <r>
      <rPr>
        <vertAlign val="superscript"/>
        <sz val="11"/>
        <color rgb="FF000000"/>
        <rFont val="Arial"/>
        <family val="2"/>
      </rPr>
      <t>2</t>
    </r>
  </si>
  <si>
    <t>Prezzi dei servizi e canone annuo convenzionale</t>
  </si>
  <si>
    <t>%</t>
  </si>
  <si>
    <t>Prezzo unitario a base d'asta</t>
  </si>
  <si>
    <t>Nota: tutti i prezzi si intendono IVA esclusa</t>
  </si>
  <si>
    <t>Prezzo unitario offerto</t>
  </si>
  <si>
    <t>Totale base d'asta</t>
  </si>
  <si>
    <t>L</t>
  </si>
  <si>
    <r>
      <t>P</t>
    </r>
    <r>
      <rPr>
        <vertAlign val="subscript"/>
        <sz val="12"/>
        <color rgb="FF000000"/>
        <rFont val="Arial"/>
        <family val="2"/>
      </rPr>
      <t>L1</t>
    </r>
  </si>
  <si>
    <r>
      <t>P</t>
    </r>
    <r>
      <rPr>
        <vertAlign val="subscript"/>
        <sz val="12"/>
        <color rgb="FF000000"/>
        <rFont val="Arial"/>
        <family val="2"/>
      </rPr>
      <t>L2</t>
    </r>
  </si>
  <si>
    <t>Personale aggiuntivo e squadra antincendio</t>
  </si>
  <si>
    <r>
      <t>P</t>
    </r>
    <r>
      <rPr>
        <vertAlign val="subscript"/>
        <sz val="12"/>
        <color rgb="FF000000"/>
        <rFont val="Arial"/>
        <family val="2"/>
      </rPr>
      <t>E3</t>
    </r>
  </si>
  <si>
    <r>
      <t>P</t>
    </r>
    <r>
      <rPr>
        <vertAlign val="subscript"/>
        <sz val="12"/>
        <color rgb="FF000000"/>
        <rFont val="Arial"/>
        <family val="2"/>
      </rPr>
      <t>E4</t>
    </r>
  </si>
  <si>
    <t>Apparecchiature per la rigenerazione dei pasti in sistemi cook and chill</t>
  </si>
  <si>
    <t>Apparecchiature diagnostiche e per terapia fisse</t>
  </si>
  <si>
    <r>
      <t>P</t>
    </r>
    <r>
      <rPr>
        <vertAlign val="subscript"/>
        <sz val="12"/>
        <color rgb="FF000000"/>
        <rFont val="Arial"/>
        <family val="2"/>
      </rPr>
      <t>E5</t>
    </r>
  </si>
  <si>
    <r>
      <t>P</t>
    </r>
    <r>
      <rPr>
        <vertAlign val="subscript"/>
        <sz val="12"/>
        <color rgb="FF000000"/>
        <rFont val="Arial"/>
        <family val="2"/>
      </rPr>
      <t>D2</t>
    </r>
  </si>
  <si>
    <t>Squadra di pronto intervento antincendio</t>
  </si>
  <si>
    <t>Impianto elettrico nelle strutture ad alta intensità di cura</t>
  </si>
  <si>
    <t>Impianto elettrico nelle strutture a media e bassa intensità di cura e in altre strutture</t>
  </si>
  <si>
    <t>Punteggio massimo</t>
  </si>
  <si>
    <t>Modello offerta economica Lotto 2</t>
  </si>
  <si>
    <t>Modello offerta economica Lotto 3</t>
  </si>
  <si>
    <t>TOTALE CANONE ANNUO CONVENZIONALE A BASE D'ASTA</t>
  </si>
  <si>
    <t>TOTALE CANONE ANNUO CONVENZIONALE  DI OFFERTA</t>
  </si>
  <si>
    <r>
      <t>RIBASSO (R</t>
    </r>
    <r>
      <rPr>
        <b/>
        <vertAlign val="subscript"/>
        <sz val="12"/>
        <color theme="1"/>
        <rFont val="Arial"/>
        <family val="2"/>
      </rPr>
      <t>P</t>
    </r>
    <r>
      <rPr>
        <b/>
        <sz val="12"/>
        <color theme="1"/>
        <rFont val="Arial"/>
        <family val="2"/>
      </rPr>
      <t>)</t>
    </r>
  </si>
  <si>
    <r>
      <t>RIBASSO (R</t>
    </r>
    <r>
      <rPr>
        <b/>
        <vertAlign val="subscript"/>
        <sz val="14"/>
        <color theme="1"/>
        <rFont val="Arial"/>
        <family val="2"/>
      </rPr>
      <t>P</t>
    </r>
    <r>
      <rPr>
        <b/>
        <sz val="14"/>
        <color theme="1"/>
        <rFont val="Arial"/>
        <family val="2"/>
      </rPr>
      <t>)</t>
    </r>
  </si>
  <si>
    <t>Modello offerta economica</t>
  </si>
  <si>
    <r>
      <t>P</t>
    </r>
    <r>
      <rPr>
        <vertAlign val="subscript"/>
        <sz val="12"/>
        <color rgb="FF000000"/>
        <rFont val="Arial"/>
        <family val="2"/>
      </rPr>
      <t>D3</t>
    </r>
  </si>
  <si>
    <t>Ribasso sui prezzi dei Listini di riferimento per gli interventi di manutenzione e adeguamento normativo maggiore o uguale al 10%</t>
  </si>
  <si>
    <t>24 punti</t>
  </si>
  <si>
    <t>6 punti</t>
  </si>
  <si>
    <t>Punti  di erogazione acqua potabile calda e fredda CON filtro 0,2 micron (antilegionella)</t>
  </si>
  <si>
    <t>Punti di erogazione acqua potabile calda e fredda CON filtro 0,2 micron (antilegionella)</t>
  </si>
  <si>
    <t>Modello offerta economica Lotto 6</t>
  </si>
  <si>
    <t>Modello offerta economica Lotto 5</t>
  </si>
  <si>
    <t>Modello offerta economica Lotto 4</t>
  </si>
  <si>
    <t>Modello offerta economica Lotto 1</t>
  </si>
  <si>
    <t>PROCEDURA APERTA TELEMATICA PER LA GESTIONE VETTORI ENERGETICI (G.V.E.)</t>
  </si>
  <si>
    <t>Allegato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</si>
</sst>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&quot;€&quot;\ * #,##0.00_-;\-&quot;€&quot;\ * #,##0.00_-;_-&quot;€&quot;\ * &quot;-&quot;??_-;_-@_-"/>
    <numFmt numFmtId="165" formatCode="_-* #,##0.00_-;\-* #,##0.00_-;_-* &quot;-&quot;??_-;_-@_-"/>
    <numFmt numFmtId="166" formatCode="&quot;€&quot;\ #,##0.00"/>
    <numFmt numFmtId="167" formatCode="#,##0.00000"/>
    <numFmt numFmtId="168" formatCode="0.00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vertAlign val="subscript"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vertAlign val="subscript"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vertAlign val="superscript"/>
      <sz val="11"/>
      <color rgb="FF00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vertAlign val="subscript"/>
      <sz val="14"/>
      <color theme="1"/>
      <name val="Arial"/>
      <family val="2"/>
    </font>
    <font>
      <b/>
      <vertAlign val="subscript"/>
      <sz val="12"/>
      <color theme="1"/>
      <name val="Arial"/>
      <family val="2"/>
    </font>
    <font>
      <b/>
      <sz val="14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 Narrow"/>
      <family val="2"/>
    </font>
    <font>
      <b/>
      <sz val="14"/>
      <color theme="1"/>
      <name val="Arial Narrow"/>
      <family val="2"/>
    </font>
    <font>
      <sz val="10"/>
      <color rgb="FF000000"/>
      <name val="Arial"/>
      <family val="2"/>
    </font>
    <font>
      <b/>
      <sz val="14"/>
      <name val="Arial Narrow"/>
      <family val="2"/>
    </font>
    <font>
      <sz val="11"/>
      <color indexed="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ADC5E7"/>
      </patternFill>
    </fill>
    <fill>
      <patternFill patternType="solid">
        <fgColor theme="6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2" fillId="0" borderId="0"/>
    <xf numFmtId="0" fontId="24" fillId="0" borderId="0"/>
  </cellStyleXfs>
  <cellXfs count="184">
    <xf numFmtId="0" fontId="0" fillId="0" borderId="0" xfId="0"/>
    <xf numFmtId="165" fontId="5" fillId="3" borderId="7" xfId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vertical="center"/>
    </xf>
    <xf numFmtId="0" fontId="14" fillId="0" borderId="0" xfId="0" applyFont="1" applyFill="1" applyBorder="1" applyAlignment="1" applyProtection="1">
      <alignment horizontal="center" vertical="center"/>
    </xf>
    <xf numFmtId="165" fontId="14" fillId="0" borderId="0" xfId="1" applyFont="1" applyAlignment="1" applyProtection="1">
      <alignment horizontal="center" vertical="center"/>
    </xf>
    <xf numFmtId="0" fontId="13" fillId="0" borderId="0" xfId="0" applyFont="1" applyAlignment="1" applyProtection="1">
      <alignment vertical="center"/>
    </xf>
    <xf numFmtId="0" fontId="13" fillId="0" borderId="0" xfId="0" applyFont="1" applyAlignment="1" applyProtection="1">
      <alignment horizontal="center" vertical="center"/>
    </xf>
    <xf numFmtId="3" fontId="13" fillId="0" borderId="0" xfId="0" applyNumberFormat="1" applyFont="1" applyAlignment="1" applyProtection="1">
      <alignment horizontal="center" vertical="center"/>
    </xf>
    <xf numFmtId="3" fontId="13" fillId="0" borderId="0" xfId="0" applyNumberFormat="1" applyFont="1" applyFill="1" applyBorder="1" applyAlignment="1" applyProtection="1">
      <alignment horizontal="center" vertical="center"/>
    </xf>
    <xf numFmtId="165" fontId="13" fillId="0" borderId="0" xfId="1" applyFont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11" fillId="0" borderId="0" xfId="0" applyFont="1" applyAlignment="1" applyProtection="1">
      <alignment horizontal="center" vertical="center"/>
    </xf>
    <xf numFmtId="3" fontId="4" fillId="0" borderId="0" xfId="0" applyNumberFormat="1" applyFont="1" applyAlignment="1" applyProtection="1">
      <alignment horizontal="center" vertical="center"/>
    </xf>
    <xf numFmtId="3" fontId="11" fillId="0" borderId="0" xfId="0" applyNumberFormat="1" applyFont="1" applyAlignment="1" applyProtection="1">
      <alignment horizontal="center" vertical="center"/>
    </xf>
    <xf numFmtId="3" fontId="11" fillId="0" borderId="0" xfId="0" applyNumberFormat="1" applyFont="1" applyFill="1" applyBorder="1" applyAlignment="1" applyProtection="1">
      <alignment horizontal="center" vertical="center"/>
    </xf>
    <xf numFmtId="165" fontId="4" fillId="0" borderId="0" xfId="1" applyFont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 wrapText="1"/>
    </xf>
    <xf numFmtId="3" fontId="8" fillId="0" borderId="0" xfId="0" applyNumberFormat="1" applyFont="1" applyFill="1" applyBorder="1" applyAlignment="1" applyProtection="1">
      <alignment horizontal="center" vertical="center" wrapText="1"/>
    </xf>
    <xf numFmtId="165" fontId="2" fillId="0" borderId="9" xfId="1" applyFont="1" applyBorder="1" applyAlignment="1" applyProtection="1">
      <alignment horizontal="center" vertical="center" wrapText="1"/>
    </xf>
    <xf numFmtId="3" fontId="8" fillId="0" borderId="2" xfId="0" applyNumberFormat="1" applyFont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center" vertical="center" wrapText="1"/>
    </xf>
    <xf numFmtId="0" fontId="8" fillId="0" borderId="4" xfId="0" applyFont="1" applyBorder="1" applyAlignment="1" applyProtection="1">
      <alignment horizontal="center" vertical="center" wrapText="1"/>
    </xf>
    <xf numFmtId="3" fontId="2" fillId="0" borderId="4" xfId="0" applyNumberFormat="1" applyFont="1" applyBorder="1" applyAlignment="1" applyProtection="1">
      <alignment horizontal="center" vertical="center" wrapText="1"/>
    </xf>
    <xf numFmtId="3" fontId="8" fillId="0" borderId="4" xfId="0" applyNumberFormat="1" applyFont="1" applyBorder="1" applyAlignment="1" applyProtection="1">
      <alignment horizontal="center" vertical="center" wrapText="1"/>
    </xf>
    <xf numFmtId="165" fontId="2" fillId="0" borderId="4" xfId="1" applyFont="1" applyBorder="1" applyAlignment="1" applyProtection="1">
      <alignment horizontal="center" vertical="center" wrapText="1"/>
    </xf>
    <xf numFmtId="0" fontId="2" fillId="0" borderId="6" xfId="0" applyFont="1" applyBorder="1" applyAlignment="1" applyProtection="1">
      <alignment vertical="center" wrapText="1"/>
    </xf>
    <xf numFmtId="4" fontId="2" fillId="0" borderId="6" xfId="0" applyNumberFormat="1" applyFont="1" applyBorder="1" applyAlignment="1" applyProtection="1">
      <alignment horizontal="center" vertical="center" wrapText="1"/>
    </xf>
    <xf numFmtId="0" fontId="8" fillId="0" borderId="6" xfId="0" applyFont="1" applyBorder="1" applyAlignment="1" applyProtection="1">
      <alignment vertical="center" wrapText="1"/>
    </xf>
    <xf numFmtId="3" fontId="2" fillId="0" borderId="6" xfId="0" applyNumberFormat="1" applyFont="1" applyBorder="1" applyAlignment="1" applyProtection="1">
      <alignment horizontal="center" vertical="center" wrapText="1"/>
    </xf>
    <xf numFmtId="3" fontId="8" fillId="0" borderId="6" xfId="0" applyNumberFormat="1" applyFont="1" applyBorder="1" applyAlignment="1" applyProtection="1">
      <alignment horizontal="center" vertical="center" wrapText="1"/>
    </xf>
    <xf numFmtId="165" fontId="2" fillId="0" borderId="6" xfId="1" applyFont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vertical="center"/>
    </xf>
    <xf numFmtId="0" fontId="5" fillId="0" borderId="3" xfId="0" applyFont="1" applyBorder="1" applyAlignment="1" applyProtection="1">
      <alignment vertical="center" wrapText="1"/>
    </xf>
    <xf numFmtId="0" fontId="9" fillId="0" borderId="8" xfId="0" applyFont="1" applyBorder="1" applyAlignment="1" applyProtection="1">
      <alignment horizontal="center" vertical="center" wrapText="1"/>
    </xf>
    <xf numFmtId="3" fontId="5" fillId="0" borderId="7" xfId="0" applyNumberFormat="1" applyFont="1" applyBorder="1" applyAlignment="1" applyProtection="1">
      <alignment horizontal="center" vertical="center" wrapText="1"/>
    </xf>
    <xf numFmtId="3" fontId="9" fillId="0" borderId="8" xfId="0" applyNumberFormat="1" applyFont="1" applyBorder="1" applyAlignment="1" applyProtection="1">
      <alignment horizontal="center" vertical="center" wrapText="1"/>
    </xf>
    <xf numFmtId="3" fontId="9" fillId="0" borderId="0" xfId="0" applyNumberFormat="1" applyFont="1" applyFill="1" applyBorder="1" applyAlignment="1" applyProtection="1">
      <alignment horizontal="center" vertical="center" wrapText="1"/>
    </xf>
    <xf numFmtId="165" fontId="5" fillId="0" borderId="7" xfId="1" applyFont="1" applyBorder="1" applyAlignment="1" applyProtection="1">
      <alignment horizontal="center" vertical="center" wrapText="1"/>
    </xf>
    <xf numFmtId="0" fontId="2" fillId="0" borderId="5" xfId="0" applyFont="1" applyBorder="1" applyAlignment="1" applyProtection="1">
      <alignment vertical="center" wrapText="1"/>
    </xf>
    <xf numFmtId="4" fontId="2" fillId="0" borderId="5" xfId="0" applyNumberFormat="1" applyFont="1" applyBorder="1" applyAlignment="1" applyProtection="1">
      <alignment horizontal="center" vertical="center" wrapText="1"/>
    </xf>
    <xf numFmtId="0" fontId="8" fillId="0" borderId="5" xfId="0" applyFont="1" applyBorder="1" applyAlignment="1" applyProtection="1">
      <alignment vertical="center" wrapText="1"/>
    </xf>
    <xf numFmtId="3" fontId="2" fillId="0" borderId="5" xfId="0" applyNumberFormat="1" applyFont="1" applyBorder="1" applyAlignment="1" applyProtection="1">
      <alignment horizontal="center" vertical="center" wrapText="1"/>
    </xf>
    <xf numFmtId="3" fontId="8" fillId="0" borderId="5" xfId="0" applyNumberFormat="1" applyFont="1" applyBorder="1" applyAlignment="1" applyProtection="1">
      <alignment horizontal="center" vertical="center" wrapText="1"/>
    </xf>
    <xf numFmtId="165" fontId="2" fillId="0" borderId="5" xfId="1" applyFont="1" applyBorder="1" applyAlignment="1" applyProtection="1">
      <alignment horizontal="center" vertical="center" wrapText="1"/>
    </xf>
    <xf numFmtId="3" fontId="5" fillId="2" borderId="7" xfId="0" applyNumberFormat="1" applyFont="1" applyFill="1" applyBorder="1" applyAlignment="1" applyProtection="1">
      <alignment horizontal="center" vertical="center" wrapText="1"/>
    </xf>
    <xf numFmtId="3" fontId="9" fillId="2" borderId="8" xfId="0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vertical="center"/>
    </xf>
    <xf numFmtId="3" fontId="7" fillId="0" borderId="0" xfId="0" applyNumberFormat="1" applyFont="1" applyFill="1" applyBorder="1" applyAlignment="1" applyProtection="1">
      <alignment horizontal="right" vertical="center"/>
    </xf>
    <xf numFmtId="166" fontId="4" fillId="0" borderId="0" xfId="0" applyNumberFormat="1" applyFont="1" applyAlignment="1" applyProtection="1">
      <alignment vertical="center"/>
    </xf>
    <xf numFmtId="0" fontId="9" fillId="0" borderId="0" xfId="0" applyFont="1" applyBorder="1" applyAlignment="1" applyProtection="1">
      <alignment horizontal="center" vertical="center" wrapText="1"/>
    </xf>
    <xf numFmtId="3" fontId="5" fillId="0" borderId="0" xfId="0" applyNumberFormat="1" applyFont="1" applyBorder="1" applyAlignment="1" applyProtection="1">
      <alignment horizontal="center" vertical="center" wrapText="1"/>
    </xf>
    <xf numFmtId="3" fontId="9" fillId="0" borderId="0" xfId="0" applyNumberFormat="1" applyFont="1" applyBorder="1" applyAlignment="1" applyProtection="1">
      <alignment horizontal="center" vertical="center" wrapText="1"/>
    </xf>
    <xf numFmtId="165" fontId="5" fillId="0" borderId="0" xfId="1" applyFont="1" applyBorder="1" applyAlignment="1" applyProtection="1">
      <alignment horizontal="center" vertical="center" wrapText="1"/>
    </xf>
    <xf numFmtId="3" fontId="2" fillId="0" borderId="1" xfId="0" applyNumberFormat="1" applyFont="1" applyBorder="1" applyAlignment="1" applyProtection="1">
      <alignment horizontal="center" vertical="center" wrapText="1"/>
    </xf>
    <xf numFmtId="165" fontId="2" fillId="0" borderId="1" xfId="1" applyFont="1" applyBorder="1" applyAlignment="1" applyProtection="1">
      <alignment horizontal="center" vertical="center" wrapText="1"/>
    </xf>
    <xf numFmtId="0" fontId="7" fillId="0" borderId="0" xfId="0" applyFont="1" applyAlignment="1" applyProtection="1">
      <alignment horizontal="center" vertical="center"/>
    </xf>
    <xf numFmtId="0" fontId="14" fillId="0" borderId="0" xfId="0" applyFont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 wrapText="1"/>
    </xf>
    <xf numFmtId="164" fontId="4" fillId="0" borderId="0" xfId="3" applyFont="1" applyAlignment="1" applyProtection="1">
      <alignment vertical="center"/>
    </xf>
    <xf numFmtId="164" fontId="13" fillId="0" borderId="0" xfId="3" applyFont="1" applyAlignment="1" applyProtection="1">
      <alignment vertical="center"/>
    </xf>
    <xf numFmtId="164" fontId="4" fillId="0" borderId="0" xfId="3" applyFont="1" applyBorder="1" applyAlignment="1" applyProtection="1">
      <alignment vertical="center"/>
    </xf>
    <xf numFmtId="0" fontId="5" fillId="0" borderId="10" xfId="0" applyFont="1" applyBorder="1" applyAlignment="1" applyProtection="1">
      <alignment vertical="center" wrapText="1"/>
    </xf>
    <xf numFmtId="4" fontId="5" fillId="0" borderId="10" xfId="0" applyNumberFormat="1" applyFont="1" applyBorder="1" applyAlignment="1" applyProtection="1">
      <alignment horizontal="center" vertical="center" wrapText="1"/>
    </xf>
    <xf numFmtId="0" fontId="11" fillId="0" borderId="0" xfId="0" applyFont="1" applyBorder="1" applyAlignment="1" applyProtection="1">
      <alignment horizontal="center" vertical="center"/>
    </xf>
    <xf numFmtId="167" fontId="5" fillId="0" borderId="3" xfId="0" applyNumberFormat="1" applyFont="1" applyBorder="1" applyAlignment="1" applyProtection="1">
      <alignment horizontal="center" vertical="center" wrapText="1"/>
    </xf>
    <xf numFmtId="0" fontId="5" fillId="0" borderId="0" xfId="0" applyFont="1" applyBorder="1" applyAlignment="1" applyProtection="1">
      <alignment vertical="center" wrapText="1"/>
    </xf>
    <xf numFmtId="9" fontId="5" fillId="0" borderId="0" xfId="2" applyFont="1" applyBorder="1" applyAlignment="1" applyProtection="1">
      <alignment horizontal="center" vertical="center" wrapText="1"/>
    </xf>
    <xf numFmtId="9" fontId="2" fillId="0" borderId="3" xfId="2" applyFont="1" applyBorder="1" applyAlignment="1" applyProtection="1">
      <alignment horizontal="center" vertical="center" wrapText="1"/>
    </xf>
    <xf numFmtId="165" fontId="5" fillId="3" borderId="7" xfId="1" applyFont="1" applyFill="1" applyBorder="1" applyAlignment="1" applyProtection="1">
      <alignment horizontal="center" vertical="center" wrapText="1"/>
    </xf>
    <xf numFmtId="4" fontId="2" fillId="0" borderId="5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165" fontId="4" fillId="0" borderId="0" xfId="1" applyFont="1" applyAlignment="1" applyProtection="1">
      <alignment horizontal="center" vertical="center"/>
      <protection locked="0"/>
    </xf>
    <xf numFmtId="3" fontId="13" fillId="0" borderId="0" xfId="0" applyNumberFormat="1" applyFont="1" applyFill="1" applyBorder="1" applyAlignment="1" applyProtection="1">
      <alignment horizontal="right" vertical="center"/>
    </xf>
    <xf numFmtId="0" fontId="17" fillId="0" borderId="0" xfId="0" applyFont="1" applyAlignment="1" applyProtection="1">
      <alignment horizontal="center" vertical="center"/>
    </xf>
    <xf numFmtId="0" fontId="18" fillId="0" borderId="0" xfId="0" applyFont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 wrapText="1"/>
    </xf>
    <xf numFmtId="168" fontId="5" fillId="0" borderId="7" xfId="0" applyNumberFormat="1" applyFont="1" applyBorder="1" applyAlignment="1" applyProtection="1">
      <alignment horizontal="center" vertical="center" wrapText="1"/>
    </xf>
    <xf numFmtId="167" fontId="5" fillId="0" borderId="7" xfId="0" applyNumberFormat="1" applyFont="1" applyBorder="1" applyAlignment="1" applyProtection="1">
      <alignment horizontal="center" vertical="center" wrapText="1"/>
    </xf>
    <xf numFmtId="165" fontId="5" fillId="0" borderId="7" xfId="1" applyNumberFormat="1" applyFont="1" applyBorder="1" applyAlignment="1" applyProtection="1">
      <alignment horizontal="center" vertical="center" wrapText="1"/>
    </xf>
    <xf numFmtId="165" fontId="14" fillId="0" borderId="0" xfId="1" applyNumberFormat="1" applyFont="1" applyAlignment="1" applyProtection="1">
      <alignment horizontal="center" vertical="center"/>
    </xf>
    <xf numFmtId="165" fontId="13" fillId="0" borderId="0" xfId="1" applyNumberFormat="1" applyFont="1" applyAlignment="1" applyProtection="1">
      <alignment horizontal="center" vertical="center"/>
    </xf>
    <xf numFmtId="165" fontId="4" fillId="0" borderId="0" xfId="1" applyNumberFormat="1" applyFont="1" applyAlignment="1" applyProtection="1">
      <alignment horizontal="center" vertical="center"/>
    </xf>
    <xf numFmtId="165" fontId="2" fillId="0" borderId="9" xfId="1" applyNumberFormat="1" applyFont="1" applyBorder="1" applyAlignment="1" applyProtection="1">
      <alignment horizontal="center" vertical="center" wrapText="1"/>
    </xf>
    <xf numFmtId="165" fontId="2" fillId="0" borderId="4" xfId="1" applyNumberFormat="1" applyFont="1" applyBorder="1" applyAlignment="1" applyProtection="1">
      <alignment horizontal="center" vertical="center" wrapText="1"/>
    </xf>
    <xf numFmtId="165" fontId="2" fillId="0" borderId="6" xfId="1" applyNumberFormat="1" applyFont="1" applyBorder="1" applyAlignment="1" applyProtection="1">
      <alignment horizontal="center" vertical="center" wrapText="1"/>
    </xf>
    <xf numFmtId="165" fontId="2" fillId="0" borderId="5" xfId="1" applyNumberFormat="1" applyFont="1" applyBorder="1" applyAlignment="1" applyProtection="1">
      <alignment horizontal="center" vertical="center" wrapText="1"/>
    </xf>
    <xf numFmtId="165" fontId="5" fillId="0" borderId="0" xfId="1" applyNumberFormat="1" applyFont="1" applyBorder="1" applyAlignment="1" applyProtection="1">
      <alignment horizontal="center" vertical="center" wrapText="1"/>
    </xf>
    <xf numFmtId="165" fontId="4" fillId="0" borderId="0" xfId="0" applyNumberFormat="1" applyFont="1" applyBorder="1" applyAlignment="1" applyProtection="1">
      <alignment vertical="center"/>
    </xf>
    <xf numFmtId="165" fontId="4" fillId="0" borderId="0" xfId="1" applyNumberFormat="1" applyFont="1" applyAlignment="1" applyProtection="1">
      <alignment horizontal="center" vertical="center"/>
      <protection locked="0"/>
    </xf>
    <xf numFmtId="164" fontId="4" fillId="0" borderId="0" xfId="3" applyFont="1" applyAlignment="1" applyProtection="1">
      <alignment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0" xfId="0" applyFont="1" applyFill="1" applyBorder="1" applyAlignment="1" applyProtection="1">
      <alignment horizontal="center" vertical="center"/>
      <protection locked="0"/>
    </xf>
    <xf numFmtId="165" fontId="14" fillId="0" borderId="0" xfId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3" fontId="13" fillId="0" borderId="0" xfId="0" applyNumberFormat="1" applyFont="1" applyAlignment="1" applyProtection="1">
      <alignment horizontal="center" vertical="center"/>
      <protection locked="0"/>
    </xf>
    <xf numFmtId="3" fontId="13" fillId="0" borderId="0" xfId="0" applyNumberFormat="1" applyFont="1" applyFill="1" applyBorder="1" applyAlignment="1" applyProtection="1">
      <alignment horizontal="center" vertical="center"/>
      <protection locked="0"/>
    </xf>
    <xf numFmtId="165" fontId="13" fillId="0" borderId="0" xfId="1" applyFont="1" applyAlignment="1" applyProtection="1">
      <alignment horizontal="center" vertical="center"/>
      <protection locked="0"/>
    </xf>
    <xf numFmtId="164" fontId="13" fillId="0" borderId="0" xfId="3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3" fontId="4" fillId="0" borderId="0" xfId="0" applyNumberFormat="1" applyFont="1" applyAlignment="1" applyProtection="1">
      <alignment horizontal="center" vertical="center"/>
      <protection locked="0"/>
    </xf>
    <xf numFmtId="3" fontId="11" fillId="0" borderId="0" xfId="0" applyNumberFormat="1" applyFont="1" applyAlignment="1" applyProtection="1">
      <alignment horizontal="center" vertical="center"/>
      <protection locked="0"/>
    </xf>
    <xf numFmtId="3" fontId="11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3" fontId="8" fillId="0" borderId="0" xfId="0" applyNumberFormat="1" applyFont="1" applyFill="1" applyBorder="1" applyAlignment="1" applyProtection="1">
      <alignment horizontal="center" vertical="center" wrapText="1"/>
      <protection locked="0"/>
    </xf>
    <xf numFmtId="3" fontId="2" fillId="0" borderId="1" xfId="0" applyNumberFormat="1" applyFont="1" applyBorder="1" applyAlignment="1" applyProtection="1">
      <alignment horizontal="center" vertical="center" wrapText="1"/>
      <protection locked="0"/>
    </xf>
    <xf numFmtId="165" fontId="2" fillId="0" borderId="9" xfId="1" applyFont="1" applyBorder="1" applyAlignment="1" applyProtection="1">
      <alignment horizontal="center" vertical="center" wrapText="1"/>
      <protection locked="0"/>
    </xf>
    <xf numFmtId="3" fontId="8" fillId="0" borderId="2" xfId="0" applyNumberFormat="1" applyFont="1" applyBorder="1" applyAlignment="1" applyProtection="1">
      <alignment horizontal="center" vertical="center" wrapText="1"/>
      <protection locked="0"/>
    </xf>
    <xf numFmtId="165" fontId="2" fillId="0" borderId="1" xfId="1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 applyProtection="1">
      <alignment horizontal="center" vertical="center" wrapText="1"/>
      <protection locked="0"/>
    </xf>
    <xf numFmtId="3" fontId="2" fillId="0" borderId="4" xfId="0" applyNumberFormat="1" applyFont="1" applyBorder="1" applyAlignment="1" applyProtection="1">
      <alignment horizontal="center" vertical="center" wrapText="1"/>
      <protection locked="0"/>
    </xf>
    <xf numFmtId="3" fontId="8" fillId="0" borderId="4" xfId="0" applyNumberFormat="1" applyFont="1" applyBorder="1" applyAlignment="1" applyProtection="1">
      <alignment horizontal="center" vertical="center" wrapText="1"/>
      <protection locked="0"/>
    </xf>
    <xf numFmtId="165" fontId="2" fillId="0" borderId="4" xfId="1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vertical="center" wrapText="1"/>
      <protection locked="0"/>
    </xf>
    <xf numFmtId="4" fontId="2" fillId="0" borderId="6" xfId="0" applyNumberFormat="1" applyFont="1" applyBorder="1" applyAlignment="1" applyProtection="1">
      <alignment horizontal="center" vertical="center" wrapText="1"/>
      <protection locked="0"/>
    </xf>
    <xf numFmtId="0" fontId="8" fillId="0" borderId="6" xfId="0" applyFont="1" applyBorder="1" applyAlignment="1" applyProtection="1">
      <alignment vertical="center" wrapText="1"/>
      <protection locked="0"/>
    </xf>
    <xf numFmtId="3" fontId="2" fillId="0" borderId="6" xfId="0" applyNumberFormat="1" applyFont="1" applyBorder="1" applyAlignment="1" applyProtection="1">
      <alignment horizontal="center" vertical="center" wrapText="1"/>
      <protection locked="0"/>
    </xf>
    <xf numFmtId="3" fontId="8" fillId="0" borderId="6" xfId="0" applyNumberFormat="1" applyFont="1" applyBorder="1" applyAlignment="1" applyProtection="1">
      <alignment horizontal="center" vertical="center" wrapText="1"/>
      <protection locked="0"/>
    </xf>
    <xf numFmtId="165" fontId="2" fillId="0" borderId="6" xfId="1" applyFont="1" applyBorder="1" applyAlignment="1" applyProtection="1">
      <alignment horizontal="center" vertical="center" wrapText="1"/>
      <protection locked="0"/>
    </xf>
    <xf numFmtId="164" fontId="4" fillId="0" borderId="0" xfId="3" applyFont="1" applyBorder="1" applyAlignment="1" applyProtection="1">
      <alignment vertical="center"/>
      <protection locked="0"/>
    </xf>
    <xf numFmtId="0" fontId="5" fillId="0" borderId="3" xfId="0" applyFont="1" applyBorder="1" applyAlignment="1" applyProtection="1">
      <alignment vertical="center" wrapText="1"/>
      <protection locked="0"/>
    </xf>
    <xf numFmtId="0" fontId="9" fillId="0" borderId="8" xfId="0" applyFont="1" applyBorder="1" applyAlignment="1" applyProtection="1">
      <alignment horizontal="center" vertical="center" wrapText="1"/>
      <protection locked="0"/>
    </xf>
    <xf numFmtId="167" fontId="5" fillId="6" borderId="3" xfId="0" applyNumberFormat="1" applyFont="1" applyFill="1" applyBorder="1" applyAlignment="1" applyProtection="1">
      <alignment horizontal="center" vertical="center" wrapText="1"/>
      <protection locked="0"/>
    </xf>
    <xf numFmtId="3" fontId="5" fillId="0" borderId="7" xfId="0" applyNumberFormat="1" applyFont="1" applyBorder="1" applyAlignment="1" applyProtection="1">
      <alignment horizontal="center" vertical="center" wrapText="1"/>
      <protection locked="0"/>
    </xf>
    <xf numFmtId="3" fontId="9" fillId="0" borderId="8" xfId="0" applyNumberFormat="1" applyFont="1" applyBorder="1" applyAlignment="1" applyProtection="1">
      <alignment horizontal="center" vertical="center" wrapText="1"/>
      <protection locked="0"/>
    </xf>
    <xf numFmtId="3" fontId="9" fillId="0" borderId="0" xfId="0" applyNumberFormat="1" applyFont="1" applyFill="1" applyBorder="1" applyAlignment="1" applyProtection="1">
      <alignment horizontal="center" vertical="center" wrapText="1"/>
      <protection locked="0"/>
    </xf>
    <xf numFmtId="165" fontId="5" fillId="0" borderId="7" xfId="1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0" fontId="8" fillId="0" borderId="5" xfId="0" applyFont="1" applyBorder="1" applyAlignment="1" applyProtection="1">
      <alignment vertical="center" wrapText="1"/>
      <protection locked="0"/>
    </xf>
    <xf numFmtId="3" fontId="2" fillId="0" borderId="5" xfId="0" applyNumberFormat="1" applyFont="1" applyBorder="1" applyAlignment="1" applyProtection="1">
      <alignment horizontal="center" vertical="center" wrapText="1"/>
      <protection locked="0"/>
    </xf>
    <xf numFmtId="3" fontId="8" fillId="0" borderId="5" xfId="0" applyNumberFormat="1" applyFont="1" applyBorder="1" applyAlignment="1" applyProtection="1">
      <alignment horizontal="center" vertical="center" wrapText="1"/>
      <protection locked="0"/>
    </xf>
    <xf numFmtId="165" fontId="2" fillId="0" borderId="5" xfId="1" applyFont="1" applyBorder="1" applyAlignment="1" applyProtection="1">
      <alignment horizontal="center" vertical="center" wrapText="1"/>
      <protection locked="0"/>
    </xf>
    <xf numFmtId="167" fontId="5" fillId="0" borderId="7" xfId="0" applyNumberFormat="1" applyFont="1" applyBorder="1" applyAlignment="1" applyProtection="1">
      <alignment horizontal="center" vertical="center" wrapText="1"/>
      <protection locked="0"/>
    </xf>
    <xf numFmtId="167" fontId="5" fillId="6" borderId="7" xfId="0" applyNumberFormat="1" applyFont="1" applyFill="1" applyBorder="1" applyAlignment="1" applyProtection="1">
      <alignment horizontal="center" vertical="center" wrapText="1"/>
      <protection locked="0"/>
    </xf>
    <xf numFmtId="3" fontId="5" fillId="2" borderId="7" xfId="0" applyNumberFormat="1" applyFont="1" applyFill="1" applyBorder="1" applyAlignment="1" applyProtection="1">
      <alignment horizontal="center" vertical="center" wrapText="1"/>
      <protection locked="0"/>
    </xf>
    <xf numFmtId="3" fontId="9" fillId="2" borderId="8" xfId="0" applyNumberFormat="1" applyFont="1" applyFill="1" applyBorder="1" applyAlignment="1" applyProtection="1">
      <alignment horizontal="center" vertical="center" wrapText="1"/>
      <protection locked="0"/>
    </xf>
    <xf numFmtId="168" fontId="5" fillId="6" borderId="7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0" xfId="0" applyFont="1" applyBorder="1" applyAlignment="1" applyProtection="1">
      <alignment vertical="center" wrapText="1"/>
      <protection locked="0"/>
    </xf>
    <xf numFmtId="4" fontId="5" fillId="0" borderId="10" xfId="0" applyNumberFormat="1" applyFont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center" vertical="center" wrapText="1"/>
      <protection locked="0"/>
    </xf>
    <xf numFmtId="3" fontId="5" fillId="0" borderId="0" xfId="0" applyNumberFormat="1" applyFont="1" applyBorder="1" applyAlignment="1" applyProtection="1">
      <alignment horizontal="center" vertical="center" wrapText="1"/>
      <protection locked="0"/>
    </xf>
    <xf numFmtId="3" fontId="9" fillId="0" borderId="0" xfId="0" applyNumberFormat="1" applyFont="1" applyBorder="1" applyAlignment="1" applyProtection="1">
      <alignment horizontal="center" vertical="center" wrapText="1"/>
      <protection locked="0"/>
    </xf>
    <xf numFmtId="165" fontId="5" fillId="0" borderId="0" xfId="1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vertical="center" wrapText="1"/>
      <protection locked="0"/>
    </xf>
    <xf numFmtId="9" fontId="5" fillId="0" borderId="0" xfId="2" applyFont="1" applyBorder="1" applyAlignment="1" applyProtection="1">
      <alignment horizontal="center" vertical="center" wrapText="1"/>
      <protection locked="0"/>
    </xf>
    <xf numFmtId="0" fontId="11" fillId="0" borderId="0" xfId="0" applyFont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vertical="center"/>
      <protection locked="0"/>
    </xf>
    <xf numFmtId="3" fontId="7" fillId="0" borderId="0" xfId="0" applyNumberFormat="1" applyFont="1" applyFill="1" applyBorder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9" fontId="2" fillId="0" borderId="3" xfId="2" applyFont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166" fontId="4" fillId="0" borderId="0" xfId="0" applyNumberFormat="1" applyFont="1" applyAlignment="1" applyProtection="1">
      <alignment vertical="center"/>
      <protection locked="0"/>
    </xf>
    <xf numFmtId="165" fontId="5" fillId="3" borderId="7" xfId="1" applyNumberFormat="1" applyFont="1" applyFill="1" applyBorder="1" applyAlignment="1" applyProtection="1">
      <alignment horizontal="center" vertical="center" wrapText="1"/>
      <protection locked="0"/>
    </xf>
    <xf numFmtId="0" fontId="21" fillId="4" borderId="3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3" fillId="5" borderId="11" xfId="4" applyFont="1" applyFill="1" applyBorder="1" applyAlignment="1" applyProtection="1">
      <alignment horizontal="center" vertical="center" wrapText="1"/>
    </xf>
    <xf numFmtId="0" fontId="23" fillId="5" borderId="13" xfId="4" applyFont="1" applyFill="1" applyBorder="1" applyAlignment="1" applyProtection="1">
      <alignment horizontal="center" vertical="center" wrapText="1"/>
    </xf>
    <xf numFmtId="0" fontId="23" fillId="5" borderId="12" xfId="4" applyFont="1" applyFill="1" applyBorder="1" applyAlignment="1" applyProtection="1">
      <alignment horizontal="center" vertical="center" wrapText="1"/>
    </xf>
    <xf numFmtId="0" fontId="23" fillId="5" borderId="14" xfId="4" applyFont="1" applyFill="1" applyBorder="1" applyAlignment="1" applyProtection="1">
      <alignment horizontal="center" vertical="center" wrapText="1"/>
    </xf>
    <xf numFmtId="0" fontId="2" fillId="0" borderId="9" xfId="0" applyFont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center" vertical="center" wrapText="1"/>
    </xf>
    <xf numFmtId="3" fontId="2" fillId="0" borderId="9" xfId="0" applyNumberFormat="1" applyFont="1" applyBorder="1" applyAlignment="1" applyProtection="1">
      <alignment horizontal="center" vertical="center" wrapText="1"/>
    </xf>
    <xf numFmtId="3" fontId="2" fillId="0" borderId="2" xfId="0" applyNumberFormat="1" applyFont="1" applyBorder="1" applyAlignment="1" applyProtection="1">
      <alignment horizontal="center" vertical="center" wrapText="1"/>
    </xf>
    <xf numFmtId="0" fontId="13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center" vertical="center"/>
    </xf>
    <xf numFmtId="0" fontId="13" fillId="0" borderId="0" xfId="0" applyFont="1" applyAlignment="1" applyProtection="1">
      <alignment horizontal="left" vertical="center" wrapText="1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3" fontId="2" fillId="0" borderId="9" xfId="0" applyNumberFormat="1" applyFont="1" applyBorder="1" applyAlignment="1" applyProtection="1">
      <alignment horizontal="center" vertical="center" wrapText="1"/>
      <protection locked="0"/>
    </xf>
    <xf numFmtId="3" fontId="2" fillId="0" borderId="2" xfId="0" applyNumberFormat="1" applyFont="1" applyBorder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center" vertical="center"/>
      <protection locked="0"/>
    </xf>
  </cellXfs>
  <cellStyles count="6">
    <cellStyle name="Migliaia" xfId="1" builtinId="3"/>
    <cellStyle name="Normale" xfId="0" builtinId="0"/>
    <cellStyle name="Normale 2" xfId="4"/>
    <cellStyle name="Normale 3" xfId="5"/>
    <cellStyle name="Percentuale" xfId="2" builtinId="5"/>
    <cellStyle name="Valuta" xfId="3" builtinId="4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142874</xdr:colOff>
      <xdr:row>4</xdr:row>
      <xdr:rowOff>333374</xdr:rowOff>
    </xdr:from>
    <xdr:to>
      <xdr:col>1</xdr:col>
      <xdr:colOff>2038349</xdr:colOff>
      <xdr:row>4</xdr:row>
      <xdr:rowOff>1619249</xdr:rowOff>
    </xdr:to>
    <xdr:pic>
      <xdr:nvPicPr>
        <xdr:cNvPr id="2" name="Immagin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4" y="1181099"/>
          <a:ext cx="1895475" cy="12858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533400</xdr:colOff>
      <xdr:row>0</xdr:row>
      <xdr:rowOff>114300</xdr:rowOff>
    </xdr:from>
    <xdr:to>
      <xdr:col>13</xdr:col>
      <xdr:colOff>1512570</xdr:colOff>
      <xdr:row>0</xdr:row>
      <xdr:rowOff>486410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39825" y="114300"/>
          <a:ext cx="979170" cy="3721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533400</xdr:colOff>
      <xdr:row>0</xdr:row>
      <xdr:rowOff>114300</xdr:rowOff>
    </xdr:from>
    <xdr:to>
      <xdr:col>13</xdr:col>
      <xdr:colOff>1512570</xdr:colOff>
      <xdr:row>0</xdr:row>
      <xdr:rowOff>486410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15900" y="114300"/>
          <a:ext cx="979170" cy="3721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352425</xdr:colOff>
      <xdr:row>0</xdr:row>
      <xdr:rowOff>95250</xdr:rowOff>
    </xdr:from>
    <xdr:to>
      <xdr:col>13</xdr:col>
      <xdr:colOff>1331595</xdr:colOff>
      <xdr:row>0</xdr:row>
      <xdr:rowOff>467360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34925" y="95250"/>
          <a:ext cx="979170" cy="3721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352425</xdr:colOff>
      <xdr:row>0</xdr:row>
      <xdr:rowOff>95250</xdr:rowOff>
    </xdr:from>
    <xdr:to>
      <xdr:col>13</xdr:col>
      <xdr:colOff>1331595</xdr:colOff>
      <xdr:row>0</xdr:row>
      <xdr:rowOff>467360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58850" y="95250"/>
          <a:ext cx="979170" cy="3721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352425</xdr:colOff>
      <xdr:row>0</xdr:row>
      <xdr:rowOff>95250</xdr:rowOff>
    </xdr:from>
    <xdr:to>
      <xdr:col>13</xdr:col>
      <xdr:colOff>1331595</xdr:colOff>
      <xdr:row>0</xdr:row>
      <xdr:rowOff>467360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58850" y="95250"/>
          <a:ext cx="979170" cy="37211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352425</xdr:colOff>
      <xdr:row>0</xdr:row>
      <xdr:rowOff>95250</xdr:rowOff>
    </xdr:from>
    <xdr:to>
      <xdr:col>13</xdr:col>
      <xdr:colOff>1331595</xdr:colOff>
      <xdr:row>0</xdr:row>
      <xdr:rowOff>467360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58850" y="95250"/>
          <a:ext cx="979170" cy="372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"/>
  <sheetViews>
    <sheetView view="pageBreakPreview" topLeftCell="C1" zoomScale="60" zoomScaleNormal="100" zoomScalePageLayoutView="40" workbookViewId="0">
      <selection activeCell="D19" sqref="D19"/>
    </sheetView>
  </sheetViews>
  <sheetFormatPr defaultRowHeight="15" x14ac:dyDescent="0.25"/>
  <cols>
    <col min="2" max="2" width="45.42578125" customWidth="1"/>
    <col min="4" max="4" width="151" customWidth="1"/>
  </cols>
  <sheetData>
    <row r="1" spans="1:4" ht="18" customHeight="1" x14ac:dyDescent="0.25">
      <c r="A1" s="158"/>
      <c r="B1" s="158"/>
      <c r="C1" s="158"/>
      <c r="D1" s="158"/>
    </row>
    <row r="2" spans="1:4" ht="63.75" customHeight="1" x14ac:dyDescent="0.25">
      <c r="A2" s="159" t="s">
        <v>127</v>
      </c>
      <c r="B2" s="160"/>
      <c r="C2" s="160"/>
      <c r="D2" s="161"/>
    </row>
    <row r="3" spans="1:4" ht="87.75" customHeight="1" x14ac:dyDescent="0.25">
      <c r="A3" s="162"/>
      <c r="B3" s="163"/>
      <c r="C3" s="158" t="s">
        <v>128</v>
      </c>
      <c r="D3" s="158"/>
    </row>
    <row r="4" spans="1:4" ht="15" customHeight="1" x14ac:dyDescent="0.25">
      <c r="A4" s="164"/>
      <c r="B4" s="165"/>
      <c r="C4" s="168" t="s">
        <v>116</v>
      </c>
      <c r="D4" s="169"/>
    </row>
    <row r="5" spans="1:4" ht="228.75" customHeight="1" x14ac:dyDescent="0.25">
      <c r="A5" s="166"/>
      <c r="B5" s="167"/>
      <c r="C5" s="170"/>
      <c r="D5" s="171"/>
    </row>
  </sheetData>
  <mergeCells count="5">
    <mergeCell ref="A1:D1"/>
    <mergeCell ref="A2:D2"/>
    <mergeCell ref="A3:B5"/>
    <mergeCell ref="C3:D3"/>
    <mergeCell ref="C4:D5"/>
  </mergeCells>
  <pageMargins left="1" right="1" top="1" bottom="1" header="0.5" footer="0.5"/>
  <pageSetup paperSize="9" scale="5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7"/>
  <sheetViews>
    <sheetView view="pageLayout" topLeftCell="B46" zoomScale="70" zoomScaleNormal="100" zoomScalePageLayoutView="70" workbookViewId="0">
      <selection activeCell="N37" sqref="N37"/>
    </sheetView>
  </sheetViews>
  <sheetFormatPr defaultRowHeight="15" x14ac:dyDescent="0.25"/>
  <cols>
    <col min="1" max="1" width="6.28515625" style="2" customWidth="1"/>
    <col min="2" max="2" width="43.7109375" style="2" customWidth="1"/>
    <col min="3" max="3" width="18" style="10" customWidth="1"/>
    <col min="4" max="4" width="10.7109375" style="11" customWidth="1"/>
    <col min="5" max="5" width="18" style="10" customWidth="1"/>
    <col min="6" max="6" width="10.7109375" style="11" customWidth="1"/>
    <col min="7" max="7" width="18.28515625" style="12" customWidth="1"/>
    <col min="8" max="8" width="5.85546875" style="13" customWidth="1"/>
    <col min="9" max="9" width="18.42578125" style="12" customWidth="1"/>
    <col min="10" max="10" width="5.85546875" style="13" customWidth="1"/>
    <col min="11" max="11" width="27.140625" style="14" hidden="1" customWidth="1"/>
    <col min="12" max="12" width="24" style="82" customWidth="1"/>
    <col min="13" max="13" width="5.85546875" style="13" customWidth="1"/>
    <col min="14" max="14" width="26" style="2" bestFit="1" customWidth="1"/>
    <col min="15" max="15" width="18.140625" style="58" hidden="1" customWidth="1"/>
    <col min="16" max="16" width="6.7109375" style="2" customWidth="1"/>
    <col min="17" max="16384" width="9.140625" style="2"/>
  </cols>
  <sheetData>
    <row r="1" spans="1:15" ht="53.25" customHeight="1" x14ac:dyDescent="0.25">
      <c r="A1" s="177" t="s">
        <v>126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</row>
    <row r="2" spans="1:15" ht="12.75" customHeight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3"/>
      <c r="L2" s="80"/>
      <c r="M2" s="56"/>
    </row>
    <row r="3" spans="1:15" s="5" customFormat="1" ht="18" x14ac:dyDescent="0.25">
      <c r="A3" s="5">
        <v>1</v>
      </c>
      <c r="B3" s="5" t="s">
        <v>90</v>
      </c>
      <c r="C3" s="6"/>
      <c r="D3" s="6"/>
      <c r="E3" s="6"/>
      <c r="F3" s="6"/>
      <c r="G3" s="7"/>
      <c r="H3" s="7"/>
      <c r="I3" s="7"/>
      <c r="J3" s="7"/>
      <c r="K3" s="8"/>
      <c r="L3" s="81"/>
      <c r="M3" s="7"/>
      <c r="O3" s="59"/>
    </row>
    <row r="4" spans="1:15" ht="15.75" thickBot="1" x14ac:dyDescent="0.3"/>
    <row r="5" spans="1:15" ht="38.25" customHeight="1" thickBot="1" x14ac:dyDescent="0.3">
      <c r="A5" s="16">
        <v>1</v>
      </c>
      <c r="B5" s="76">
        <v>2</v>
      </c>
      <c r="C5" s="172">
        <v>3</v>
      </c>
      <c r="D5" s="173"/>
      <c r="E5" s="172">
        <v>4</v>
      </c>
      <c r="F5" s="173"/>
      <c r="G5" s="174">
        <v>5</v>
      </c>
      <c r="H5" s="175"/>
      <c r="I5" s="174">
        <v>6</v>
      </c>
      <c r="J5" s="175"/>
      <c r="K5" s="17"/>
      <c r="L5" s="174">
        <v>7</v>
      </c>
      <c r="M5" s="175"/>
      <c r="N5" s="53">
        <v>8</v>
      </c>
    </row>
    <row r="6" spans="1:15" ht="38.25" customHeight="1" thickBot="1" x14ac:dyDescent="0.3">
      <c r="A6" s="16" t="s">
        <v>46</v>
      </c>
      <c r="B6" s="76" t="s">
        <v>45</v>
      </c>
      <c r="C6" s="172" t="s">
        <v>92</v>
      </c>
      <c r="D6" s="173"/>
      <c r="E6" s="172" t="s">
        <v>94</v>
      </c>
      <c r="F6" s="173"/>
      <c r="G6" s="174" t="s">
        <v>75</v>
      </c>
      <c r="H6" s="175"/>
      <c r="I6" s="174" t="s">
        <v>75</v>
      </c>
      <c r="J6" s="175"/>
      <c r="K6" s="17" t="s">
        <v>95</v>
      </c>
      <c r="L6" s="83" t="s">
        <v>76</v>
      </c>
      <c r="M6" s="19"/>
      <c r="N6" s="54" t="s">
        <v>109</v>
      </c>
    </row>
    <row r="7" spans="1:15" ht="8.25" customHeight="1" x14ac:dyDescent="0.25">
      <c r="A7" s="20"/>
      <c r="B7" s="20"/>
      <c r="C7" s="20"/>
      <c r="D7" s="21"/>
      <c r="E7" s="20"/>
      <c r="F7" s="21"/>
      <c r="G7" s="22"/>
      <c r="H7" s="23"/>
      <c r="I7" s="22"/>
      <c r="J7" s="23"/>
      <c r="K7" s="17"/>
      <c r="L7" s="84"/>
      <c r="M7" s="23"/>
    </row>
    <row r="8" spans="1:15" s="31" customFormat="1" ht="38.25" customHeight="1" x14ac:dyDescent="0.25">
      <c r="A8" s="25" t="s">
        <v>0</v>
      </c>
      <c r="B8" s="25" t="s">
        <v>1</v>
      </c>
      <c r="C8" s="26"/>
      <c r="D8" s="27"/>
      <c r="E8" s="26"/>
      <c r="F8" s="27"/>
      <c r="G8" s="28"/>
      <c r="H8" s="29"/>
      <c r="I8" s="28"/>
      <c r="J8" s="29"/>
      <c r="K8" s="17"/>
      <c r="L8" s="85"/>
      <c r="M8" s="29"/>
      <c r="O8" s="60"/>
    </row>
    <row r="9" spans="1:15" ht="38.25" customHeight="1" x14ac:dyDescent="0.25">
      <c r="A9" s="32" t="s">
        <v>47</v>
      </c>
      <c r="B9" s="32" t="s">
        <v>2</v>
      </c>
      <c r="C9" s="64">
        <v>1.0772722457596435E-3</v>
      </c>
      <c r="D9" s="33" t="s">
        <v>85</v>
      </c>
      <c r="E9" s="126"/>
      <c r="F9" s="33" t="s">
        <v>85</v>
      </c>
      <c r="G9" s="34">
        <v>611274.15250000008</v>
      </c>
      <c r="H9" s="35" t="s">
        <v>88</v>
      </c>
      <c r="I9" s="34">
        <v>2383</v>
      </c>
      <c r="J9" s="35" t="s">
        <v>77</v>
      </c>
      <c r="K9" s="36">
        <f>C9*G9*I9</f>
        <v>1569226.1821487406</v>
      </c>
      <c r="L9" s="79">
        <f>E9*G9*I9</f>
        <v>0</v>
      </c>
      <c r="M9" s="35" t="s">
        <v>82</v>
      </c>
      <c r="O9" s="58">
        <f>C9*G9*I9</f>
        <v>1569226.1821487406</v>
      </c>
    </row>
    <row r="10" spans="1:15" ht="38.25" customHeight="1" x14ac:dyDescent="0.25">
      <c r="A10" s="32" t="s">
        <v>48</v>
      </c>
      <c r="B10" s="32" t="s">
        <v>3</v>
      </c>
      <c r="C10" s="64">
        <v>2.6533799156641469E-3</v>
      </c>
      <c r="D10" s="33" t="s">
        <v>85</v>
      </c>
      <c r="E10" s="126"/>
      <c r="F10" s="33" t="s">
        <v>85</v>
      </c>
      <c r="G10" s="34">
        <v>364288.24749999994</v>
      </c>
      <c r="H10" s="35" t="s">
        <v>88</v>
      </c>
      <c r="I10" s="34">
        <v>2383</v>
      </c>
      <c r="J10" s="35" t="s">
        <v>77</v>
      </c>
      <c r="K10" s="36">
        <f>C10*G10*I10</f>
        <v>2303396.1695992826</v>
      </c>
      <c r="L10" s="79">
        <f>E10*G10*I10</f>
        <v>0</v>
      </c>
      <c r="M10" s="35" t="s">
        <v>82</v>
      </c>
      <c r="O10" s="58">
        <f>C10*G10*I10</f>
        <v>2303396.1695992826</v>
      </c>
    </row>
    <row r="11" spans="1:15" s="31" customFormat="1" ht="38.25" customHeight="1" x14ac:dyDescent="0.25">
      <c r="A11" s="38" t="s">
        <v>4</v>
      </c>
      <c r="B11" s="38" t="s">
        <v>5</v>
      </c>
      <c r="C11" s="39"/>
      <c r="D11" s="40"/>
      <c r="E11" s="69"/>
      <c r="F11" s="40"/>
      <c r="G11" s="41"/>
      <c r="H11" s="42"/>
      <c r="I11" s="41"/>
      <c r="J11" s="42"/>
      <c r="K11" s="17"/>
      <c r="L11" s="86"/>
      <c r="M11" s="42"/>
      <c r="O11" s="60"/>
    </row>
    <row r="12" spans="1:15" ht="38.25" customHeight="1" x14ac:dyDescent="0.25">
      <c r="A12" s="32" t="s">
        <v>49</v>
      </c>
      <c r="B12" s="32" t="s">
        <v>6</v>
      </c>
      <c r="C12" s="64">
        <v>1.3322304810368274E-2</v>
      </c>
      <c r="D12" s="33" t="s">
        <v>86</v>
      </c>
      <c r="E12" s="126"/>
      <c r="F12" s="33" t="s">
        <v>86</v>
      </c>
      <c r="G12" s="34">
        <v>559856.60250000004</v>
      </c>
      <c r="H12" s="35" t="s">
        <v>88</v>
      </c>
      <c r="I12" s="34">
        <v>183</v>
      </c>
      <c r="J12" s="35" t="s">
        <v>84</v>
      </c>
      <c r="K12" s="36">
        <f>C12*G12*I12</f>
        <v>1364920.1964742008</v>
      </c>
      <c r="L12" s="79">
        <f>E12*G12*I12</f>
        <v>0</v>
      </c>
      <c r="M12" s="35" t="s">
        <v>82</v>
      </c>
      <c r="O12" s="58">
        <f t="shared" ref="O12" si="0">C12*G12*I12</f>
        <v>1364920.1964742008</v>
      </c>
    </row>
    <row r="13" spans="1:15" ht="38.25" customHeight="1" x14ac:dyDescent="0.25">
      <c r="A13" s="32" t="s">
        <v>49</v>
      </c>
      <c r="B13" s="32" t="s">
        <v>6</v>
      </c>
      <c r="C13" s="64">
        <v>1.3322304810368274E-2</v>
      </c>
      <c r="D13" s="33" t="s">
        <v>86</v>
      </c>
      <c r="E13" s="126"/>
      <c r="F13" s="33" t="s">
        <v>86</v>
      </c>
      <c r="G13" s="34">
        <v>19906</v>
      </c>
      <c r="H13" s="35" t="s">
        <v>88</v>
      </c>
      <c r="I13" s="34">
        <v>130</v>
      </c>
      <c r="J13" s="35" t="s">
        <v>84</v>
      </c>
      <c r="K13" s="36">
        <f>C13*G13*I13</f>
        <v>34475.193942174817</v>
      </c>
      <c r="L13" s="79">
        <f t="shared" ref="L13:L15" si="1">E13*G13*I13</f>
        <v>0</v>
      </c>
      <c r="M13" s="35" t="s">
        <v>82</v>
      </c>
      <c r="O13" s="58">
        <f t="shared" ref="O13:O15" si="2">C13*G13*I13</f>
        <v>34475.193942174817</v>
      </c>
    </row>
    <row r="14" spans="1:15" ht="38.25" customHeight="1" x14ac:dyDescent="0.25">
      <c r="A14" s="32" t="s">
        <v>50</v>
      </c>
      <c r="B14" s="32" t="s">
        <v>7</v>
      </c>
      <c r="C14" s="64">
        <v>2.5405787641850981E-2</v>
      </c>
      <c r="D14" s="33" t="s">
        <v>86</v>
      </c>
      <c r="E14" s="126"/>
      <c r="F14" s="33" t="s">
        <v>86</v>
      </c>
      <c r="G14" s="34">
        <v>332777.2475</v>
      </c>
      <c r="H14" s="35" t="s">
        <v>88</v>
      </c>
      <c r="I14" s="34">
        <v>183</v>
      </c>
      <c r="J14" s="35" t="s">
        <v>84</v>
      </c>
      <c r="K14" s="36">
        <f>C14*G14*I14</f>
        <v>1547167.6590105174</v>
      </c>
      <c r="L14" s="79">
        <f t="shared" si="1"/>
        <v>0</v>
      </c>
      <c r="M14" s="35" t="s">
        <v>82</v>
      </c>
      <c r="O14" s="58">
        <f t="shared" ref="O14" si="3">C14*G14*I14</f>
        <v>1547167.6590105174</v>
      </c>
    </row>
    <row r="15" spans="1:15" ht="38.25" customHeight="1" x14ac:dyDescent="0.25">
      <c r="A15" s="32" t="s">
        <v>50</v>
      </c>
      <c r="B15" s="32" t="s">
        <v>7</v>
      </c>
      <c r="C15" s="64">
        <v>2.5405787641850981E-2</v>
      </c>
      <c r="D15" s="33" t="s">
        <v>86</v>
      </c>
      <c r="E15" s="126"/>
      <c r="F15" s="33" t="s">
        <v>86</v>
      </c>
      <c r="G15" s="34">
        <v>31511.53</v>
      </c>
      <c r="H15" s="35" t="s">
        <v>88</v>
      </c>
      <c r="I15" s="34">
        <v>150</v>
      </c>
      <c r="J15" s="35" t="s">
        <v>84</v>
      </c>
      <c r="K15" s="36">
        <f>C15*G15*I15</f>
        <v>120086.28591747246</v>
      </c>
      <c r="L15" s="79">
        <f t="shared" si="1"/>
        <v>0</v>
      </c>
      <c r="M15" s="35" t="s">
        <v>82</v>
      </c>
      <c r="O15" s="58">
        <f t="shared" si="2"/>
        <v>120086.28591747246</v>
      </c>
    </row>
    <row r="16" spans="1:15" s="31" customFormat="1" ht="38.25" customHeight="1" x14ac:dyDescent="0.25">
      <c r="A16" s="38" t="s">
        <v>8</v>
      </c>
      <c r="B16" s="38" t="s">
        <v>9</v>
      </c>
      <c r="C16" s="39"/>
      <c r="D16" s="40"/>
      <c r="E16" s="69"/>
      <c r="F16" s="40"/>
      <c r="G16" s="41"/>
      <c r="H16" s="42"/>
      <c r="I16" s="41"/>
      <c r="J16" s="42"/>
      <c r="K16" s="17"/>
      <c r="L16" s="86"/>
      <c r="M16" s="42"/>
      <c r="O16" s="60"/>
    </row>
    <row r="17" spans="1:15" ht="38.25" customHeight="1" x14ac:dyDescent="0.25">
      <c r="A17" s="32" t="s">
        <v>51</v>
      </c>
      <c r="B17" s="32" t="s">
        <v>10</v>
      </c>
      <c r="C17" s="78">
        <v>0.99658131218700008</v>
      </c>
      <c r="D17" s="33" t="s">
        <v>87</v>
      </c>
      <c r="E17" s="137"/>
      <c r="F17" s="33" t="s">
        <v>87</v>
      </c>
      <c r="G17" s="34">
        <v>258528.2</v>
      </c>
      <c r="H17" s="35" t="s">
        <v>89</v>
      </c>
      <c r="I17" s="44"/>
      <c r="J17" s="45"/>
      <c r="K17" s="36">
        <f>C17*G17</f>
        <v>257644.37279334321</v>
      </c>
      <c r="L17" s="79">
        <f>E17*G17</f>
        <v>0</v>
      </c>
      <c r="M17" s="35" t="s">
        <v>82</v>
      </c>
      <c r="O17" s="58">
        <f>C17*G17</f>
        <v>257644.37279334321</v>
      </c>
    </row>
    <row r="18" spans="1:15" s="31" customFormat="1" ht="38.25" customHeight="1" x14ac:dyDescent="0.25">
      <c r="A18" s="38" t="s">
        <v>11</v>
      </c>
      <c r="B18" s="38" t="s">
        <v>12</v>
      </c>
      <c r="C18" s="39"/>
      <c r="D18" s="40"/>
      <c r="E18" s="69"/>
      <c r="F18" s="40"/>
      <c r="G18" s="41"/>
      <c r="H18" s="42"/>
      <c r="I18" s="41"/>
      <c r="J18" s="42"/>
      <c r="K18" s="17"/>
      <c r="L18" s="79"/>
      <c r="M18" s="42"/>
      <c r="O18" s="60"/>
    </row>
    <row r="19" spans="1:15" ht="45" x14ac:dyDescent="0.25">
      <c r="A19" s="32" t="s">
        <v>52</v>
      </c>
      <c r="B19" s="32" t="s">
        <v>79</v>
      </c>
      <c r="C19" s="77">
        <v>3.0610124513595927</v>
      </c>
      <c r="D19" s="33" t="s">
        <v>87</v>
      </c>
      <c r="E19" s="140"/>
      <c r="F19" s="33" t="s">
        <v>87</v>
      </c>
      <c r="G19" s="34">
        <v>264838</v>
      </c>
      <c r="H19" s="35" t="s">
        <v>89</v>
      </c>
      <c r="I19" s="44"/>
      <c r="J19" s="45"/>
      <c r="K19" s="36">
        <f>C19*G19</f>
        <v>810672.41559317184</v>
      </c>
      <c r="L19" s="79">
        <f>G19*E19</f>
        <v>0</v>
      </c>
      <c r="M19" s="35" t="s">
        <v>82</v>
      </c>
      <c r="O19" s="58">
        <f t="shared" ref="O19:O21" si="4">C19*G19</f>
        <v>810672.41559317184</v>
      </c>
    </row>
    <row r="20" spans="1:15" ht="38.25" customHeight="1" x14ac:dyDescent="0.25">
      <c r="A20" s="32" t="s">
        <v>105</v>
      </c>
      <c r="B20" s="32" t="s">
        <v>13</v>
      </c>
      <c r="C20" s="77">
        <v>0.29539100477784086</v>
      </c>
      <c r="D20" s="33" t="s">
        <v>87</v>
      </c>
      <c r="E20" s="140"/>
      <c r="F20" s="33" t="s">
        <v>87</v>
      </c>
      <c r="G20" s="34">
        <v>1686434.3</v>
      </c>
      <c r="H20" s="35" t="s">
        <v>89</v>
      </c>
      <c r="I20" s="44"/>
      <c r="J20" s="45"/>
      <c r="K20" s="36">
        <f>C20*G20</f>
        <v>498157.52236881474</v>
      </c>
      <c r="L20" s="79">
        <f>E19*G20</f>
        <v>0</v>
      </c>
      <c r="M20" s="35" t="s">
        <v>82</v>
      </c>
      <c r="O20" s="58">
        <f t="shared" si="4"/>
        <v>498157.52236881474</v>
      </c>
    </row>
    <row r="21" spans="1:15" ht="38.25" customHeight="1" x14ac:dyDescent="0.25">
      <c r="A21" s="32" t="s">
        <v>117</v>
      </c>
      <c r="B21" s="32" t="s">
        <v>121</v>
      </c>
      <c r="C21" s="77">
        <v>150</v>
      </c>
      <c r="D21" s="33" t="s">
        <v>87</v>
      </c>
      <c r="E21" s="140"/>
      <c r="F21" s="33" t="s">
        <v>87</v>
      </c>
      <c r="G21" s="34">
        <v>720</v>
      </c>
      <c r="H21" s="35" t="s">
        <v>89</v>
      </c>
      <c r="I21" s="44"/>
      <c r="J21" s="45"/>
      <c r="K21" s="36">
        <f>C21*G21</f>
        <v>108000</v>
      </c>
      <c r="L21" s="79">
        <f>E20*G21</f>
        <v>0</v>
      </c>
      <c r="M21" s="35" t="s">
        <v>82</v>
      </c>
      <c r="O21" s="58">
        <f t="shared" si="4"/>
        <v>108000</v>
      </c>
    </row>
    <row r="22" spans="1:15" ht="38.25" customHeight="1" x14ac:dyDescent="0.25">
      <c r="A22" s="38" t="s">
        <v>14</v>
      </c>
      <c r="B22" s="38" t="s">
        <v>15</v>
      </c>
      <c r="C22" s="39"/>
      <c r="D22" s="40"/>
      <c r="E22" s="69"/>
      <c r="F22" s="40"/>
      <c r="G22" s="41"/>
      <c r="H22" s="42"/>
      <c r="I22" s="41"/>
      <c r="J22" s="42"/>
      <c r="K22" s="17"/>
      <c r="L22" s="79"/>
      <c r="M22" s="42"/>
    </row>
    <row r="23" spans="1:15" s="31" customFormat="1" ht="38.25" customHeight="1" x14ac:dyDescent="0.25">
      <c r="A23" s="32" t="s">
        <v>53</v>
      </c>
      <c r="B23" s="32" t="s">
        <v>107</v>
      </c>
      <c r="C23" s="78">
        <v>24.017975586371783</v>
      </c>
      <c r="D23" s="33" t="s">
        <v>87</v>
      </c>
      <c r="E23" s="137"/>
      <c r="F23" s="33" t="s">
        <v>87</v>
      </c>
      <c r="G23" s="34">
        <v>265201</v>
      </c>
      <c r="H23" s="35" t="s">
        <v>89</v>
      </c>
      <c r="I23" s="44"/>
      <c r="J23" s="45"/>
      <c r="K23" s="36">
        <f>C23*G23</f>
        <v>6369591.1434813831</v>
      </c>
      <c r="L23" s="79">
        <f>E23*G23</f>
        <v>0</v>
      </c>
      <c r="M23" s="35" t="s">
        <v>82</v>
      </c>
      <c r="O23" s="58">
        <f t="shared" ref="O23:O27" si="5">C23*G23</f>
        <v>6369591.1434813831</v>
      </c>
    </row>
    <row r="24" spans="1:15" s="31" customFormat="1" ht="38.25" customHeight="1" x14ac:dyDescent="0.25">
      <c r="A24" s="32" t="s">
        <v>54</v>
      </c>
      <c r="B24" s="32" t="s">
        <v>108</v>
      </c>
      <c r="C24" s="78">
        <v>11.185362524184205</v>
      </c>
      <c r="D24" s="33" t="s">
        <v>87</v>
      </c>
      <c r="E24" s="137"/>
      <c r="F24" s="33" t="s">
        <v>87</v>
      </c>
      <c r="G24" s="34">
        <v>58663</v>
      </c>
      <c r="H24" s="35" t="s">
        <v>89</v>
      </c>
      <c r="I24" s="44"/>
      <c r="J24" s="45"/>
      <c r="K24" s="36">
        <f>C24*G24</f>
        <v>656166.92175621807</v>
      </c>
      <c r="L24" s="79">
        <f t="shared" ref="L24:L27" si="6">E24*G24</f>
        <v>0</v>
      </c>
      <c r="M24" s="35" t="s">
        <v>82</v>
      </c>
      <c r="O24" s="58">
        <f t="shared" si="5"/>
        <v>656166.92175621807</v>
      </c>
    </row>
    <row r="25" spans="1:15" ht="38.25" customHeight="1" x14ac:dyDescent="0.25">
      <c r="A25" s="32" t="s">
        <v>100</v>
      </c>
      <c r="B25" s="32" t="s">
        <v>16</v>
      </c>
      <c r="C25" s="78">
        <v>0.6110768124851228</v>
      </c>
      <c r="D25" s="33" t="s">
        <v>87</v>
      </c>
      <c r="E25" s="137"/>
      <c r="F25" s="33" t="s">
        <v>87</v>
      </c>
      <c r="G25" s="34">
        <v>115604</v>
      </c>
      <c r="H25" s="35" t="s">
        <v>89</v>
      </c>
      <c r="I25" s="44"/>
      <c r="J25" s="45"/>
      <c r="K25" s="36">
        <f>C25*G25</f>
        <v>70642.923830530141</v>
      </c>
      <c r="L25" s="79">
        <f t="shared" si="6"/>
        <v>0</v>
      </c>
      <c r="M25" s="35" t="s">
        <v>82</v>
      </c>
      <c r="O25" s="58">
        <f t="shared" si="5"/>
        <v>70642.923830530141</v>
      </c>
    </row>
    <row r="26" spans="1:15" s="31" customFormat="1" ht="38.25" customHeight="1" x14ac:dyDescent="0.25">
      <c r="A26" s="32" t="s">
        <v>101</v>
      </c>
      <c r="B26" s="32" t="s">
        <v>102</v>
      </c>
      <c r="C26" s="78">
        <v>1920.6131157811997</v>
      </c>
      <c r="D26" s="33" t="s">
        <v>21</v>
      </c>
      <c r="E26" s="137"/>
      <c r="F26" s="33" t="s">
        <v>21</v>
      </c>
      <c r="G26" s="34">
        <v>121</v>
      </c>
      <c r="H26" s="35" t="s">
        <v>83</v>
      </c>
      <c r="I26" s="44"/>
      <c r="J26" s="45"/>
      <c r="K26" s="36">
        <f>C26*G26</f>
        <v>232394.18700952517</v>
      </c>
      <c r="L26" s="79">
        <f t="shared" si="6"/>
        <v>0</v>
      </c>
      <c r="M26" s="35" t="s">
        <v>82</v>
      </c>
      <c r="O26" s="58">
        <f t="shared" si="5"/>
        <v>232394.18700952517</v>
      </c>
    </row>
    <row r="27" spans="1:15" ht="38.25" customHeight="1" x14ac:dyDescent="0.25">
      <c r="A27" s="32" t="s">
        <v>104</v>
      </c>
      <c r="B27" s="32" t="s">
        <v>103</v>
      </c>
      <c r="C27" s="78">
        <v>2.5642171822259212</v>
      </c>
      <c r="D27" s="33" t="s">
        <v>21</v>
      </c>
      <c r="E27" s="137"/>
      <c r="F27" s="33" t="s">
        <v>21</v>
      </c>
      <c r="G27" s="34">
        <v>110015</v>
      </c>
      <c r="H27" s="35" t="s">
        <v>83</v>
      </c>
      <c r="I27" s="44"/>
      <c r="J27" s="45"/>
      <c r="K27" s="36">
        <f>C27*G27</f>
        <v>282102.35330258473</v>
      </c>
      <c r="L27" s="79">
        <f t="shared" si="6"/>
        <v>0</v>
      </c>
      <c r="M27" s="35" t="s">
        <v>82</v>
      </c>
      <c r="O27" s="58">
        <f t="shared" si="5"/>
        <v>282102.35330258473</v>
      </c>
    </row>
    <row r="28" spans="1:15" ht="47.25" x14ac:dyDescent="0.25">
      <c r="A28" s="38" t="s">
        <v>17</v>
      </c>
      <c r="B28" s="38" t="s">
        <v>18</v>
      </c>
      <c r="C28" s="39"/>
      <c r="D28" s="40"/>
      <c r="E28" s="69"/>
      <c r="F28" s="40"/>
      <c r="G28" s="41"/>
      <c r="H28" s="42"/>
      <c r="I28" s="41"/>
      <c r="J28" s="42"/>
      <c r="K28" s="17"/>
      <c r="L28" s="79"/>
      <c r="M28" s="42"/>
    </row>
    <row r="29" spans="1:15" s="31" customFormat="1" ht="38.25" customHeight="1" x14ac:dyDescent="0.25">
      <c r="A29" s="32" t="s">
        <v>55</v>
      </c>
      <c r="B29" s="32" t="s">
        <v>19</v>
      </c>
      <c r="C29" s="78">
        <v>1.4505808270340399</v>
      </c>
      <c r="D29" s="33" t="s">
        <v>87</v>
      </c>
      <c r="E29" s="137"/>
      <c r="F29" s="33" t="s">
        <v>87</v>
      </c>
      <c r="G29" s="34">
        <v>273941</v>
      </c>
      <c r="H29" s="35" t="s">
        <v>89</v>
      </c>
      <c r="I29" s="44"/>
      <c r="J29" s="45"/>
      <c r="K29" s="36">
        <f>C29*G29</f>
        <v>397373.56233853195</v>
      </c>
      <c r="L29" s="79">
        <f>E29*G29</f>
        <v>0</v>
      </c>
      <c r="M29" s="35" t="s">
        <v>82</v>
      </c>
      <c r="O29" s="58">
        <f t="shared" ref="O29:O30" si="7">C29*G29</f>
        <v>397373.56233853195</v>
      </c>
    </row>
    <row r="30" spans="1:15" ht="38.25" customHeight="1" x14ac:dyDescent="0.25">
      <c r="A30" s="32" t="s">
        <v>56</v>
      </c>
      <c r="B30" s="32" t="s">
        <v>20</v>
      </c>
      <c r="C30" s="78">
        <v>196.41391881978004</v>
      </c>
      <c r="D30" s="33" t="s">
        <v>21</v>
      </c>
      <c r="E30" s="137"/>
      <c r="F30" s="33" t="s">
        <v>21</v>
      </c>
      <c r="G30" s="34">
        <v>401</v>
      </c>
      <c r="H30" s="35" t="s">
        <v>83</v>
      </c>
      <c r="I30" s="44"/>
      <c r="J30" s="45"/>
      <c r="K30" s="36">
        <f>C30*G30</f>
        <v>78761.981446731792</v>
      </c>
      <c r="L30" s="79">
        <f>E30*G30</f>
        <v>0</v>
      </c>
      <c r="M30" s="35" t="s">
        <v>82</v>
      </c>
      <c r="O30" s="58">
        <f t="shared" si="7"/>
        <v>78761.981446731792</v>
      </c>
    </row>
    <row r="31" spans="1:15" ht="38.25" customHeight="1" x14ac:dyDescent="0.25">
      <c r="A31" s="38" t="s">
        <v>22</v>
      </c>
      <c r="B31" s="38" t="s">
        <v>23</v>
      </c>
      <c r="C31" s="39"/>
      <c r="D31" s="40"/>
      <c r="E31" s="69"/>
      <c r="F31" s="40"/>
      <c r="G31" s="41"/>
      <c r="H31" s="42"/>
      <c r="I31" s="41"/>
      <c r="J31" s="42"/>
      <c r="K31" s="17"/>
      <c r="L31" s="79"/>
      <c r="M31" s="42"/>
    </row>
    <row r="32" spans="1:15" ht="38.25" customHeight="1" x14ac:dyDescent="0.25">
      <c r="A32" s="32" t="s">
        <v>57</v>
      </c>
      <c r="B32" s="32" t="s">
        <v>78</v>
      </c>
      <c r="C32" s="78">
        <v>0.46946070402192563</v>
      </c>
      <c r="D32" s="33" t="s">
        <v>87</v>
      </c>
      <c r="E32" s="137"/>
      <c r="F32" s="33" t="s">
        <v>87</v>
      </c>
      <c r="G32" s="34">
        <v>265715.18</v>
      </c>
      <c r="H32" s="35" t="s">
        <v>89</v>
      </c>
      <c r="I32" s="44"/>
      <c r="J32" s="45"/>
      <c r="K32" s="36">
        <f>C32*G32</f>
        <v>124742.8354721127</v>
      </c>
      <c r="L32" s="79">
        <f>E32*G32</f>
        <v>0</v>
      </c>
      <c r="M32" s="35" t="s">
        <v>82</v>
      </c>
      <c r="O32" s="58">
        <f t="shared" ref="O32:O33" si="8">C32*G32</f>
        <v>124742.8354721127</v>
      </c>
    </row>
    <row r="33" spans="1:15" ht="38.25" customHeight="1" x14ac:dyDescent="0.25">
      <c r="A33" s="32" t="s">
        <v>58</v>
      </c>
      <c r="B33" s="32" t="s">
        <v>24</v>
      </c>
      <c r="C33" s="78">
        <v>5.6388032876341407</v>
      </c>
      <c r="D33" s="33" t="s">
        <v>87</v>
      </c>
      <c r="E33" s="137"/>
      <c r="F33" s="33" t="s">
        <v>87</v>
      </c>
      <c r="G33" s="34">
        <v>24624</v>
      </c>
      <c r="H33" s="35" t="s">
        <v>89</v>
      </c>
      <c r="I33" s="44"/>
      <c r="J33" s="45"/>
      <c r="K33" s="36">
        <f>C33*G33</f>
        <v>138849.89215470309</v>
      </c>
      <c r="L33" s="79">
        <f>E33*G33</f>
        <v>0</v>
      </c>
      <c r="M33" s="35" t="s">
        <v>82</v>
      </c>
      <c r="O33" s="58">
        <f t="shared" si="8"/>
        <v>138849.89215470309</v>
      </c>
    </row>
    <row r="34" spans="1:15" ht="47.25" x14ac:dyDescent="0.25">
      <c r="A34" s="38" t="s">
        <v>25</v>
      </c>
      <c r="B34" s="38" t="s">
        <v>26</v>
      </c>
      <c r="C34" s="39"/>
      <c r="D34" s="40"/>
      <c r="E34" s="69"/>
      <c r="F34" s="40"/>
      <c r="G34" s="41"/>
      <c r="H34" s="42"/>
      <c r="I34" s="41"/>
      <c r="J34" s="42"/>
      <c r="K34" s="17"/>
      <c r="L34" s="79"/>
      <c r="M34" s="42"/>
    </row>
    <row r="35" spans="1:15" s="31" customFormat="1" ht="38.25" customHeight="1" x14ac:dyDescent="0.25">
      <c r="A35" s="32" t="s">
        <v>59</v>
      </c>
      <c r="B35" s="32" t="s">
        <v>27</v>
      </c>
      <c r="C35" s="78">
        <v>851.68083968633869</v>
      </c>
      <c r="D35" s="33" t="s">
        <v>21</v>
      </c>
      <c r="E35" s="137"/>
      <c r="F35" s="33" t="s">
        <v>21</v>
      </c>
      <c r="G35" s="34">
        <v>79</v>
      </c>
      <c r="H35" s="35" t="s">
        <v>83</v>
      </c>
      <c r="I35" s="44"/>
      <c r="J35" s="45"/>
      <c r="K35" s="36">
        <f>C35*G35</f>
        <v>67282.78633522075</v>
      </c>
      <c r="L35" s="79">
        <f>E35*G35</f>
        <v>0</v>
      </c>
      <c r="M35" s="35" t="s">
        <v>82</v>
      </c>
      <c r="O35" s="58">
        <f t="shared" ref="O35:O38" si="9">C35*G35</f>
        <v>67282.78633522075</v>
      </c>
    </row>
    <row r="36" spans="1:15" ht="38.25" customHeight="1" x14ac:dyDescent="0.25">
      <c r="A36" s="32" t="s">
        <v>60</v>
      </c>
      <c r="B36" s="32" t="s">
        <v>28</v>
      </c>
      <c r="C36" s="78">
        <v>1237.055329294629</v>
      </c>
      <c r="D36" s="33" t="s">
        <v>21</v>
      </c>
      <c r="E36" s="137"/>
      <c r="F36" s="33" t="s">
        <v>21</v>
      </c>
      <c r="G36" s="34">
        <v>96</v>
      </c>
      <c r="H36" s="35" t="s">
        <v>83</v>
      </c>
      <c r="I36" s="44"/>
      <c r="J36" s="45"/>
      <c r="K36" s="36">
        <f>C36*G36</f>
        <v>118757.31161228439</v>
      </c>
      <c r="L36" s="79">
        <f t="shared" ref="L36:L38" si="10">E36*G36</f>
        <v>0</v>
      </c>
      <c r="M36" s="35" t="s">
        <v>82</v>
      </c>
      <c r="O36" s="58">
        <f t="shared" si="9"/>
        <v>118757.31161228439</v>
      </c>
    </row>
    <row r="37" spans="1:15" ht="38.25" customHeight="1" x14ac:dyDescent="0.25">
      <c r="A37" s="32" t="s">
        <v>61</v>
      </c>
      <c r="B37" s="32" t="s">
        <v>29</v>
      </c>
      <c r="C37" s="78">
        <v>341.9994854602873</v>
      </c>
      <c r="D37" s="33" t="s">
        <v>21</v>
      </c>
      <c r="E37" s="137"/>
      <c r="F37" s="33" t="s">
        <v>21</v>
      </c>
      <c r="G37" s="34">
        <v>2</v>
      </c>
      <c r="H37" s="35" t="s">
        <v>83</v>
      </c>
      <c r="I37" s="44"/>
      <c r="J37" s="45"/>
      <c r="K37" s="36">
        <f>C37*G37</f>
        <v>683.99897092057461</v>
      </c>
      <c r="L37" s="79">
        <f t="shared" si="10"/>
        <v>0</v>
      </c>
      <c r="M37" s="35" t="s">
        <v>82</v>
      </c>
      <c r="O37" s="58">
        <f t="shared" si="9"/>
        <v>683.99897092057461</v>
      </c>
    </row>
    <row r="38" spans="1:15" ht="38.25" customHeight="1" x14ac:dyDescent="0.25">
      <c r="A38" s="32" t="s">
        <v>62</v>
      </c>
      <c r="B38" s="32" t="s">
        <v>30</v>
      </c>
      <c r="C38" s="78">
        <v>1091.7493291407866</v>
      </c>
      <c r="D38" s="33" t="s">
        <v>21</v>
      </c>
      <c r="E38" s="137"/>
      <c r="F38" s="33" t="s">
        <v>21</v>
      </c>
      <c r="G38" s="34">
        <v>0</v>
      </c>
      <c r="H38" s="35" t="s">
        <v>83</v>
      </c>
      <c r="I38" s="44"/>
      <c r="J38" s="45"/>
      <c r="K38" s="36">
        <f>C38*G38</f>
        <v>0</v>
      </c>
      <c r="L38" s="79">
        <f t="shared" si="10"/>
        <v>0</v>
      </c>
      <c r="M38" s="35" t="s">
        <v>82</v>
      </c>
      <c r="O38" s="58">
        <f t="shared" si="9"/>
        <v>0</v>
      </c>
    </row>
    <row r="39" spans="1:15" ht="38.25" customHeight="1" x14ac:dyDescent="0.25">
      <c r="A39" s="38" t="s">
        <v>31</v>
      </c>
      <c r="B39" s="38" t="s">
        <v>32</v>
      </c>
      <c r="C39" s="39"/>
      <c r="D39" s="40"/>
      <c r="E39" s="69"/>
      <c r="F39" s="40"/>
      <c r="G39" s="41"/>
      <c r="H39" s="42"/>
      <c r="I39" s="41"/>
      <c r="J39" s="42"/>
      <c r="K39" s="17"/>
      <c r="L39" s="79"/>
      <c r="M39" s="42"/>
    </row>
    <row r="40" spans="1:15" s="31" customFormat="1" ht="38.25" customHeight="1" x14ac:dyDescent="0.25">
      <c r="A40" s="32" t="s">
        <v>63</v>
      </c>
      <c r="B40" s="32" t="s">
        <v>33</v>
      </c>
      <c r="C40" s="78">
        <v>370.78428390801372</v>
      </c>
      <c r="D40" s="33" t="s">
        <v>21</v>
      </c>
      <c r="E40" s="137"/>
      <c r="F40" s="33" t="s">
        <v>21</v>
      </c>
      <c r="G40" s="34">
        <v>1154</v>
      </c>
      <c r="H40" s="35" t="s">
        <v>83</v>
      </c>
      <c r="I40" s="44"/>
      <c r="J40" s="45"/>
      <c r="K40" s="36">
        <f t="shared" ref="K40:K51" si="11">C40*G40</f>
        <v>427885.06362984783</v>
      </c>
      <c r="L40" s="79">
        <f>E40*G40</f>
        <v>0</v>
      </c>
      <c r="M40" s="35" t="s">
        <v>82</v>
      </c>
      <c r="O40" s="58">
        <f t="shared" ref="O40:O51" si="12">C40*G40</f>
        <v>427885.06362984783</v>
      </c>
    </row>
    <row r="41" spans="1:15" ht="38.25" customHeight="1" x14ac:dyDescent="0.25">
      <c r="A41" s="32" t="s">
        <v>64</v>
      </c>
      <c r="B41" s="32" t="s">
        <v>34</v>
      </c>
      <c r="C41" s="78">
        <v>0.44308650716676129</v>
      </c>
      <c r="D41" s="33" t="s">
        <v>87</v>
      </c>
      <c r="E41" s="137"/>
      <c r="F41" s="33" t="s">
        <v>87</v>
      </c>
      <c r="G41" s="34">
        <v>258715.2</v>
      </c>
      <c r="H41" s="35" t="s">
        <v>89</v>
      </c>
      <c r="I41" s="44"/>
      <c r="J41" s="45"/>
      <c r="K41" s="36">
        <f t="shared" si="11"/>
        <v>114633.21431895008</v>
      </c>
      <c r="L41" s="79">
        <f t="shared" ref="L41:L51" si="13">E41*G41</f>
        <v>0</v>
      </c>
      <c r="M41" s="35" t="s">
        <v>82</v>
      </c>
      <c r="O41" s="58">
        <f t="shared" si="12"/>
        <v>114633.21431895008</v>
      </c>
    </row>
    <row r="42" spans="1:15" ht="38.25" customHeight="1" x14ac:dyDescent="0.25">
      <c r="A42" s="32" t="s">
        <v>65</v>
      </c>
      <c r="B42" s="32" t="s">
        <v>35</v>
      </c>
      <c r="C42" s="78">
        <v>0.6962787969763391</v>
      </c>
      <c r="D42" s="33" t="s">
        <v>87</v>
      </c>
      <c r="E42" s="137"/>
      <c r="F42" s="33" t="s">
        <v>87</v>
      </c>
      <c r="G42" s="34">
        <v>21330</v>
      </c>
      <c r="H42" s="35" t="s">
        <v>89</v>
      </c>
      <c r="I42" s="44"/>
      <c r="J42" s="45"/>
      <c r="K42" s="36">
        <f t="shared" si="11"/>
        <v>14851.626739505313</v>
      </c>
      <c r="L42" s="79">
        <f t="shared" si="13"/>
        <v>0</v>
      </c>
      <c r="M42" s="35" t="s">
        <v>82</v>
      </c>
      <c r="O42" s="58">
        <f t="shared" si="12"/>
        <v>14851.626739505313</v>
      </c>
    </row>
    <row r="43" spans="1:15" ht="38.25" customHeight="1" x14ac:dyDescent="0.25">
      <c r="A43" s="32" t="s">
        <v>66</v>
      </c>
      <c r="B43" s="32" t="s">
        <v>36</v>
      </c>
      <c r="C43" s="78">
        <v>158.69354247752398</v>
      </c>
      <c r="D43" s="33" t="s">
        <v>21</v>
      </c>
      <c r="E43" s="137"/>
      <c r="F43" s="33" t="s">
        <v>21</v>
      </c>
      <c r="G43" s="34">
        <v>7</v>
      </c>
      <c r="H43" s="35" t="s">
        <v>83</v>
      </c>
      <c r="I43" s="44"/>
      <c r="J43" s="45"/>
      <c r="K43" s="36">
        <f t="shared" si="11"/>
        <v>1110.8547973426678</v>
      </c>
      <c r="L43" s="79">
        <f t="shared" si="13"/>
        <v>0</v>
      </c>
      <c r="M43" s="35" t="s">
        <v>82</v>
      </c>
      <c r="O43" s="58">
        <f t="shared" si="12"/>
        <v>1110.8547973426678</v>
      </c>
    </row>
    <row r="44" spans="1:15" ht="38.25" customHeight="1" x14ac:dyDescent="0.25">
      <c r="A44" s="32" t="s">
        <v>67</v>
      </c>
      <c r="B44" s="32" t="s">
        <v>37</v>
      </c>
      <c r="C44" s="78">
        <v>5744.7273370438525</v>
      </c>
      <c r="D44" s="33" t="s">
        <v>21</v>
      </c>
      <c r="E44" s="137"/>
      <c r="F44" s="33" t="s">
        <v>21</v>
      </c>
      <c r="G44" s="34">
        <v>1</v>
      </c>
      <c r="H44" s="35" t="s">
        <v>83</v>
      </c>
      <c r="I44" s="44"/>
      <c r="J44" s="45"/>
      <c r="K44" s="36">
        <f t="shared" si="11"/>
        <v>5744.7273370438525</v>
      </c>
      <c r="L44" s="79">
        <f t="shared" si="13"/>
        <v>0</v>
      </c>
      <c r="M44" s="35" t="s">
        <v>82</v>
      </c>
      <c r="O44" s="58">
        <f t="shared" si="12"/>
        <v>5744.7273370438525</v>
      </c>
    </row>
    <row r="45" spans="1:15" ht="38.25" customHeight="1" x14ac:dyDescent="0.25">
      <c r="A45" s="32" t="s">
        <v>68</v>
      </c>
      <c r="B45" s="32" t="s">
        <v>38</v>
      </c>
      <c r="C45" s="78">
        <v>170.98919305140157</v>
      </c>
      <c r="D45" s="33" t="s">
        <v>21</v>
      </c>
      <c r="E45" s="137"/>
      <c r="F45" s="33" t="s">
        <v>21</v>
      </c>
      <c r="G45" s="34">
        <v>7</v>
      </c>
      <c r="H45" s="35" t="s">
        <v>83</v>
      </c>
      <c r="I45" s="44"/>
      <c r="J45" s="45"/>
      <c r="K45" s="36">
        <f t="shared" si="11"/>
        <v>1196.924351359811</v>
      </c>
      <c r="L45" s="79">
        <f t="shared" si="13"/>
        <v>0</v>
      </c>
      <c r="M45" s="35" t="s">
        <v>82</v>
      </c>
      <c r="O45" s="58">
        <f t="shared" si="12"/>
        <v>1196.924351359811</v>
      </c>
    </row>
    <row r="46" spans="1:15" ht="38.25" customHeight="1" x14ac:dyDescent="0.25">
      <c r="A46" s="32" t="s">
        <v>69</v>
      </c>
      <c r="B46" s="32" t="s">
        <v>39</v>
      </c>
      <c r="C46" s="78">
        <v>1136.727884457584</v>
      </c>
      <c r="D46" s="33" t="s">
        <v>21</v>
      </c>
      <c r="E46" s="137"/>
      <c r="F46" s="33" t="s">
        <v>21</v>
      </c>
      <c r="G46" s="34">
        <v>2</v>
      </c>
      <c r="H46" s="35" t="s">
        <v>83</v>
      </c>
      <c r="I46" s="44"/>
      <c r="J46" s="45"/>
      <c r="K46" s="36">
        <f t="shared" si="11"/>
        <v>2273.4557689151679</v>
      </c>
      <c r="L46" s="79">
        <f t="shared" si="13"/>
        <v>0</v>
      </c>
      <c r="M46" s="35" t="s">
        <v>82</v>
      </c>
      <c r="O46" s="58">
        <f t="shared" si="12"/>
        <v>2273.4557689151679</v>
      </c>
    </row>
    <row r="47" spans="1:15" ht="38.25" customHeight="1" x14ac:dyDescent="0.25">
      <c r="A47" s="32" t="s">
        <v>70</v>
      </c>
      <c r="B47" s="32" t="s">
        <v>40</v>
      </c>
      <c r="C47" s="78">
        <v>114.34796788525061</v>
      </c>
      <c r="D47" s="33" t="s">
        <v>21</v>
      </c>
      <c r="E47" s="137"/>
      <c r="F47" s="33" t="s">
        <v>21</v>
      </c>
      <c r="G47" s="34">
        <v>1233</v>
      </c>
      <c r="H47" s="35" t="s">
        <v>83</v>
      </c>
      <c r="I47" s="44"/>
      <c r="J47" s="45"/>
      <c r="K47" s="36">
        <f t="shared" si="11"/>
        <v>140991.044402514</v>
      </c>
      <c r="L47" s="79">
        <f t="shared" si="13"/>
        <v>0</v>
      </c>
      <c r="M47" s="35" t="s">
        <v>82</v>
      </c>
      <c r="O47" s="58">
        <f t="shared" si="12"/>
        <v>140991.044402514</v>
      </c>
    </row>
    <row r="48" spans="1:15" ht="38.25" customHeight="1" x14ac:dyDescent="0.25">
      <c r="A48" s="32" t="s">
        <v>71</v>
      </c>
      <c r="B48" s="32" t="s">
        <v>41</v>
      </c>
      <c r="C48" s="78">
        <v>361.84870601348399</v>
      </c>
      <c r="D48" s="33" t="s">
        <v>21</v>
      </c>
      <c r="E48" s="137"/>
      <c r="F48" s="33" t="s">
        <v>21</v>
      </c>
      <c r="G48" s="34">
        <v>271</v>
      </c>
      <c r="H48" s="35" t="s">
        <v>83</v>
      </c>
      <c r="I48" s="44"/>
      <c r="J48" s="45"/>
      <c r="K48" s="36">
        <f t="shared" si="11"/>
        <v>98060.999329654165</v>
      </c>
      <c r="L48" s="79">
        <f t="shared" si="13"/>
        <v>0</v>
      </c>
      <c r="M48" s="35" t="s">
        <v>82</v>
      </c>
      <c r="O48" s="58">
        <f t="shared" si="12"/>
        <v>98060.999329654165</v>
      </c>
    </row>
    <row r="49" spans="1:15" ht="38.25" customHeight="1" x14ac:dyDescent="0.25">
      <c r="A49" s="32" t="s">
        <v>72</v>
      </c>
      <c r="B49" s="32" t="s">
        <v>42</v>
      </c>
      <c r="C49" s="78">
        <v>1682.9375013280378</v>
      </c>
      <c r="D49" s="33" t="s">
        <v>21</v>
      </c>
      <c r="E49" s="137"/>
      <c r="F49" s="33" t="s">
        <v>21</v>
      </c>
      <c r="G49" s="34">
        <v>52</v>
      </c>
      <c r="H49" s="35" t="s">
        <v>83</v>
      </c>
      <c r="I49" s="44"/>
      <c r="J49" s="45"/>
      <c r="K49" s="36">
        <f t="shared" si="11"/>
        <v>87512.750069057962</v>
      </c>
      <c r="L49" s="79">
        <f t="shared" si="13"/>
        <v>0</v>
      </c>
      <c r="M49" s="35" t="s">
        <v>82</v>
      </c>
      <c r="O49" s="58">
        <f t="shared" si="12"/>
        <v>87512.750069057962</v>
      </c>
    </row>
    <row r="50" spans="1:15" ht="38.25" customHeight="1" x14ac:dyDescent="0.25">
      <c r="A50" s="32" t="s">
        <v>73</v>
      </c>
      <c r="B50" s="32" t="s">
        <v>43</v>
      </c>
      <c r="C50" s="78">
        <v>411.55351740672677</v>
      </c>
      <c r="D50" s="33" t="s">
        <v>21</v>
      </c>
      <c r="E50" s="137"/>
      <c r="F50" s="33" t="s">
        <v>21</v>
      </c>
      <c r="G50" s="34">
        <v>187</v>
      </c>
      <c r="H50" s="35" t="s">
        <v>83</v>
      </c>
      <c r="I50" s="44"/>
      <c r="J50" s="45"/>
      <c r="K50" s="36">
        <f t="shared" si="11"/>
        <v>76960.507755057901</v>
      </c>
      <c r="L50" s="79">
        <f t="shared" si="13"/>
        <v>0</v>
      </c>
      <c r="M50" s="35" t="s">
        <v>82</v>
      </c>
      <c r="O50" s="58">
        <f t="shared" si="12"/>
        <v>76960.507755057901</v>
      </c>
    </row>
    <row r="51" spans="1:15" ht="38.25" customHeight="1" x14ac:dyDescent="0.25">
      <c r="A51" s="32" t="s">
        <v>74</v>
      </c>
      <c r="B51" s="32" t="s">
        <v>44</v>
      </c>
      <c r="C51" s="78">
        <v>31.227049076514604</v>
      </c>
      <c r="D51" s="33" t="s">
        <v>21</v>
      </c>
      <c r="E51" s="137"/>
      <c r="F51" s="33" t="s">
        <v>21</v>
      </c>
      <c r="G51" s="34">
        <v>482</v>
      </c>
      <c r="H51" s="35" t="s">
        <v>83</v>
      </c>
      <c r="I51" s="44"/>
      <c r="J51" s="45"/>
      <c r="K51" s="36">
        <f t="shared" si="11"/>
        <v>15051.437654880039</v>
      </c>
      <c r="L51" s="79">
        <f t="shared" si="13"/>
        <v>0</v>
      </c>
      <c r="M51" s="35" t="s">
        <v>82</v>
      </c>
      <c r="O51" s="58">
        <f t="shared" si="12"/>
        <v>15051.437654880039</v>
      </c>
    </row>
    <row r="52" spans="1:15" ht="38.25" customHeight="1" x14ac:dyDescent="0.25">
      <c r="A52" s="38" t="s">
        <v>96</v>
      </c>
      <c r="B52" s="38" t="s">
        <v>99</v>
      </c>
      <c r="C52" s="39"/>
      <c r="D52" s="40"/>
      <c r="E52" s="69"/>
      <c r="F52" s="40"/>
      <c r="G52" s="41"/>
      <c r="H52" s="42"/>
      <c r="I52" s="41"/>
      <c r="J52" s="42"/>
      <c r="K52" s="17"/>
      <c r="L52" s="79"/>
      <c r="M52" s="42"/>
    </row>
    <row r="53" spans="1:15" ht="38.25" customHeight="1" x14ac:dyDescent="0.25">
      <c r="A53" s="32" t="s">
        <v>97</v>
      </c>
      <c r="B53" s="32" t="s">
        <v>80</v>
      </c>
      <c r="C53" s="78">
        <v>66768.119526270457</v>
      </c>
      <c r="D53" s="33" t="s">
        <v>81</v>
      </c>
      <c r="E53" s="137"/>
      <c r="F53" s="33" t="s">
        <v>81</v>
      </c>
      <c r="G53" s="34">
        <v>6</v>
      </c>
      <c r="H53" s="35" t="s">
        <v>81</v>
      </c>
      <c r="I53" s="44"/>
      <c r="J53" s="45"/>
      <c r="K53" s="36">
        <f>C53*G53</f>
        <v>400608.71715762274</v>
      </c>
      <c r="L53" s="79">
        <f>E53*G53</f>
        <v>0</v>
      </c>
      <c r="M53" s="35" t="s">
        <v>82</v>
      </c>
      <c r="O53" s="58">
        <f t="shared" ref="O53:O54" si="14">C53*G53</f>
        <v>400608.71715762274</v>
      </c>
    </row>
    <row r="54" spans="1:15" ht="38.25" customHeight="1" x14ac:dyDescent="0.25">
      <c r="A54" s="32" t="s">
        <v>98</v>
      </c>
      <c r="B54" s="32" t="s">
        <v>106</v>
      </c>
      <c r="C54" s="78">
        <v>107787.58410852712</v>
      </c>
      <c r="D54" s="33" t="s">
        <v>81</v>
      </c>
      <c r="E54" s="137"/>
      <c r="F54" s="33" t="s">
        <v>81</v>
      </c>
      <c r="G54" s="34">
        <v>6</v>
      </c>
      <c r="H54" s="35" t="s">
        <v>81</v>
      </c>
      <c r="I54" s="44"/>
      <c r="J54" s="45"/>
      <c r="K54" s="36">
        <f>C54*G54</f>
        <v>646725.50465116277</v>
      </c>
      <c r="L54" s="79">
        <f>E54:E56*G54</f>
        <v>0</v>
      </c>
      <c r="M54" s="35" t="s">
        <v>82</v>
      </c>
      <c r="O54" s="58">
        <f t="shared" si="14"/>
        <v>646725.50465116277</v>
      </c>
    </row>
    <row r="55" spans="1:15" s="31" customFormat="1" ht="17.25" customHeight="1" x14ac:dyDescent="0.25">
      <c r="A55" s="61"/>
      <c r="B55" s="61"/>
      <c r="C55" s="62"/>
      <c r="D55" s="11"/>
      <c r="E55" s="62"/>
      <c r="F55" s="49"/>
      <c r="G55" s="50"/>
      <c r="H55" s="51"/>
      <c r="I55" s="52"/>
      <c r="J55" s="52"/>
      <c r="K55" s="52"/>
      <c r="L55" s="87"/>
      <c r="M55" s="51"/>
      <c r="O55" s="60"/>
    </row>
    <row r="56" spans="1:15" s="31" customFormat="1" ht="36.75" customHeight="1" x14ac:dyDescent="0.25">
      <c r="A56" s="65"/>
      <c r="B56" s="65"/>
      <c r="C56" s="66"/>
      <c r="D56" s="63"/>
      <c r="E56" s="66"/>
      <c r="L56" s="88"/>
      <c r="O56" s="60"/>
    </row>
    <row r="57" spans="1:15" x14ac:dyDescent="0.25">
      <c r="B57" s="46" t="s">
        <v>93</v>
      </c>
    </row>
    <row r="58" spans="1:15" ht="36.75" customHeight="1" x14ac:dyDescent="0.25">
      <c r="C58" s="2"/>
      <c r="E58" s="2"/>
      <c r="F58" s="2"/>
      <c r="G58" s="2"/>
      <c r="H58" s="2"/>
      <c r="I58" s="2"/>
      <c r="J58" s="47" t="s">
        <v>112</v>
      </c>
      <c r="K58" s="2"/>
      <c r="L58" s="79">
        <f>SUM(O9:O54)</f>
        <v>19184702.723521382</v>
      </c>
      <c r="M58" s="35" t="s">
        <v>82</v>
      </c>
    </row>
    <row r="59" spans="1:15" x14ac:dyDescent="0.25">
      <c r="J59" s="14"/>
      <c r="K59" s="2"/>
    </row>
    <row r="60" spans="1:15" ht="36.75" customHeight="1" x14ac:dyDescent="0.25">
      <c r="C60" s="2"/>
      <c r="E60" s="2"/>
      <c r="F60" s="2"/>
      <c r="G60" s="2"/>
      <c r="H60" s="2"/>
      <c r="I60" s="2"/>
      <c r="J60" s="47" t="s">
        <v>113</v>
      </c>
      <c r="K60" s="2"/>
      <c r="L60" s="79">
        <f>SUM(L9:L54)</f>
        <v>0</v>
      </c>
      <c r="M60" s="35" t="s">
        <v>82</v>
      </c>
    </row>
    <row r="61" spans="1:15" ht="15.75" x14ac:dyDescent="0.25">
      <c r="N61" s="55"/>
    </row>
    <row r="62" spans="1:15" ht="36.75" customHeight="1" x14ac:dyDescent="0.25">
      <c r="A62" s="6"/>
      <c r="C62" s="2"/>
      <c r="E62" s="2"/>
      <c r="F62" s="2"/>
      <c r="G62" s="2"/>
      <c r="H62" s="2"/>
      <c r="I62" s="2"/>
      <c r="J62" s="73" t="s">
        <v>115</v>
      </c>
      <c r="K62" s="2"/>
      <c r="L62" s="79">
        <f>(1-L60/L58)*100</f>
        <v>100</v>
      </c>
      <c r="M62" s="35" t="s">
        <v>91</v>
      </c>
      <c r="N62" s="67" t="s">
        <v>119</v>
      </c>
    </row>
    <row r="63" spans="1:15" ht="15.75" x14ac:dyDescent="0.25">
      <c r="A63" s="10"/>
      <c r="N63" s="55"/>
    </row>
    <row r="64" spans="1:15" s="5" customFormat="1" ht="60" customHeight="1" x14ac:dyDescent="0.25">
      <c r="A64" s="74"/>
      <c r="B64" s="176" t="s">
        <v>118</v>
      </c>
      <c r="C64" s="176"/>
      <c r="D64" s="176"/>
      <c r="E64" s="176"/>
      <c r="F64" s="176"/>
      <c r="G64" s="176"/>
      <c r="H64" s="176"/>
      <c r="I64" s="176"/>
      <c r="J64" s="96"/>
      <c r="K64" s="97"/>
      <c r="L64" s="157"/>
      <c r="M64" s="128" t="s">
        <v>91</v>
      </c>
      <c r="N64" s="154" t="s">
        <v>120</v>
      </c>
      <c r="O64" s="59"/>
    </row>
    <row r="65" spans="1:15" ht="15.75" x14ac:dyDescent="0.25">
      <c r="A65" s="75"/>
      <c r="B65" s="48"/>
      <c r="N65" s="55"/>
    </row>
    <row r="66" spans="1:15" s="13" customFormat="1" ht="15.75" x14ac:dyDescent="0.25">
      <c r="A66" s="75"/>
      <c r="B66" s="2"/>
      <c r="C66" s="10"/>
      <c r="D66" s="11"/>
      <c r="E66" s="10"/>
      <c r="F66" s="11"/>
      <c r="G66" s="12"/>
      <c r="I66" s="12"/>
      <c r="K66" s="14"/>
      <c r="L66" s="82"/>
      <c r="N66" s="2"/>
      <c r="O66" s="58"/>
    </row>
    <row r="67" spans="1:15" s="13" customFormat="1" ht="15.75" x14ac:dyDescent="0.25">
      <c r="A67" s="75"/>
      <c r="B67" s="2"/>
      <c r="C67" s="10"/>
      <c r="D67" s="11"/>
      <c r="E67" s="10"/>
      <c r="F67" s="11"/>
      <c r="G67" s="12"/>
      <c r="I67" s="12"/>
      <c r="K67" s="14"/>
      <c r="L67" s="89"/>
      <c r="N67" s="2"/>
      <c r="O67" s="58"/>
    </row>
  </sheetData>
  <mergeCells count="11">
    <mergeCell ref="A1:M1"/>
    <mergeCell ref="C5:D5"/>
    <mergeCell ref="E5:F5"/>
    <mergeCell ref="G5:H5"/>
    <mergeCell ref="I5:J5"/>
    <mergeCell ref="L5:M5"/>
    <mergeCell ref="C6:D6"/>
    <mergeCell ref="E6:F6"/>
    <mergeCell ref="G6:H6"/>
    <mergeCell ref="I6:J6"/>
    <mergeCell ref="B64:I64"/>
  </mergeCells>
  <printOptions horizontalCentered="1"/>
  <pageMargins left="0.70866141732283472" right="0.70866141732283472" top="0.65" bottom="0.74803149606299213" header="0.31496062992125984" footer="0.31496062992125984"/>
  <pageSetup paperSize="9" scale="32" orientation="portrait" r:id="rId1"/>
  <headerFooter>
    <oddHeader>&amp;R&amp;"Arial Narrow,Grassetto Corsivo"&amp;12Allegato 8- Modello offerta economica</oddHeader>
    <oddFooter>&amp;L&amp;F&amp;RPag. 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5"/>
  <sheetViews>
    <sheetView view="pageLayout" topLeftCell="A18" zoomScale="70" zoomScaleNormal="100" zoomScalePageLayoutView="70" workbookViewId="0">
      <selection activeCell="G19" sqref="G19"/>
    </sheetView>
  </sheetViews>
  <sheetFormatPr defaultRowHeight="15" x14ac:dyDescent="0.25"/>
  <cols>
    <col min="1" max="1" width="6.28515625" style="2" customWidth="1"/>
    <col min="2" max="2" width="43.7109375" style="2" customWidth="1"/>
    <col min="3" max="3" width="18" style="10" customWidth="1"/>
    <col min="4" max="4" width="10.7109375" style="11" customWidth="1"/>
    <col min="5" max="5" width="18" style="10" customWidth="1"/>
    <col min="6" max="6" width="10.7109375" style="11" customWidth="1"/>
    <col min="7" max="7" width="18.28515625" style="12" customWidth="1"/>
    <col min="8" max="8" width="5.85546875" style="13" customWidth="1"/>
    <col min="9" max="9" width="18.42578125" style="12" customWidth="1"/>
    <col min="10" max="10" width="5.85546875" style="13" customWidth="1"/>
    <col min="11" max="11" width="27.140625" style="14" hidden="1" customWidth="1"/>
    <col min="12" max="12" width="24" style="15" customWidth="1"/>
    <col min="13" max="13" width="5.85546875" style="13" customWidth="1"/>
    <col min="14" max="14" width="26" style="2" bestFit="1" customWidth="1"/>
    <col min="15" max="15" width="19.42578125" style="58" hidden="1" customWidth="1"/>
    <col min="16" max="16" width="6.7109375" style="2" customWidth="1"/>
    <col min="17" max="16384" width="9.140625" style="2"/>
  </cols>
  <sheetData>
    <row r="1" spans="1:17" ht="53.25" customHeight="1" x14ac:dyDescent="0.25">
      <c r="A1" s="177" t="s">
        <v>110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</row>
    <row r="2" spans="1:17" ht="12.75" customHeight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3"/>
      <c r="L2" s="4"/>
      <c r="M2" s="56"/>
    </row>
    <row r="3" spans="1:17" s="5" customFormat="1" ht="18" x14ac:dyDescent="0.25">
      <c r="A3" s="5">
        <v>1</v>
      </c>
      <c r="B3" s="5" t="s">
        <v>90</v>
      </c>
      <c r="C3" s="6"/>
      <c r="D3" s="6"/>
      <c r="E3" s="6"/>
      <c r="F3" s="6"/>
      <c r="G3" s="7"/>
      <c r="H3" s="7"/>
      <c r="I3" s="7"/>
      <c r="J3" s="7"/>
      <c r="K3" s="8"/>
      <c r="L3" s="9"/>
      <c r="M3" s="7"/>
      <c r="O3" s="59"/>
    </row>
    <row r="4" spans="1:17" ht="15.75" thickBot="1" x14ac:dyDescent="0.3"/>
    <row r="5" spans="1:17" ht="38.25" customHeight="1" thickBot="1" x14ac:dyDescent="0.3">
      <c r="A5" s="16">
        <v>1</v>
      </c>
      <c r="B5" s="57">
        <v>2</v>
      </c>
      <c r="C5" s="172">
        <v>3</v>
      </c>
      <c r="D5" s="173"/>
      <c r="E5" s="172">
        <v>4</v>
      </c>
      <c r="F5" s="173"/>
      <c r="G5" s="174">
        <v>5</v>
      </c>
      <c r="H5" s="175"/>
      <c r="I5" s="174">
        <v>6</v>
      </c>
      <c r="J5" s="175"/>
      <c r="K5" s="17"/>
      <c r="L5" s="174">
        <v>7</v>
      </c>
      <c r="M5" s="175"/>
      <c r="N5" s="53">
        <v>8</v>
      </c>
    </row>
    <row r="6" spans="1:17" ht="38.25" customHeight="1" thickBot="1" x14ac:dyDescent="0.3">
      <c r="A6" s="16" t="s">
        <v>46</v>
      </c>
      <c r="B6" s="57" t="s">
        <v>45</v>
      </c>
      <c r="C6" s="172" t="s">
        <v>92</v>
      </c>
      <c r="D6" s="173"/>
      <c r="E6" s="172" t="s">
        <v>94</v>
      </c>
      <c r="F6" s="173"/>
      <c r="G6" s="174" t="s">
        <v>75</v>
      </c>
      <c r="H6" s="175"/>
      <c r="I6" s="174" t="s">
        <v>75</v>
      </c>
      <c r="J6" s="175"/>
      <c r="K6" s="17" t="s">
        <v>95</v>
      </c>
      <c r="L6" s="18" t="s">
        <v>76</v>
      </c>
      <c r="M6" s="19"/>
      <c r="N6" s="54" t="s">
        <v>109</v>
      </c>
    </row>
    <row r="7" spans="1:17" ht="8.25" customHeight="1" x14ac:dyDescent="0.25">
      <c r="A7" s="20"/>
      <c r="B7" s="20"/>
      <c r="C7" s="20"/>
      <c r="D7" s="21"/>
      <c r="E7" s="20"/>
      <c r="F7" s="21"/>
      <c r="G7" s="22"/>
      <c r="H7" s="23"/>
      <c r="I7" s="22"/>
      <c r="J7" s="23"/>
      <c r="K7" s="17"/>
      <c r="L7" s="24"/>
      <c r="M7" s="23"/>
    </row>
    <row r="8" spans="1:17" s="31" customFormat="1" ht="38.25" customHeight="1" x14ac:dyDescent="0.25">
      <c r="A8" s="25" t="s">
        <v>0</v>
      </c>
      <c r="B8" s="25" t="s">
        <v>1</v>
      </c>
      <c r="C8" s="26"/>
      <c r="D8" s="27"/>
      <c r="E8" s="26"/>
      <c r="F8" s="27"/>
      <c r="G8" s="28"/>
      <c r="H8" s="29"/>
      <c r="I8" s="28"/>
      <c r="J8" s="29"/>
      <c r="K8" s="17"/>
      <c r="L8" s="30"/>
      <c r="M8" s="29"/>
      <c r="O8" s="60"/>
    </row>
    <row r="9" spans="1:17" ht="38.25" customHeight="1" x14ac:dyDescent="0.25">
      <c r="A9" s="32" t="s">
        <v>47</v>
      </c>
      <c r="B9" s="32" t="s">
        <v>2</v>
      </c>
      <c r="C9" s="64">
        <v>1.0772722457596435E-3</v>
      </c>
      <c r="D9" s="33" t="s">
        <v>85</v>
      </c>
      <c r="E9" s="126"/>
      <c r="F9" s="33" t="s">
        <v>85</v>
      </c>
      <c r="G9" s="34">
        <v>442623</v>
      </c>
      <c r="H9" s="35" t="s">
        <v>88</v>
      </c>
      <c r="I9" s="34">
        <v>2468</v>
      </c>
      <c r="J9" s="35" t="s">
        <v>77</v>
      </c>
      <c r="K9" s="36">
        <f>C9*G9*I9</f>
        <v>1176805.267943661</v>
      </c>
      <c r="L9" s="37">
        <f>E9*G9*I9</f>
        <v>0</v>
      </c>
      <c r="M9" s="35" t="s">
        <v>82</v>
      </c>
      <c r="O9" s="58">
        <f>C9*G9*I9</f>
        <v>1176805.267943661</v>
      </c>
      <c r="Q9" s="70"/>
    </row>
    <row r="10" spans="1:17" ht="38.25" customHeight="1" x14ac:dyDescent="0.25">
      <c r="A10" s="32" t="s">
        <v>48</v>
      </c>
      <c r="B10" s="32" t="s">
        <v>3</v>
      </c>
      <c r="C10" s="64">
        <v>2.6533799156641469E-3</v>
      </c>
      <c r="D10" s="33" t="s">
        <v>85</v>
      </c>
      <c r="E10" s="126"/>
      <c r="F10" s="33" t="s">
        <v>85</v>
      </c>
      <c r="G10" s="34">
        <v>1213788</v>
      </c>
      <c r="H10" s="35" t="s">
        <v>88</v>
      </c>
      <c r="I10" s="34">
        <v>2468</v>
      </c>
      <c r="J10" s="35" t="s">
        <v>77</v>
      </c>
      <c r="K10" s="36">
        <f>C10*G10*I10</f>
        <v>7948541.250251011</v>
      </c>
      <c r="L10" s="37">
        <f>E10*G10*I10</f>
        <v>0</v>
      </c>
      <c r="M10" s="35" t="s">
        <v>82</v>
      </c>
      <c r="O10" s="58">
        <f>C10*G10*I10</f>
        <v>7948541.250251011</v>
      </c>
      <c r="Q10" s="70"/>
    </row>
    <row r="11" spans="1:17" s="31" customFormat="1" ht="38.25" customHeight="1" x14ac:dyDescent="0.25">
      <c r="A11" s="38" t="s">
        <v>4</v>
      </c>
      <c r="B11" s="38" t="s">
        <v>5</v>
      </c>
      <c r="C11" s="39"/>
      <c r="D11" s="40"/>
      <c r="E11" s="69"/>
      <c r="F11" s="40"/>
      <c r="G11" s="41"/>
      <c r="H11" s="42"/>
      <c r="I11" s="41"/>
      <c r="J11" s="42"/>
      <c r="K11" s="17"/>
      <c r="L11" s="43"/>
      <c r="M11" s="42"/>
      <c r="O11" s="60"/>
      <c r="Q11" s="71"/>
    </row>
    <row r="12" spans="1:17" ht="38.25" customHeight="1" x14ac:dyDescent="0.25">
      <c r="A12" s="32" t="s">
        <v>49</v>
      </c>
      <c r="B12" s="32" t="s">
        <v>6</v>
      </c>
      <c r="C12" s="64">
        <v>1.3322304810368274E-2</v>
      </c>
      <c r="D12" s="33" t="s">
        <v>86</v>
      </c>
      <c r="E12" s="126"/>
      <c r="F12" s="33" t="s">
        <v>86</v>
      </c>
      <c r="G12" s="34">
        <v>129397.5</v>
      </c>
      <c r="H12" s="35" t="s">
        <v>88</v>
      </c>
      <c r="I12" s="34">
        <v>130</v>
      </c>
      <c r="J12" s="35" t="s">
        <v>84</v>
      </c>
      <c r="K12" s="36">
        <f>C12*G12*I12</f>
        <v>224103.48177095174</v>
      </c>
      <c r="L12" s="37">
        <f>E12*G12*I12</f>
        <v>0</v>
      </c>
      <c r="M12" s="35" t="s">
        <v>82</v>
      </c>
      <c r="O12" s="58">
        <f t="shared" ref="O12:O13" si="0">C12*G12*I12</f>
        <v>224103.48177095174</v>
      </c>
      <c r="Q12" s="70"/>
    </row>
    <row r="13" spans="1:17" ht="38.25" customHeight="1" x14ac:dyDescent="0.25">
      <c r="A13" s="32" t="s">
        <v>50</v>
      </c>
      <c r="B13" s="32" t="s">
        <v>7</v>
      </c>
      <c r="C13" s="64">
        <v>2.5405787641850981E-2</v>
      </c>
      <c r="D13" s="33" t="s">
        <v>86</v>
      </c>
      <c r="E13" s="126"/>
      <c r="F13" s="33" t="s">
        <v>86</v>
      </c>
      <c r="G13" s="34">
        <v>1162290.19</v>
      </c>
      <c r="H13" s="35" t="s">
        <v>88</v>
      </c>
      <c r="I13" s="34">
        <v>150</v>
      </c>
      <c r="J13" s="35" t="s">
        <v>84</v>
      </c>
      <c r="K13" s="36">
        <f>C13*G13*I13</f>
        <v>4429334.6618019938</v>
      </c>
      <c r="L13" s="37">
        <f>E13*G13*I13</f>
        <v>0</v>
      </c>
      <c r="M13" s="35" t="s">
        <v>82</v>
      </c>
      <c r="O13" s="58">
        <f t="shared" si="0"/>
        <v>4429334.6618019938</v>
      </c>
      <c r="Q13" s="70"/>
    </row>
    <row r="14" spans="1:17" s="31" customFormat="1" ht="38.25" customHeight="1" x14ac:dyDescent="0.25">
      <c r="A14" s="38" t="s">
        <v>8</v>
      </c>
      <c r="B14" s="38" t="s">
        <v>9</v>
      </c>
      <c r="C14" s="39"/>
      <c r="D14" s="40"/>
      <c r="E14" s="69"/>
      <c r="F14" s="40"/>
      <c r="G14" s="41"/>
      <c r="H14" s="42"/>
      <c r="I14" s="41"/>
      <c r="J14" s="42"/>
      <c r="K14" s="17"/>
      <c r="L14" s="43"/>
      <c r="M14" s="42"/>
      <c r="O14" s="60"/>
      <c r="Q14" s="71"/>
    </row>
    <row r="15" spans="1:17" ht="38.25" customHeight="1" x14ac:dyDescent="0.25">
      <c r="A15" s="32" t="s">
        <v>51</v>
      </c>
      <c r="B15" s="32" t="s">
        <v>10</v>
      </c>
      <c r="C15" s="78">
        <v>0.99658131218700008</v>
      </c>
      <c r="D15" s="33" t="s">
        <v>87</v>
      </c>
      <c r="E15" s="137"/>
      <c r="F15" s="33" t="s">
        <v>87</v>
      </c>
      <c r="G15" s="34">
        <v>444492</v>
      </c>
      <c r="H15" s="35" t="s">
        <v>89</v>
      </c>
      <c r="I15" s="44"/>
      <c r="J15" s="45"/>
      <c r="K15" s="36">
        <f>C15*G15</f>
        <v>442972.42061662406</v>
      </c>
      <c r="L15" s="37">
        <f>E15*G15</f>
        <v>0</v>
      </c>
      <c r="M15" s="35" t="s">
        <v>82</v>
      </c>
      <c r="O15" s="58">
        <f>C15*G15</f>
        <v>442972.42061662406</v>
      </c>
      <c r="Q15" s="70"/>
    </row>
    <row r="16" spans="1:17" s="31" customFormat="1" ht="38.25" customHeight="1" x14ac:dyDescent="0.25">
      <c r="A16" s="38" t="s">
        <v>11</v>
      </c>
      <c r="B16" s="38" t="s">
        <v>12</v>
      </c>
      <c r="C16" s="39"/>
      <c r="D16" s="40"/>
      <c r="E16" s="69"/>
      <c r="F16" s="40"/>
      <c r="G16" s="41"/>
      <c r="H16" s="42"/>
      <c r="I16" s="41"/>
      <c r="J16" s="42"/>
      <c r="K16" s="17"/>
      <c r="L16" s="37"/>
      <c r="M16" s="42"/>
      <c r="O16" s="60"/>
      <c r="Q16" s="71"/>
    </row>
    <row r="17" spans="1:17" ht="45" x14ac:dyDescent="0.25">
      <c r="A17" s="32" t="s">
        <v>52</v>
      </c>
      <c r="B17" s="32" t="s">
        <v>79</v>
      </c>
      <c r="C17" s="77">
        <v>3.0610124513595922</v>
      </c>
      <c r="D17" s="33" t="s">
        <v>87</v>
      </c>
      <c r="E17" s="140"/>
      <c r="F17" s="33" t="s">
        <v>87</v>
      </c>
      <c r="G17" s="34">
        <v>444492</v>
      </c>
      <c r="H17" s="35" t="s">
        <v>89</v>
      </c>
      <c r="I17" s="44"/>
      <c r="J17" s="45"/>
      <c r="K17" s="36">
        <f>C17*G17</f>
        <v>1360595.5465297278</v>
      </c>
      <c r="L17" s="37">
        <f>E17*G17</f>
        <v>0</v>
      </c>
      <c r="M17" s="35" t="s">
        <v>82</v>
      </c>
      <c r="O17" s="58">
        <f t="shared" ref="O17:O19" si="1">C17*G17</f>
        <v>1360595.5465297278</v>
      </c>
      <c r="Q17" s="70"/>
    </row>
    <row r="18" spans="1:17" ht="38.25" customHeight="1" x14ac:dyDescent="0.25">
      <c r="A18" s="32" t="s">
        <v>105</v>
      </c>
      <c r="B18" s="32" t="s">
        <v>13</v>
      </c>
      <c r="C18" s="77">
        <v>0.29539100477784092</v>
      </c>
      <c r="D18" s="33" t="s">
        <v>87</v>
      </c>
      <c r="E18" s="140"/>
      <c r="F18" s="33" t="s">
        <v>87</v>
      </c>
      <c r="G18" s="34">
        <v>117315</v>
      </c>
      <c r="H18" s="35" t="s">
        <v>89</v>
      </c>
      <c r="I18" s="44"/>
      <c r="J18" s="45"/>
      <c r="K18" s="36">
        <f>C18*G18</f>
        <v>34653.795725512406</v>
      </c>
      <c r="L18" s="37">
        <f t="shared" ref="L18:L19" si="2">E18*G18</f>
        <v>0</v>
      </c>
      <c r="M18" s="35" t="s">
        <v>82</v>
      </c>
      <c r="O18" s="58">
        <f t="shared" ref="O18" si="3">C18*G18</f>
        <v>34653.795725512406</v>
      </c>
      <c r="Q18" s="70"/>
    </row>
    <row r="19" spans="1:17" ht="38.25" customHeight="1" x14ac:dyDescent="0.25">
      <c r="A19" s="32" t="s">
        <v>117</v>
      </c>
      <c r="B19" s="32" t="s">
        <v>122</v>
      </c>
      <c r="C19" s="77">
        <v>150</v>
      </c>
      <c r="D19" s="33" t="s">
        <v>87</v>
      </c>
      <c r="E19" s="140"/>
      <c r="F19" s="33" t="s">
        <v>87</v>
      </c>
      <c r="G19" s="34">
        <v>6500</v>
      </c>
      <c r="H19" s="35" t="s">
        <v>89</v>
      </c>
      <c r="I19" s="44"/>
      <c r="J19" s="45"/>
      <c r="K19" s="36">
        <f>C19*G19</f>
        <v>975000</v>
      </c>
      <c r="L19" s="37">
        <f t="shared" si="2"/>
        <v>0</v>
      </c>
      <c r="M19" s="35" t="s">
        <v>82</v>
      </c>
      <c r="O19" s="58">
        <f t="shared" si="1"/>
        <v>975000</v>
      </c>
      <c r="Q19" s="70"/>
    </row>
    <row r="20" spans="1:17" ht="38.25" customHeight="1" x14ac:dyDescent="0.25">
      <c r="A20" s="38" t="s">
        <v>14</v>
      </c>
      <c r="B20" s="38" t="s">
        <v>15</v>
      </c>
      <c r="C20" s="39"/>
      <c r="D20" s="40"/>
      <c r="E20" s="69"/>
      <c r="F20" s="40"/>
      <c r="G20" s="41"/>
      <c r="H20" s="42"/>
      <c r="I20" s="41"/>
      <c r="J20" s="42"/>
      <c r="K20" s="17"/>
      <c r="L20" s="37"/>
      <c r="M20" s="42"/>
      <c r="Q20" s="70"/>
    </row>
    <row r="21" spans="1:17" s="31" customFormat="1" ht="38.25" customHeight="1" x14ac:dyDescent="0.25">
      <c r="A21" s="32" t="s">
        <v>53</v>
      </c>
      <c r="B21" s="32" t="s">
        <v>107</v>
      </c>
      <c r="C21" s="78">
        <v>24.017975586371783</v>
      </c>
      <c r="D21" s="33" t="s">
        <v>87</v>
      </c>
      <c r="E21" s="137"/>
      <c r="F21" s="33" t="s">
        <v>87</v>
      </c>
      <c r="G21" s="34">
        <v>444492</v>
      </c>
      <c r="H21" s="35" t="s">
        <v>89</v>
      </c>
      <c r="I21" s="44"/>
      <c r="J21" s="45"/>
      <c r="K21" s="36">
        <f>C21*G21</f>
        <v>10675798.004337566</v>
      </c>
      <c r="L21" s="37">
        <f>E21*G21</f>
        <v>0</v>
      </c>
      <c r="M21" s="35" t="s">
        <v>82</v>
      </c>
      <c r="O21" s="58">
        <f t="shared" ref="O21:O25" si="4">C21*G21</f>
        <v>10675798.004337566</v>
      </c>
      <c r="Q21" s="71"/>
    </row>
    <row r="22" spans="1:17" s="31" customFormat="1" ht="38.25" customHeight="1" x14ac:dyDescent="0.25">
      <c r="A22" s="32" t="s">
        <v>54</v>
      </c>
      <c r="B22" s="32" t="s">
        <v>108</v>
      </c>
      <c r="C22" s="78">
        <v>11.185362524184205</v>
      </c>
      <c r="D22" s="33" t="s">
        <v>87</v>
      </c>
      <c r="E22" s="137"/>
      <c r="F22" s="33" t="s">
        <v>87</v>
      </c>
      <c r="G22" s="34">
        <v>63370</v>
      </c>
      <c r="H22" s="35" t="s">
        <v>89</v>
      </c>
      <c r="I22" s="44"/>
      <c r="J22" s="45"/>
      <c r="K22" s="36">
        <f>C22*G22</f>
        <v>708816.42315755307</v>
      </c>
      <c r="L22" s="37">
        <f t="shared" ref="L22:L25" si="5">E22*G22</f>
        <v>0</v>
      </c>
      <c r="M22" s="35" t="s">
        <v>82</v>
      </c>
      <c r="O22" s="58">
        <f t="shared" si="4"/>
        <v>708816.42315755307</v>
      </c>
      <c r="Q22" s="71"/>
    </row>
    <row r="23" spans="1:17" ht="38.25" customHeight="1" x14ac:dyDescent="0.25">
      <c r="A23" s="32" t="s">
        <v>100</v>
      </c>
      <c r="B23" s="32" t="s">
        <v>16</v>
      </c>
      <c r="C23" s="78">
        <v>0.6110768124851228</v>
      </c>
      <c r="D23" s="33" t="s">
        <v>87</v>
      </c>
      <c r="E23" s="137"/>
      <c r="F23" s="33" t="s">
        <v>87</v>
      </c>
      <c r="G23" s="34">
        <v>182315</v>
      </c>
      <c r="H23" s="35" t="s">
        <v>89</v>
      </c>
      <c r="I23" s="44"/>
      <c r="J23" s="45"/>
      <c r="K23" s="36">
        <f>C23*G23</f>
        <v>111408.46906822517</v>
      </c>
      <c r="L23" s="37">
        <f t="shared" si="5"/>
        <v>0</v>
      </c>
      <c r="M23" s="35" t="s">
        <v>82</v>
      </c>
      <c r="O23" s="58">
        <f t="shared" si="4"/>
        <v>111408.46906822517</v>
      </c>
      <c r="Q23" s="70"/>
    </row>
    <row r="24" spans="1:17" s="31" customFormat="1" ht="38.25" customHeight="1" x14ac:dyDescent="0.25">
      <c r="A24" s="32" t="s">
        <v>101</v>
      </c>
      <c r="B24" s="32" t="s">
        <v>102</v>
      </c>
      <c r="C24" s="78">
        <v>1920.6131157811997</v>
      </c>
      <c r="D24" s="33" t="s">
        <v>21</v>
      </c>
      <c r="E24" s="137"/>
      <c r="F24" s="33" t="s">
        <v>21</v>
      </c>
      <c r="G24" s="34"/>
      <c r="H24" s="35" t="s">
        <v>83</v>
      </c>
      <c r="I24" s="44"/>
      <c r="J24" s="45"/>
      <c r="K24" s="36">
        <f>C24*G24</f>
        <v>0</v>
      </c>
      <c r="L24" s="37">
        <f t="shared" si="5"/>
        <v>0</v>
      </c>
      <c r="M24" s="35" t="s">
        <v>82</v>
      </c>
      <c r="O24" s="58">
        <f t="shared" si="4"/>
        <v>0</v>
      </c>
      <c r="Q24" s="71"/>
    </row>
    <row r="25" spans="1:17" ht="38.25" customHeight="1" x14ac:dyDescent="0.25">
      <c r="A25" s="32" t="s">
        <v>104</v>
      </c>
      <c r="B25" s="32" t="s">
        <v>103</v>
      </c>
      <c r="C25" s="78">
        <v>2.5642171822259212</v>
      </c>
      <c r="D25" s="33" t="s">
        <v>21</v>
      </c>
      <c r="E25" s="137"/>
      <c r="F25" s="33" t="s">
        <v>21</v>
      </c>
      <c r="G25" s="34"/>
      <c r="H25" s="35" t="s">
        <v>83</v>
      </c>
      <c r="I25" s="44"/>
      <c r="J25" s="45"/>
      <c r="K25" s="36">
        <f>C25*G25</f>
        <v>0</v>
      </c>
      <c r="L25" s="37">
        <f t="shared" si="5"/>
        <v>0</v>
      </c>
      <c r="M25" s="35" t="s">
        <v>82</v>
      </c>
      <c r="O25" s="58">
        <f t="shared" si="4"/>
        <v>0</v>
      </c>
      <c r="Q25" s="70"/>
    </row>
    <row r="26" spans="1:17" ht="47.25" x14ac:dyDescent="0.25">
      <c r="A26" s="38" t="s">
        <v>17</v>
      </c>
      <c r="B26" s="38" t="s">
        <v>18</v>
      </c>
      <c r="C26" s="39"/>
      <c r="D26" s="40"/>
      <c r="E26" s="69"/>
      <c r="F26" s="40"/>
      <c r="G26" s="41"/>
      <c r="H26" s="42"/>
      <c r="I26" s="41"/>
      <c r="J26" s="42"/>
      <c r="K26" s="17"/>
      <c r="L26" s="37"/>
      <c r="M26" s="42"/>
      <c r="Q26" s="70"/>
    </row>
    <row r="27" spans="1:17" s="31" customFormat="1" ht="38.25" customHeight="1" x14ac:dyDescent="0.25">
      <c r="A27" s="32" t="s">
        <v>55</v>
      </c>
      <c r="B27" s="32" t="s">
        <v>19</v>
      </c>
      <c r="C27" s="78">
        <v>1.4505808270340399</v>
      </c>
      <c r="D27" s="33" t="s">
        <v>87</v>
      </c>
      <c r="E27" s="137"/>
      <c r="F27" s="33" t="s">
        <v>87</v>
      </c>
      <c r="G27" s="34">
        <v>381122</v>
      </c>
      <c r="H27" s="35" t="s">
        <v>89</v>
      </c>
      <c r="I27" s="44"/>
      <c r="J27" s="45"/>
      <c r="K27" s="36">
        <f>C27*G27</f>
        <v>552848.2659608674</v>
      </c>
      <c r="L27" s="37">
        <f>E27*G27</f>
        <v>0</v>
      </c>
      <c r="M27" s="35" t="s">
        <v>82</v>
      </c>
      <c r="O27" s="58">
        <f t="shared" ref="O27:O28" si="6">C27*G27</f>
        <v>552848.2659608674</v>
      </c>
      <c r="Q27" s="71"/>
    </row>
    <row r="28" spans="1:17" ht="38.25" customHeight="1" x14ac:dyDescent="0.25">
      <c r="A28" s="32" t="s">
        <v>56</v>
      </c>
      <c r="B28" s="32" t="s">
        <v>20</v>
      </c>
      <c r="C28" s="78">
        <v>196.41391881978004</v>
      </c>
      <c r="D28" s="33" t="s">
        <v>21</v>
      </c>
      <c r="E28" s="137"/>
      <c r="F28" s="33" t="s">
        <v>21</v>
      </c>
      <c r="G28" s="34">
        <v>512</v>
      </c>
      <c r="H28" s="35" t="s">
        <v>83</v>
      </c>
      <c r="I28" s="44"/>
      <c r="J28" s="45"/>
      <c r="K28" s="36">
        <f>C28*G28</f>
        <v>100563.92643572738</v>
      </c>
      <c r="L28" s="37">
        <f>E28*G28</f>
        <v>0</v>
      </c>
      <c r="M28" s="35" t="s">
        <v>82</v>
      </c>
      <c r="O28" s="58">
        <f t="shared" si="6"/>
        <v>100563.92643572738</v>
      </c>
      <c r="Q28" s="70"/>
    </row>
    <row r="29" spans="1:17" ht="38.25" customHeight="1" x14ac:dyDescent="0.25">
      <c r="A29" s="38" t="s">
        <v>22</v>
      </c>
      <c r="B29" s="38" t="s">
        <v>23</v>
      </c>
      <c r="C29" s="39"/>
      <c r="D29" s="40"/>
      <c r="E29" s="69"/>
      <c r="F29" s="40"/>
      <c r="G29" s="41"/>
      <c r="H29" s="42"/>
      <c r="I29" s="41"/>
      <c r="J29" s="42"/>
      <c r="K29" s="17"/>
      <c r="L29" s="37"/>
      <c r="M29" s="42"/>
      <c r="Q29" s="70"/>
    </row>
    <row r="30" spans="1:17" ht="38.25" customHeight="1" x14ac:dyDescent="0.25">
      <c r="A30" s="32" t="s">
        <v>57</v>
      </c>
      <c r="B30" s="32" t="s">
        <v>78</v>
      </c>
      <c r="C30" s="78">
        <v>0.46946070402192563</v>
      </c>
      <c r="D30" s="33" t="s">
        <v>87</v>
      </c>
      <c r="E30" s="137"/>
      <c r="F30" s="33" t="s">
        <v>87</v>
      </c>
      <c r="G30" s="34">
        <v>449725</v>
      </c>
      <c r="H30" s="35" t="s">
        <v>89</v>
      </c>
      <c r="I30" s="44"/>
      <c r="J30" s="45"/>
      <c r="K30" s="36">
        <f>C30*G30</f>
        <v>211128.21511626052</v>
      </c>
      <c r="L30" s="37">
        <f>E30*G30</f>
        <v>0</v>
      </c>
      <c r="M30" s="35" t="s">
        <v>82</v>
      </c>
      <c r="O30" s="58">
        <f t="shared" ref="O30:O31" si="7">C30*G30</f>
        <v>211128.21511626052</v>
      </c>
      <c r="Q30" s="70"/>
    </row>
    <row r="31" spans="1:17" ht="38.25" customHeight="1" x14ac:dyDescent="0.25">
      <c r="A31" s="32" t="s">
        <v>58</v>
      </c>
      <c r="B31" s="32" t="s">
        <v>24</v>
      </c>
      <c r="C31" s="78">
        <v>5.6388032876341407</v>
      </c>
      <c r="D31" s="33" t="s">
        <v>87</v>
      </c>
      <c r="E31" s="137"/>
      <c r="F31" s="33" t="s">
        <v>87</v>
      </c>
      <c r="G31" s="34">
        <v>15344</v>
      </c>
      <c r="H31" s="35" t="s">
        <v>89</v>
      </c>
      <c r="I31" s="44"/>
      <c r="J31" s="45"/>
      <c r="K31" s="36">
        <f>C31*G31</f>
        <v>86521.797645458253</v>
      </c>
      <c r="L31" s="37">
        <f>E31*G31</f>
        <v>0</v>
      </c>
      <c r="M31" s="35" t="s">
        <v>82</v>
      </c>
      <c r="O31" s="58">
        <f t="shared" si="7"/>
        <v>86521.797645458253</v>
      </c>
      <c r="Q31" s="70"/>
    </row>
    <row r="32" spans="1:17" ht="47.25" x14ac:dyDescent="0.25">
      <c r="A32" s="38" t="s">
        <v>25</v>
      </c>
      <c r="B32" s="38" t="s">
        <v>26</v>
      </c>
      <c r="C32" s="39"/>
      <c r="D32" s="40"/>
      <c r="E32" s="69"/>
      <c r="F32" s="40"/>
      <c r="G32" s="41"/>
      <c r="H32" s="42"/>
      <c r="I32" s="41"/>
      <c r="J32" s="42"/>
      <c r="K32" s="17"/>
      <c r="L32" s="37"/>
      <c r="M32" s="42"/>
      <c r="Q32" s="70"/>
    </row>
    <row r="33" spans="1:17" s="31" customFormat="1" ht="38.25" customHeight="1" x14ac:dyDescent="0.25">
      <c r="A33" s="32" t="s">
        <v>59</v>
      </c>
      <c r="B33" s="32" t="s">
        <v>27</v>
      </c>
      <c r="C33" s="78">
        <v>851.68083968633869</v>
      </c>
      <c r="D33" s="33" t="s">
        <v>21</v>
      </c>
      <c r="E33" s="137"/>
      <c r="F33" s="33" t="s">
        <v>21</v>
      </c>
      <c r="G33" s="34">
        <v>100</v>
      </c>
      <c r="H33" s="35" t="s">
        <v>83</v>
      </c>
      <c r="I33" s="44"/>
      <c r="J33" s="45"/>
      <c r="K33" s="36">
        <f>C33*G33</f>
        <v>85168.083968633873</v>
      </c>
      <c r="L33" s="37">
        <f>E33*G33</f>
        <v>0</v>
      </c>
      <c r="M33" s="35" t="s">
        <v>82</v>
      </c>
      <c r="O33" s="58">
        <f t="shared" ref="O33:O36" si="8">C33*G33</f>
        <v>85168.083968633873</v>
      </c>
      <c r="Q33" s="71"/>
    </row>
    <row r="34" spans="1:17" ht="38.25" customHeight="1" x14ac:dyDescent="0.25">
      <c r="A34" s="32" t="s">
        <v>60</v>
      </c>
      <c r="B34" s="32" t="s">
        <v>28</v>
      </c>
      <c r="C34" s="78">
        <v>1237.055329294629</v>
      </c>
      <c r="D34" s="33" t="s">
        <v>21</v>
      </c>
      <c r="E34" s="137"/>
      <c r="F34" s="33" t="s">
        <v>21</v>
      </c>
      <c r="G34" s="34">
        <v>75</v>
      </c>
      <c r="H34" s="35" t="s">
        <v>83</v>
      </c>
      <c r="I34" s="44"/>
      <c r="J34" s="45"/>
      <c r="K34" s="36">
        <f>C34*G34</f>
        <v>92779.149697097178</v>
      </c>
      <c r="L34" s="37">
        <f t="shared" ref="L34:L36" si="9">E34*G34</f>
        <v>0</v>
      </c>
      <c r="M34" s="35" t="s">
        <v>82</v>
      </c>
      <c r="O34" s="58">
        <f t="shared" si="8"/>
        <v>92779.149697097178</v>
      </c>
      <c r="Q34" s="70"/>
    </row>
    <row r="35" spans="1:17" ht="38.25" customHeight="1" x14ac:dyDescent="0.25">
      <c r="A35" s="32" t="s">
        <v>61</v>
      </c>
      <c r="B35" s="32" t="s">
        <v>29</v>
      </c>
      <c r="C35" s="78">
        <v>341.9994854602873</v>
      </c>
      <c r="D35" s="33" t="s">
        <v>21</v>
      </c>
      <c r="E35" s="137"/>
      <c r="F35" s="33" t="s">
        <v>21</v>
      </c>
      <c r="G35" s="34">
        <v>1</v>
      </c>
      <c r="H35" s="35" t="s">
        <v>83</v>
      </c>
      <c r="I35" s="44"/>
      <c r="J35" s="45"/>
      <c r="K35" s="36">
        <f>C35*G35</f>
        <v>341.9994854602873</v>
      </c>
      <c r="L35" s="37">
        <f t="shared" si="9"/>
        <v>0</v>
      </c>
      <c r="M35" s="35" t="s">
        <v>82</v>
      </c>
      <c r="O35" s="58">
        <f t="shared" si="8"/>
        <v>341.9994854602873</v>
      </c>
      <c r="Q35" s="70"/>
    </row>
    <row r="36" spans="1:17" ht="38.25" customHeight="1" x14ac:dyDescent="0.25">
      <c r="A36" s="32" t="s">
        <v>62</v>
      </c>
      <c r="B36" s="32" t="s">
        <v>30</v>
      </c>
      <c r="C36" s="78">
        <v>1091.7493291407866</v>
      </c>
      <c r="D36" s="33" t="s">
        <v>21</v>
      </c>
      <c r="E36" s="137"/>
      <c r="F36" s="33" t="s">
        <v>21</v>
      </c>
      <c r="G36" s="34">
        <v>0</v>
      </c>
      <c r="H36" s="35" t="s">
        <v>83</v>
      </c>
      <c r="I36" s="44"/>
      <c r="J36" s="45"/>
      <c r="K36" s="36">
        <f>C36*G36</f>
        <v>0</v>
      </c>
      <c r="L36" s="37">
        <f t="shared" si="9"/>
        <v>0</v>
      </c>
      <c r="M36" s="35" t="s">
        <v>82</v>
      </c>
      <c r="O36" s="58">
        <f t="shared" si="8"/>
        <v>0</v>
      </c>
      <c r="Q36" s="70"/>
    </row>
    <row r="37" spans="1:17" ht="38.25" customHeight="1" x14ac:dyDescent="0.25">
      <c r="A37" s="38" t="s">
        <v>31</v>
      </c>
      <c r="B37" s="38" t="s">
        <v>32</v>
      </c>
      <c r="C37" s="39"/>
      <c r="D37" s="40"/>
      <c r="E37" s="69"/>
      <c r="F37" s="40"/>
      <c r="G37" s="41"/>
      <c r="H37" s="42"/>
      <c r="I37" s="41"/>
      <c r="J37" s="42"/>
      <c r="K37" s="17"/>
      <c r="L37" s="37"/>
      <c r="M37" s="42"/>
      <c r="Q37" s="70"/>
    </row>
    <row r="38" spans="1:17" s="31" customFormat="1" ht="38.25" customHeight="1" x14ac:dyDescent="0.25">
      <c r="A38" s="32" t="s">
        <v>63</v>
      </c>
      <c r="B38" s="32" t="s">
        <v>33</v>
      </c>
      <c r="C38" s="78">
        <v>370.78428390801372</v>
      </c>
      <c r="D38" s="33" t="s">
        <v>21</v>
      </c>
      <c r="E38" s="137"/>
      <c r="F38" s="33" t="s">
        <v>21</v>
      </c>
      <c r="G38" s="34">
        <v>464</v>
      </c>
      <c r="H38" s="35" t="s">
        <v>83</v>
      </c>
      <c r="I38" s="44"/>
      <c r="J38" s="45"/>
      <c r="K38" s="36">
        <f t="shared" ref="K38:K49" si="10">C38*G38</f>
        <v>172043.90773331837</v>
      </c>
      <c r="L38" s="37">
        <f>E38*G38</f>
        <v>0</v>
      </c>
      <c r="M38" s="35" t="s">
        <v>82</v>
      </c>
      <c r="O38" s="58">
        <f t="shared" ref="O38:O49" si="11">C38*G38</f>
        <v>172043.90773331837</v>
      </c>
      <c r="Q38" s="71"/>
    </row>
    <row r="39" spans="1:17" ht="38.25" customHeight="1" x14ac:dyDescent="0.25">
      <c r="A39" s="32" t="s">
        <v>64</v>
      </c>
      <c r="B39" s="32" t="s">
        <v>34</v>
      </c>
      <c r="C39" s="78">
        <v>0.44308650716676129</v>
      </c>
      <c r="D39" s="33" t="s">
        <v>87</v>
      </c>
      <c r="E39" s="137"/>
      <c r="F39" s="33" t="s">
        <v>87</v>
      </c>
      <c r="G39" s="34">
        <v>164370</v>
      </c>
      <c r="H39" s="35" t="s">
        <v>89</v>
      </c>
      <c r="I39" s="44"/>
      <c r="J39" s="45"/>
      <c r="K39" s="36">
        <f t="shared" si="10"/>
        <v>72830.12918300055</v>
      </c>
      <c r="L39" s="37">
        <f t="shared" ref="L39:L49" si="12">E39*G39</f>
        <v>0</v>
      </c>
      <c r="M39" s="35" t="s">
        <v>82</v>
      </c>
      <c r="O39" s="58">
        <f t="shared" si="11"/>
        <v>72830.12918300055</v>
      </c>
      <c r="Q39" s="70"/>
    </row>
    <row r="40" spans="1:17" ht="38.25" customHeight="1" x14ac:dyDescent="0.25">
      <c r="A40" s="32" t="s">
        <v>65</v>
      </c>
      <c r="B40" s="32" t="s">
        <v>35</v>
      </c>
      <c r="C40" s="78">
        <v>0.6962787969763391</v>
      </c>
      <c r="D40" s="33" t="s">
        <v>87</v>
      </c>
      <c r="E40" s="137"/>
      <c r="F40" s="33" t="s">
        <v>87</v>
      </c>
      <c r="G40" s="34">
        <v>6</v>
      </c>
      <c r="H40" s="35" t="s">
        <v>89</v>
      </c>
      <c r="I40" s="44"/>
      <c r="J40" s="45"/>
      <c r="K40" s="36">
        <f t="shared" si="10"/>
        <v>4.1776727818580346</v>
      </c>
      <c r="L40" s="37">
        <f t="shared" si="12"/>
        <v>0</v>
      </c>
      <c r="M40" s="35" t="s">
        <v>82</v>
      </c>
      <c r="O40" s="58">
        <f t="shared" si="11"/>
        <v>4.1776727818580346</v>
      </c>
      <c r="Q40" s="70"/>
    </row>
    <row r="41" spans="1:17" ht="38.25" customHeight="1" x14ac:dyDescent="0.25">
      <c r="A41" s="32" t="s">
        <v>66</v>
      </c>
      <c r="B41" s="32" t="s">
        <v>36</v>
      </c>
      <c r="C41" s="78">
        <v>158.69354247752398</v>
      </c>
      <c r="D41" s="33" t="s">
        <v>21</v>
      </c>
      <c r="E41" s="137"/>
      <c r="F41" s="33" t="s">
        <v>21</v>
      </c>
      <c r="G41" s="34">
        <v>0</v>
      </c>
      <c r="H41" s="35" t="s">
        <v>83</v>
      </c>
      <c r="I41" s="44"/>
      <c r="J41" s="45"/>
      <c r="K41" s="36">
        <f t="shared" si="10"/>
        <v>0</v>
      </c>
      <c r="L41" s="37">
        <f t="shared" si="12"/>
        <v>0</v>
      </c>
      <c r="M41" s="35" t="s">
        <v>82</v>
      </c>
      <c r="O41" s="58">
        <f t="shared" si="11"/>
        <v>0</v>
      </c>
      <c r="Q41" s="70"/>
    </row>
    <row r="42" spans="1:17" ht="38.25" customHeight="1" x14ac:dyDescent="0.25">
      <c r="A42" s="32" t="s">
        <v>67</v>
      </c>
      <c r="B42" s="32" t="s">
        <v>37</v>
      </c>
      <c r="C42" s="78">
        <v>5744.7273370438525</v>
      </c>
      <c r="D42" s="33" t="s">
        <v>21</v>
      </c>
      <c r="E42" s="137"/>
      <c r="F42" s="33" t="s">
        <v>21</v>
      </c>
      <c r="G42" s="34">
        <v>2</v>
      </c>
      <c r="H42" s="35" t="s">
        <v>83</v>
      </c>
      <c r="I42" s="44"/>
      <c r="J42" s="45"/>
      <c r="K42" s="36">
        <f t="shared" si="10"/>
        <v>11489.454674087705</v>
      </c>
      <c r="L42" s="37">
        <f t="shared" si="12"/>
        <v>0</v>
      </c>
      <c r="M42" s="35" t="s">
        <v>82</v>
      </c>
      <c r="O42" s="58">
        <f t="shared" si="11"/>
        <v>11489.454674087705</v>
      </c>
      <c r="Q42" s="70"/>
    </row>
    <row r="43" spans="1:17" ht="38.25" customHeight="1" x14ac:dyDescent="0.25">
      <c r="A43" s="32" t="s">
        <v>68</v>
      </c>
      <c r="B43" s="32" t="s">
        <v>38</v>
      </c>
      <c r="C43" s="78">
        <v>170.98919305140157</v>
      </c>
      <c r="D43" s="33" t="s">
        <v>21</v>
      </c>
      <c r="E43" s="137"/>
      <c r="F43" s="33" t="s">
        <v>21</v>
      </c>
      <c r="G43" s="34">
        <v>11</v>
      </c>
      <c r="H43" s="35" t="s">
        <v>83</v>
      </c>
      <c r="I43" s="44"/>
      <c r="J43" s="45"/>
      <c r="K43" s="36">
        <f t="shared" si="10"/>
        <v>1880.8811235654173</v>
      </c>
      <c r="L43" s="37">
        <f t="shared" si="12"/>
        <v>0</v>
      </c>
      <c r="M43" s="35" t="s">
        <v>82</v>
      </c>
      <c r="O43" s="58">
        <f t="shared" si="11"/>
        <v>1880.8811235654173</v>
      </c>
      <c r="Q43" s="70"/>
    </row>
    <row r="44" spans="1:17" ht="38.25" customHeight="1" x14ac:dyDescent="0.25">
      <c r="A44" s="32" t="s">
        <v>69</v>
      </c>
      <c r="B44" s="32" t="s">
        <v>39</v>
      </c>
      <c r="C44" s="78">
        <v>1136.727884457584</v>
      </c>
      <c r="D44" s="33" t="s">
        <v>21</v>
      </c>
      <c r="E44" s="137"/>
      <c r="F44" s="33" t="s">
        <v>21</v>
      </c>
      <c r="G44" s="34"/>
      <c r="H44" s="35" t="s">
        <v>83</v>
      </c>
      <c r="I44" s="44"/>
      <c r="J44" s="45"/>
      <c r="K44" s="36">
        <f t="shared" si="10"/>
        <v>0</v>
      </c>
      <c r="L44" s="37">
        <f t="shared" si="12"/>
        <v>0</v>
      </c>
      <c r="M44" s="35" t="s">
        <v>82</v>
      </c>
      <c r="O44" s="58">
        <f t="shared" si="11"/>
        <v>0</v>
      </c>
      <c r="Q44" s="70"/>
    </row>
    <row r="45" spans="1:17" ht="38.25" customHeight="1" x14ac:dyDescent="0.25">
      <c r="A45" s="32" t="s">
        <v>70</v>
      </c>
      <c r="B45" s="32" t="s">
        <v>40</v>
      </c>
      <c r="C45" s="78">
        <v>114.34796788525061</v>
      </c>
      <c r="D45" s="33" t="s">
        <v>21</v>
      </c>
      <c r="E45" s="137"/>
      <c r="F45" s="33" t="s">
        <v>21</v>
      </c>
      <c r="G45" s="34"/>
      <c r="H45" s="35" t="s">
        <v>83</v>
      </c>
      <c r="I45" s="44"/>
      <c r="J45" s="45"/>
      <c r="K45" s="36">
        <f t="shared" si="10"/>
        <v>0</v>
      </c>
      <c r="L45" s="37">
        <f t="shared" si="12"/>
        <v>0</v>
      </c>
      <c r="M45" s="35" t="s">
        <v>82</v>
      </c>
      <c r="O45" s="58">
        <f t="shared" si="11"/>
        <v>0</v>
      </c>
      <c r="Q45" s="70"/>
    </row>
    <row r="46" spans="1:17" ht="38.25" customHeight="1" x14ac:dyDescent="0.25">
      <c r="A46" s="32" t="s">
        <v>71</v>
      </c>
      <c r="B46" s="32" t="s">
        <v>41</v>
      </c>
      <c r="C46" s="78">
        <v>361.84870601348399</v>
      </c>
      <c r="D46" s="33" t="s">
        <v>21</v>
      </c>
      <c r="E46" s="137"/>
      <c r="F46" s="33" t="s">
        <v>21</v>
      </c>
      <c r="G46" s="34"/>
      <c r="H46" s="35" t="s">
        <v>83</v>
      </c>
      <c r="I46" s="44"/>
      <c r="J46" s="45"/>
      <c r="K46" s="36">
        <f t="shared" si="10"/>
        <v>0</v>
      </c>
      <c r="L46" s="37">
        <f t="shared" si="12"/>
        <v>0</v>
      </c>
      <c r="M46" s="35" t="s">
        <v>82</v>
      </c>
      <c r="O46" s="58">
        <f t="shared" si="11"/>
        <v>0</v>
      </c>
      <c r="Q46" s="70"/>
    </row>
    <row r="47" spans="1:17" ht="38.25" customHeight="1" x14ac:dyDescent="0.25">
      <c r="A47" s="32" t="s">
        <v>72</v>
      </c>
      <c r="B47" s="32" t="s">
        <v>42</v>
      </c>
      <c r="C47" s="78">
        <v>1682.9375013280378</v>
      </c>
      <c r="D47" s="33" t="s">
        <v>21</v>
      </c>
      <c r="E47" s="137"/>
      <c r="F47" s="33" t="s">
        <v>21</v>
      </c>
      <c r="G47" s="34">
        <v>132</v>
      </c>
      <c r="H47" s="35" t="s">
        <v>83</v>
      </c>
      <c r="I47" s="44"/>
      <c r="J47" s="45"/>
      <c r="K47" s="36">
        <f t="shared" si="10"/>
        <v>222147.75017530099</v>
      </c>
      <c r="L47" s="37">
        <f t="shared" si="12"/>
        <v>0</v>
      </c>
      <c r="M47" s="35" t="s">
        <v>82</v>
      </c>
      <c r="O47" s="58">
        <f t="shared" si="11"/>
        <v>222147.75017530099</v>
      </c>
      <c r="Q47" s="70"/>
    </row>
    <row r="48" spans="1:17" ht="38.25" customHeight="1" x14ac:dyDescent="0.25">
      <c r="A48" s="32" t="s">
        <v>73</v>
      </c>
      <c r="B48" s="32" t="s">
        <v>43</v>
      </c>
      <c r="C48" s="78">
        <v>411.55351740672677</v>
      </c>
      <c r="D48" s="33" t="s">
        <v>21</v>
      </c>
      <c r="E48" s="137"/>
      <c r="F48" s="33" t="s">
        <v>21</v>
      </c>
      <c r="G48" s="34"/>
      <c r="H48" s="35" t="s">
        <v>83</v>
      </c>
      <c r="I48" s="44"/>
      <c r="J48" s="45"/>
      <c r="K48" s="36">
        <f t="shared" si="10"/>
        <v>0</v>
      </c>
      <c r="L48" s="37">
        <f t="shared" si="12"/>
        <v>0</v>
      </c>
      <c r="M48" s="35" t="s">
        <v>82</v>
      </c>
      <c r="O48" s="58">
        <f t="shared" si="11"/>
        <v>0</v>
      </c>
      <c r="Q48" s="70"/>
    </row>
    <row r="49" spans="1:17" ht="38.25" customHeight="1" x14ac:dyDescent="0.25">
      <c r="A49" s="32" t="s">
        <v>74</v>
      </c>
      <c r="B49" s="32" t="s">
        <v>44</v>
      </c>
      <c r="C49" s="78">
        <v>31.227049076514604</v>
      </c>
      <c r="D49" s="33" t="s">
        <v>21</v>
      </c>
      <c r="E49" s="137"/>
      <c r="F49" s="33" t="s">
        <v>21</v>
      </c>
      <c r="G49" s="34"/>
      <c r="H49" s="35" t="s">
        <v>83</v>
      </c>
      <c r="I49" s="44"/>
      <c r="J49" s="45"/>
      <c r="K49" s="36">
        <f t="shared" si="10"/>
        <v>0</v>
      </c>
      <c r="L49" s="37">
        <f t="shared" si="12"/>
        <v>0</v>
      </c>
      <c r="M49" s="35" t="s">
        <v>82</v>
      </c>
      <c r="O49" s="58">
        <f t="shared" si="11"/>
        <v>0</v>
      </c>
      <c r="Q49" s="70"/>
    </row>
    <row r="50" spans="1:17" ht="38.25" customHeight="1" x14ac:dyDescent="0.25">
      <c r="A50" s="38" t="s">
        <v>96</v>
      </c>
      <c r="B50" s="38" t="s">
        <v>99</v>
      </c>
      <c r="C50" s="39"/>
      <c r="D50" s="40"/>
      <c r="E50" s="69"/>
      <c r="F50" s="40"/>
      <c r="G50" s="41"/>
      <c r="H50" s="42"/>
      <c r="I50" s="41"/>
      <c r="J50" s="42"/>
      <c r="K50" s="17"/>
      <c r="L50" s="37"/>
      <c r="M50" s="42"/>
      <c r="Q50" s="70"/>
    </row>
    <row r="51" spans="1:17" ht="38.25" customHeight="1" x14ac:dyDescent="0.25">
      <c r="A51" s="32" t="s">
        <v>97</v>
      </c>
      <c r="B51" s="32" t="s">
        <v>80</v>
      </c>
      <c r="C51" s="78">
        <v>66768.119526270457</v>
      </c>
      <c r="D51" s="33" t="s">
        <v>81</v>
      </c>
      <c r="E51" s="137"/>
      <c r="F51" s="33" t="s">
        <v>81</v>
      </c>
      <c r="G51" s="34">
        <v>1</v>
      </c>
      <c r="H51" s="35" t="s">
        <v>81</v>
      </c>
      <c r="I51" s="44"/>
      <c r="J51" s="45"/>
      <c r="K51" s="36">
        <f>C51*G51</f>
        <v>66768.119526270457</v>
      </c>
      <c r="L51" s="37">
        <f>E51*G51</f>
        <v>0</v>
      </c>
      <c r="M51" s="35" t="s">
        <v>82</v>
      </c>
      <c r="O51" s="58">
        <f t="shared" ref="O51:O52" si="13">C51*G51</f>
        <v>66768.119526270457</v>
      </c>
      <c r="Q51" s="70"/>
    </row>
    <row r="52" spans="1:17" ht="38.25" customHeight="1" x14ac:dyDescent="0.25">
      <c r="A52" s="32" t="s">
        <v>98</v>
      </c>
      <c r="B52" s="32" t="s">
        <v>106</v>
      </c>
      <c r="C52" s="78">
        <v>107787.58410852712</v>
      </c>
      <c r="D52" s="33" t="s">
        <v>81</v>
      </c>
      <c r="E52" s="137"/>
      <c r="F52" s="33" t="s">
        <v>81</v>
      </c>
      <c r="G52" s="34">
        <v>6</v>
      </c>
      <c r="H52" s="35" t="s">
        <v>81</v>
      </c>
      <c r="I52" s="44"/>
      <c r="J52" s="45"/>
      <c r="K52" s="36">
        <f>C52*G52</f>
        <v>646725.50465116277</v>
      </c>
      <c r="L52" s="37">
        <f>E52*G52</f>
        <v>0</v>
      </c>
      <c r="M52" s="35" t="s">
        <v>82</v>
      </c>
      <c r="O52" s="58">
        <f t="shared" si="13"/>
        <v>646725.50465116277</v>
      </c>
      <c r="Q52" s="70"/>
    </row>
    <row r="53" spans="1:17" s="31" customFormat="1" ht="17.25" customHeight="1" x14ac:dyDescent="0.25">
      <c r="A53" s="61"/>
      <c r="B53" s="61"/>
      <c r="C53" s="62"/>
      <c r="D53" s="11"/>
      <c r="E53" s="62"/>
      <c r="F53" s="49"/>
      <c r="G53" s="50"/>
      <c r="H53" s="51"/>
      <c r="I53" s="52"/>
      <c r="J53" s="52"/>
      <c r="K53" s="52"/>
      <c r="L53" s="52"/>
      <c r="M53" s="51"/>
      <c r="O53" s="60"/>
    </row>
    <row r="54" spans="1:17" s="31" customFormat="1" ht="36.75" customHeight="1" x14ac:dyDescent="0.25">
      <c r="A54" s="65"/>
      <c r="B54" s="65"/>
      <c r="C54" s="66"/>
      <c r="D54" s="63"/>
      <c r="E54" s="66"/>
      <c r="O54" s="60"/>
    </row>
    <row r="55" spans="1:17" x14ac:dyDescent="0.25">
      <c r="B55" s="46" t="s">
        <v>93</v>
      </c>
    </row>
    <row r="56" spans="1:17" ht="36.75" customHeight="1" x14ac:dyDescent="0.25">
      <c r="C56" s="2"/>
      <c r="E56" s="2"/>
      <c r="F56" s="2"/>
      <c r="G56" s="2"/>
      <c r="H56" s="2"/>
      <c r="I56" s="2"/>
      <c r="J56" s="47" t="s">
        <v>112</v>
      </c>
      <c r="K56" s="2"/>
      <c r="L56" s="37">
        <f>SUM(O9:O52)</f>
        <v>30411270.684251823</v>
      </c>
      <c r="M56" s="35" t="s">
        <v>82</v>
      </c>
    </row>
    <row r="57" spans="1:17" x14ac:dyDescent="0.25">
      <c r="J57" s="14"/>
      <c r="K57" s="2"/>
    </row>
    <row r="58" spans="1:17" ht="36.75" customHeight="1" x14ac:dyDescent="0.25">
      <c r="C58" s="2"/>
      <c r="E58" s="2"/>
      <c r="F58" s="2"/>
      <c r="G58" s="2"/>
      <c r="H58" s="2"/>
      <c r="I58" s="2"/>
      <c r="J58" s="47" t="s">
        <v>113</v>
      </c>
      <c r="K58" s="2"/>
      <c r="L58" s="37">
        <f>SUM(L9:L52)</f>
        <v>0</v>
      </c>
      <c r="M58" s="35" t="s">
        <v>82</v>
      </c>
    </row>
    <row r="59" spans="1:17" ht="15.75" x14ac:dyDescent="0.25">
      <c r="N59" s="55"/>
    </row>
    <row r="60" spans="1:17" ht="36.75" customHeight="1" x14ac:dyDescent="0.25">
      <c r="A60" s="6"/>
      <c r="C60" s="2"/>
      <c r="E60" s="2"/>
      <c r="F60" s="2"/>
      <c r="G60" s="2"/>
      <c r="H60" s="2"/>
      <c r="I60" s="2"/>
      <c r="J60" s="73" t="s">
        <v>115</v>
      </c>
      <c r="K60" s="2"/>
      <c r="L60" s="37">
        <f>(1-L58/L56)*100</f>
        <v>100</v>
      </c>
      <c r="M60" s="35" t="s">
        <v>91</v>
      </c>
      <c r="N60" s="67" t="s">
        <v>119</v>
      </c>
    </row>
    <row r="61" spans="1:17" ht="15.75" x14ac:dyDescent="0.25">
      <c r="A61" s="10"/>
      <c r="N61" s="55"/>
    </row>
    <row r="62" spans="1:17" s="5" customFormat="1" ht="60" customHeight="1" x14ac:dyDescent="0.25">
      <c r="A62" s="74"/>
      <c r="B62" s="178" t="s">
        <v>118</v>
      </c>
      <c r="C62" s="178"/>
      <c r="D62" s="178"/>
      <c r="E62" s="178"/>
      <c r="F62" s="178"/>
      <c r="G62" s="178"/>
      <c r="H62" s="178"/>
      <c r="I62" s="178"/>
      <c r="J62" s="7"/>
      <c r="K62" s="8"/>
      <c r="L62" s="68"/>
      <c r="M62" s="35" t="s">
        <v>91</v>
      </c>
      <c r="N62" s="67" t="s">
        <v>120</v>
      </c>
      <c r="O62" s="59"/>
    </row>
    <row r="63" spans="1:17" ht="15.75" x14ac:dyDescent="0.25">
      <c r="A63" s="75"/>
      <c r="B63" s="48"/>
      <c r="N63" s="55"/>
    </row>
    <row r="64" spans="1:17" ht="15.75" x14ac:dyDescent="0.25">
      <c r="A64" s="75"/>
    </row>
    <row r="65" spans="1:12" ht="15.75" x14ac:dyDescent="0.25">
      <c r="A65" s="75"/>
      <c r="L65" s="72"/>
    </row>
  </sheetData>
  <mergeCells count="11">
    <mergeCell ref="C6:D6"/>
    <mergeCell ref="E6:F6"/>
    <mergeCell ref="G6:H6"/>
    <mergeCell ref="I6:J6"/>
    <mergeCell ref="B62:I62"/>
    <mergeCell ref="A1:M1"/>
    <mergeCell ref="C5:D5"/>
    <mergeCell ref="E5:F5"/>
    <mergeCell ref="G5:H5"/>
    <mergeCell ref="I5:J5"/>
    <mergeCell ref="L5:M5"/>
  </mergeCells>
  <printOptions horizontalCentered="1"/>
  <pageMargins left="0.70866141732283472" right="0.70866141732283472" top="0.65" bottom="0.74803149606299213" header="0.31496062992125984" footer="0.31496062992125984"/>
  <pageSetup paperSize="9" scale="33" orientation="portrait" r:id="rId1"/>
  <headerFooter>
    <oddHeader>&amp;R&amp;"Arial,Grassetto Corsivo"&amp;14Allegato 8 - Modello offerta economica</oddHeader>
    <oddFooter>&amp;L&amp;F&amp;RPag. 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5"/>
  <sheetViews>
    <sheetView view="pageLayout" topLeftCell="C4" zoomScale="70" zoomScaleNormal="100" zoomScalePageLayoutView="70" workbookViewId="0">
      <selection activeCell="N12" sqref="N12"/>
    </sheetView>
  </sheetViews>
  <sheetFormatPr defaultRowHeight="15" x14ac:dyDescent="0.25"/>
  <cols>
    <col min="1" max="1" width="6.28515625" style="2" customWidth="1"/>
    <col min="2" max="2" width="43.7109375" style="2" customWidth="1"/>
    <col min="3" max="3" width="18" style="10" customWidth="1"/>
    <col min="4" max="4" width="10.7109375" style="11" customWidth="1"/>
    <col min="5" max="5" width="18" style="10" customWidth="1"/>
    <col min="6" max="6" width="10.7109375" style="11" customWidth="1"/>
    <col min="7" max="7" width="18.28515625" style="12" customWidth="1"/>
    <col min="8" max="8" width="5.85546875" style="13" customWidth="1"/>
    <col min="9" max="9" width="18.42578125" style="12" customWidth="1"/>
    <col min="10" max="10" width="5.85546875" style="13" customWidth="1"/>
    <col min="11" max="11" width="27.140625" style="14" hidden="1" customWidth="1"/>
    <col min="12" max="12" width="24" style="15" customWidth="1"/>
    <col min="13" max="13" width="5.85546875" style="13" customWidth="1"/>
    <col min="14" max="14" width="25.28515625" style="2" customWidth="1"/>
    <col min="15" max="15" width="18.140625" style="58" hidden="1" customWidth="1"/>
    <col min="16" max="16384" width="9.140625" style="2"/>
  </cols>
  <sheetData>
    <row r="1" spans="1:15" ht="53.25" customHeight="1" x14ac:dyDescent="0.25">
      <c r="A1" s="177" t="s">
        <v>111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</row>
    <row r="2" spans="1:15" ht="12.75" customHeight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3"/>
      <c r="L2" s="4"/>
      <c r="M2" s="56"/>
    </row>
    <row r="3" spans="1:15" s="5" customFormat="1" ht="18" x14ac:dyDescent="0.25">
      <c r="A3" s="5">
        <v>1</v>
      </c>
      <c r="B3" s="5" t="s">
        <v>90</v>
      </c>
      <c r="C3" s="6"/>
      <c r="D3" s="6"/>
      <c r="E3" s="6"/>
      <c r="F3" s="6"/>
      <c r="G3" s="7"/>
      <c r="H3" s="7"/>
      <c r="I3" s="7"/>
      <c r="J3" s="7"/>
      <c r="K3" s="8"/>
      <c r="L3" s="9"/>
      <c r="M3" s="7"/>
      <c r="O3" s="59"/>
    </row>
    <row r="4" spans="1:15" ht="15.75" thickBot="1" x14ac:dyDescent="0.3"/>
    <row r="5" spans="1:15" ht="38.25" customHeight="1" thickBot="1" x14ac:dyDescent="0.3">
      <c r="A5" s="16">
        <v>1</v>
      </c>
      <c r="B5" s="57">
        <v>2</v>
      </c>
      <c r="C5" s="172">
        <v>3</v>
      </c>
      <c r="D5" s="173"/>
      <c r="E5" s="172">
        <v>4</v>
      </c>
      <c r="F5" s="173"/>
      <c r="G5" s="174">
        <v>5</v>
      </c>
      <c r="H5" s="175"/>
      <c r="I5" s="174">
        <v>6</v>
      </c>
      <c r="J5" s="175"/>
      <c r="K5" s="17"/>
      <c r="L5" s="174">
        <v>7</v>
      </c>
      <c r="M5" s="175"/>
      <c r="N5" s="53">
        <v>8</v>
      </c>
    </row>
    <row r="6" spans="1:15" ht="38.25" customHeight="1" thickBot="1" x14ac:dyDescent="0.3">
      <c r="A6" s="16" t="s">
        <v>46</v>
      </c>
      <c r="B6" s="57" t="s">
        <v>45</v>
      </c>
      <c r="C6" s="172" t="s">
        <v>92</v>
      </c>
      <c r="D6" s="173"/>
      <c r="E6" s="172" t="s">
        <v>94</v>
      </c>
      <c r="F6" s="173"/>
      <c r="G6" s="174" t="s">
        <v>75</v>
      </c>
      <c r="H6" s="175"/>
      <c r="I6" s="174" t="s">
        <v>75</v>
      </c>
      <c r="J6" s="175"/>
      <c r="K6" s="17" t="s">
        <v>95</v>
      </c>
      <c r="L6" s="18" t="s">
        <v>76</v>
      </c>
      <c r="M6" s="19"/>
      <c r="N6" s="54" t="s">
        <v>109</v>
      </c>
    </row>
    <row r="7" spans="1:15" ht="8.25" customHeight="1" x14ac:dyDescent="0.25">
      <c r="A7" s="20"/>
      <c r="B7" s="20"/>
      <c r="C7" s="20"/>
      <c r="D7" s="21"/>
      <c r="E7" s="20"/>
      <c r="F7" s="21"/>
      <c r="G7" s="22"/>
      <c r="H7" s="23"/>
      <c r="I7" s="22"/>
      <c r="J7" s="23"/>
      <c r="K7" s="17"/>
      <c r="L7" s="24"/>
      <c r="M7" s="23"/>
    </row>
    <row r="8" spans="1:15" s="31" customFormat="1" ht="38.25" customHeight="1" x14ac:dyDescent="0.25">
      <c r="A8" s="25" t="s">
        <v>0</v>
      </c>
      <c r="B8" s="25" t="s">
        <v>1</v>
      </c>
      <c r="C8" s="26"/>
      <c r="D8" s="27"/>
      <c r="E8" s="26"/>
      <c r="F8" s="27"/>
      <c r="G8" s="28"/>
      <c r="H8" s="29"/>
      <c r="I8" s="28"/>
      <c r="J8" s="29"/>
      <c r="K8" s="17"/>
      <c r="L8" s="30"/>
      <c r="M8" s="29"/>
      <c r="O8" s="60"/>
    </row>
    <row r="9" spans="1:15" ht="38.25" customHeight="1" x14ac:dyDescent="0.25">
      <c r="A9" s="32" t="s">
        <v>47</v>
      </c>
      <c r="B9" s="32" t="s">
        <v>2</v>
      </c>
      <c r="C9" s="64">
        <v>1.0772722457596435E-3</v>
      </c>
      <c r="D9" s="33" t="s">
        <v>85</v>
      </c>
      <c r="E9" s="126"/>
      <c r="F9" s="33" t="s">
        <v>85</v>
      </c>
      <c r="G9" s="34">
        <v>425496</v>
      </c>
      <c r="H9" s="35" t="s">
        <v>88</v>
      </c>
      <c r="I9" s="34">
        <v>2383</v>
      </c>
      <c r="J9" s="35" t="s">
        <v>77</v>
      </c>
      <c r="K9" s="36">
        <f>C9*G9*I9</f>
        <v>1092307.7000209989</v>
      </c>
      <c r="L9" s="37">
        <f>E9*G9*I9</f>
        <v>0</v>
      </c>
      <c r="M9" s="35" t="s">
        <v>82</v>
      </c>
      <c r="O9" s="58">
        <f>C9*G9*I9</f>
        <v>1092307.7000209989</v>
      </c>
    </row>
    <row r="10" spans="1:15" ht="38.25" customHeight="1" x14ac:dyDescent="0.25">
      <c r="A10" s="32" t="s">
        <v>48</v>
      </c>
      <c r="B10" s="32" t="s">
        <v>3</v>
      </c>
      <c r="C10" s="64">
        <v>2.6533799156641469E-3</v>
      </c>
      <c r="D10" s="33" t="s">
        <v>85</v>
      </c>
      <c r="E10" s="126"/>
      <c r="F10" s="33" t="s">
        <v>85</v>
      </c>
      <c r="G10" s="34">
        <v>316673</v>
      </c>
      <c r="H10" s="35" t="s">
        <v>88</v>
      </c>
      <c r="I10" s="34">
        <v>2383</v>
      </c>
      <c r="J10" s="35" t="s">
        <v>77</v>
      </c>
      <c r="K10" s="36">
        <f>C10*G10*I10</f>
        <v>2002324.7530529068</v>
      </c>
      <c r="L10" s="37">
        <f>E10*G10*I10</f>
        <v>0</v>
      </c>
      <c r="M10" s="35" t="s">
        <v>82</v>
      </c>
      <c r="O10" s="58">
        <f>C10*G10*I10</f>
        <v>2002324.7530529068</v>
      </c>
    </row>
    <row r="11" spans="1:15" s="31" customFormat="1" ht="38.25" customHeight="1" x14ac:dyDescent="0.25">
      <c r="A11" s="38" t="s">
        <v>4</v>
      </c>
      <c r="B11" s="38" t="s">
        <v>5</v>
      </c>
      <c r="C11" s="39"/>
      <c r="D11" s="40"/>
      <c r="E11" s="69"/>
      <c r="F11" s="40"/>
      <c r="G11" s="41"/>
      <c r="H11" s="42"/>
      <c r="I11" s="41"/>
      <c r="J11" s="42"/>
      <c r="K11" s="17"/>
      <c r="L11" s="43"/>
      <c r="M11" s="42"/>
      <c r="O11" s="60"/>
    </row>
    <row r="12" spans="1:15" ht="38.25" customHeight="1" x14ac:dyDescent="0.25">
      <c r="A12" s="32" t="s">
        <v>49</v>
      </c>
      <c r="B12" s="32" t="s">
        <v>6</v>
      </c>
      <c r="C12" s="64">
        <v>1.3322304810368274E-2</v>
      </c>
      <c r="D12" s="33" t="s">
        <v>86</v>
      </c>
      <c r="E12" s="126"/>
      <c r="F12" s="33" t="s">
        <v>86</v>
      </c>
      <c r="G12" s="34">
        <v>425496.3</v>
      </c>
      <c r="H12" s="35" t="s">
        <v>88</v>
      </c>
      <c r="I12" s="34">
        <v>183</v>
      </c>
      <c r="J12" s="35" t="s">
        <v>84</v>
      </c>
      <c r="K12" s="36">
        <f>C12*G12*I12</f>
        <v>1037352.2269839541</v>
      </c>
      <c r="L12" s="37">
        <f>E12*G12*I12</f>
        <v>0</v>
      </c>
      <c r="M12" s="35" t="s">
        <v>82</v>
      </c>
      <c r="O12" s="58">
        <f t="shared" ref="O12:O13" si="0">C12*G12*I12</f>
        <v>1037352.2269839541</v>
      </c>
    </row>
    <row r="13" spans="1:15" ht="38.25" customHeight="1" x14ac:dyDescent="0.25">
      <c r="A13" s="32" t="s">
        <v>50</v>
      </c>
      <c r="B13" s="32" t="s">
        <v>7</v>
      </c>
      <c r="C13" s="64">
        <v>2.5405787641850981E-2</v>
      </c>
      <c r="D13" s="33" t="s">
        <v>86</v>
      </c>
      <c r="E13" s="126"/>
      <c r="F13" s="33" t="s">
        <v>86</v>
      </c>
      <c r="G13" s="34">
        <v>316672.7</v>
      </c>
      <c r="H13" s="35" t="s">
        <v>88</v>
      </c>
      <c r="I13" s="34">
        <v>183</v>
      </c>
      <c r="J13" s="35" t="s">
        <v>84</v>
      </c>
      <c r="K13" s="36">
        <f>C13*G13*I13</f>
        <v>1472293.4443753997</v>
      </c>
      <c r="L13" s="37">
        <f>E13*G13*I13</f>
        <v>0</v>
      </c>
      <c r="M13" s="35" t="s">
        <v>82</v>
      </c>
      <c r="O13" s="58">
        <f t="shared" si="0"/>
        <v>1472293.4443753997</v>
      </c>
    </row>
    <row r="14" spans="1:15" s="31" customFormat="1" ht="38.25" customHeight="1" x14ac:dyDescent="0.25">
      <c r="A14" s="38" t="s">
        <v>8</v>
      </c>
      <c r="B14" s="38" t="s">
        <v>9</v>
      </c>
      <c r="C14" s="39"/>
      <c r="D14" s="40"/>
      <c r="E14" s="69"/>
      <c r="F14" s="40"/>
      <c r="G14" s="41"/>
      <c r="H14" s="42"/>
      <c r="I14" s="41"/>
      <c r="J14" s="42"/>
      <c r="K14" s="17"/>
      <c r="L14" s="43"/>
      <c r="M14" s="42"/>
      <c r="O14" s="60"/>
    </row>
    <row r="15" spans="1:15" ht="38.25" customHeight="1" x14ac:dyDescent="0.25">
      <c r="A15" s="32" t="s">
        <v>51</v>
      </c>
      <c r="B15" s="32" t="s">
        <v>10</v>
      </c>
      <c r="C15" s="78">
        <v>0.99658131218700008</v>
      </c>
      <c r="D15" s="33" t="s">
        <v>87</v>
      </c>
      <c r="E15" s="137"/>
      <c r="F15" s="33" t="s">
        <v>87</v>
      </c>
      <c r="G15" s="34">
        <v>21925.3</v>
      </c>
      <c r="H15" s="35" t="s">
        <v>89</v>
      </c>
      <c r="I15" s="44"/>
      <c r="J15" s="45"/>
      <c r="K15" s="36">
        <f>C15*G15</f>
        <v>21850.344244093631</v>
      </c>
      <c r="L15" s="37">
        <f>E15*G15</f>
        <v>0</v>
      </c>
      <c r="M15" s="35" t="s">
        <v>82</v>
      </c>
      <c r="O15" s="58">
        <f>C15*G15</f>
        <v>21850.344244093631</v>
      </c>
    </row>
    <row r="16" spans="1:15" s="31" customFormat="1" ht="38.25" customHeight="1" x14ac:dyDescent="0.25">
      <c r="A16" s="38" t="s">
        <v>11</v>
      </c>
      <c r="B16" s="38" t="s">
        <v>12</v>
      </c>
      <c r="C16" s="39"/>
      <c r="D16" s="40"/>
      <c r="E16" s="69"/>
      <c r="F16" s="40"/>
      <c r="G16" s="41"/>
      <c r="H16" s="42"/>
      <c r="I16" s="41"/>
      <c r="J16" s="42"/>
      <c r="K16" s="17"/>
      <c r="L16" s="43"/>
      <c r="M16" s="42"/>
      <c r="O16" s="60"/>
    </row>
    <row r="17" spans="1:15" ht="45" x14ac:dyDescent="0.25">
      <c r="A17" s="32" t="s">
        <v>52</v>
      </c>
      <c r="B17" s="32" t="s">
        <v>79</v>
      </c>
      <c r="C17" s="77">
        <v>3.0610124513595922</v>
      </c>
      <c r="D17" s="33" t="s">
        <v>87</v>
      </c>
      <c r="E17" s="140"/>
      <c r="F17" s="33" t="s">
        <v>87</v>
      </c>
      <c r="G17" s="34">
        <v>43850.6</v>
      </c>
      <c r="H17" s="35" t="s">
        <v>89</v>
      </c>
      <c r="I17" s="44"/>
      <c r="J17" s="45"/>
      <c r="K17" s="36">
        <f>C17*G17</f>
        <v>134227.23259958893</v>
      </c>
      <c r="L17" s="37">
        <f>E17*G17</f>
        <v>0</v>
      </c>
      <c r="M17" s="35" t="s">
        <v>82</v>
      </c>
      <c r="O17" s="58">
        <f t="shared" ref="O17:O19" si="1">C17*G17</f>
        <v>134227.23259958893</v>
      </c>
    </row>
    <row r="18" spans="1:15" ht="38.25" customHeight="1" x14ac:dyDescent="0.25">
      <c r="A18" s="32" t="s">
        <v>105</v>
      </c>
      <c r="B18" s="32" t="s">
        <v>13</v>
      </c>
      <c r="C18" s="77">
        <v>0.29539100477784092</v>
      </c>
      <c r="D18" s="33" t="s">
        <v>87</v>
      </c>
      <c r="E18" s="140"/>
      <c r="F18" s="33" t="s">
        <v>87</v>
      </c>
      <c r="G18" s="34">
        <v>54813.25</v>
      </c>
      <c r="H18" s="35" t="s">
        <v>89</v>
      </c>
      <c r="I18" s="44"/>
      <c r="J18" s="45"/>
      <c r="K18" s="36">
        <f>C18*G18</f>
        <v>16191.340992638989</v>
      </c>
      <c r="L18" s="37">
        <f t="shared" ref="L18:L19" si="2">E18*G18</f>
        <v>0</v>
      </c>
      <c r="M18" s="35" t="s">
        <v>82</v>
      </c>
      <c r="O18" s="58">
        <f t="shared" ref="O18" si="3">C18*G18</f>
        <v>16191.340992638989</v>
      </c>
    </row>
    <row r="19" spans="1:15" ht="38.25" customHeight="1" x14ac:dyDescent="0.25">
      <c r="A19" s="32" t="s">
        <v>117</v>
      </c>
      <c r="B19" s="32" t="s">
        <v>122</v>
      </c>
      <c r="C19" s="77">
        <v>150</v>
      </c>
      <c r="D19" s="33" t="s">
        <v>87</v>
      </c>
      <c r="E19" s="140"/>
      <c r="F19" s="33" t="s">
        <v>87</v>
      </c>
      <c r="G19" s="34"/>
      <c r="H19" s="35" t="s">
        <v>89</v>
      </c>
      <c r="I19" s="44"/>
      <c r="J19" s="45"/>
      <c r="K19" s="36">
        <f>C19*G19</f>
        <v>0</v>
      </c>
      <c r="L19" s="37">
        <f t="shared" si="2"/>
        <v>0</v>
      </c>
      <c r="M19" s="35" t="s">
        <v>82</v>
      </c>
      <c r="O19" s="58">
        <f t="shared" si="1"/>
        <v>0</v>
      </c>
    </row>
    <row r="20" spans="1:15" ht="38.25" customHeight="1" x14ac:dyDescent="0.25">
      <c r="A20" s="38" t="s">
        <v>14</v>
      </c>
      <c r="B20" s="38" t="s">
        <v>15</v>
      </c>
      <c r="C20" s="39"/>
      <c r="D20" s="40"/>
      <c r="E20" s="69"/>
      <c r="F20" s="40"/>
      <c r="G20" s="41"/>
      <c r="H20" s="42"/>
      <c r="I20" s="41"/>
      <c r="J20" s="42"/>
      <c r="K20" s="17"/>
      <c r="L20" s="43"/>
      <c r="M20" s="42"/>
    </row>
    <row r="21" spans="1:15" s="31" customFormat="1" ht="38.25" customHeight="1" x14ac:dyDescent="0.25">
      <c r="A21" s="32" t="s">
        <v>53</v>
      </c>
      <c r="B21" s="32" t="s">
        <v>107</v>
      </c>
      <c r="C21" s="78">
        <v>24.017975586371783</v>
      </c>
      <c r="D21" s="33" t="s">
        <v>87</v>
      </c>
      <c r="E21" s="137"/>
      <c r="F21" s="33" t="s">
        <v>87</v>
      </c>
      <c r="G21" s="34">
        <v>18376.8</v>
      </c>
      <c r="H21" s="35" t="s">
        <v>89</v>
      </c>
      <c r="I21" s="44"/>
      <c r="J21" s="45"/>
      <c r="K21" s="36">
        <f>C21*G21</f>
        <v>441373.53375563695</v>
      </c>
      <c r="L21" s="37">
        <f>E21*G21</f>
        <v>0</v>
      </c>
      <c r="M21" s="35" t="s">
        <v>82</v>
      </c>
      <c r="O21" s="58">
        <f t="shared" ref="O21:O25" si="4">C21*G21</f>
        <v>441373.53375563695</v>
      </c>
    </row>
    <row r="22" spans="1:15" s="31" customFormat="1" ht="38.25" customHeight="1" x14ac:dyDescent="0.25">
      <c r="A22" s="32" t="s">
        <v>54</v>
      </c>
      <c r="B22" s="32" t="s">
        <v>108</v>
      </c>
      <c r="C22" s="78">
        <v>11.185362524184205</v>
      </c>
      <c r="D22" s="33" t="s">
        <v>87</v>
      </c>
      <c r="E22" s="137"/>
      <c r="F22" s="33" t="s">
        <v>87</v>
      </c>
      <c r="G22" s="34">
        <v>200876.2</v>
      </c>
      <c r="H22" s="35" t="s">
        <v>89</v>
      </c>
      <c r="I22" s="44"/>
      <c r="J22" s="45"/>
      <c r="K22" s="36">
        <f>C22*G22</f>
        <v>2246873.1194805312</v>
      </c>
      <c r="L22" s="37">
        <f t="shared" ref="L22:L25" si="5">E22*G22</f>
        <v>0</v>
      </c>
      <c r="M22" s="35" t="s">
        <v>82</v>
      </c>
      <c r="O22" s="58">
        <f t="shared" si="4"/>
        <v>2246873.1194805312</v>
      </c>
    </row>
    <row r="23" spans="1:15" ht="38.25" customHeight="1" x14ac:dyDescent="0.25">
      <c r="A23" s="32" t="s">
        <v>100</v>
      </c>
      <c r="B23" s="32" t="s">
        <v>16</v>
      </c>
      <c r="C23" s="78">
        <v>0.6110768124851228</v>
      </c>
      <c r="D23" s="33" t="s">
        <v>87</v>
      </c>
      <c r="E23" s="137"/>
      <c r="F23" s="33" t="s">
        <v>87</v>
      </c>
      <c r="G23" s="34">
        <v>21925.3</v>
      </c>
      <c r="H23" s="35" t="s">
        <v>89</v>
      </c>
      <c r="I23" s="44"/>
      <c r="J23" s="45"/>
      <c r="K23" s="36">
        <f>C23*G23</f>
        <v>13398.042436780062</v>
      </c>
      <c r="L23" s="37">
        <f t="shared" si="5"/>
        <v>0</v>
      </c>
      <c r="M23" s="35" t="s">
        <v>82</v>
      </c>
      <c r="O23" s="58">
        <f t="shared" si="4"/>
        <v>13398.042436780062</v>
      </c>
    </row>
    <row r="24" spans="1:15" s="31" customFormat="1" ht="38.25" customHeight="1" x14ac:dyDescent="0.25">
      <c r="A24" s="32" t="s">
        <v>101</v>
      </c>
      <c r="B24" s="32" t="s">
        <v>102</v>
      </c>
      <c r="C24" s="78">
        <v>1920.6131157811997</v>
      </c>
      <c r="D24" s="33" t="s">
        <v>21</v>
      </c>
      <c r="E24" s="137"/>
      <c r="F24" s="33" t="s">
        <v>21</v>
      </c>
      <c r="G24" s="34">
        <v>6</v>
      </c>
      <c r="H24" s="35" t="s">
        <v>83</v>
      </c>
      <c r="I24" s="44"/>
      <c r="J24" s="45"/>
      <c r="K24" s="36">
        <f>C24*G24</f>
        <v>11523.678694687198</v>
      </c>
      <c r="L24" s="37">
        <f t="shared" si="5"/>
        <v>0</v>
      </c>
      <c r="M24" s="35" t="s">
        <v>82</v>
      </c>
      <c r="O24" s="58">
        <f t="shared" si="4"/>
        <v>11523.678694687198</v>
      </c>
    </row>
    <row r="25" spans="1:15" ht="38.25" customHeight="1" x14ac:dyDescent="0.25">
      <c r="A25" s="32" t="s">
        <v>104</v>
      </c>
      <c r="B25" s="32" t="s">
        <v>103</v>
      </c>
      <c r="C25" s="78">
        <v>2.5642171822259212</v>
      </c>
      <c r="D25" s="33" t="s">
        <v>21</v>
      </c>
      <c r="E25" s="137"/>
      <c r="F25" s="33" t="s">
        <v>21</v>
      </c>
      <c r="G25" s="34"/>
      <c r="H25" s="35" t="s">
        <v>83</v>
      </c>
      <c r="I25" s="44"/>
      <c r="J25" s="45"/>
      <c r="K25" s="36">
        <f>C25*G25</f>
        <v>0</v>
      </c>
      <c r="L25" s="37">
        <f t="shared" si="5"/>
        <v>0</v>
      </c>
      <c r="M25" s="35" t="s">
        <v>82</v>
      </c>
      <c r="O25" s="58">
        <f t="shared" si="4"/>
        <v>0</v>
      </c>
    </row>
    <row r="26" spans="1:15" ht="47.25" x14ac:dyDescent="0.25">
      <c r="A26" s="38" t="s">
        <v>17</v>
      </c>
      <c r="B26" s="38" t="s">
        <v>18</v>
      </c>
      <c r="C26" s="39"/>
      <c r="D26" s="40"/>
      <c r="E26" s="69"/>
      <c r="F26" s="40"/>
      <c r="G26" s="41"/>
      <c r="H26" s="42"/>
      <c r="I26" s="41"/>
      <c r="J26" s="42"/>
      <c r="K26" s="17"/>
      <c r="L26" s="43"/>
      <c r="M26" s="42"/>
    </row>
    <row r="27" spans="1:15" s="31" customFormat="1" ht="38.25" customHeight="1" x14ac:dyDescent="0.25">
      <c r="A27" s="32" t="s">
        <v>55</v>
      </c>
      <c r="B27" s="32" t="s">
        <v>19</v>
      </c>
      <c r="C27" s="78">
        <v>1.4505808270340399</v>
      </c>
      <c r="D27" s="33" t="s">
        <v>87</v>
      </c>
      <c r="E27" s="137"/>
      <c r="F27" s="33" t="s">
        <v>87</v>
      </c>
      <c r="G27" s="34">
        <v>109626.5</v>
      </c>
      <c r="H27" s="35" t="s">
        <v>89</v>
      </c>
      <c r="I27" s="44"/>
      <c r="J27" s="45"/>
      <c r="K27" s="36">
        <f>C27*G27</f>
        <v>159022.09903484717</v>
      </c>
      <c r="L27" s="37">
        <f>E27*G27</f>
        <v>0</v>
      </c>
      <c r="M27" s="35" t="s">
        <v>82</v>
      </c>
      <c r="O27" s="58">
        <f t="shared" ref="O27:O28" si="6">C27*G27</f>
        <v>159022.09903484717</v>
      </c>
    </row>
    <row r="28" spans="1:15" ht="38.25" customHeight="1" x14ac:dyDescent="0.25">
      <c r="A28" s="32" t="s">
        <v>56</v>
      </c>
      <c r="B28" s="32" t="s">
        <v>20</v>
      </c>
      <c r="C28" s="78">
        <v>196.41391881978004</v>
      </c>
      <c r="D28" s="33" t="s">
        <v>21</v>
      </c>
      <c r="E28" s="137"/>
      <c r="F28" s="33" t="s">
        <v>21</v>
      </c>
      <c r="G28" s="34">
        <v>850</v>
      </c>
      <c r="H28" s="35" t="s">
        <v>83</v>
      </c>
      <c r="I28" s="44"/>
      <c r="J28" s="45"/>
      <c r="K28" s="36">
        <f>C28*G28</f>
        <v>166951.83099681302</v>
      </c>
      <c r="L28" s="37">
        <f>E28*G28</f>
        <v>0</v>
      </c>
      <c r="M28" s="35" t="s">
        <v>82</v>
      </c>
      <c r="O28" s="58">
        <f t="shared" si="6"/>
        <v>166951.83099681302</v>
      </c>
    </row>
    <row r="29" spans="1:15" ht="38.25" customHeight="1" x14ac:dyDescent="0.25">
      <c r="A29" s="38" t="s">
        <v>22</v>
      </c>
      <c r="B29" s="38" t="s">
        <v>23</v>
      </c>
      <c r="C29" s="39"/>
      <c r="D29" s="40"/>
      <c r="E29" s="69"/>
      <c r="F29" s="40"/>
      <c r="G29" s="41"/>
      <c r="H29" s="42"/>
      <c r="I29" s="41"/>
      <c r="J29" s="42"/>
      <c r="K29" s="17"/>
      <c r="L29" s="43"/>
      <c r="M29" s="42"/>
    </row>
    <row r="30" spans="1:15" ht="38.25" customHeight="1" x14ac:dyDescent="0.25">
      <c r="A30" s="32" t="s">
        <v>57</v>
      </c>
      <c r="B30" s="32" t="s">
        <v>78</v>
      </c>
      <c r="C30" s="78">
        <v>0.46946070402192563</v>
      </c>
      <c r="D30" s="33" t="s">
        <v>87</v>
      </c>
      <c r="E30" s="137"/>
      <c r="F30" s="33" t="s">
        <v>87</v>
      </c>
      <c r="G30" s="34">
        <v>109626.5</v>
      </c>
      <c r="H30" s="35" t="s">
        <v>89</v>
      </c>
      <c r="I30" s="44"/>
      <c r="J30" s="45"/>
      <c r="K30" s="36">
        <f>C30*G30</f>
        <v>51465.333869459631</v>
      </c>
      <c r="L30" s="37">
        <f>E30*G30</f>
        <v>0</v>
      </c>
      <c r="M30" s="35" t="s">
        <v>82</v>
      </c>
      <c r="O30" s="58">
        <f t="shared" ref="O30:O31" si="7">C30*G30</f>
        <v>51465.333869459631</v>
      </c>
    </row>
    <row r="31" spans="1:15" ht="38.25" customHeight="1" x14ac:dyDescent="0.25">
      <c r="A31" s="32" t="s">
        <v>58</v>
      </c>
      <c r="B31" s="32" t="s">
        <v>24</v>
      </c>
      <c r="C31" s="78">
        <v>5.6388032876341407</v>
      </c>
      <c r="D31" s="33" t="s">
        <v>87</v>
      </c>
      <c r="E31" s="137"/>
      <c r="F31" s="33" t="s">
        <v>87</v>
      </c>
      <c r="G31" s="34">
        <v>200</v>
      </c>
      <c r="H31" s="35" t="s">
        <v>89</v>
      </c>
      <c r="I31" s="44"/>
      <c r="J31" s="45"/>
      <c r="K31" s="36">
        <f>C31*G31</f>
        <v>1127.7606575268283</v>
      </c>
      <c r="L31" s="37">
        <f>E31*G31</f>
        <v>0</v>
      </c>
      <c r="M31" s="35" t="s">
        <v>82</v>
      </c>
      <c r="O31" s="58">
        <f t="shared" si="7"/>
        <v>1127.7606575268283</v>
      </c>
    </row>
    <row r="32" spans="1:15" ht="47.25" x14ac:dyDescent="0.25">
      <c r="A32" s="38" t="s">
        <v>25</v>
      </c>
      <c r="B32" s="38" t="s">
        <v>26</v>
      </c>
      <c r="C32" s="39"/>
      <c r="D32" s="40"/>
      <c r="E32" s="69"/>
      <c r="F32" s="40"/>
      <c r="G32" s="41"/>
      <c r="H32" s="42"/>
      <c r="I32" s="41"/>
      <c r="J32" s="42"/>
      <c r="K32" s="17"/>
      <c r="L32" s="43"/>
      <c r="M32" s="42"/>
    </row>
    <row r="33" spans="1:15" s="31" customFormat="1" ht="38.25" customHeight="1" x14ac:dyDescent="0.25">
      <c r="A33" s="32" t="s">
        <v>59</v>
      </c>
      <c r="B33" s="32" t="s">
        <v>27</v>
      </c>
      <c r="C33" s="78">
        <v>851.68083968633869</v>
      </c>
      <c r="D33" s="33" t="s">
        <v>21</v>
      </c>
      <c r="E33" s="137"/>
      <c r="F33" s="33" t="s">
        <v>21</v>
      </c>
      <c r="G33" s="34">
        <v>153</v>
      </c>
      <c r="H33" s="35" t="s">
        <v>83</v>
      </c>
      <c r="I33" s="44"/>
      <c r="J33" s="45"/>
      <c r="K33" s="36">
        <f>C33*G33</f>
        <v>130307.16847200981</v>
      </c>
      <c r="L33" s="37">
        <f>E33*G33</f>
        <v>0</v>
      </c>
      <c r="M33" s="35" t="s">
        <v>82</v>
      </c>
      <c r="O33" s="58">
        <f t="shared" ref="O33:O36" si="8">C33*G33</f>
        <v>130307.16847200981</v>
      </c>
    </row>
    <row r="34" spans="1:15" ht="38.25" customHeight="1" x14ac:dyDescent="0.25">
      <c r="A34" s="32" t="s">
        <v>60</v>
      </c>
      <c r="B34" s="32" t="s">
        <v>28</v>
      </c>
      <c r="C34" s="78">
        <v>1237.055329294629</v>
      </c>
      <c r="D34" s="33" t="s">
        <v>21</v>
      </c>
      <c r="E34" s="137"/>
      <c r="F34" s="33" t="s">
        <v>21</v>
      </c>
      <c r="G34" s="34">
        <v>37</v>
      </c>
      <c r="H34" s="35" t="s">
        <v>83</v>
      </c>
      <c r="I34" s="44"/>
      <c r="J34" s="45"/>
      <c r="K34" s="36">
        <f>C34*G34</f>
        <v>45771.047183901275</v>
      </c>
      <c r="L34" s="37">
        <f t="shared" ref="L34:L36" si="9">E34*G34</f>
        <v>0</v>
      </c>
      <c r="M34" s="35" t="s">
        <v>82</v>
      </c>
      <c r="O34" s="58">
        <f t="shared" si="8"/>
        <v>45771.047183901275</v>
      </c>
    </row>
    <row r="35" spans="1:15" ht="38.25" customHeight="1" x14ac:dyDescent="0.25">
      <c r="A35" s="32" t="s">
        <v>61</v>
      </c>
      <c r="B35" s="32" t="s">
        <v>29</v>
      </c>
      <c r="C35" s="78">
        <v>341.9994854602873</v>
      </c>
      <c r="D35" s="33" t="s">
        <v>21</v>
      </c>
      <c r="E35" s="137"/>
      <c r="F35" s="33" t="s">
        <v>21</v>
      </c>
      <c r="G35" s="34">
        <v>1</v>
      </c>
      <c r="H35" s="35" t="s">
        <v>83</v>
      </c>
      <c r="I35" s="44"/>
      <c r="J35" s="45"/>
      <c r="K35" s="36">
        <f>C35*G35</f>
        <v>341.9994854602873</v>
      </c>
      <c r="L35" s="37">
        <f t="shared" si="9"/>
        <v>0</v>
      </c>
      <c r="M35" s="35" t="s">
        <v>82</v>
      </c>
      <c r="O35" s="58">
        <f t="shared" si="8"/>
        <v>341.9994854602873</v>
      </c>
    </row>
    <row r="36" spans="1:15" ht="38.25" customHeight="1" x14ac:dyDescent="0.25">
      <c r="A36" s="32" t="s">
        <v>62</v>
      </c>
      <c r="B36" s="32" t="s">
        <v>30</v>
      </c>
      <c r="C36" s="78">
        <v>1091.7493291407866</v>
      </c>
      <c r="D36" s="33" t="s">
        <v>21</v>
      </c>
      <c r="E36" s="137"/>
      <c r="F36" s="33" t="s">
        <v>21</v>
      </c>
      <c r="G36" s="34">
        <v>0</v>
      </c>
      <c r="H36" s="35" t="s">
        <v>83</v>
      </c>
      <c r="I36" s="44"/>
      <c r="J36" s="45"/>
      <c r="K36" s="36">
        <f>C36*G36</f>
        <v>0</v>
      </c>
      <c r="L36" s="37">
        <f t="shared" si="9"/>
        <v>0</v>
      </c>
      <c r="M36" s="35" t="s">
        <v>82</v>
      </c>
      <c r="O36" s="58">
        <f t="shared" si="8"/>
        <v>0</v>
      </c>
    </row>
    <row r="37" spans="1:15" ht="38.25" customHeight="1" x14ac:dyDescent="0.25">
      <c r="A37" s="38" t="s">
        <v>31</v>
      </c>
      <c r="B37" s="38" t="s">
        <v>32</v>
      </c>
      <c r="C37" s="39"/>
      <c r="D37" s="40"/>
      <c r="E37" s="69"/>
      <c r="F37" s="40"/>
      <c r="G37" s="41"/>
      <c r="H37" s="42"/>
      <c r="I37" s="41"/>
      <c r="J37" s="42"/>
      <c r="K37" s="17"/>
      <c r="L37" s="43"/>
      <c r="M37" s="42"/>
    </row>
    <row r="38" spans="1:15" s="31" customFormat="1" ht="38.25" customHeight="1" x14ac:dyDescent="0.25">
      <c r="A38" s="32" t="s">
        <v>63</v>
      </c>
      <c r="B38" s="32" t="s">
        <v>33</v>
      </c>
      <c r="C38" s="78">
        <v>370.78428390801372</v>
      </c>
      <c r="D38" s="33" t="s">
        <v>21</v>
      </c>
      <c r="E38" s="137"/>
      <c r="F38" s="33" t="s">
        <v>21</v>
      </c>
      <c r="G38" s="34">
        <v>200</v>
      </c>
      <c r="H38" s="35" t="s">
        <v>83</v>
      </c>
      <c r="I38" s="44"/>
      <c r="J38" s="45"/>
      <c r="K38" s="36">
        <f t="shared" ref="K38:K49" si="10">C38*G38</f>
        <v>74156.85678160275</v>
      </c>
      <c r="L38" s="37">
        <f>E38*G38</f>
        <v>0</v>
      </c>
      <c r="M38" s="35" t="s">
        <v>82</v>
      </c>
      <c r="O38" s="58">
        <f t="shared" ref="O38:O49" si="11">C38*G38</f>
        <v>74156.85678160275</v>
      </c>
    </row>
    <row r="39" spans="1:15" ht="38.25" customHeight="1" x14ac:dyDescent="0.25">
      <c r="A39" s="32" t="s">
        <v>64</v>
      </c>
      <c r="B39" s="32" t="s">
        <v>34</v>
      </c>
      <c r="C39" s="78">
        <v>0.44308650716676129</v>
      </c>
      <c r="D39" s="33" t="s">
        <v>87</v>
      </c>
      <c r="E39" s="137"/>
      <c r="F39" s="33" t="s">
        <v>87</v>
      </c>
      <c r="G39" s="34">
        <v>43850.6</v>
      </c>
      <c r="H39" s="35" t="s">
        <v>89</v>
      </c>
      <c r="I39" s="44"/>
      <c r="J39" s="45"/>
      <c r="K39" s="36">
        <f t="shared" si="10"/>
        <v>19429.609191166783</v>
      </c>
      <c r="L39" s="37">
        <f t="shared" ref="L39:L49" si="12">E39*G39</f>
        <v>0</v>
      </c>
      <c r="M39" s="35" t="s">
        <v>82</v>
      </c>
      <c r="O39" s="58">
        <f t="shared" si="11"/>
        <v>19429.609191166783</v>
      </c>
    </row>
    <row r="40" spans="1:15" ht="38.25" customHeight="1" x14ac:dyDescent="0.25">
      <c r="A40" s="32" t="s">
        <v>65</v>
      </c>
      <c r="B40" s="32" t="s">
        <v>35</v>
      </c>
      <c r="C40" s="78">
        <v>0.6962787969763391</v>
      </c>
      <c r="D40" s="33" t="s">
        <v>87</v>
      </c>
      <c r="E40" s="137"/>
      <c r="F40" s="33" t="s">
        <v>87</v>
      </c>
      <c r="G40" s="34">
        <v>723.5</v>
      </c>
      <c r="H40" s="35" t="s">
        <v>89</v>
      </c>
      <c r="I40" s="44"/>
      <c r="J40" s="45"/>
      <c r="K40" s="36">
        <f t="shared" si="10"/>
        <v>503.75770961238135</v>
      </c>
      <c r="L40" s="37">
        <f t="shared" si="12"/>
        <v>0</v>
      </c>
      <c r="M40" s="35" t="s">
        <v>82</v>
      </c>
      <c r="O40" s="58">
        <f t="shared" si="11"/>
        <v>503.75770961238135</v>
      </c>
    </row>
    <row r="41" spans="1:15" ht="38.25" customHeight="1" x14ac:dyDescent="0.25">
      <c r="A41" s="32" t="s">
        <v>66</v>
      </c>
      <c r="B41" s="32" t="s">
        <v>36</v>
      </c>
      <c r="C41" s="78">
        <v>158.69354247752398</v>
      </c>
      <c r="D41" s="33" t="s">
        <v>21</v>
      </c>
      <c r="E41" s="137"/>
      <c r="F41" s="33" t="s">
        <v>21</v>
      </c>
      <c r="G41" s="34">
        <v>0</v>
      </c>
      <c r="H41" s="35" t="s">
        <v>83</v>
      </c>
      <c r="I41" s="44"/>
      <c r="J41" s="45"/>
      <c r="K41" s="36">
        <f t="shared" si="10"/>
        <v>0</v>
      </c>
      <c r="L41" s="37">
        <f t="shared" si="12"/>
        <v>0</v>
      </c>
      <c r="M41" s="35" t="s">
        <v>82</v>
      </c>
      <c r="O41" s="58">
        <f t="shared" si="11"/>
        <v>0</v>
      </c>
    </row>
    <row r="42" spans="1:15" ht="38.25" customHeight="1" x14ac:dyDescent="0.25">
      <c r="A42" s="32" t="s">
        <v>67</v>
      </c>
      <c r="B42" s="32" t="s">
        <v>37</v>
      </c>
      <c r="C42" s="78">
        <v>5744.7273370438525</v>
      </c>
      <c r="D42" s="33" t="s">
        <v>21</v>
      </c>
      <c r="E42" s="137"/>
      <c r="F42" s="33" t="s">
        <v>21</v>
      </c>
      <c r="G42" s="34">
        <v>1</v>
      </c>
      <c r="H42" s="35" t="s">
        <v>83</v>
      </c>
      <c r="I42" s="44"/>
      <c r="J42" s="45"/>
      <c r="K42" s="36">
        <f t="shared" si="10"/>
        <v>5744.7273370438525</v>
      </c>
      <c r="L42" s="37">
        <f t="shared" si="12"/>
        <v>0</v>
      </c>
      <c r="M42" s="35" t="s">
        <v>82</v>
      </c>
      <c r="O42" s="58">
        <f t="shared" si="11"/>
        <v>5744.7273370438525</v>
      </c>
    </row>
    <row r="43" spans="1:15" ht="38.25" customHeight="1" x14ac:dyDescent="0.25">
      <c r="A43" s="32" t="s">
        <v>68</v>
      </c>
      <c r="B43" s="32" t="s">
        <v>38</v>
      </c>
      <c r="C43" s="78">
        <v>170.98919305140157</v>
      </c>
      <c r="D43" s="33" t="s">
        <v>21</v>
      </c>
      <c r="E43" s="137"/>
      <c r="F43" s="33" t="s">
        <v>21</v>
      </c>
      <c r="G43" s="34">
        <v>1</v>
      </c>
      <c r="H43" s="35" t="s">
        <v>83</v>
      </c>
      <c r="I43" s="44"/>
      <c r="J43" s="45"/>
      <c r="K43" s="36">
        <f t="shared" si="10"/>
        <v>170.98919305140157</v>
      </c>
      <c r="L43" s="37">
        <f t="shared" si="12"/>
        <v>0</v>
      </c>
      <c r="M43" s="35" t="s">
        <v>82</v>
      </c>
      <c r="O43" s="58">
        <f t="shared" si="11"/>
        <v>170.98919305140157</v>
      </c>
    </row>
    <row r="44" spans="1:15" ht="38.25" customHeight="1" x14ac:dyDescent="0.25">
      <c r="A44" s="32" t="s">
        <v>69</v>
      </c>
      <c r="B44" s="32" t="s">
        <v>39</v>
      </c>
      <c r="C44" s="78">
        <v>1136.727884457584</v>
      </c>
      <c r="D44" s="33" t="s">
        <v>21</v>
      </c>
      <c r="E44" s="137"/>
      <c r="F44" s="33" t="s">
        <v>21</v>
      </c>
      <c r="G44" s="34">
        <v>1</v>
      </c>
      <c r="H44" s="35" t="s">
        <v>83</v>
      </c>
      <c r="I44" s="44"/>
      <c r="J44" s="45"/>
      <c r="K44" s="36">
        <f t="shared" si="10"/>
        <v>1136.727884457584</v>
      </c>
      <c r="L44" s="37">
        <f t="shared" si="12"/>
        <v>0</v>
      </c>
      <c r="M44" s="35" t="s">
        <v>82</v>
      </c>
      <c r="O44" s="58">
        <f t="shared" si="11"/>
        <v>1136.727884457584</v>
      </c>
    </row>
    <row r="45" spans="1:15" ht="38.25" customHeight="1" x14ac:dyDescent="0.25">
      <c r="A45" s="32" t="s">
        <v>70</v>
      </c>
      <c r="B45" s="32" t="s">
        <v>40</v>
      </c>
      <c r="C45" s="78">
        <v>114.34796788525061</v>
      </c>
      <c r="D45" s="33" t="s">
        <v>21</v>
      </c>
      <c r="E45" s="137"/>
      <c r="F45" s="33" t="s">
        <v>21</v>
      </c>
      <c r="G45" s="34">
        <v>318</v>
      </c>
      <c r="H45" s="35" t="s">
        <v>83</v>
      </c>
      <c r="I45" s="44"/>
      <c r="J45" s="45"/>
      <c r="K45" s="36">
        <f t="shared" si="10"/>
        <v>36362.653787509691</v>
      </c>
      <c r="L45" s="37">
        <f t="shared" si="12"/>
        <v>0</v>
      </c>
      <c r="M45" s="35" t="s">
        <v>82</v>
      </c>
      <c r="O45" s="58">
        <f t="shared" si="11"/>
        <v>36362.653787509691</v>
      </c>
    </row>
    <row r="46" spans="1:15" ht="38.25" customHeight="1" x14ac:dyDescent="0.25">
      <c r="A46" s="32" t="s">
        <v>71</v>
      </c>
      <c r="B46" s="32" t="s">
        <v>41</v>
      </c>
      <c r="C46" s="78">
        <v>361.84870601348399</v>
      </c>
      <c r="D46" s="33" t="s">
        <v>21</v>
      </c>
      <c r="E46" s="137"/>
      <c r="F46" s="33" t="s">
        <v>21</v>
      </c>
      <c r="G46" s="34">
        <v>27</v>
      </c>
      <c r="H46" s="35" t="s">
        <v>83</v>
      </c>
      <c r="I46" s="44"/>
      <c r="J46" s="45"/>
      <c r="K46" s="36">
        <f t="shared" si="10"/>
        <v>9769.9150623640671</v>
      </c>
      <c r="L46" s="37">
        <f t="shared" si="12"/>
        <v>0</v>
      </c>
      <c r="M46" s="35" t="s">
        <v>82</v>
      </c>
      <c r="O46" s="58">
        <f t="shared" si="11"/>
        <v>9769.9150623640671</v>
      </c>
    </row>
    <row r="47" spans="1:15" ht="38.25" customHeight="1" x14ac:dyDescent="0.25">
      <c r="A47" s="32" t="s">
        <v>72</v>
      </c>
      <c r="B47" s="32" t="s">
        <v>42</v>
      </c>
      <c r="C47" s="78">
        <v>1682.9375013280378</v>
      </c>
      <c r="D47" s="33" t="s">
        <v>21</v>
      </c>
      <c r="E47" s="137"/>
      <c r="F47" s="33" t="s">
        <v>21</v>
      </c>
      <c r="G47" s="34">
        <v>3</v>
      </c>
      <c r="H47" s="35" t="s">
        <v>83</v>
      </c>
      <c r="I47" s="44"/>
      <c r="J47" s="45"/>
      <c r="K47" s="36">
        <f t="shared" si="10"/>
        <v>5048.8125039841134</v>
      </c>
      <c r="L47" s="37">
        <f t="shared" si="12"/>
        <v>0</v>
      </c>
      <c r="M47" s="35" t="s">
        <v>82</v>
      </c>
      <c r="O47" s="58">
        <f t="shared" si="11"/>
        <v>5048.8125039841134</v>
      </c>
    </row>
    <row r="48" spans="1:15" ht="38.25" customHeight="1" x14ac:dyDescent="0.25">
      <c r="A48" s="32" t="s">
        <v>73</v>
      </c>
      <c r="B48" s="32" t="s">
        <v>43</v>
      </c>
      <c r="C48" s="78">
        <v>411.55351740672677</v>
      </c>
      <c r="D48" s="33" t="s">
        <v>21</v>
      </c>
      <c r="E48" s="137"/>
      <c r="F48" s="33" t="s">
        <v>21</v>
      </c>
      <c r="G48" s="34">
        <v>77</v>
      </c>
      <c r="H48" s="35" t="s">
        <v>83</v>
      </c>
      <c r="I48" s="44"/>
      <c r="J48" s="45"/>
      <c r="K48" s="36">
        <f t="shared" si="10"/>
        <v>31689.620840317963</v>
      </c>
      <c r="L48" s="37">
        <f t="shared" si="12"/>
        <v>0</v>
      </c>
      <c r="M48" s="35" t="s">
        <v>82</v>
      </c>
      <c r="O48" s="58">
        <f t="shared" si="11"/>
        <v>31689.620840317963</v>
      </c>
    </row>
    <row r="49" spans="1:15" ht="38.25" customHeight="1" x14ac:dyDescent="0.25">
      <c r="A49" s="32" t="s">
        <v>74</v>
      </c>
      <c r="B49" s="32" t="s">
        <v>44</v>
      </c>
      <c r="C49" s="78">
        <v>31.227049076514604</v>
      </c>
      <c r="D49" s="33" t="s">
        <v>21</v>
      </c>
      <c r="E49" s="137"/>
      <c r="F49" s="33" t="s">
        <v>21</v>
      </c>
      <c r="G49" s="34"/>
      <c r="H49" s="35" t="s">
        <v>83</v>
      </c>
      <c r="I49" s="44"/>
      <c r="J49" s="45"/>
      <c r="K49" s="36">
        <f t="shared" si="10"/>
        <v>0</v>
      </c>
      <c r="L49" s="37">
        <f t="shared" si="12"/>
        <v>0</v>
      </c>
      <c r="M49" s="35" t="s">
        <v>82</v>
      </c>
      <c r="O49" s="58">
        <f t="shared" si="11"/>
        <v>0</v>
      </c>
    </row>
    <row r="50" spans="1:15" ht="38.25" customHeight="1" x14ac:dyDescent="0.25">
      <c r="A50" s="38" t="s">
        <v>96</v>
      </c>
      <c r="B50" s="38" t="s">
        <v>99</v>
      </c>
      <c r="C50" s="39"/>
      <c r="D50" s="40"/>
      <c r="E50" s="69"/>
      <c r="F50" s="40"/>
      <c r="G50" s="41"/>
      <c r="H50" s="42"/>
      <c r="I50" s="41"/>
      <c r="J50" s="42"/>
      <c r="K50" s="17"/>
      <c r="L50" s="43"/>
      <c r="M50" s="42"/>
    </row>
    <row r="51" spans="1:15" ht="38.25" customHeight="1" x14ac:dyDescent="0.25">
      <c r="A51" s="32" t="s">
        <v>97</v>
      </c>
      <c r="B51" s="32" t="s">
        <v>80</v>
      </c>
      <c r="C51" s="78">
        <v>66768.119526270457</v>
      </c>
      <c r="D51" s="33" t="s">
        <v>81</v>
      </c>
      <c r="E51" s="137"/>
      <c r="F51" s="33" t="s">
        <v>81</v>
      </c>
      <c r="G51" s="34">
        <v>25</v>
      </c>
      <c r="H51" s="35" t="s">
        <v>81</v>
      </c>
      <c r="I51" s="44"/>
      <c r="J51" s="45"/>
      <c r="K51" s="36">
        <f>C51*G51</f>
        <v>1669202.9881567615</v>
      </c>
      <c r="L51" s="37">
        <f>E51*G51</f>
        <v>0</v>
      </c>
      <c r="M51" s="35" t="s">
        <v>82</v>
      </c>
      <c r="O51" s="58">
        <f t="shared" ref="O51:O52" si="13">C51*G51</f>
        <v>1669202.9881567615</v>
      </c>
    </row>
    <row r="52" spans="1:15" ht="38.25" customHeight="1" x14ac:dyDescent="0.25">
      <c r="A52" s="32" t="s">
        <v>98</v>
      </c>
      <c r="B52" s="32" t="s">
        <v>106</v>
      </c>
      <c r="C52" s="78">
        <v>107787.58410852712</v>
      </c>
      <c r="D52" s="33" t="s">
        <v>81</v>
      </c>
      <c r="E52" s="137"/>
      <c r="F52" s="33" t="s">
        <v>81</v>
      </c>
      <c r="G52" s="34">
        <v>0</v>
      </c>
      <c r="H52" s="35" t="s">
        <v>81</v>
      </c>
      <c r="I52" s="44"/>
      <c r="J52" s="45"/>
      <c r="K52" s="36">
        <f>C52*G52</f>
        <v>0</v>
      </c>
      <c r="L52" s="37">
        <f>E52*G52</f>
        <v>0</v>
      </c>
      <c r="M52" s="35" t="s">
        <v>82</v>
      </c>
      <c r="O52" s="58">
        <f t="shared" si="13"/>
        <v>0</v>
      </c>
    </row>
    <row r="53" spans="1:15" s="31" customFormat="1" ht="17.25" customHeight="1" x14ac:dyDescent="0.25">
      <c r="A53" s="61"/>
      <c r="B53" s="61"/>
      <c r="C53" s="62"/>
      <c r="D53" s="11"/>
      <c r="E53" s="62"/>
      <c r="F53" s="49"/>
      <c r="G53" s="50"/>
      <c r="H53" s="51"/>
      <c r="I53" s="52"/>
      <c r="J53" s="52"/>
      <c r="K53" s="52"/>
      <c r="L53" s="52"/>
      <c r="M53" s="51"/>
      <c r="O53" s="60"/>
    </row>
    <row r="54" spans="1:15" s="31" customFormat="1" ht="36.75" customHeight="1" x14ac:dyDescent="0.25">
      <c r="A54" s="65"/>
      <c r="B54" s="65"/>
      <c r="C54" s="66"/>
      <c r="D54" s="63"/>
      <c r="E54" s="66"/>
      <c r="O54" s="60"/>
    </row>
    <row r="55" spans="1:15" x14ac:dyDescent="0.25">
      <c r="B55" s="46" t="s">
        <v>93</v>
      </c>
    </row>
    <row r="56" spans="1:15" ht="36.75" customHeight="1" x14ac:dyDescent="0.25">
      <c r="C56" s="2"/>
      <c r="E56" s="2"/>
      <c r="F56" s="2"/>
      <c r="G56" s="2"/>
      <c r="H56" s="2"/>
      <c r="I56" s="2"/>
      <c r="J56" s="47" t="s">
        <v>112</v>
      </c>
      <c r="K56" s="2"/>
      <c r="L56" s="37">
        <f>SUM(O9:O52)</f>
        <v>10897919.314785112</v>
      </c>
      <c r="M56" s="35" t="s">
        <v>82</v>
      </c>
    </row>
    <row r="57" spans="1:15" x14ac:dyDescent="0.25">
      <c r="J57" s="14"/>
      <c r="K57" s="2"/>
    </row>
    <row r="58" spans="1:15" ht="36.75" customHeight="1" x14ac:dyDescent="0.25">
      <c r="C58" s="2"/>
      <c r="E58" s="2"/>
      <c r="F58" s="2"/>
      <c r="G58" s="2"/>
      <c r="H58" s="2"/>
      <c r="I58" s="2"/>
      <c r="J58" s="47" t="s">
        <v>113</v>
      </c>
      <c r="K58" s="2"/>
      <c r="L58" s="37">
        <f>SUM(L9:L52)</f>
        <v>0</v>
      </c>
      <c r="M58" s="35" t="s">
        <v>82</v>
      </c>
    </row>
    <row r="59" spans="1:15" ht="15.75" x14ac:dyDescent="0.25">
      <c r="N59" s="55"/>
    </row>
    <row r="60" spans="1:15" ht="36.75" customHeight="1" x14ac:dyDescent="0.25">
      <c r="A60" s="74"/>
      <c r="C60" s="2"/>
      <c r="E60" s="2"/>
      <c r="F60" s="2"/>
      <c r="G60" s="2"/>
      <c r="H60" s="2"/>
      <c r="I60" s="2"/>
      <c r="J60" s="47" t="s">
        <v>114</v>
      </c>
      <c r="K60" s="2"/>
      <c r="L60" s="37">
        <f>(1-L58/L56)*100</f>
        <v>100</v>
      </c>
      <c r="M60" s="35" t="s">
        <v>91</v>
      </c>
      <c r="N60" s="67" t="s">
        <v>119</v>
      </c>
    </row>
    <row r="61" spans="1:15" ht="15.75" x14ac:dyDescent="0.25">
      <c r="N61" s="55"/>
    </row>
    <row r="62" spans="1:15" s="5" customFormat="1" ht="60" customHeight="1" x14ac:dyDescent="0.25">
      <c r="A62" s="74"/>
      <c r="B62" s="178" t="s">
        <v>118</v>
      </c>
      <c r="C62" s="178"/>
      <c r="D62" s="178"/>
      <c r="E62" s="178"/>
      <c r="F62" s="178"/>
      <c r="G62" s="178"/>
      <c r="H62" s="178"/>
      <c r="I62" s="178"/>
      <c r="J62" s="7"/>
      <c r="K62" s="8"/>
      <c r="L62" s="68"/>
      <c r="M62" s="35" t="s">
        <v>91</v>
      </c>
      <c r="N62" s="67" t="s">
        <v>120</v>
      </c>
      <c r="O62" s="59"/>
    </row>
    <row r="63" spans="1:15" ht="15.75" x14ac:dyDescent="0.25">
      <c r="A63" s="75"/>
      <c r="B63" s="48"/>
      <c r="N63" s="55"/>
    </row>
    <row r="64" spans="1:15" ht="15.75" x14ac:dyDescent="0.25">
      <c r="A64" s="75"/>
    </row>
    <row r="65" spans="1:12" ht="15.75" x14ac:dyDescent="0.25">
      <c r="A65" s="75"/>
      <c r="L65" s="72"/>
    </row>
  </sheetData>
  <mergeCells count="11">
    <mergeCell ref="C6:D6"/>
    <mergeCell ref="E6:F6"/>
    <mergeCell ref="G6:H6"/>
    <mergeCell ref="I6:J6"/>
    <mergeCell ref="B62:I62"/>
    <mergeCell ref="A1:M1"/>
    <mergeCell ref="C5:D5"/>
    <mergeCell ref="E5:F5"/>
    <mergeCell ref="G5:H5"/>
    <mergeCell ref="I5:J5"/>
    <mergeCell ref="L5:M5"/>
  </mergeCells>
  <printOptions horizontalCentered="1"/>
  <pageMargins left="0.70866141732283472" right="0.70866141732283472" top="1.1417322834645669" bottom="0.74803149606299213" header="0.31496062992125984" footer="0.31496062992125984"/>
  <pageSetup paperSize="9" scale="32" orientation="portrait" r:id="rId1"/>
  <headerFooter>
    <oddHeader>&amp;R&amp;"Arial,Grassetto Corsivo"&amp;14Allegato 8 - Modello offerta economica</oddHeader>
    <oddFooter>&amp;L&amp;F&amp;RPag. 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7"/>
  <sheetViews>
    <sheetView view="pageLayout" topLeftCell="B46" zoomScale="70" zoomScaleNormal="100" zoomScalePageLayoutView="70" workbookViewId="0">
      <selection activeCell="A64" sqref="A64"/>
    </sheetView>
  </sheetViews>
  <sheetFormatPr defaultRowHeight="15" x14ac:dyDescent="0.25"/>
  <cols>
    <col min="1" max="1" width="6.28515625" style="2" customWidth="1"/>
    <col min="2" max="2" width="43.7109375" style="2" customWidth="1"/>
    <col min="3" max="3" width="18" style="10" customWidth="1"/>
    <col min="4" max="4" width="10.7109375" style="11" customWidth="1"/>
    <col min="5" max="5" width="18" style="10" customWidth="1"/>
    <col min="6" max="6" width="10.7109375" style="11" customWidth="1"/>
    <col min="7" max="7" width="18.28515625" style="12" customWidth="1"/>
    <col min="8" max="8" width="5.85546875" style="13" customWidth="1"/>
    <col min="9" max="9" width="18.42578125" style="12" customWidth="1"/>
    <col min="10" max="10" width="5.85546875" style="13" customWidth="1"/>
    <col min="11" max="11" width="27.140625" style="14" hidden="1" customWidth="1"/>
    <col min="12" max="12" width="24" style="15" customWidth="1"/>
    <col min="13" max="13" width="5.85546875" style="13" customWidth="1"/>
    <col min="14" max="14" width="26" style="2" bestFit="1" customWidth="1"/>
    <col min="15" max="15" width="18.28515625" style="58" hidden="1" customWidth="1"/>
    <col min="16" max="16384" width="9.140625" style="2"/>
  </cols>
  <sheetData>
    <row r="1" spans="1:16" ht="53.25" customHeight="1" x14ac:dyDescent="0.25">
      <c r="A1" s="177" t="s">
        <v>125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</row>
    <row r="2" spans="1:16" ht="12.75" customHeight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3"/>
      <c r="L2" s="4"/>
      <c r="M2" s="56"/>
    </row>
    <row r="3" spans="1:16" s="5" customFormat="1" ht="18" x14ac:dyDescent="0.25">
      <c r="A3" s="5">
        <v>1</v>
      </c>
      <c r="B3" s="5" t="s">
        <v>90</v>
      </c>
      <c r="C3" s="6"/>
      <c r="D3" s="6"/>
      <c r="E3" s="6"/>
      <c r="F3" s="6"/>
      <c r="G3" s="7"/>
      <c r="H3" s="7"/>
      <c r="I3" s="7"/>
      <c r="J3" s="7"/>
      <c r="K3" s="8"/>
      <c r="L3" s="9"/>
      <c r="M3" s="7"/>
      <c r="O3" s="59"/>
    </row>
    <row r="4" spans="1:16" ht="15.75" thickBot="1" x14ac:dyDescent="0.3"/>
    <row r="5" spans="1:16" ht="38.25" customHeight="1" thickBot="1" x14ac:dyDescent="0.3">
      <c r="A5" s="16">
        <v>1</v>
      </c>
      <c r="B5" s="76">
        <v>2</v>
      </c>
      <c r="C5" s="172">
        <v>3</v>
      </c>
      <c r="D5" s="173"/>
      <c r="E5" s="172">
        <v>4</v>
      </c>
      <c r="F5" s="173"/>
      <c r="G5" s="174">
        <v>5</v>
      </c>
      <c r="H5" s="175"/>
      <c r="I5" s="174">
        <v>6</v>
      </c>
      <c r="J5" s="175"/>
      <c r="K5" s="17"/>
      <c r="L5" s="174">
        <v>7</v>
      </c>
      <c r="M5" s="175"/>
      <c r="N5" s="53">
        <v>8</v>
      </c>
    </row>
    <row r="6" spans="1:16" ht="38.25" customHeight="1" thickBot="1" x14ac:dyDescent="0.3">
      <c r="A6" s="16" t="s">
        <v>46</v>
      </c>
      <c r="B6" s="76" t="s">
        <v>45</v>
      </c>
      <c r="C6" s="172" t="s">
        <v>92</v>
      </c>
      <c r="D6" s="173"/>
      <c r="E6" s="172" t="s">
        <v>94</v>
      </c>
      <c r="F6" s="173"/>
      <c r="G6" s="174" t="s">
        <v>75</v>
      </c>
      <c r="H6" s="175"/>
      <c r="I6" s="174" t="s">
        <v>75</v>
      </c>
      <c r="J6" s="175"/>
      <c r="K6" s="17" t="s">
        <v>95</v>
      </c>
      <c r="L6" s="18" t="s">
        <v>76</v>
      </c>
      <c r="M6" s="19"/>
      <c r="N6" s="54" t="s">
        <v>109</v>
      </c>
    </row>
    <row r="7" spans="1:16" ht="8.25" customHeight="1" x14ac:dyDescent="0.25">
      <c r="A7" s="20"/>
      <c r="B7" s="20"/>
      <c r="C7" s="20"/>
      <c r="D7" s="21"/>
      <c r="E7" s="20"/>
      <c r="F7" s="21"/>
      <c r="G7" s="22"/>
      <c r="H7" s="23"/>
      <c r="I7" s="22"/>
      <c r="J7" s="23"/>
      <c r="K7" s="17"/>
      <c r="L7" s="24"/>
      <c r="M7" s="23"/>
    </row>
    <row r="8" spans="1:16" s="31" customFormat="1" ht="38.25" customHeight="1" x14ac:dyDescent="0.25">
      <c r="A8" s="117" t="s">
        <v>0</v>
      </c>
      <c r="B8" s="117" t="s">
        <v>1</v>
      </c>
      <c r="C8" s="118"/>
      <c r="D8" s="119"/>
      <c r="E8" s="118"/>
      <c r="F8" s="119"/>
      <c r="G8" s="120"/>
      <c r="H8" s="121"/>
      <c r="I8" s="120"/>
      <c r="J8" s="121"/>
      <c r="K8" s="107"/>
      <c r="L8" s="122"/>
      <c r="M8" s="121"/>
      <c r="N8" s="71"/>
      <c r="O8" s="123"/>
      <c r="P8" s="71"/>
    </row>
    <row r="9" spans="1:16" ht="38.25" customHeight="1" x14ac:dyDescent="0.25">
      <c r="A9" s="32" t="s">
        <v>47</v>
      </c>
      <c r="B9" s="32" t="s">
        <v>2</v>
      </c>
      <c r="C9" s="64">
        <v>1.0772722457596435E-3</v>
      </c>
      <c r="D9" s="33" t="s">
        <v>85</v>
      </c>
      <c r="E9" s="126"/>
      <c r="F9" s="33" t="s">
        <v>85</v>
      </c>
      <c r="G9" s="34">
        <v>175185</v>
      </c>
      <c r="H9" s="35" t="s">
        <v>88</v>
      </c>
      <c r="I9" s="34">
        <v>2473</v>
      </c>
      <c r="J9" s="35" t="s">
        <v>77</v>
      </c>
      <c r="K9" s="36">
        <f>C9*G9*I9</f>
        <v>466709.35359742603</v>
      </c>
      <c r="L9" s="37">
        <f>E9*G9*I9</f>
        <v>0</v>
      </c>
      <c r="M9" s="35" t="s">
        <v>82</v>
      </c>
      <c r="O9" s="58">
        <f>C9*G9*I9</f>
        <v>466709.35359742603</v>
      </c>
    </row>
    <row r="10" spans="1:16" ht="38.25" customHeight="1" x14ac:dyDescent="0.25">
      <c r="A10" s="32" t="s">
        <v>47</v>
      </c>
      <c r="B10" s="32" t="s">
        <v>2</v>
      </c>
      <c r="C10" s="64">
        <v>1.0772722457596435E-3</v>
      </c>
      <c r="D10" s="33" t="s">
        <v>85</v>
      </c>
      <c r="E10" s="126"/>
      <c r="F10" s="33" t="s">
        <v>85</v>
      </c>
      <c r="G10" s="34">
        <v>62417</v>
      </c>
      <c r="H10" s="35" t="s">
        <v>88</v>
      </c>
      <c r="I10" s="34">
        <v>4163</v>
      </c>
      <c r="J10" s="35" t="s">
        <v>77</v>
      </c>
      <c r="K10" s="36">
        <f>C10*G10*I10</f>
        <v>279920.54364178219</v>
      </c>
      <c r="L10" s="37">
        <f>E10*G10*I10</f>
        <v>0</v>
      </c>
      <c r="M10" s="35" t="s">
        <v>82</v>
      </c>
      <c r="O10" s="58">
        <f>C10*G10*I10</f>
        <v>279920.54364178219</v>
      </c>
    </row>
    <row r="11" spans="1:16" ht="38.25" customHeight="1" x14ac:dyDescent="0.25">
      <c r="A11" s="32" t="s">
        <v>48</v>
      </c>
      <c r="B11" s="32" t="s">
        <v>3</v>
      </c>
      <c r="C11" s="64">
        <v>2.6533799156641469E-3</v>
      </c>
      <c r="D11" s="33" t="s">
        <v>85</v>
      </c>
      <c r="E11" s="126"/>
      <c r="F11" s="33" t="s">
        <v>85</v>
      </c>
      <c r="G11" s="34">
        <v>381976</v>
      </c>
      <c r="H11" s="35" t="s">
        <v>88</v>
      </c>
      <c r="I11" s="34">
        <v>2473</v>
      </c>
      <c r="J11" s="35" t="s">
        <v>77</v>
      </c>
      <c r="K11" s="36">
        <f>C11*G11*I11</f>
        <v>2506453.3756043459</v>
      </c>
      <c r="L11" s="37"/>
      <c r="M11" s="35" t="s">
        <v>82</v>
      </c>
      <c r="O11" s="58">
        <f>C11*G11*I11</f>
        <v>2506453.3756043459</v>
      </c>
    </row>
    <row r="12" spans="1:16" ht="38.25" customHeight="1" x14ac:dyDescent="0.25">
      <c r="A12" s="32" t="s">
        <v>48</v>
      </c>
      <c r="B12" s="32" t="s">
        <v>3</v>
      </c>
      <c r="C12" s="64">
        <v>2.6533799156641469E-3</v>
      </c>
      <c r="D12" s="33" t="s">
        <v>85</v>
      </c>
      <c r="E12" s="126"/>
      <c r="F12" s="33" t="s">
        <v>85</v>
      </c>
      <c r="G12" s="34">
        <v>63904</v>
      </c>
      <c r="H12" s="35" t="s">
        <v>88</v>
      </c>
      <c r="I12" s="34">
        <v>4163</v>
      </c>
      <c r="J12" s="35" t="s">
        <v>77</v>
      </c>
      <c r="K12" s="36">
        <f>C12*G12*I12</f>
        <v>705884.8997136947</v>
      </c>
      <c r="L12" s="37">
        <f>E12*G12*I12</f>
        <v>0</v>
      </c>
      <c r="M12" s="35" t="s">
        <v>82</v>
      </c>
      <c r="O12" s="58">
        <f>C12*G12*I12</f>
        <v>705884.8997136947</v>
      </c>
    </row>
    <row r="13" spans="1:16" s="31" customFormat="1" ht="38.25" customHeight="1" x14ac:dyDescent="0.25">
      <c r="A13" s="38" t="s">
        <v>4</v>
      </c>
      <c r="B13" s="38" t="s">
        <v>5</v>
      </c>
      <c r="C13" s="39"/>
      <c r="D13" s="40"/>
      <c r="E13" s="69"/>
      <c r="F13" s="40"/>
      <c r="G13" s="41"/>
      <c r="H13" s="42"/>
      <c r="I13" s="41"/>
      <c r="J13" s="42"/>
      <c r="K13" s="17"/>
      <c r="L13" s="43">
        <f>E13*G13*I13</f>
        <v>0</v>
      </c>
      <c r="M13" s="42"/>
      <c r="O13" s="60"/>
    </row>
    <row r="14" spans="1:16" ht="38.25" customHeight="1" x14ac:dyDescent="0.25">
      <c r="A14" s="32" t="s">
        <v>49</v>
      </c>
      <c r="B14" s="32" t="s">
        <v>6</v>
      </c>
      <c r="C14" s="64">
        <v>1.3322304810368274E-2</v>
      </c>
      <c r="D14" s="33" t="s">
        <v>86</v>
      </c>
      <c r="E14" s="126"/>
      <c r="F14" s="33" t="s">
        <v>86</v>
      </c>
      <c r="G14" s="34">
        <v>60814</v>
      </c>
      <c r="H14" s="35" t="s">
        <v>88</v>
      </c>
      <c r="I14" s="34">
        <v>130</v>
      </c>
      <c r="J14" s="35" t="s">
        <v>84</v>
      </c>
      <c r="K14" s="36">
        <f>C14*G14*I14</f>
        <v>105323.74381590572</v>
      </c>
      <c r="L14" s="37"/>
      <c r="M14" s="35" t="s">
        <v>82</v>
      </c>
      <c r="O14" s="58">
        <f t="shared" ref="O14:O15" si="0">C14*G14*I14</f>
        <v>105323.74381590572</v>
      </c>
    </row>
    <row r="15" spans="1:16" ht="38.25" customHeight="1" x14ac:dyDescent="0.25">
      <c r="A15" s="32" t="s">
        <v>50</v>
      </c>
      <c r="B15" s="32" t="s">
        <v>7</v>
      </c>
      <c r="C15" s="64">
        <v>2.5405787641850981E-2</v>
      </c>
      <c r="D15" s="33" t="s">
        <v>86</v>
      </c>
      <c r="E15" s="126"/>
      <c r="F15" s="33" t="s">
        <v>86</v>
      </c>
      <c r="G15" s="34">
        <v>408470</v>
      </c>
      <c r="H15" s="35" t="s">
        <v>88</v>
      </c>
      <c r="I15" s="34">
        <v>150</v>
      </c>
      <c r="J15" s="35" t="s">
        <v>84</v>
      </c>
      <c r="K15" s="36">
        <f>C15*G15*I15</f>
        <v>1556625.3117100308</v>
      </c>
      <c r="L15" s="37">
        <f>E15*G15</f>
        <v>0</v>
      </c>
      <c r="M15" s="35" t="s">
        <v>82</v>
      </c>
      <c r="O15" s="58">
        <f t="shared" si="0"/>
        <v>1556625.3117100308</v>
      </c>
    </row>
    <row r="16" spans="1:16" s="31" customFormat="1" ht="38.25" customHeight="1" x14ac:dyDescent="0.25">
      <c r="A16" s="38" t="s">
        <v>8</v>
      </c>
      <c r="B16" s="38" t="s">
        <v>9</v>
      </c>
      <c r="C16" s="39"/>
      <c r="D16" s="40"/>
      <c r="E16" s="69"/>
      <c r="F16" s="40"/>
      <c r="G16" s="41"/>
      <c r="H16" s="42"/>
      <c r="I16" s="41"/>
      <c r="J16" s="42"/>
      <c r="K16" s="17"/>
      <c r="L16" s="43"/>
      <c r="M16" s="42"/>
      <c r="O16" s="60"/>
    </row>
    <row r="17" spans="1:15" ht="38.25" customHeight="1" x14ac:dyDescent="0.25">
      <c r="A17" s="32" t="s">
        <v>51</v>
      </c>
      <c r="B17" s="32" t="s">
        <v>10</v>
      </c>
      <c r="C17" s="78">
        <v>0.99658131218700008</v>
      </c>
      <c r="D17" s="33" t="s">
        <v>87</v>
      </c>
      <c r="E17" s="137"/>
      <c r="F17" s="33" t="s">
        <v>87</v>
      </c>
      <c r="G17" s="34">
        <v>213276</v>
      </c>
      <c r="H17" s="35" t="s">
        <v>89</v>
      </c>
      <c r="I17" s="44"/>
      <c r="J17" s="45"/>
      <c r="K17" s="36">
        <f>C17*G17</f>
        <v>212546.87593799463</v>
      </c>
      <c r="L17" s="37">
        <f>E17*G17</f>
        <v>0</v>
      </c>
      <c r="M17" s="35" t="s">
        <v>82</v>
      </c>
      <c r="O17" s="58">
        <f>C17*G17</f>
        <v>212546.87593799463</v>
      </c>
    </row>
    <row r="18" spans="1:15" s="31" customFormat="1" ht="38.25" customHeight="1" x14ac:dyDescent="0.25">
      <c r="A18" s="38" t="s">
        <v>11</v>
      </c>
      <c r="B18" s="38" t="s">
        <v>12</v>
      </c>
      <c r="C18" s="39"/>
      <c r="D18" s="40"/>
      <c r="E18" s="69"/>
      <c r="F18" s="40"/>
      <c r="G18" s="41"/>
      <c r="H18" s="42"/>
      <c r="I18" s="41"/>
      <c r="J18" s="42"/>
      <c r="K18" s="17"/>
      <c r="L18" s="43">
        <f t="shared" ref="L18:L19" si="1">E18*G18</f>
        <v>0</v>
      </c>
      <c r="M18" s="42"/>
      <c r="O18" s="60"/>
    </row>
    <row r="19" spans="1:15" ht="45" x14ac:dyDescent="0.25">
      <c r="A19" s="32" t="s">
        <v>52</v>
      </c>
      <c r="B19" s="32" t="s">
        <v>79</v>
      </c>
      <c r="C19" s="77">
        <v>3.0610124513595922</v>
      </c>
      <c r="D19" s="33" t="s">
        <v>87</v>
      </c>
      <c r="E19" s="140"/>
      <c r="F19" s="33" t="s">
        <v>87</v>
      </c>
      <c r="G19" s="34">
        <v>213276</v>
      </c>
      <c r="H19" s="35" t="s">
        <v>89</v>
      </c>
      <c r="I19" s="44"/>
      <c r="J19" s="45"/>
      <c r="K19" s="36">
        <f>C19*G19</f>
        <v>652840.49157616834</v>
      </c>
      <c r="L19" s="37">
        <f t="shared" si="1"/>
        <v>0</v>
      </c>
      <c r="M19" s="35" t="s">
        <v>82</v>
      </c>
      <c r="O19" s="58">
        <f t="shared" ref="O19:O21" si="2">C19*G19</f>
        <v>652840.49157616834</v>
      </c>
    </row>
    <row r="20" spans="1:15" ht="38.25" customHeight="1" x14ac:dyDescent="0.25">
      <c r="A20" s="32" t="s">
        <v>105</v>
      </c>
      <c r="B20" s="32" t="s">
        <v>13</v>
      </c>
      <c r="C20" s="77">
        <v>0.29539100477784092</v>
      </c>
      <c r="D20" s="33" t="s">
        <v>87</v>
      </c>
      <c r="E20" s="140"/>
      <c r="F20" s="33" t="s">
        <v>87</v>
      </c>
      <c r="G20" s="34">
        <v>163776</v>
      </c>
      <c r="H20" s="35" t="s">
        <v>89</v>
      </c>
      <c r="I20" s="44"/>
      <c r="J20" s="45"/>
      <c r="K20" s="36">
        <f>C20*G20</f>
        <v>48377.957198495671</v>
      </c>
      <c r="L20" s="37"/>
      <c r="M20" s="35" t="s">
        <v>82</v>
      </c>
      <c r="O20" s="58">
        <f t="shared" si="2"/>
        <v>48377.957198495671</v>
      </c>
    </row>
    <row r="21" spans="1:15" ht="38.25" customHeight="1" x14ac:dyDescent="0.25">
      <c r="A21" s="32" t="s">
        <v>117</v>
      </c>
      <c r="B21" s="32" t="s">
        <v>122</v>
      </c>
      <c r="C21" s="77">
        <v>150</v>
      </c>
      <c r="D21" s="33" t="s">
        <v>87</v>
      </c>
      <c r="E21" s="140"/>
      <c r="F21" s="33" t="s">
        <v>87</v>
      </c>
      <c r="G21" s="34">
        <v>12</v>
      </c>
      <c r="H21" s="35" t="s">
        <v>89</v>
      </c>
      <c r="I21" s="44"/>
      <c r="J21" s="45"/>
      <c r="K21" s="36">
        <f>C21*G21</f>
        <v>1800</v>
      </c>
      <c r="L21" s="37">
        <f>E21*G21</f>
        <v>0</v>
      </c>
      <c r="M21" s="35" t="s">
        <v>82</v>
      </c>
      <c r="O21" s="58">
        <f t="shared" si="2"/>
        <v>1800</v>
      </c>
    </row>
    <row r="22" spans="1:15" ht="38.25" customHeight="1" x14ac:dyDescent="0.25">
      <c r="A22" s="38" t="s">
        <v>14</v>
      </c>
      <c r="B22" s="38" t="s">
        <v>15</v>
      </c>
      <c r="C22" s="39"/>
      <c r="D22" s="40"/>
      <c r="E22" s="69"/>
      <c r="F22" s="40"/>
      <c r="G22" s="41"/>
      <c r="H22" s="42"/>
      <c r="I22" s="41"/>
      <c r="J22" s="42"/>
      <c r="K22" s="17"/>
      <c r="L22" s="43">
        <f t="shared" ref="L22:L25" si="3">E22*G22</f>
        <v>0</v>
      </c>
      <c r="M22" s="42"/>
    </row>
    <row r="23" spans="1:15" s="31" customFormat="1" ht="38.25" customHeight="1" x14ac:dyDescent="0.25">
      <c r="A23" s="32" t="s">
        <v>53</v>
      </c>
      <c r="B23" s="32" t="s">
        <v>107</v>
      </c>
      <c r="C23" s="78">
        <v>24.017975586371783</v>
      </c>
      <c r="D23" s="33" t="s">
        <v>87</v>
      </c>
      <c r="E23" s="137"/>
      <c r="F23" s="33" t="s">
        <v>87</v>
      </c>
      <c r="G23" s="34">
        <v>9536</v>
      </c>
      <c r="H23" s="35" t="s">
        <v>89</v>
      </c>
      <c r="I23" s="44"/>
      <c r="J23" s="45"/>
      <c r="K23" s="36">
        <f>C23*G23</f>
        <v>229035.41519164131</v>
      </c>
      <c r="L23" s="37">
        <f t="shared" si="3"/>
        <v>0</v>
      </c>
      <c r="M23" s="35" t="s">
        <v>82</v>
      </c>
      <c r="O23" s="58">
        <f t="shared" ref="O23:O27" si="4">C23*G23</f>
        <v>229035.41519164131</v>
      </c>
    </row>
    <row r="24" spans="1:15" s="31" customFormat="1" ht="38.25" customHeight="1" x14ac:dyDescent="0.25">
      <c r="A24" s="32" t="s">
        <v>54</v>
      </c>
      <c r="B24" s="32" t="s">
        <v>108</v>
      </c>
      <c r="C24" s="78">
        <v>11.185362524184205</v>
      </c>
      <c r="D24" s="33" t="s">
        <v>87</v>
      </c>
      <c r="E24" s="137"/>
      <c r="F24" s="33" t="s">
        <v>87</v>
      </c>
      <c r="G24" s="34">
        <v>225240</v>
      </c>
      <c r="H24" s="35" t="s">
        <v>89</v>
      </c>
      <c r="I24" s="44"/>
      <c r="J24" s="45"/>
      <c r="K24" s="36">
        <f>C24*G24</f>
        <v>2519391.0549472505</v>
      </c>
      <c r="L24" s="37">
        <f t="shared" si="3"/>
        <v>0</v>
      </c>
      <c r="M24" s="35" t="s">
        <v>82</v>
      </c>
      <c r="O24" s="58">
        <f t="shared" si="4"/>
        <v>2519391.0549472505</v>
      </c>
    </row>
    <row r="25" spans="1:15" ht="38.25" customHeight="1" x14ac:dyDescent="0.25">
      <c r="A25" s="32" t="s">
        <v>100</v>
      </c>
      <c r="B25" s="32" t="s">
        <v>16</v>
      </c>
      <c r="C25" s="78">
        <v>0.6110768124851228</v>
      </c>
      <c r="D25" s="33" t="s">
        <v>87</v>
      </c>
      <c r="E25" s="137"/>
      <c r="F25" s="33" t="s">
        <v>87</v>
      </c>
      <c r="G25" s="34">
        <v>54000</v>
      </c>
      <c r="H25" s="35" t="s">
        <v>89</v>
      </c>
      <c r="I25" s="44"/>
      <c r="J25" s="45"/>
      <c r="K25" s="36">
        <f>C25*G25</f>
        <v>32998.147874196635</v>
      </c>
      <c r="L25" s="37">
        <f t="shared" si="3"/>
        <v>0</v>
      </c>
      <c r="M25" s="35" t="s">
        <v>82</v>
      </c>
      <c r="O25" s="58">
        <f t="shared" si="4"/>
        <v>32998.147874196635</v>
      </c>
    </row>
    <row r="26" spans="1:15" s="31" customFormat="1" ht="38.25" customHeight="1" x14ac:dyDescent="0.25">
      <c r="A26" s="32" t="s">
        <v>101</v>
      </c>
      <c r="B26" s="32" t="s">
        <v>102</v>
      </c>
      <c r="C26" s="78">
        <v>1920.6131157811997</v>
      </c>
      <c r="D26" s="33" t="s">
        <v>21</v>
      </c>
      <c r="E26" s="137"/>
      <c r="F26" s="33" t="s">
        <v>21</v>
      </c>
      <c r="G26" s="34">
        <v>0</v>
      </c>
      <c r="H26" s="35" t="s">
        <v>83</v>
      </c>
      <c r="I26" s="44"/>
      <c r="J26" s="45"/>
      <c r="K26" s="36">
        <f>C26*G26</f>
        <v>0</v>
      </c>
      <c r="L26" s="37"/>
      <c r="M26" s="35" t="s">
        <v>82</v>
      </c>
      <c r="O26" s="58">
        <f t="shared" si="4"/>
        <v>0</v>
      </c>
    </row>
    <row r="27" spans="1:15" ht="38.25" customHeight="1" x14ac:dyDescent="0.25">
      <c r="A27" s="32" t="s">
        <v>104</v>
      </c>
      <c r="B27" s="32" t="s">
        <v>103</v>
      </c>
      <c r="C27" s="78">
        <v>2.5642171822259212</v>
      </c>
      <c r="D27" s="33" t="s">
        <v>21</v>
      </c>
      <c r="E27" s="137"/>
      <c r="F27" s="33" t="s">
        <v>21</v>
      </c>
      <c r="G27" s="34">
        <v>22</v>
      </c>
      <c r="H27" s="35" t="s">
        <v>83</v>
      </c>
      <c r="I27" s="44"/>
      <c r="J27" s="45"/>
      <c r="K27" s="36">
        <f>C27*G27</f>
        <v>56.412778008970264</v>
      </c>
      <c r="L27" s="37">
        <f>E27*G27</f>
        <v>0</v>
      </c>
      <c r="M27" s="35" t="s">
        <v>82</v>
      </c>
      <c r="O27" s="58">
        <f t="shared" si="4"/>
        <v>56.412778008970264</v>
      </c>
    </row>
    <row r="28" spans="1:15" ht="47.25" x14ac:dyDescent="0.25">
      <c r="A28" s="38" t="s">
        <v>17</v>
      </c>
      <c r="B28" s="38" t="s">
        <v>18</v>
      </c>
      <c r="C28" s="39"/>
      <c r="D28" s="40"/>
      <c r="E28" s="69"/>
      <c r="F28" s="40"/>
      <c r="G28" s="41"/>
      <c r="H28" s="42"/>
      <c r="I28" s="41"/>
      <c r="J28" s="42"/>
      <c r="K28" s="17"/>
      <c r="L28" s="43">
        <f>E28*G28</f>
        <v>0</v>
      </c>
      <c r="M28" s="42"/>
    </row>
    <row r="29" spans="1:15" s="31" customFormat="1" ht="38.25" customHeight="1" x14ac:dyDescent="0.25">
      <c r="A29" s="32" t="s">
        <v>55</v>
      </c>
      <c r="B29" s="32" t="s">
        <v>19</v>
      </c>
      <c r="C29" s="78">
        <v>1.4505808270340399</v>
      </c>
      <c r="D29" s="33" t="s">
        <v>87</v>
      </c>
      <c r="E29" s="137"/>
      <c r="F29" s="33" t="s">
        <v>87</v>
      </c>
      <c r="G29" s="34">
        <v>184729</v>
      </c>
      <c r="H29" s="35" t="s">
        <v>89</v>
      </c>
      <c r="I29" s="44"/>
      <c r="J29" s="45"/>
      <c r="K29" s="36">
        <f>C29*G29</f>
        <v>267964.34559717117</v>
      </c>
      <c r="L29" s="37"/>
      <c r="M29" s="35" t="s">
        <v>82</v>
      </c>
      <c r="O29" s="58">
        <f t="shared" ref="O29:O30" si="5">C29*G29</f>
        <v>267964.34559717117</v>
      </c>
    </row>
    <row r="30" spans="1:15" ht="38.25" customHeight="1" x14ac:dyDescent="0.25">
      <c r="A30" s="32" t="s">
        <v>56</v>
      </c>
      <c r="B30" s="32" t="s">
        <v>20</v>
      </c>
      <c r="C30" s="78">
        <v>196.41391881978004</v>
      </c>
      <c r="D30" s="33" t="s">
        <v>21</v>
      </c>
      <c r="E30" s="137"/>
      <c r="F30" s="33" t="s">
        <v>21</v>
      </c>
      <c r="G30" s="34">
        <v>290</v>
      </c>
      <c r="H30" s="35" t="s">
        <v>83</v>
      </c>
      <c r="I30" s="44"/>
      <c r="J30" s="45"/>
      <c r="K30" s="36">
        <f>C30*G30</f>
        <v>56960.036457736212</v>
      </c>
      <c r="L30" s="37">
        <f>E30*G30</f>
        <v>0</v>
      </c>
      <c r="M30" s="35" t="s">
        <v>82</v>
      </c>
      <c r="O30" s="58">
        <f t="shared" si="5"/>
        <v>56960.036457736212</v>
      </c>
    </row>
    <row r="31" spans="1:15" ht="38.25" customHeight="1" x14ac:dyDescent="0.25">
      <c r="A31" s="38" t="s">
        <v>22</v>
      </c>
      <c r="B31" s="38" t="s">
        <v>23</v>
      </c>
      <c r="C31" s="39"/>
      <c r="D31" s="40"/>
      <c r="E31" s="69"/>
      <c r="F31" s="40"/>
      <c r="G31" s="41"/>
      <c r="H31" s="42"/>
      <c r="I31" s="41"/>
      <c r="J31" s="42"/>
      <c r="K31" s="17"/>
      <c r="L31" s="43">
        <f>E31*G31</f>
        <v>0</v>
      </c>
      <c r="M31" s="42"/>
    </row>
    <row r="32" spans="1:15" ht="38.25" customHeight="1" x14ac:dyDescent="0.25">
      <c r="A32" s="32" t="s">
        <v>57</v>
      </c>
      <c r="B32" s="32" t="s">
        <v>78</v>
      </c>
      <c r="C32" s="78">
        <v>0.46946070402192563</v>
      </c>
      <c r="D32" s="33" t="s">
        <v>87</v>
      </c>
      <c r="E32" s="137"/>
      <c r="F32" s="33" t="s">
        <v>87</v>
      </c>
      <c r="G32" s="34">
        <v>228776</v>
      </c>
      <c r="H32" s="35" t="s">
        <v>89</v>
      </c>
      <c r="I32" s="44"/>
      <c r="J32" s="45"/>
      <c r="K32" s="36">
        <f>C32*G32</f>
        <v>107401.34202332006</v>
      </c>
      <c r="L32" s="37"/>
      <c r="M32" s="35" t="s">
        <v>82</v>
      </c>
      <c r="O32" s="58">
        <f t="shared" ref="O32:O33" si="6">C32*G32</f>
        <v>107401.34202332006</v>
      </c>
    </row>
    <row r="33" spans="1:15" ht="38.25" customHeight="1" x14ac:dyDescent="0.25">
      <c r="A33" s="32" t="s">
        <v>58</v>
      </c>
      <c r="B33" s="32" t="s">
        <v>24</v>
      </c>
      <c r="C33" s="78">
        <v>5.6388032876341407</v>
      </c>
      <c r="D33" s="33" t="s">
        <v>87</v>
      </c>
      <c r="E33" s="137"/>
      <c r="F33" s="33" t="s">
        <v>87</v>
      </c>
      <c r="G33" s="34">
        <v>16930</v>
      </c>
      <c r="H33" s="35" t="s">
        <v>89</v>
      </c>
      <c r="I33" s="44"/>
      <c r="J33" s="45"/>
      <c r="K33" s="36">
        <f>C33*G33</f>
        <v>95464.939659645999</v>
      </c>
      <c r="L33" s="37">
        <f>E33*G33</f>
        <v>0</v>
      </c>
      <c r="M33" s="35" t="s">
        <v>82</v>
      </c>
      <c r="O33" s="58">
        <f t="shared" si="6"/>
        <v>95464.939659645999</v>
      </c>
    </row>
    <row r="34" spans="1:15" ht="47.25" x14ac:dyDescent="0.25">
      <c r="A34" s="38" t="s">
        <v>25</v>
      </c>
      <c r="B34" s="38" t="s">
        <v>26</v>
      </c>
      <c r="C34" s="39"/>
      <c r="D34" s="40"/>
      <c r="E34" s="69"/>
      <c r="F34" s="40"/>
      <c r="G34" s="41"/>
      <c r="H34" s="42"/>
      <c r="I34" s="41"/>
      <c r="J34" s="42"/>
      <c r="K34" s="17"/>
      <c r="L34" s="43">
        <f t="shared" ref="L34:L36" si="7">E34*G34</f>
        <v>0</v>
      </c>
      <c r="M34" s="42"/>
    </row>
    <row r="35" spans="1:15" s="31" customFormat="1" ht="38.25" customHeight="1" x14ac:dyDescent="0.25">
      <c r="A35" s="32" t="s">
        <v>59</v>
      </c>
      <c r="B35" s="32" t="s">
        <v>27</v>
      </c>
      <c r="C35" s="78">
        <v>851.68083968633869</v>
      </c>
      <c r="D35" s="33" t="s">
        <v>21</v>
      </c>
      <c r="E35" s="137"/>
      <c r="F35" s="33" t="s">
        <v>21</v>
      </c>
      <c r="G35" s="34">
        <v>43</v>
      </c>
      <c r="H35" s="35" t="s">
        <v>83</v>
      </c>
      <c r="I35" s="44"/>
      <c r="J35" s="45"/>
      <c r="K35" s="36">
        <f>C35*G35</f>
        <v>36622.276106512567</v>
      </c>
      <c r="L35" s="37">
        <f t="shared" si="7"/>
        <v>0</v>
      </c>
      <c r="M35" s="35" t="s">
        <v>82</v>
      </c>
      <c r="O35" s="58">
        <f t="shared" ref="O35:O38" si="8">C35*G35</f>
        <v>36622.276106512567</v>
      </c>
    </row>
    <row r="36" spans="1:15" ht="38.25" customHeight="1" x14ac:dyDescent="0.25">
      <c r="A36" s="32" t="s">
        <v>60</v>
      </c>
      <c r="B36" s="32" t="s">
        <v>28</v>
      </c>
      <c r="C36" s="78">
        <v>1237.055329294629</v>
      </c>
      <c r="D36" s="33" t="s">
        <v>21</v>
      </c>
      <c r="E36" s="137"/>
      <c r="F36" s="33" t="s">
        <v>21</v>
      </c>
      <c r="G36" s="34">
        <v>39</v>
      </c>
      <c r="H36" s="35" t="s">
        <v>83</v>
      </c>
      <c r="I36" s="44"/>
      <c r="J36" s="45"/>
      <c r="K36" s="36">
        <f>C36*G36</f>
        <v>48245.157842490531</v>
      </c>
      <c r="L36" s="37">
        <f t="shared" si="7"/>
        <v>0</v>
      </c>
      <c r="M36" s="35" t="s">
        <v>82</v>
      </c>
      <c r="O36" s="58">
        <f t="shared" si="8"/>
        <v>48245.157842490531</v>
      </c>
    </row>
    <row r="37" spans="1:15" ht="38.25" customHeight="1" x14ac:dyDescent="0.25">
      <c r="A37" s="32" t="s">
        <v>61</v>
      </c>
      <c r="B37" s="32" t="s">
        <v>29</v>
      </c>
      <c r="C37" s="78">
        <v>341.9994854602873</v>
      </c>
      <c r="D37" s="33" t="s">
        <v>21</v>
      </c>
      <c r="E37" s="137"/>
      <c r="F37" s="33" t="s">
        <v>21</v>
      </c>
      <c r="G37" s="34">
        <v>2</v>
      </c>
      <c r="H37" s="35" t="s">
        <v>83</v>
      </c>
      <c r="I37" s="44"/>
      <c r="J37" s="45"/>
      <c r="K37" s="36">
        <f>C37*G37</f>
        <v>683.99897092057461</v>
      </c>
      <c r="L37" s="37"/>
      <c r="M37" s="35" t="s">
        <v>82</v>
      </c>
      <c r="O37" s="58">
        <f t="shared" si="8"/>
        <v>683.99897092057461</v>
      </c>
    </row>
    <row r="38" spans="1:15" ht="38.25" customHeight="1" x14ac:dyDescent="0.25">
      <c r="A38" s="32" t="s">
        <v>62</v>
      </c>
      <c r="B38" s="32" t="s">
        <v>30</v>
      </c>
      <c r="C38" s="78">
        <v>1091.7493291407866</v>
      </c>
      <c r="D38" s="33" t="s">
        <v>21</v>
      </c>
      <c r="E38" s="137"/>
      <c r="F38" s="33" t="s">
        <v>21</v>
      </c>
      <c r="G38" s="34">
        <v>0</v>
      </c>
      <c r="H38" s="35" t="s">
        <v>83</v>
      </c>
      <c r="I38" s="44"/>
      <c r="J38" s="45"/>
      <c r="K38" s="36">
        <f>C38*G38</f>
        <v>0</v>
      </c>
      <c r="L38" s="37">
        <f>E38*G38</f>
        <v>0</v>
      </c>
      <c r="M38" s="35" t="s">
        <v>82</v>
      </c>
      <c r="O38" s="58">
        <f t="shared" si="8"/>
        <v>0</v>
      </c>
    </row>
    <row r="39" spans="1:15" ht="38.25" customHeight="1" x14ac:dyDescent="0.25">
      <c r="A39" s="38" t="s">
        <v>31</v>
      </c>
      <c r="B39" s="38" t="s">
        <v>32</v>
      </c>
      <c r="C39" s="39"/>
      <c r="D39" s="40"/>
      <c r="E39" s="69"/>
      <c r="F39" s="40"/>
      <c r="G39" s="41"/>
      <c r="H39" s="42"/>
      <c r="I39" s="41"/>
      <c r="J39" s="42"/>
      <c r="K39" s="17"/>
      <c r="L39" s="43">
        <f t="shared" ref="L39:L49" si="9">E39*G39</f>
        <v>0</v>
      </c>
      <c r="M39" s="42"/>
    </row>
    <row r="40" spans="1:15" s="31" customFormat="1" ht="38.25" customHeight="1" x14ac:dyDescent="0.25">
      <c r="A40" s="32" t="s">
        <v>63</v>
      </c>
      <c r="B40" s="32" t="s">
        <v>33</v>
      </c>
      <c r="C40" s="78">
        <v>370.78428390801372</v>
      </c>
      <c r="D40" s="33" t="s">
        <v>21</v>
      </c>
      <c r="E40" s="137"/>
      <c r="F40" s="33" t="s">
        <v>21</v>
      </c>
      <c r="G40" s="34">
        <v>89</v>
      </c>
      <c r="H40" s="35" t="s">
        <v>83</v>
      </c>
      <c r="I40" s="44"/>
      <c r="J40" s="45"/>
      <c r="K40" s="36">
        <f t="shared" ref="K40:K51" si="10">C40*G40</f>
        <v>32999.801267813222</v>
      </c>
      <c r="L40" s="37">
        <f t="shared" si="9"/>
        <v>0</v>
      </c>
      <c r="M40" s="35" t="s">
        <v>82</v>
      </c>
      <c r="O40" s="58">
        <f t="shared" ref="O40:O51" si="11">C40*G40</f>
        <v>32999.801267813222</v>
      </c>
    </row>
    <row r="41" spans="1:15" ht="38.25" customHeight="1" x14ac:dyDescent="0.25">
      <c r="A41" s="32" t="s">
        <v>64</v>
      </c>
      <c r="B41" s="32" t="s">
        <v>34</v>
      </c>
      <c r="C41" s="78">
        <v>0.44308650716676129</v>
      </c>
      <c r="D41" s="33" t="s">
        <v>87</v>
      </c>
      <c r="E41" s="137"/>
      <c r="F41" s="33" t="s">
        <v>87</v>
      </c>
      <c r="G41" s="34">
        <v>67553</v>
      </c>
      <c r="H41" s="35" t="s">
        <v>89</v>
      </c>
      <c r="I41" s="44"/>
      <c r="J41" s="45"/>
      <c r="K41" s="36">
        <f t="shared" si="10"/>
        <v>29931.822818636225</v>
      </c>
      <c r="L41" s="37">
        <f t="shared" si="9"/>
        <v>0</v>
      </c>
      <c r="M41" s="35" t="s">
        <v>82</v>
      </c>
      <c r="O41" s="58">
        <f t="shared" si="11"/>
        <v>29931.822818636225</v>
      </c>
    </row>
    <row r="42" spans="1:15" ht="38.25" customHeight="1" x14ac:dyDescent="0.25">
      <c r="A42" s="32" t="s">
        <v>65</v>
      </c>
      <c r="B42" s="32" t="s">
        <v>35</v>
      </c>
      <c r="C42" s="78">
        <v>0.6962787969763391</v>
      </c>
      <c r="D42" s="33" t="s">
        <v>87</v>
      </c>
      <c r="E42" s="137"/>
      <c r="F42" s="33" t="s">
        <v>87</v>
      </c>
      <c r="G42" s="34">
        <v>500</v>
      </c>
      <c r="H42" s="35" t="s">
        <v>89</v>
      </c>
      <c r="I42" s="44"/>
      <c r="J42" s="45"/>
      <c r="K42" s="36">
        <f t="shared" si="10"/>
        <v>348.13939848816955</v>
      </c>
      <c r="L42" s="37">
        <f t="shared" si="9"/>
        <v>0</v>
      </c>
      <c r="M42" s="35" t="s">
        <v>82</v>
      </c>
      <c r="O42" s="58">
        <f t="shared" si="11"/>
        <v>348.13939848816955</v>
      </c>
    </row>
    <row r="43" spans="1:15" ht="38.25" customHeight="1" x14ac:dyDescent="0.25">
      <c r="A43" s="32" t="s">
        <v>66</v>
      </c>
      <c r="B43" s="32" t="s">
        <v>36</v>
      </c>
      <c r="C43" s="78">
        <v>158.69354247752398</v>
      </c>
      <c r="D43" s="33" t="s">
        <v>21</v>
      </c>
      <c r="E43" s="137"/>
      <c r="F43" s="33" t="s">
        <v>21</v>
      </c>
      <c r="G43" s="34">
        <v>0</v>
      </c>
      <c r="H43" s="35" t="s">
        <v>83</v>
      </c>
      <c r="I43" s="44"/>
      <c r="J43" s="45"/>
      <c r="K43" s="36">
        <f t="shared" si="10"/>
        <v>0</v>
      </c>
      <c r="L43" s="37">
        <f t="shared" si="9"/>
        <v>0</v>
      </c>
      <c r="M43" s="35" t="s">
        <v>82</v>
      </c>
      <c r="O43" s="58">
        <f t="shared" si="11"/>
        <v>0</v>
      </c>
    </row>
    <row r="44" spans="1:15" ht="38.25" customHeight="1" x14ac:dyDescent="0.25">
      <c r="A44" s="32" t="s">
        <v>67</v>
      </c>
      <c r="B44" s="32" t="s">
        <v>37</v>
      </c>
      <c r="C44" s="78">
        <v>5744.7273370438525</v>
      </c>
      <c r="D44" s="33" t="s">
        <v>21</v>
      </c>
      <c r="E44" s="137"/>
      <c r="F44" s="33" t="s">
        <v>21</v>
      </c>
      <c r="G44" s="34">
        <v>1</v>
      </c>
      <c r="H44" s="35" t="s">
        <v>83</v>
      </c>
      <c r="I44" s="44"/>
      <c r="J44" s="45"/>
      <c r="K44" s="36">
        <f t="shared" si="10"/>
        <v>5744.7273370438525</v>
      </c>
      <c r="L44" s="37">
        <f t="shared" si="9"/>
        <v>0</v>
      </c>
      <c r="M44" s="35" t="s">
        <v>82</v>
      </c>
      <c r="O44" s="58">
        <f t="shared" si="11"/>
        <v>5744.7273370438525</v>
      </c>
    </row>
    <row r="45" spans="1:15" ht="38.25" customHeight="1" x14ac:dyDescent="0.25">
      <c r="A45" s="32" t="s">
        <v>68</v>
      </c>
      <c r="B45" s="32" t="s">
        <v>38</v>
      </c>
      <c r="C45" s="78">
        <v>170.98919305140157</v>
      </c>
      <c r="D45" s="33" t="s">
        <v>21</v>
      </c>
      <c r="E45" s="137"/>
      <c r="F45" s="33" t="s">
        <v>21</v>
      </c>
      <c r="G45" s="34">
        <v>1</v>
      </c>
      <c r="H45" s="35" t="s">
        <v>83</v>
      </c>
      <c r="I45" s="44"/>
      <c r="J45" s="45"/>
      <c r="K45" s="36">
        <f t="shared" si="10"/>
        <v>170.98919305140157</v>
      </c>
      <c r="L45" s="37">
        <f t="shared" si="9"/>
        <v>0</v>
      </c>
      <c r="M45" s="35" t="s">
        <v>82</v>
      </c>
      <c r="O45" s="58">
        <f t="shared" si="11"/>
        <v>170.98919305140157</v>
      </c>
    </row>
    <row r="46" spans="1:15" ht="38.25" customHeight="1" x14ac:dyDescent="0.25">
      <c r="A46" s="32" t="s">
        <v>69</v>
      </c>
      <c r="B46" s="32" t="s">
        <v>39</v>
      </c>
      <c r="C46" s="78">
        <v>1136.727884457584</v>
      </c>
      <c r="D46" s="33" t="s">
        <v>21</v>
      </c>
      <c r="E46" s="137"/>
      <c r="F46" s="33" t="s">
        <v>21</v>
      </c>
      <c r="G46" s="34">
        <v>4</v>
      </c>
      <c r="H46" s="35" t="s">
        <v>83</v>
      </c>
      <c r="I46" s="44"/>
      <c r="J46" s="45"/>
      <c r="K46" s="36">
        <f t="shared" si="10"/>
        <v>4546.9115378303359</v>
      </c>
      <c r="L46" s="37">
        <f t="shared" si="9"/>
        <v>0</v>
      </c>
      <c r="M46" s="35" t="s">
        <v>82</v>
      </c>
      <c r="O46" s="58">
        <f t="shared" si="11"/>
        <v>4546.9115378303359</v>
      </c>
    </row>
    <row r="47" spans="1:15" ht="38.25" customHeight="1" x14ac:dyDescent="0.25">
      <c r="A47" s="32" t="s">
        <v>70</v>
      </c>
      <c r="B47" s="32" t="s">
        <v>40</v>
      </c>
      <c r="C47" s="78">
        <v>114.34796788525061</v>
      </c>
      <c r="D47" s="33" t="s">
        <v>21</v>
      </c>
      <c r="E47" s="137"/>
      <c r="F47" s="33" t="s">
        <v>21</v>
      </c>
      <c r="G47" s="34">
        <v>475</v>
      </c>
      <c r="H47" s="35" t="s">
        <v>83</v>
      </c>
      <c r="I47" s="44"/>
      <c r="J47" s="45"/>
      <c r="K47" s="36">
        <f t="shared" si="10"/>
        <v>54315.284745494042</v>
      </c>
      <c r="L47" s="37">
        <f t="shared" si="9"/>
        <v>0</v>
      </c>
      <c r="M47" s="35" t="s">
        <v>82</v>
      </c>
      <c r="O47" s="58">
        <f t="shared" si="11"/>
        <v>54315.284745494042</v>
      </c>
    </row>
    <row r="48" spans="1:15" ht="38.25" customHeight="1" x14ac:dyDescent="0.25">
      <c r="A48" s="32" t="s">
        <v>71</v>
      </c>
      <c r="B48" s="32" t="s">
        <v>41</v>
      </c>
      <c r="C48" s="78">
        <v>361.84870601348399</v>
      </c>
      <c r="D48" s="33" t="s">
        <v>21</v>
      </c>
      <c r="E48" s="137"/>
      <c r="F48" s="33" t="s">
        <v>21</v>
      </c>
      <c r="G48" s="34">
        <v>17</v>
      </c>
      <c r="H48" s="35" t="s">
        <v>83</v>
      </c>
      <c r="I48" s="44"/>
      <c r="J48" s="45"/>
      <c r="K48" s="36">
        <f t="shared" si="10"/>
        <v>6151.4280022292278</v>
      </c>
      <c r="L48" s="37">
        <f t="shared" si="9"/>
        <v>0</v>
      </c>
      <c r="M48" s="35" t="s">
        <v>82</v>
      </c>
      <c r="O48" s="58">
        <f t="shared" si="11"/>
        <v>6151.4280022292278</v>
      </c>
    </row>
    <row r="49" spans="1:16" ht="38.25" customHeight="1" x14ac:dyDescent="0.25">
      <c r="A49" s="32" t="s">
        <v>72</v>
      </c>
      <c r="B49" s="32" t="s">
        <v>42</v>
      </c>
      <c r="C49" s="78">
        <v>1682.9375013280378</v>
      </c>
      <c r="D49" s="33" t="s">
        <v>21</v>
      </c>
      <c r="E49" s="137"/>
      <c r="F49" s="33" t="s">
        <v>21</v>
      </c>
      <c r="G49" s="34">
        <v>1</v>
      </c>
      <c r="H49" s="35" t="s">
        <v>83</v>
      </c>
      <c r="I49" s="44"/>
      <c r="J49" s="45"/>
      <c r="K49" s="36">
        <f t="shared" si="10"/>
        <v>1682.9375013280378</v>
      </c>
      <c r="L49" s="37">
        <f t="shared" si="9"/>
        <v>0</v>
      </c>
      <c r="M49" s="35" t="s">
        <v>82</v>
      </c>
      <c r="O49" s="58">
        <f t="shared" si="11"/>
        <v>1682.9375013280378</v>
      </c>
    </row>
    <row r="50" spans="1:16" ht="38.25" customHeight="1" x14ac:dyDescent="0.25">
      <c r="A50" s="32" t="s">
        <v>73</v>
      </c>
      <c r="B50" s="32" t="s">
        <v>43</v>
      </c>
      <c r="C50" s="78">
        <v>411.55351740672677</v>
      </c>
      <c r="D50" s="33" t="s">
        <v>21</v>
      </c>
      <c r="E50" s="137"/>
      <c r="F50" s="33" t="s">
        <v>21</v>
      </c>
      <c r="G50" s="34">
        <v>93</v>
      </c>
      <c r="H50" s="35" t="s">
        <v>83</v>
      </c>
      <c r="I50" s="44"/>
      <c r="J50" s="45"/>
      <c r="K50" s="36">
        <f t="shared" si="10"/>
        <v>38274.477118825591</v>
      </c>
      <c r="L50" s="37"/>
      <c r="M50" s="35" t="s">
        <v>82</v>
      </c>
      <c r="O50" s="58">
        <f t="shared" si="11"/>
        <v>38274.477118825591</v>
      </c>
    </row>
    <row r="51" spans="1:16" ht="38.25" customHeight="1" x14ac:dyDescent="0.25">
      <c r="A51" s="32" t="s">
        <v>74</v>
      </c>
      <c r="B51" s="32" t="s">
        <v>44</v>
      </c>
      <c r="C51" s="78">
        <v>31.227049076514604</v>
      </c>
      <c r="D51" s="33" t="s">
        <v>21</v>
      </c>
      <c r="E51" s="137"/>
      <c r="F51" s="33" t="s">
        <v>21</v>
      </c>
      <c r="G51" s="34">
        <v>500</v>
      </c>
      <c r="H51" s="35" t="s">
        <v>83</v>
      </c>
      <c r="I51" s="44"/>
      <c r="J51" s="45"/>
      <c r="K51" s="36">
        <f t="shared" si="10"/>
        <v>15613.524538257301</v>
      </c>
      <c r="L51" s="37">
        <f>E51*G51</f>
        <v>0</v>
      </c>
      <c r="M51" s="35" t="s">
        <v>82</v>
      </c>
      <c r="O51" s="58">
        <f t="shared" si="11"/>
        <v>15613.524538257301</v>
      </c>
    </row>
    <row r="52" spans="1:16" ht="38.25" customHeight="1" x14ac:dyDescent="0.25">
      <c r="A52" s="38" t="s">
        <v>96</v>
      </c>
      <c r="B52" s="38" t="s">
        <v>99</v>
      </c>
      <c r="C52" s="39"/>
      <c r="D52" s="40"/>
      <c r="E52" s="69"/>
      <c r="F52" s="40"/>
      <c r="G52" s="41"/>
      <c r="H52" s="42"/>
      <c r="I52" s="41"/>
      <c r="J52" s="42"/>
      <c r="K52" s="17"/>
      <c r="L52" s="43">
        <f>E52*G52</f>
        <v>0</v>
      </c>
      <c r="M52" s="42"/>
    </row>
    <row r="53" spans="1:16" ht="38.25" customHeight="1" x14ac:dyDescent="0.25">
      <c r="A53" s="32" t="s">
        <v>97</v>
      </c>
      <c r="B53" s="32" t="s">
        <v>80</v>
      </c>
      <c r="C53" s="78">
        <v>66768.119526270457</v>
      </c>
      <c r="D53" s="33" t="s">
        <v>81</v>
      </c>
      <c r="E53" s="137"/>
      <c r="F53" s="33" t="s">
        <v>81</v>
      </c>
      <c r="G53" s="34">
        <v>17</v>
      </c>
      <c r="H53" s="35" t="s">
        <v>81</v>
      </c>
      <c r="I53" s="44"/>
      <c r="J53" s="45"/>
      <c r="K53" s="36">
        <f>C53*G53</f>
        <v>1135058.0319465979</v>
      </c>
      <c r="L53" s="37">
        <f>E53*G53</f>
        <v>0</v>
      </c>
      <c r="M53" s="35" t="s">
        <v>82</v>
      </c>
      <c r="O53" s="58">
        <f t="shared" ref="O53:O54" si="12">C53*G53</f>
        <v>1135058.0319465979</v>
      </c>
    </row>
    <row r="54" spans="1:16" ht="38.25" customHeight="1" x14ac:dyDescent="0.25">
      <c r="A54" s="32" t="s">
        <v>98</v>
      </c>
      <c r="B54" s="32" t="s">
        <v>106</v>
      </c>
      <c r="C54" s="78">
        <v>107787.58410852712</v>
      </c>
      <c r="D54" s="33" t="s">
        <v>81</v>
      </c>
      <c r="E54" s="137"/>
      <c r="F54" s="33" t="s">
        <v>81</v>
      </c>
      <c r="G54" s="34">
        <v>0</v>
      </c>
      <c r="H54" s="35" t="s">
        <v>81</v>
      </c>
      <c r="I54" s="44"/>
      <c r="J54" s="45"/>
      <c r="K54" s="36">
        <f>C54*G54</f>
        <v>0</v>
      </c>
      <c r="L54" s="37">
        <f t="shared" ref="L54" si="13">C54*G54</f>
        <v>0</v>
      </c>
      <c r="M54" s="35" t="s">
        <v>82</v>
      </c>
      <c r="O54" s="58">
        <f t="shared" si="12"/>
        <v>0</v>
      </c>
    </row>
    <row r="55" spans="1:16" s="31" customFormat="1" ht="17.25" customHeight="1" x14ac:dyDescent="0.25">
      <c r="A55" s="141"/>
      <c r="B55" s="141"/>
      <c r="C55" s="142"/>
      <c r="D55" s="101"/>
      <c r="E55" s="142"/>
      <c r="F55" s="143"/>
      <c r="G55" s="144"/>
      <c r="H55" s="145"/>
      <c r="I55" s="146"/>
      <c r="J55" s="146"/>
      <c r="K55" s="146"/>
      <c r="L55" s="146"/>
      <c r="M55" s="145"/>
      <c r="N55" s="71"/>
      <c r="O55" s="123"/>
      <c r="P55" s="71"/>
    </row>
    <row r="56" spans="1:16" s="31" customFormat="1" ht="36.75" customHeight="1" x14ac:dyDescent="0.25">
      <c r="A56" s="65"/>
      <c r="B56" s="65"/>
      <c r="C56" s="66"/>
      <c r="D56" s="63"/>
      <c r="E56" s="66"/>
      <c r="L56" s="60"/>
      <c r="O56" s="60"/>
    </row>
    <row r="57" spans="1:16" x14ac:dyDescent="0.25">
      <c r="B57" s="46" t="s">
        <v>93</v>
      </c>
    </row>
    <row r="58" spans="1:16" ht="36.75" customHeight="1" x14ac:dyDescent="0.25">
      <c r="C58" s="2"/>
      <c r="E58" s="2"/>
      <c r="F58" s="2"/>
      <c r="G58" s="2"/>
      <c r="H58" s="2"/>
      <c r="I58" s="2"/>
      <c r="J58" s="47" t="s">
        <v>112</v>
      </c>
      <c r="K58" s="2"/>
      <c r="L58" s="37">
        <f>SUM(O9:O54)</f>
        <v>11256143.755650334</v>
      </c>
      <c r="M58" s="35" t="s">
        <v>82</v>
      </c>
    </row>
    <row r="59" spans="1:16" x14ac:dyDescent="0.25">
      <c r="J59" s="14"/>
      <c r="K59" s="2"/>
    </row>
    <row r="60" spans="1:16" ht="36.75" customHeight="1" x14ac:dyDescent="0.25">
      <c r="C60" s="2"/>
      <c r="E60" s="2"/>
      <c r="F60" s="2"/>
      <c r="G60" s="2"/>
      <c r="H60" s="2"/>
      <c r="I60" s="2"/>
      <c r="J60" s="47" t="s">
        <v>113</v>
      </c>
      <c r="K60" s="2"/>
      <c r="L60" s="37">
        <f>SUM(L9:L54)</f>
        <v>0</v>
      </c>
      <c r="M60" s="35" t="s">
        <v>82</v>
      </c>
    </row>
    <row r="61" spans="1:16" ht="15.75" x14ac:dyDescent="0.25">
      <c r="N61" s="55"/>
    </row>
    <row r="62" spans="1:16" ht="36.75" customHeight="1" x14ac:dyDescent="0.25">
      <c r="A62" s="74"/>
      <c r="C62" s="2"/>
      <c r="E62" s="2"/>
      <c r="F62" s="2"/>
      <c r="G62" s="2"/>
      <c r="H62" s="2"/>
      <c r="I62" s="2"/>
      <c r="J62" s="47" t="s">
        <v>114</v>
      </c>
      <c r="K62" s="2"/>
      <c r="L62" s="37">
        <f>(1-L60/L58)*100</f>
        <v>100</v>
      </c>
      <c r="M62" s="35" t="s">
        <v>91</v>
      </c>
      <c r="N62" s="67" t="s">
        <v>119</v>
      </c>
    </row>
    <row r="63" spans="1:16" ht="15.75" x14ac:dyDescent="0.25">
      <c r="N63" s="55"/>
    </row>
    <row r="64" spans="1:16" s="5" customFormat="1" ht="60" customHeight="1" x14ac:dyDescent="0.25">
      <c r="A64" s="74"/>
      <c r="B64" s="178" t="s">
        <v>118</v>
      </c>
      <c r="C64" s="178"/>
      <c r="D64" s="178"/>
      <c r="E64" s="178"/>
      <c r="F64" s="178"/>
      <c r="G64" s="178"/>
      <c r="H64" s="178"/>
      <c r="I64" s="178"/>
      <c r="J64" s="7"/>
      <c r="K64" s="8"/>
      <c r="L64" s="68"/>
      <c r="M64" s="35" t="s">
        <v>91</v>
      </c>
      <c r="N64" s="67" t="s">
        <v>120</v>
      </c>
      <c r="O64" s="59"/>
    </row>
    <row r="65" spans="1:14" ht="15.75" x14ac:dyDescent="0.25">
      <c r="A65" s="75"/>
      <c r="B65" s="48"/>
      <c r="N65" s="55"/>
    </row>
    <row r="66" spans="1:14" ht="15.75" x14ac:dyDescent="0.25">
      <c r="A66" s="75"/>
    </row>
    <row r="67" spans="1:14" ht="15.75" x14ac:dyDescent="0.25">
      <c r="A67" s="75"/>
      <c r="L67" s="72"/>
    </row>
  </sheetData>
  <mergeCells count="11">
    <mergeCell ref="A1:M1"/>
    <mergeCell ref="C5:D5"/>
    <mergeCell ref="E5:F5"/>
    <mergeCell ref="G5:H5"/>
    <mergeCell ref="I5:J5"/>
    <mergeCell ref="L5:M5"/>
    <mergeCell ref="C6:D6"/>
    <mergeCell ref="E6:F6"/>
    <mergeCell ref="G6:H6"/>
    <mergeCell ref="I6:J6"/>
    <mergeCell ref="B64:I64"/>
  </mergeCells>
  <printOptions horizontalCentered="1"/>
  <pageMargins left="0.70866141732283472" right="0.70866141732283472" top="1.1417322834645669" bottom="0.74803149606299213" header="0.31496062992125984" footer="0.31496062992125984"/>
  <pageSetup paperSize="9" scale="31" orientation="portrait" r:id="rId1"/>
  <headerFooter>
    <oddHeader>&amp;R&amp;"Arial,Grassetto Corsivo"&amp;14Allegato 8 - Modello offerta economica</oddHeader>
    <oddFooter>&amp;L&amp;F&amp;RPag. 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5"/>
  <sheetViews>
    <sheetView view="pageLayout" topLeftCell="A43" zoomScale="60" zoomScaleNormal="100" zoomScalePageLayoutView="60" workbookViewId="0">
      <selection activeCell="A62" sqref="A62"/>
    </sheetView>
  </sheetViews>
  <sheetFormatPr defaultRowHeight="15" x14ac:dyDescent="0.25"/>
  <cols>
    <col min="1" max="1" width="6.28515625" style="2" customWidth="1"/>
    <col min="2" max="2" width="43.7109375" style="2" customWidth="1"/>
    <col min="3" max="3" width="18" style="10" customWidth="1"/>
    <col min="4" max="4" width="10.7109375" style="11" customWidth="1"/>
    <col min="5" max="5" width="18" style="10" customWidth="1"/>
    <col min="6" max="6" width="10.7109375" style="11" customWidth="1"/>
    <col min="7" max="7" width="18.28515625" style="12" customWidth="1"/>
    <col min="8" max="8" width="5.85546875" style="13" customWidth="1"/>
    <col min="9" max="9" width="18.42578125" style="12" customWidth="1"/>
    <col min="10" max="10" width="5.85546875" style="13" customWidth="1"/>
    <col min="11" max="11" width="27.140625" style="14" hidden="1" customWidth="1"/>
    <col min="12" max="12" width="24" style="15" customWidth="1"/>
    <col min="13" max="13" width="5.85546875" style="13" customWidth="1"/>
    <col min="14" max="14" width="27.7109375" style="2" customWidth="1"/>
    <col min="15" max="15" width="21" style="58" hidden="1" customWidth="1"/>
    <col min="16" max="16384" width="9.140625" style="2"/>
  </cols>
  <sheetData>
    <row r="1" spans="1:15" ht="53.25" customHeight="1" x14ac:dyDescent="0.25">
      <c r="A1" s="177" t="s">
        <v>124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</row>
    <row r="2" spans="1:15" ht="12.75" customHeight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3"/>
      <c r="L2" s="4"/>
      <c r="M2" s="56"/>
    </row>
    <row r="3" spans="1:15" s="5" customFormat="1" ht="18" x14ac:dyDescent="0.25">
      <c r="A3" s="5">
        <v>1</v>
      </c>
      <c r="B3" s="5" t="s">
        <v>90</v>
      </c>
      <c r="C3" s="6"/>
      <c r="D3" s="6"/>
      <c r="E3" s="6"/>
      <c r="F3" s="6"/>
      <c r="G3" s="7"/>
      <c r="H3" s="7"/>
      <c r="I3" s="7"/>
      <c r="J3" s="7"/>
      <c r="K3" s="8"/>
      <c r="L3" s="9"/>
      <c r="M3" s="7"/>
      <c r="O3" s="59"/>
    </row>
    <row r="4" spans="1:15" ht="15.75" thickBot="1" x14ac:dyDescent="0.3"/>
    <row r="5" spans="1:15" ht="38.25" customHeight="1" thickBot="1" x14ac:dyDescent="0.3">
      <c r="A5" s="16">
        <v>1</v>
      </c>
      <c r="B5" s="76">
        <v>2</v>
      </c>
      <c r="C5" s="172">
        <v>3</v>
      </c>
      <c r="D5" s="173"/>
      <c r="E5" s="172">
        <v>4</v>
      </c>
      <c r="F5" s="173"/>
      <c r="G5" s="174">
        <v>5</v>
      </c>
      <c r="H5" s="175"/>
      <c r="I5" s="174">
        <v>6</v>
      </c>
      <c r="J5" s="175"/>
      <c r="K5" s="17"/>
      <c r="L5" s="174">
        <v>7</v>
      </c>
      <c r="M5" s="175"/>
      <c r="N5" s="53">
        <v>8</v>
      </c>
    </row>
    <row r="6" spans="1:15" ht="38.25" customHeight="1" thickBot="1" x14ac:dyDescent="0.3">
      <c r="A6" s="16" t="s">
        <v>46</v>
      </c>
      <c r="B6" s="76" t="s">
        <v>45</v>
      </c>
      <c r="C6" s="172" t="s">
        <v>92</v>
      </c>
      <c r="D6" s="173"/>
      <c r="E6" s="172" t="s">
        <v>94</v>
      </c>
      <c r="F6" s="173"/>
      <c r="G6" s="174" t="s">
        <v>75</v>
      </c>
      <c r="H6" s="175"/>
      <c r="I6" s="174" t="s">
        <v>75</v>
      </c>
      <c r="J6" s="175"/>
      <c r="K6" s="17" t="s">
        <v>95</v>
      </c>
      <c r="L6" s="18" t="s">
        <v>76</v>
      </c>
      <c r="M6" s="19"/>
      <c r="N6" s="54" t="s">
        <v>109</v>
      </c>
    </row>
    <row r="7" spans="1:15" ht="8.25" customHeight="1" x14ac:dyDescent="0.25">
      <c r="A7" s="20"/>
      <c r="B7" s="20"/>
      <c r="C7" s="20"/>
      <c r="D7" s="21"/>
      <c r="E7" s="20"/>
      <c r="F7" s="21"/>
      <c r="G7" s="22"/>
      <c r="H7" s="23"/>
      <c r="I7" s="22"/>
      <c r="J7" s="23"/>
      <c r="K7" s="17"/>
      <c r="L7" s="24"/>
      <c r="M7" s="23"/>
    </row>
    <row r="8" spans="1:15" s="31" customFormat="1" ht="38.25" customHeight="1" x14ac:dyDescent="0.25">
      <c r="A8" s="117" t="s">
        <v>0</v>
      </c>
      <c r="B8" s="117" t="s">
        <v>1</v>
      </c>
      <c r="C8" s="118"/>
      <c r="D8" s="119"/>
      <c r="E8" s="118"/>
      <c r="F8" s="27"/>
      <c r="G8" s="28"/>
      <c r="H8" s="29"/>
      <c r="I8" s="28"/>
      <c r="J8" s="29"/>
      <c r="K8" s="17"/>
      <c r="L8" s="30"/>
      <c r="M8" s="29"/>
      <c r="O8" s="60"/>
    </row>
    <row r="9" spans="1:15" ht="38.25" customHeight="1" x14ac:dyDescent="0.25">
      <c r="A9" s="32" t="s">
        <v>47</v>
      </c>
      <c r="B9" s="32" t="s">
        <v>2</v>
      </c>
      <c r="C9" s="64">
        <v>1.0772722457596435E-3</v>
      </c>
      <c r="D9" s="33" t="s">
        <v>85</v>
      </c>
      <c r="E9" s="126"/>
      <c r="F9" s="33" t="s">
        <v>85</v>
      </c>
      <c r="G9" s="34">
        <v>1121342</v>
      </c>
      <c r="H9" s="35" t="s">
        <v>88</v>
      </c>
      <c r="I9" s="34">
        <v>2371</v>
      </c>
      <c r="J9" s="35" t="s">
        <v>77</v>
      </c>
      <c r="K9" s="36">
        <f>C9*G9*I9</f>
        <v>2864145.7472275309</v>
      </c>
      <c r="L9" s="37">
        <f>E9*G9*I9</f>
        <v>0</v>
      </c>
      <c r="M9" s="35" t="s">
        <v>82</v>
      </c>
      <c r="O9" s="58">
        <f>C9*G9*I9</f>
        <v>2864145.7472275309</v>
      </c>
    </row>
    <row r="10" spans="1:15" ht="38.25" customHeight="1" x14ac:dyDescent="0.25">
      <c r="A10" s="32" t="s">
        <v>48</v>
      </c>
      <c r="B10" s="32" t="s">
        <v>3</v>
      </c>
      <c r="C10" s="64">
        <v>2.6533799156641469E-3</v>
      </c>
      <c r="D10" s="33" t="s">
        <v>85</v>
      </c>
      <c r="E10" s="126"/>
      <c r="F10" s="33" t="s">
        <v>85</v>
      </c>
      <c r="G10" s="34">
        <v>663879</v>
      </c>
      <c r="H10" s="35" t="s">
        <v>88</v>
      </c>
      <c r="I10" s="34">
        <v>2371</v>
      </c>
      <c r="J10" s="35" t="s">
        <v>77</v>
      </c>
      <c r="K10" s="36">
        <f>C10*G10*I10</f>
        <v>4176571.5191289708</v>
      </c>
      <c r="L10" s="37">
        <f>E10*G10*I10</f>
        <v>0</v>
      </c>
      <c r="M10" s="35" t="s">
        <v>82</v>
      </c>
      <c r="O10" s="58">
        <f>C10*G10*I10</f>
        <v>4176571.5191289708</v>
      </c>
    </row>
    <row r="11" spans="1:15" s="31" customFormat="1" ht="38.25" customHeight="1" x14ac:dyDescent="0.25">
      <c r="A11" s="38" t="s">
        <v>4</v>
      </c>
      <c r="B11" s="38" t="s">
        <v>5</v>
      </c>
      <c r="C11" s="39"/>
      <c r="D11" s="40"/>
      <c r="E11" s="69"/>
      <c r="F11" s="40"/>
      <c r="G11" s="41"/>
      <c r="H11" s="42"/>
      <c r="I11" s="41"/>
      <c r="J11" s="42"/>
      <c r="K11" s="17"/>
      <c r="L11" s="43"/>
      <c r="M11" s="42"/>
      <c r="O11" s="60"/>
    </row>
    <row r="12" spans="1:15" ht="38.25" customHeight="1" x14ac:dyDescent="0.25">
      <c r="A12" s="32" t="s">
        <v>49</v>
      </c>
      <c r="B12" s="32" t="s">
        <v>6</v>
      </c>
      <c r="C12" s="64">
        <v>1.3322304810368274E-2</v>
      </c>
      <c r="D12" s="33" t="s">
        <v>86</v>
      </c>
      <c r="E12" s="126"/>
      <c r="F12" s="33" t="s">
        <v>86</v>
      </c>
      <c r="G12" s="34">
        <v>331213</v>
      </c>
      <c r="H12" s="35" t="s">
        <v>88</v>
      </c>
      <c r="I12" s="34">
        <v>130</v>
      </c>
      <c r="J12" s="35" t="s">
        <v>84</v>
      </c>
      <c r="K12" s="36">
        <f>C12*G12*I12</f>
        <v>573627.6706103459</v>
      </c>
      <c r="L12" s="37">
        <f>E12*G12*I12</f>
        <v>0</v>
      </c>
      <c r="M12" s="35" t="s">
        <v>82</v>
      </c>
      <c r="O12" s="58">
        <f t="shared" ref="O12:O13" si="0">C12*G12*I12</f>
        <v>573627.6706103459</v>
      </c>
    </row>
    <row r="13" spans="1:15" ht="38.25" customHeight="1" x14ac:dyDescent="0.25">
      <c r="A13" s="32" t="s">
        <v>50</v>
      </c>
      <c r="B13" s="32" t="s">
        <v>7</v>
      </c>
      <c r="C13" s="64">
        <v>2.5405787641850981E-2</v>
      </c>
      <c r="D13" s="33" t="s">
        <v>86</v>
      </c>
      <c r="E13" s="126"/>
      <c r="F13" s="33" t="s">
        <v>86</v>
      </c>
      <c r="G13" s="34">
        <v>646518</v>
      </c>
      <c r="H13" s="35" t="s">
        <v>88</v>
      </c>
      <c r="I13" s="34">
        <v>150</v>
      </c>
      <c r="J13" s="35" t="s">
        <v>84</v>
      </c>
      <c r="K13" s="36">
        <f>C13*G13*I13</f>
        <v>2463794.8521951321</v>
      </c>
      <c r="L13" s="37">
        <f>E13*G13*I13</f>
        <v>0</v>
      </c>
      <c r="M13" s="35" t="s">
        <v>82</v>
      </c>
      <c r="O13" s="58">
        <f t="shared" si="0"/>
        <v>2463794.8521951321</v>
      </c>
    </row>
    <row r="14" spans="1:15" s="31" customFormat="1" ht="38.25" customHeight="1" x14ac:dyDescent="0.25">
      <c r="A14" s="38" t="s">
        <v>8</v>
      </c>
      <c r="B14" s="38" t="s">
        <v>9</v>
      </c>
      <c r="C14" s="39"/>
      <c r="D14" s="40"/>
      <c r="E14" s="69"/>
      <c r="F14" s="40"/>
      <c r="G14" s="41"/>
      <c r="H14" s="42"/>
      <c r="I14" s="41"/>
      <c r="J14" s="42"/>
      <c r="K14" s="17"/>
      <c r="L14" s="43"/>
      <c r="M14" s="42"/>
      <c r="O14" s="60"/>
    </row>
    <row r="15" spans="1:15" ht="38.25" customHeight="1" x14ac:dyDescent="0.25">
      <c r="A15" s="32" t="s">
        <v>51</v>
      </c>
      <c r="B15" s="32" t="s">
        <v>10</v>
      </c>
      <c r="C15" s="78">
        <v>0.99658131218700008</v>
      </c>
      <c r="D15" s="33" t="s">
        <v>87</v>
      </c>
      <c r="E15" s="137"/>
      <c r="F15" s="33" t="s">
        <v>87</v>
      </c>
      <c r="G15" s="34">
        <v>346942</v>
      </c>
      <c r="H15" s="35" t="s">
        <v>89</v>
      </c>
      <c r="I15" s="44"/>
      <c r="J15" s="45"/>
      <c r="K15" s="36">
        <f>C15*G15</f>
        <v>345755.9136127822</v>
      </c>
      <c r="L15" s="37">
        <f>E15*G15</f>
        <v>0</v>
      </c>
      <c r="M15" s="35" t="s">
        <v>82</v>
      </c>
      <c r="O15" s="58">
        <f>C15*G15</f>
        <v>345755.9136127822</v>
      </c>
    </row>
    <row r="16" spans="1:15" s="31" customFormat="1" ht="38.25" customHeight="1" x14ac:dyDescent="0.25">
      <c r="A16" s="38" t="s">
        <v>11</v>
      </c>
      <c r="B16" s="38" t="s">
        <v>12</v>
      </c>
      <c r="C16" s="39"/>
      <c r="D16" s="40"/>
      <c r="E16" s="69"/>
      <c r="F16" s="40"/>
      <c r="G16" s="41"/>
      <c r="H16" s="42"/>
      <c r="I16" s="41"/>
      <c r="J16" s="42"/>
      <c r="K16" s="17"/>
      <c r="L16" s="43"/>
      <c r="M16" s="42"/>
      <c r="O16" s="60"/>
    </row>
    <row r="17" spans="1:15" ht="45" x14ac:dyDescent="0.25">
      <c r="A17" s="32" t="s">
        <v>52</v>
      </c>
      <c r="B17" s="32" t="s">
        <v>79</v>
      </c>
      <c r="C17" s="77">
        <v>3.0610124513595922</v>
      </c>
      <c r="D17" s="33" t="s">
        <v>87</v>
      </c>
      <c r="E17" s="140"/>
      <c r="F17" s="33" t="s">
        <v>87</v>
      </c>
      <c r="G17" s="34">
        <v>330350</v>
      </c>
      <c r="H17" s="35" t="s">
        <v>89</v>
      </c>
      <c r="I17" s="44"/>
      <c r="J17" s="45"/>
      <c r="K17" s="36">
        <f>C17*G17</f>
        <v>1011205.4633066413</v>
      </c>
      <c r="L17" s="37">
        <f>E17*G17</f>
        <v>0</v>
      </c>
      <c r="M17" s="35" t="s">
        <v>82</v>
      </c>
      <c r="O17" s="58">
        <f t="shared" ref="O17:O19" si="1">C17*G17</f>
        <v>1011205.4633066413</v>
      </c>
    </row>
    <row r="18" spans="1:15" ht="38.25" customHeight="1" x14ac:dyDescent="0.25">
      <c r="A18" s="32" t="s">
        <v>105</v>
      </c>
      <c r="B18" s="32" t="s">
        <v>13</v>
      </c>
      <c r="C18" s="77">
        <v>0.29539100477784092</v>
      </c>
      <c r="D18" s="33" t="s">
        <v>87</v>
      </c>
      <c r="E18" s="140"/>
      <c r="F18" s="33" t="s">
        <v>87</v>
      </c>
      <c r="G18" s="34">
        <v>300728</v>
      </c>
      <c r="H18" s="35" t="s">
        <v>89</v>
      </c>
      <c r="I18" s="44"/>
      <c r="J18" s="45"/>
      <c r="K18" s="36">
        <f>C18*G18</f>
        <v>88832.34608483054</v>
      </c>
      <c r="L18" s="37">
        <f>E18*G18</f>
        <v>0</v>
      </c>
      <c r="M18" s="35" t="s">
        <v>82</v>
      </c>
      <c r="O18" s="58">
        <f t="shared" si="1"/>
        <v>88832.34608483054</v>
      </c>
    </row>
    <row r="19" spans="1:15" ht="38.25" customHeight="1" x14ac:dyDescent="0.25">
      <c r="A19" s="32" t="s">
        <v>117</v>
      </c>
      <c r="B19" s="32" t="s">
        <v>122</v>
      </c>
      <c r="C19" s="77">
        <v>150</v>
      </c>
      <c r="D19" s="33" t="s">
        <v>87</v>
      </c>
      <c r="E19" s="140"/>
      <c r="F19" s="33" t="s">
        <v>87</v>
      </c>
      <c r="G19" s="34">
        <v>120</v>
      </c>
      <c r="H19" s="35" t="s">
        <v>89</v>
      </c>
      <c r="I19" s="44"/>
      <c r="J19" s="45"/>
      <c r="K19" s="36">
        <f>C19*G19</f>
        <v>18000</v>
      </c>
      <c r="L19" s="37">
        <f>E19*G19</f>
        <v>0</v>
      </c>
      <c r="M19" s="35" t="s">
        <v>82</v>
      </c>
      <c r="O19" s="58">
        <f t="shared" si="1"/>
        <v>18000</v>
      </c>
    </row>
    <row r="20" spans="1:15" ht="38.25" customHeight="1" x14ac:dyDescent="0.25">
      <c r="A20" s="38" t="s">
        <v>14</v>
      </c>
      <c r="B20" s="38" t="s">
        <v>15</v>
      </c>
      <c r="C20" s="39"/>
      <c r="D20" s="40"/>
      <c r="E20" s="69"/>
      <c r="F20" s="40"/>
      <c r="G20" s="41"/>
      <c r="H20" s="42"/>
      <c r="I20" s="41"/>
      <c r="J20" s="42"/>
      <c r="K20" s="17"/>
      <c r="L20" s="43"/>
      <c r="M20" s="42"/>
    </row>
    <row r="21" spans="1:15" s="31" customFormat="1" ht="38.25" customHeight="1" x14ac:dyDescent="0.25">
      <c r="A21" s="32" t="s">
        <v>53</v>
      </c>
      <c r="B21" s="32" t="s">
        <v>107</v>
      </c>
      <c r="C21" s="78">
        <v>24.017975586371783</v>
      </c>
      <c r="D21" s="33" t="s">
        <v>87</v>
      </c>
      <c r="E21" s="137"/>
      <c r="F21" s="33" t="s">
        <v>87</v>
      </c>
      <c r="G21" s="34">
        <v>347361</v>
      </c>
      <c r="H21" s="35" t="s">
        <v>89</v>
      </c>
      <c r="I21" s="44"/>
      <c r="J21" s="45"/>
      <c r="K21" s="36">
        <f>C21*G21</f>
        <v>8342908.0176576888</v>
      </c>
      <c r="L21" s="37">
        <f>E21*G21</f>
        <v>0</v>
      </c>
      <c r="M21" s="35" t="s">
        <v>82</v>
      </c>
      <c r="O21" s="58">
        <f t="shared" ref="O21:O25" si="2">C21*G21</f>
        <v>8342908.0176576888</v>
      </c>
    </row>
    <row r="22" spans="1:15" s="31" customFormat="1" ht="38.25" customHeight="1" x14ac:dyDescent="0.25">
      <c r="A22" s="32" t="s">
        <v>54</v>
      </c>
      <c r="B22" s="32" t="s">
        <v>108</v>
      </c>
      <c r="C22" s="78">
        <v>11.185362524184205</v>
      </c>
      <c r="D22" s="33" t="s">
        <v>87</v>
      </c>
      <c r="E22" s="137"/>
      <c r="F22" s="33" t="s">
        <v>87</v>
      </c>
      <c r="G22" s="34">
        <v>180311</v>
      </c>
      <c r="H22" s="35" t="s">
        <v>89</v>
      </c>
      <c r="I22" s="44"/>
      <c r="J22" s="45"/>
      <c r="K22" s="36">
        <f>C22*G22</f>
        <v>2016843.9020981782</v>
      </c>
      <c r="L22" s="37">
        <f>E22*G22</f>
        <v>0</v>
      </c>
      <c r="M22" s="35" t="s">
        <v>82</v>
      </c>
      <c r="O22" s="58">
        <f t="shared" si="2"/>
        <v>2016843.9020981782</v>
      </c>
    </row>
    <row r="23" spans="1:15" ht="38.25" customHeight="1" x14ac:dyDescent="0.25">
      <c r="A23" s="32" t="s">
        <v>100</v>
      </c>
      <c r="B23" s="32" t="s">
        <v>16</v>
      </c>
      <c r="C23" s="78">
        <v>0.6110768124851228</v>
      </c>
      <c r="D23" s="33" t="s">
        <v>87</v>
      </c>
      <c r="E23" s="137"/>
      <c r="F23" s="33" t="s">
        <v>87</v>
      </c>
      <c r="G23" s="34">
        <v>300728</v>
      </c>
      <c r="H23" s="35" t="s">
        <v>89</v>
      </c>
      <c r="I23" s="44"/>
      <c r="J23" s="45"/>
      <c r="K23" s="36">
        <f>C23*G23</f>
        <v>183767.907665026</v>
      </c>
      <c r="L23" s="37">
        <f>E23*G23</f>
        <v>0</v>
      </c>
      <c r="M23" s="35" t="s">
        <v>82</v>
      </c>
      <c r="O23" s="58">
        <f t="shared" si="2"/>
        <v>183767.907665026</v>
      </c>
    </row>
    <row r="24" spans="1:15" s="31" customFormat="1" ht="38.25" customHeight="1" x14ac:dyDescent="0.25">
      <c r="A24" s="32" t="s">
        <v>101</v>
      </c>
      <c r="B24" s="32" t="s">
        <v>102</v>
      </c>
      <c r="C24" s="78">
        <v>1920.6131157811997</v>
      </c>
      <c r="D24" s="33" t="s">
        <v>21</v>
      </c>
      <c r="E24" s="137"/>
      <c r="F24" s="33" t="s">
        <v>21</v>
      </c>
      <c r="G24" s="34">
        <v>96</v>
      </c>
      <c r="H24" s="35" t="s">
        <v>83</v>
      </c>
      <c r="I24" s="44"/>
      <c r="J24" s="45"/>
      <c r="K24" s="36">
        <f>C24*G24</f>
        <v>184378.85911499517</v>
      </c>
      <c r="L24" s="37">
        <f>E24*G24</f>
        <v>0</v>
      </c>
      <c r="M24" s="35" t="s">
        <v>82</v>
      </c>
      <c r="O24" s="58">
        <f t="shared" si="2"/>
        <v>184378.85911499517</v>
      </c>
    </row>
    <row r="25" spans="1:15" ht="38.25" customHeight="1" x14ac:dyDescent="0.25">
      <c r="A25" s="32" t="s">
        <v>104</v>
      </c>
      <c r="B25" s="32" t="s">
        <v>103</v>
      </c>
      <c r="C25" s="78">
        <v>2.5642171822259212</v>
      </c>
      <c r="D25" s="33" t="s">
        <v>21</v>
      </c>
      <c r="E25" s="137"/>
      <c r="F25" s="33" t="s">
        <v>21</v>
      </c>
      <c r="G25" s="34">
        <v>18</v>
      </c>
      <c r="H25" s="35" t="s">
        <v>83</v>
      </c>
      <c r="I25" s="44"/>
      <c r="J25" s="45"/>
      <c r="K25" s="36">
        <f>C25*G25</f>
        <v>46.155909280066581</v>
      </c>
      <c r="L25" s="37">
        <f>E25*G25</f>
        <v>0</v>
      </c>
      <c r="M25" s="35" t="s">
        <v>82</v>
      </c>
      <c r="O25" s="58">
        <f t="shared" si="2"/>
        <v>46.155909280066581</v>
      </c>
    </row>
    <row r="26" spans="1:15" ht="47.25" x14ac:dyDescent="0.25">
      <c r="A26" s="38" t="s">
        <v>17</v>
      </c>
      <c r="B26" s="38" t="s">
        <v>18</v>
      </c>
      <c r="C26" s="39"/>
      <c r="D26" s="40"/>
      <c r="E26" s="69"/>
      <c r="F26" s="40"/>
      <c r="G26" s="41"/>
      <c r="H26" s="42"/>
      <c r="I26" s="41"/>
      <c r="J26" s="42"/>
      <c r="K26" s="17"/>
      <c r="L26" s="43"/>
      <c r="M26" s="42"/>
    </row>
    <row r="27" spans="1:15" s="31" customFormat="1" ht="38.25" customHeight="1" x14ac:dyDescent="0.25">
      <c r="A27" s="32" t="s">
        <v>55</v>
      </c>
      <c r="B27" s="32" t="s">
        <v>19</v>
      </c>
      <c r="C27" s="78">
        <v>1.4505808270340399</v>
      </c>
      <c r="D27" s="33" t="s">
        <v>87</v>
      </c>
      <c r="E27" s="137"/>
      <c r="F27" s="33" t="s">
        <v>87</v>
      </c>
      <c r="G27" s="34">
        <v>165273</v>
      </c>
      <c r="H27" s="35" t="s">
        <v>89</v>
      </c>
      <c r="I27" s="44"/>
      <c r="J27" s="45"/>
      <c r="K27" s="36">
        <f>C27*G27</f>
        <v>239741.84502639688</v>
      </c>
      <c r="L27" s="37">
        <f>E27*G27</f>
        <v>0</v>
      </c>
      <c r="M27" s="35" t="s">
        <v>82</v>
      </c>
      <c r="O27" s="58">
        <f t="shared" ref="O27:O28" si="3">C27*G27</f>
        <v>239741.84502639688</v>
      </c>
    </row>
    <row r="28" spans="1:15" ht="38.25" customHeight="1" x14ac:dyDescent="0.25">
      <c r="A28" s="32" t="s">
        <v>56</v>
      </c>
      <c r="B28" s="32" t="s">
        <v>20</v>
      </c>
      <c r="C28" s="78">
        <v>196.41391881978004</v>
      </c>
      <c r="D28" s="33" t="s">
        <v>21</v>
      </c>
      <c r="E28" s="137"/>
      <c r="F28" s="33" t="s">
        <v>21</v>
      </c>
      <c r="G28" s="34">
        <v>406</v>
      </c>
      <c r="H28" s="35" t="s">
        <v>83</v>
      </c>
      <c r="I28" s="44"/>
      <c r="J28" s="45"/>
      <c r="K28" s="36">
        <f>C28*G28</f>
        <v>79744.051040830702</v>
      </c>
      <c r="L28" s="37">
        <f>E28*G28</f>
        <v>0</v>
      </c>
      <c r="M28" s="35" t="s">
        <v>82</v>
      </c>
      <c r="O28" s="58">
        <f t="shared" si="3"/>
        <v>79744.051040830702</v>
      </c>
    </row>
    <row r="29" spans="1:15" ht="38.25" customHeight="1" x14ac:dyDescent="0.25">
      <c r="A29" s="38" t="s">
        <v>22</v>
      </c>
      <c r="B29" s="38" t="s">
        <v>23</v>
      </c>
      <c r="C29" s="39"/>
      <c r="D29" s="40"/>
      <c r="E29" s="69"/>
      <c r="F29" s="40"/>
      <c r="G29" s="41"/>
      <c r="H29" s="42"/>
      <c r="I29" s="41"/>
      <c r="J29" s="42"/>
      <c r="K29" s="17"/>
      <c r="L29" s="43"/>
      <c r="M29" s="42"/>
    </row>
    <row r="30" spans="1:15" ht="38.25" customHeight="1" x14ac:dyDescent="0.25">
      <c r="A30" s="32" t="s">
        <v>57</v>
      </c>
      <c r="B30" s="32" t="s">
        <v>78</v>
      </c>
      <c r="C30" s="78">
        <v>0.46946070402192563</v>
      </c>
      <c r="D30" s="33" t="s">
        <v>87</v>
      </c>
      <c r="E30" s="137"/>
      <c r="F30" s="33" t="s">
        <v>87</v>
      </c>
      <c r="G30" s="34">
        <v>347481</v>
      </c>
      <c r="H30" s="35" t="s">
        <v>89</v>
      </c>
      <c r="I30" s="44"/>
      <c r="J30" s="45"/>
      <c r="K30" s="36">
        <f>C30*G30</f>
        <v>163128.67489424275</v>
      </c>
      <c r="L30" s="37">
        <f>E30*G30</f>
        <v>0</v>
      </c>
      <c r="M30" s="35" t="s">
        <v>82</v>
      </c>
      <c r="O30" s="58">
        <f t="shared" ref="O30:O31" si="4">C30*G30</f>
        <v>163128.67489424275</v>
      </c>
    </row>
    <row r="31" spans="1:15" ht="38.25" customHeight="1" x14ac:dyDescent="0.25">
      <c r="A31" s="32" t="s">
        <v>58</v>
      </c>
      <c r="B31" s="32" t="s">
        <v>24</v>
      </c>
      <c r="C31" s="78">
        <v>5.6388032876341407</v>
      </c>
      <c r="D31" s="33" t="s">
        <v>87</v>
      </c>
      <c r="E31" s="137"/>
      <c r="F31" s="33" t="s">
        <v>87</v>
      </c>
      <c r="G31" s="34">
        <v>4215</v>
      </c>
      <c r="H31" s="35" t="s">
        <v>89</v>
      </c>
      <c r="I31" s="44"/>
      <c r="J31" s="45"/>
      <c r="K31" s="36">
        <f>C31*G31</f>
        <v>23767.555857377902</v>
      </c>
      <c r="L31" s="37">
        <f>E31*G31</f>
        <v>0</v>
      </c>
      <c r="M31" s="35" t="s">
        <v>82</v>
      </c>
      <c r="O31" s="58">
        <f t="shared" si="4"/>
        <v>23767.555857377902</v>
      </c>
    </row>
    <row r="32" spans="1:15" ht="47.25" x14ac:dyDescent="0.25">
      <c r="A32" s="38" t="s">
        <v>25</v>
      </c>
      <c r="B32" s="38" t="s">
        <v>26</v>
      </c>
      <c r="C32" s="39"/>
      <c r="D32" s="40"/>
      <c r="E32" s="69"/>
      <c r="F32" s="40"/>
      <c r="G32" s="41"/>
      <c r="H32" s="42"/>
      <c r="I32" s="41"/>
      <c r="J32" s="42"/>
      <c r="K32" s="17"/>
      <c r="L32" s="43"/>
      <c r="M32" s="42"/>
    </row>
    <row r="33" spans="1:15" s="31" customFormat="1" ht="38.25" customHeight="1" x14ac:dyDescent="0.25">
      <c r="A33" s="32" t="s">
        <v>59</v>
      </c>
      <c r="B33" s="32" t="s">
        <v>27</v>
      </c>
      <c r="C33" s="78">
        <v>851.68083968633869</v>
      </c>
      <c r="D33" s="33" t="s">
        <v>21</v>
      </c>
      <c r="E33" s="137"/>
      <c r="F33" s="33" t="s">
        <v>21</v>
      </c>
      <c r="G33" s="34">
        <v>124</v>
      </c>
      <c r="H33" s="35" t="s">
        <v>83</v>
      </c>
      <c r="I33" s="44"/>
      <c r="J33" s="45"/>
      <c r="K33" s="36">
        <f>C33*G33</f>
        <v>105608.424121106</v>
      </c>
      <c r="L33" s="37">
        <f>E33*G33</f>
        <v>0</v>
      </c>
      <c r="M33" s="35" t="s">
        <v>82</v>
      </c>
      <c r="O33" s="58">
        <f t="shared" ref="O33:O36" si="5">C33*G33</f>
        <v>105608.424121106</v>
      </c>
    </row>
    <row r="34" spans="1:15" ht="38.25" customHeight="1" x14ac:dyDescent="0.25">
      <c r="A34" s="32" t="s">
        <v>60</v>
      </c>
      <c r="B34" s="32" t="s">
        <v>28</v>
      </c>
      <c r="C34" s="78">
        <v>1237.055329294629</v>
      </c>
      <c r="D34" s="33" t="s">
        <v>21</v>
      </c>
      <c r="E34" s="137"/>
      <c r="F34" s="33" t="s">
        <v>21</v>
      </c>
      <c r="G34" s="34">
        <v>61</v>
      </c>
      <c r="H34" s="35" t="s">
        <v>83</v>
      </c>
      <c r="I34" s="44"/>
      <c r="J34" s="45"/>
      <c r="K34" s="36">
        <f>C34*G34</f>
        <v>75460.375086972374</v>
      </c>
      <c r="L34" s="37">
        <f>E34*G34</f>
        <v>0</v>
      </c>
      <c r="M34" s="35" t="s">
        <v>82</v>
      </c>
      <c r="O34" s="58">
        <f t="shared" si="5"/>
        <v>75460.375086972374</v>
      </c>
    </row>
    <row r="35" spans="1:15" ht="38.25" customHeight="1" x14ac:dyDescent="0.25">
      <c r="A35" s="32" t="s">
        <v>61</v>
      </c>
      <c r="B35" s="32" t="s">
        <v>29</v>
      </c>
      <c r="C35" s="78">
        <v>341.9994854602873</v>
      </c>
      <c r="D35" s="33" t="s">
        <v>21</v>
      </c>
      <c r="E35" s="137"/>
      <c r="F35" s="33" t="s">
        <v>21</v>
      </c>
      <c r="G35" s="34">
        <v>5</v>
      </c>
      <c r="H35" s="35" t="s">
        <v>83</v>
      </c>
      <c r="I35" s="44"/>
      <c r="J35" s="45"/>
      <c r="K35" s="36">
        <f>C35*G35</f>
        <v>1709.9974273014366</v>
      </c>
      <c r="L35" s="37">
        <f>E35*G35</f>
        <v>0</v>
      </c>
      <c r="M35" s="35" t="s">
        <v>82</v>
      </c>
      <c r="O35" s="58">
        <f t="shared" si="5"/>
        <v>1709.9974273014366</v>
      </c>
    </row>
    <row r="36" spans="1:15" ht="38.25" customHeight="1" x14ac:dyDescent="0.25">
      <c r="A36" s="32" t="s">
        <v>62</v>
      </c>
      <c r="B36" s="32" t="s">
        <v>30</v>
      </c>
      <c r="C36" s="78">
        <v>1091.7493291407866</v>
      </c>
      <c r="D36" s="33" t="s">
        <v>21</v>
      </c>
      <c r="E36" s="137"/>
      <c r="F36" s="33" t="s">
        <v>21</v>
      </c>
      <c r="G36" s="34">
        <v>3</v>
      </c>
      <c r="H36" s="35" t="s">
        <v>83</v>
      </c>
      <c r="I36" s="44"/>
      <c r="J36" s="45"/>
      <c r="K36" s="36">
        <f>C36*G36</f>
        <v>3275.24798742236</v>
      </c>
      <c r="L36" s="37">
        <f>E36*G36</f>
        <v>0</v>
      </c>
      <c r="M36" s="35" t="s">
        <v>82</v>
      </c>
      <c r="O36" s="58">
        <f t="shared" si="5"/>
        <v>3275.24798742236</v>
      </c>
    </row>
    <row r="37" spans="1:15" ht="38.25" customHeight="1" x14ac:dyDescent="0.25">
      <c r="A37" s="38" t="s">
        <v>31</v>
      </c>
      <c r="B37" s="38" t="s">
        <v>32</v>
      </c>
      <c r="C37" s="39"/>
      <c r="D37" s="40"/>
      <c r="E37" s="69"/>
      <c r="F37" s="40"/>
      <c r="G37" s="41"/>
      <c r="H37" s="42"/>
      <c r="I37" s="41"/>
      <c r="J37" s="42"/>
      <c r="K37" s="17"/>
      <c r="L37" s="43"/>
      <c r="M37" s="42"/>
    </row>
    <row r="38" spans="1:15" s="31" customFormat="1" ht="38.25" customHeight="1" x14ac:dyDescent="0.25">
      <c r="A38" s="32" t="s">
        <v>63</v>
      </c>
      <c r="B38" s="32" t="s">
        <v>33</v>
      </c>
      <c r="C38" s="78">
        <v>370.78428390801372</v>
      </c>
      <c r="D38" s="33" t="s">
        <v>21</v>
      </c>
      <c r="E38" s="137"/>
      <c r="F38" s="33" t="s">
        <v>21</v>
      </c>
      <c r="G38" s="34">
        <v>425</v>
      </c>
      <c r="H38" s="35" t="s">
        <v>83</v>
      </c>
      <c r="I38" s="44"/>
      <c r="J38" s="45"/>
      <c r="K38" s="36">
        <f t="shared" ref="K38:K49" si="6">C38*G38</f>
        <v>157583.32066090583</v>
      </c>
      <c r="L38" s="37">
        <f t="shared" ref="L38:L49" si="7">E38*G38</f>
        <v>0</v>
      </c>
      <c r="M38" s="35" t="s">
        <v>82</v>
      </c>
      <c r="O38" s="58">
        <f t="shared" ref="O38:O49" si="8">C38*G38</f>
        <v>157583.32066090583</v>
      </c>
    </row>
    <row r="39" spans="1:15" ht="38.25" customHeight="1" x14ac:dyDescent="0.25">
      <c r="A39" s="32" t="s">
        <v>64</v>
      </c>
      <c r="B39" s="32" t="s">
        <v>34</v>
      </c>
      <c r="C39" s="78">
        <v>0.44308650716676129</v>
      </c>
      <c r="D39" s="33" t="s">
        <v>87</v>
      </c>
      <c r="E39" s="137"/>
      <c r="F39" s="33" t="s">
        <v>87</v>
      </c>
      <c r="G39" s="34">
        <v>213343</v>
      </c>
      <c r="H39" s="35" t="s">
        <v>89</v>
      </c>
      <c r="I39" s="44"/>
      <c r="J39" s="45"/>
      <c r="K39" s="36">
        <f t="shared" si="6"/>
        <v>94529.404698478349</v>
      </c>
      <c r="L39" s="37">
        <f t="shared" si="7"/>
        <v>0</v>
      </c>
      <c r="M39" s="35" t="s">
        <v>82</v>
      </c>
      <c r="O39" s="58">
        <f t="shared" si="8"/>
        <v>94529.404698478349</v>
      </c>
    </row>
    <row r="40" spans="1:15" ht="38.25" customHeight="1" x14ac:dyDescent="0.25">
      <c r="A40" s="32" t="s">
        <v>65</v>
      </c>
      <c r="B40" s="32" t="s">
        <v>35</v>
      </c>
      <c r="C40" s="78">
        <v>0.6962787969763391</v>
      </c>
      <c r="D40" s="33" t="s">
        <v>87</v>
      </c>
      <c r="E40" s="137"/>
      <c r="F40" s="33" t="s">
        <v>87</v>
      </c>
      <c r="G40" s="34">
        <v>7463</v>
      </c>
      <c r="H40" s="35" t="s">
        <v>89</v>
      </c>
      <c r="I40" s="44"/>
      <c r="J40" s="45"/>
      <c r="K40" s="36">
        <f t="shared" si="6"/>
        <v>5196.3286618344191</v>
      </c>
      <c r="L40" s="37">
        <f t="shared" si="7"/>
        <v>0</v>
      </c>
      <c r="M40" s="35" t="s">
        <v>82</v>
      </c>
      <c r="O40" s="58">
        <f t="shared" si="8"/>
        <v>5196.3286618344191</v>
      </c>
    </row>
    <row r="41" spans="1:15" ht="38.25" customHeight="1" x14ac:dyDescent="0.25">
      <c r="A41" s="32" t="s">
        <v>66</v>
      </c>
      <c r="B41" s="32" t="s">
        <v>36</v>
      </c>
      <c r="C41" s="78">
        <v>158.69354247752398</v>
      </c>
      <c r="D41" s="33" t="s">
        <v>21</v>
      </c>
      <c r="E41" s="137"/>
      <c r="F41" s="33" t="s">
        <v>21</v>
      </c>
      <c r="G41" s="34">
        <v>2</v>
      </c>
      <c r="H41" s="35" t="s">
        <v>83</v>
      </c>
      <c r="I41" s="44"/>
      <c r="J41" s="45"/>
      <c r="K41" s="36">
        <f t="shared" si="6"/>
        <v>317.38708495504795</v>
      </c>
      <c r="L41" s="37">
        <f t="shared" si="7"/>
        <v>0</v>
      </c>
      <c r="M41" s="35" t="s">
        <v>82</v>
      </c>
      <c r="O41" s="58">
        <f t="shared" si="8"/>
        <v>317.38708495504795</v>
      </c>
    </row>
    <row r="42" spans="1:15" ht="38.25" customHeight="1" x14ac:dyDescent="0.25">
      <c r="A42" s="32" t="s">
        <v>67</v>
      </c>
      <c r="B42" s="32" t="s">
        <v>37</v>
      </c>
      <c r="C42" s="78">
        <v>5744.7273370438525</v>
      </c>
      <c r="D42" s="33" t="s">
        <v>21</v>
      </c>
      <c r="E42" s="137"/>
      <c r="F42" s="33" t="s">
        <v>21</v>
      </c>
      <c r="G42" s="34">
        <v>3</v>
      </c>
      <c r="H42" s="35" t="s">
        <v>83</v>
      </c>
      <c r="I42" s="44"/>
      <c r="J42" s="45"/>
      <c r="K42" s="36">
        <f t="shared" si="6"/>
        <v>17234.182011131557</v>
      </c>
      <c r="L42" s="37">
        <f t="shared" si="7"/>
        <v>0</v>
      </c>
      <c r="M42" s="35" t="s">
        <v>82</v>
      </c>
      <c r="O42" s="58">
        <f t="shared" si="8"/>
        <v>17234.182011131557</v>
      </c>
    </row>
    <row r="43" spans="1:15" ht="38.25" customHeight="1" x14ac:dyDescent="0.25">
      <c r="A43" s="32" t="s">
        <v>68</v>
      </c>
      <c r="B43" s="32" t="s">
        <v>38</v>
      </c>
      <c r="C43" s="78">
        <v>170.98919305140157</v>
      </c>
      <c r="D43" s="33" t="s">
        <v>21</v>
      </c>
      <c r="E43" s="137"/>
      <c r="F43" s="33" t="s">
        <v>21</v>
      </c>
      <c r="G43" s="34">
        <v>0</v>
      </c>
      <c r="H43" s="35" t="s">
        <v>83</v>
      </c>
      <c r="I43" s="44"/>
      <c r="J43" s="45"/>
      <c r="K43" s="36">
        <f t="shared" si="6"/>
        <v>0</v>
      </c>
      <c r="L43" s="37">
        <f t="shared" si="7"/>
        <v>0</v>
      </c>
      <c r="M43" s="35" t="s">
        <v>82</v>
      </c>
      <c r="O43" s="58">
        <f t="shared" si="8"/>
        <v>0</v>
      </c>
    </row>
    <row r="44" spans="1:15" ht="38.25" customHeight="1" x14ac:dyDescent="0.25">
      <c r="A44" s="32" t="s">
        <v>69</v>
      </c>
      <c r="B44" s="32" t="s">
        <v>39</v>
      </c>
      <c r="C44" s="78">
        <v>1136.727884457584</v>
      </c>
      <c r="D44" s="33" t="s">
        <v>21</v>
      </c>
      <c r="E44" s="137"/>
      <c r="F44" s="33" t="s">
        <v>21</v>
      </c>
      <c r="G44" s="34">
        <v>1</v>
      </c>
      <c r="H44" s="35" t="s">
        <v>83</v>
      </c>
      <c r="I44" s="44"/>
      <c r="J44" s="45"/>
      <c r="K44" s="36">
        <f t="shared" si="6"/>
        <v>1136.727884457584</v>
      </c>
      <c r="L44" s="37">
        <f t="shared" si="7"/>
        <v>0</v>
      </c>
      <c r="M44" s="35" t="s">
        <v>82</v>
      </c>
      <c r="O44" s="58">
        <f t="shared" si="8"/>
        <v>1136.727884457584</v>
      </c>
    </row>
    <row r="45" spans="1:15" ht="38.25" customHeight="1" x14ac:dyDescent="0.25">
      <c r="A45" s="32" t="s">
        <v>70</v>
      </c>
      <c r="B45" s="32" t="s">
        <v>40</v>
      </c>
      <c r="C45" s="78">
        <v>114.34796788525061</v>
      </c>
      <c r="D45" s="33" t="s">
        <v>21</v>
      </c>
      <c r="E45" s="137"/>
      <c r="F45" s="33" t="s">
        <v>21</v>
      </c>
      <c r="G45" s="34">
        <v>278</v>
      </c>
      <c r="H45" s="35" t="s">
        <v>83</v>
      </c>
      <c r="I45" s="44"/>
      <c r="J45" s="45"/>
      <c r="K45" s="36">
        <f t="shared" si="6"/>
        <v>31788.735072099669</v>
      </c>
      <c r="L45" s="37">
        <f t="shared" si="7"/>
        <v>0</v>
      </c>
      <c r="M45" s="35" t="s">
        <v>82</v>
      </c>
      <c r="O45" s="58">
        <f t="shared" si="8"/>
        <v>31788.735072099669</v>
      </c>
    </row>
    <row r="46" spans="1:15" ht="38.25" customHeight="1" x14ac:dyDescent="0.25">
      <c r="A46" s="32" t="s">
        <v>71</v>
      </c>
      <c r="B46" s="32" t="s">
        <v>41</v>
      </c>
      <c r="C46" s="78">
        <v>361.84870601348399</v>
      </c>
      <c r="D46" s="33" t="s">
        <v>21</v>
      </c>
      <c r="E46" s="137"/>
      <c r="F46" s="33" t="s">
        <v>21</v>
      </c>
      <c r="G46" s="34">
        <v>27</v>
      </c>
      <c r="H46" s="35" t="s">
        <v>83</v>
      </c>
      <c r="I46" s="44"/>
      <c r="J46" s="45"/>
      <c r="K46" s="36">
        <f t="shared" si="6"/>
        <v>9769.9150623640671</v>
      </c>
      <c r="L46" s="37">
        <f t="shared" si="7"/>
        <v>0</v>
      </c>
      <c r="M46" s="35" t="s">
        <v>82</v>
      </c>
      <c r="O46" s="58">
        <f t="shared" si="8"/>
        <v>9769.9150623640671</v>
      </c>
    </row>
    <row r="47" spans="1:15" ht="38.25" customHeight="1" x14ac:dyDescent="0.25">
      <c r="A47" s="32" t="s">
        <v>72</v>
      </c>
      <c r="B47" s="32" t="s">
        <v>42</v>
      </c>
      <c r="C47" s="78">
        <v>1682.9375013280378</v>
      </c>
      <c r="D47" s="33" t="s">
        <v>21</v>
      </c>
      <c r="E47" s="137"/>
      <c r="F47" s="33" t="s">
        <v>21</v>
      </c>
      <c r="G47" s="34">
        <v>94</v>
      </c>
      <c r="H47" s="35" t="s">
        <v>83</v>
      </c>
      <c r="I47" s="44"/>
      <c r="J47" s="45"/>
      <c r="K47" s="36">
        <f t="shared" si="6"/>
        <v>158196.12512483555</v>
      </c>
      <c r="L47" s="37">
        <f t="shared" si="7"/>
        <v>0</v>
      </c>
      <c r="M47" s="35" t="s">
        <v>82</v>
      </c>
      <c r="O47" s="58">
        <f t="shared" si="8"/>
        <v>158196.12512483555</v>
      </c>
    </row>
    <row r="48" spans="1:15" ht="38.25" customHeight="1" x14ac:dyDescent="0.25">
      <c r="A48" s="32" t="s">
        <v>73</v>
      </c>
      <c r="B48" s="32" t="s">
        <v>43</v>
      </c>
      <c r="C48" s="78">
        <v>411.55351740672677</v>
      </c>
      <c r="D48" s="33" t="s">
        <v>21</v>
      </c>
      <c r="E48" s="137"/>
      <c r="F48" s="33" t="s">
        <v>21</v>
      </c>
      <c r="G48" s="34">
        <v>108</v>
      </c>
      <c r="H48" s="35" t="s">
        <v>83</v>
      </c>
      <c r="I48" s="44"/>
      <c r="J48" s="45"/>
      <c r="K48" s="36">
        <f t="shared" si="6"/>
        <v>44447.779879926493</v>
      </c>
      <c r="L48" s="37">
        <f t="shared" si="7"/>
        <v>0</v>
      </c>
      <c r="M48" s="35" t="s">
        <v>82</v>
      </c>
      <c r="O48" s="58">
        <f t="shared" si="8"/>
        <v>44447.779879926493</v>
      </c>
    </row>
    <row r="49" spans="1:15" ht="38.25" customHeight="1" x14ac:dyDescent="0.25">
      <c r="A49" s="32" t="s">
        <v>74</v>
      </c>
      <c r="B49" s="32" t="s">
        <v>44</v>
      </c>
      <c r="C49" s="78">
        <v>31.227049076514604</v>
      </c>
      <c r="D49" s="33" t="s">
        <v>21</v>
      </c>
      <c r="E49" s="137"/>
      <c r="F49" s="33" t="s">
        <v>21</v>
      </c>
      <c r="G49" s="34">
        <v>382</v>
      </c>
      <c r="H49" s="35" t="s">
        <v>83</v>
      </c>
      <c r="I49" s="44"/>
      <c r="J49" s="45"/>
      <c r="K49" s="36">
        <f t="shared" si="6"/>
        <v>11928.732747228578</v>
      </c>
      <c r="L49" s="37">
        <f t="shared" si="7"/>
        <v>0</v>
      </c>
      <c r="M49" s="35" t="s">
        <v>82</v>
      </c>
      <c r="O49" s="58">
        <f t="shared" si="8"/>
        <v>11928.732747228578</v>
      </c>
    </row>
    <row r="50" spans="1:15" ht="38.25" customHeight="1" x14ac:dyDescent="0.25">
      <c r="A50" s="38" t="s">
        <v>96</v>
      </c>
      <c r="B50" s="38" t="s">
        <v>99</v>
      </c>
      <c r="C50" s="39"/>
      <c r="D50" s="40"/>
      <c r="E50" s="69"/>
      <c r="F50" s="40"/>
      <c r="G50" s="41"/>
      <c r="H50" s="42"/>
      <c r="I50" s="41"/>
      <c r="J50" s="42"/>
      <c r="K50" s="17"/>
      <c r="L50" s="43"/>
      <c r="M50" s="42"/>
    </row>
    <row r="51" spans="1:15" ht="38.25" customHeight="1" x14ac:dyDescent="0.25">
      <c r="A51" s="32" t="s">
        <v>97</v>
      </c>
      <c r="B51" s="32" t="s">
        <v>80</v>
      </c>
      <c r="C51" s="78">
        <v>66768.119526270457</v>
      </c>
      <c r="D51" s="33" t="s">
        <v>81</v>
      </c>
      <c r="E51" s="137"/>
      <c r="F51" s="33" t="s">
        <v>81</v>
      </c>
      <c r="G51" s="34">
        <v>42</v>
      </c>
      <c r="H51" s="35" t="s">
        <v>81</v>
      </c>
      <c r="I51" s="44"/>
      <c r="J51" s="45"/>
      <c r="K51" s="36">
        <f>C51*G51</f>
        <v>2804261.0201033591</v>
      </c>
      <c r="L51" s="37">
        <f>E51*G51</f>
        <v>0</v>
      </c>
      <c r="M51" s="35" t="s">
        <v>82</v>
      </c>
      <c r="O51" s="58">
        <f t="shared" ref="O51:O52" si="9">C51*G51</f>
        <v>2804261.0201033591</v>
      </c>
    </row>
    <row r="52" spans="1:15" ht="38.25" customHeight="1" x14ac:dyDescent="0.25">
      <c r="A52" s="32" t="s">
        <v>98</v>
      </c>
      <c r="B52" s="32" t="s">
        <v>106</v>
      </c>
      <c r="C52" s="78">
        <v>107787.58410852712</v>
      </c>
      <c r="D52" s="33" t="s">
        <v>81</v>
      </c>
      <c r="E52" s="137"/>
      <c r="F52" s="33" t="s">
        <v>81</v>
      </c>
      <c r="G52" s="34">
        <v>11</v>
      </c>
      <c r="H52" s="35" t="s">
        <v>81</v>
      </c>
      <c r="I52" s="44"/>
      <c r="J52" s="45"/>
      <c r="K52" s="36">
        <f>C52*G52</f>
        <v>1185663.4251937983</v>
      </c>
      <c r="L52" s="37">
        <f>E52*G52</f>
        <v>0</v>
      </c>
      <c r="M52" s="35" t="s">
        <v>82</v>
      </c>
      <c r="O52" s="58">
        <f t="shared" si="9"/>
        <v>1185663.4251937983</v>
      </c>
    </row>
    <row r="53" spans="1:15" s="31" customFormat="1" ht="17.25" customHeight="1" x14ac:dyDescent="0.25">
      <c r="A53" s="61"/>
      <c r="B53" s="61"/>
      <c r="C53" s="62"/>
      <c r="D53" s="11"/>
      <c r="E53" s="62"/>
      <c r="F53" s="49"/>
      <c r="G53" s="50"/>
      <c r="H53" s="51"/>
      <c r="I53" s="52"/>
      <c r="J53" s="52"/>
      <c r="K53" s="52"/>
      <c r="L53" s="52"/>
      <c r="M53" s="51"/>
      <c r="O53" s="60"/>
    </row>
    <row r="54" spans="1:15" s="31" customFormat="1" ht="36.75" customHeight="1" x14ac:dyDescent="0.25">
      <c r="A54" s="65"/>
      <c r="B54" s="65"/>
      <c r="C54" s="66"/>
      <c r="D54" s="63"/>
      <c r="E54" s="66"/>
      <c r="O54" s="60"/>
    </row>
    <row r="55" spans="1:15" x14ac:dyDescent="0.25">
      <c r="B55" s="46" t="s">
        <v>93</v>
      </c>
    </row>
    <row r="56" spans="1:15" ht="36.75" customHeight="1" x14ac:dyDescent="0.25">
      <c r="C56" s="2"/>
      <c r="E56" s="2"/>
      <c r="F56" s="2"/>
      <c r="G56" s="2"/>
      <c r="H56" s="2"/>
      <c r="I56" s="2"/>
      <c r="J56" s="47" t="s">
        <v>112</v>
      </c>
      <c r="K56" s="2"/>
      <c r="L56" s="37">
        <f>SUM(O9:O52)</f>
        <v>27484367.610238418</v>
      </c>
      <c r="M56" s="35" t="s">
        <v>82</v>
      </c>
    </row>
    <row r="57" spans="1:15" x14ac:dyDescent="0.25">
      <c r="J57" s="14"/>
      <c r="K57" s="2"/>
    </row>
    <row r="58" spans="1:15" ht="36.75" customHeight="1" x14ac:dyDescent="0.25">
      <c r="C58" s="2"/>
      <c r="E58" s="2"/>
      <c r="F58" s="2"/>
      <c r="G58" s="2"/>
      <c r="H58" s="2"/>
      <c r="I58" s="2"/>
      <c r="J58" s="47" t="s">
        <v>113</v>
      </c>
      <c r="K58" s="2"/>
      <c r="L58" s="37">
        <f>SUM(L9:L52)</f>
        <v>0</v>
      </c>
      <c r="M58" s="35" t="s">
        <v>82</v>
      </c>
    </row>
    <row r="59" spans="1:15" ht="15.75" x14ac:dyDescent="0.25">
      <c r="N59" s="55"/>
    </row>
    <row r="60" spans="1:15" ht="36.75" customHeight="1" x14ac:dyDescent="0.25">
      <c r="A60" s="74"/>
      <c r="C60" s="2"/>
      <c r="E60" s="2"/>
      <c r="F60" s="2"/>
      <c r="G60" s="2"/>
      <c r="H60" s="2"/>
      <c r="I60" s="2"/>
      <c r="J60" s="47" t="s">
        <v>114</v>
      </c>
      <c r="K60" s="2"/>
      <c r="L60" s="37">
        <f>(1-L58/L56)*100</f>
        <v>100</v>
      </c>
      <c r="M60" s="35" t="s">
        <v>91</v>
      </c>
      <c r="N60" s="67" t="s">
        <v>119</v>
      </c>
    </row>
    <row r="61" spans="1:15" ht="15.75" x14ac:dyDescent="0.25">
      <c r="N61" s="55"/>
    </row>
    <row r="62" spans="1:15" s="5" customFormat="1" ht="60" customHeight="1" x14ac:dyDescent="0.25">
      <c r="A62" s="74"/>
      <c r="B62" s="178" t="s">
        <v>118</v>
      </c>
      <c r="C62" s="178"/>
      <c r="D62" s="178"/>
      <c r="E62" s="178"/>
      <c r="F62" s="178"/>
      <c r="G62" s="178"/>
      <c r="H62" s="178"/>
      <c r="I62" s="178"/>
      <c r="J62" s="7"/>
      <c r="K62" s="8"/>
      <c r="L62" s="68"/>
      <c r="M62" s="35" t="s">
        <v>91</v>
      </c>
      <c r="N62" s="67" t="s">
        <v>120</v>
      </c>
      <c r="O62" s="59"/>
    </row>
    <row r="63" spans="1:15" ht="15.75" x14ac:dyDescent="0.25">
      <c r="A63" s="75"/>
      <c r="B63" s="48"/>
      <c r="N63" s="55"/>
    </row>
    <row r="64" spans="1:15" ht="15.75" x14ac:dyDescent="0.25">
      <c r="A64" s="75"/>
    </row>
    <row r="65" spans="1:12" ht="15.75" x14ac:dyDescent="0.25">
      <c r="A65" s="75"/>
      <c r="L65" s="72"/>
    </row>
  </sheetData>
  <mergeCells count="11">
    <mergeCell ref="A1:M1"/>
    <mergeCell ref="C5:D5"/>
    <mergeCell ref="E5:F5"/>
    <mergeCell ref="G5:H5"/>
    <mergeCell ref="I5:J5"/>
    <mergeCell ref="L5:M5"/>
    <mergeCell ref="C6:D6"/>
    <mergeCell ref="E6:F6"/>
    <mergeCell ref="G6:H6"/>
    <mergeCell ref="I6:J6"/>
    <mergeCell ref="B62:I62"/>
  </mergeCells>
  <printOptions horizontalCentered="1"/>
  <pageMargins left="0.70866141732283472" right="0.70866141732283472" top="1.1417322834645669" bottom="0.74803149606299213" header="0.31496062992125984" footer="0.31496062992125984"/>
  <pageSetup paperSize="9" scale="32" orientation="portrait" r:id="rId1"/>
  <headerFooter>
    <oddHeader>&amp;R&amp;"Arial,Grassetto Corsivo"&amp;14Allegato 8 - Modello offerta economica</oddHeader>
    <oddFooter>&amp;L&amp;F&amp;RPag. 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view="pageLayout" topLeftCell="A46" zoomScale="85" zoomScaleNormal="100" zoomScalePageLayoutView="85" workbookViewId="0">
      <selection activeCell="Q1" sqref="Q1"/>
    </sheetView>
  </sheetViews>
  <sheetFormatPr defaultRowHeight="15" x14ac:dyDescent="0.25"/>
  <cols>
    <col min="1" max="1" width="6.28515625" style="70" customWidth="1"/>
    <col min="2" max="2" width="43.7109375" style="70" customWidth="1"/>
    <col min="3" max="3" width="18" style="100" customWidth="1"/>
    <col min="4" max="4" width="10.7109375" style="101" customWidth="1"/>
    <col min="5" max="5" width="18" style="100" customWidth="1"/>
    <col min="6" max="6" width="10.7109375" style="101" customWidth="1"/>
    <col min="7" max="7" width="18.28515625" style="102" customWidth="1"/>
    <col min="8" max="8" width="5.85546875" style="103" customWidth="1"/>
    <col min="9" max="9" width="18.42578125" style="102" customWidth="1"/>
    <col min="10" max="10" width="5.85546875" style="103" customWidth="1"/>
    <col min="11" max="11" width="27.140625" style="104" hidden="1" customWidth="1"/>
    <col min="12" max="12" width="24" style="72" customWidth="1"/>
    <col min="13" max="13" width="5.85546875" style="103" customWidth="1"/>
    <col min="14" max="14" width="27.7109375" style="70" customWidth="1"/>
    <col min="15" max="15" width="21" style="90" hidden="1" customWidth="1"/>
    <col min="16" max="16384" width="9.140625" style="70"/>
  </cols>
  <sheetData>
    <row r="1" spans="1:16" ht="53.25" customHeight="1" x14ac:dyDescent="0.25">
      <c r="A1" s="183" t="s">
        <v>123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</row>
    <row r="2" spans="1:16" ht="12.75" customHeight="1" x14ac:dyDescent="0.25">
      <c r="A2" s="91"/>
      <c r="B2" s="91"/>
      <c r="C2" s="91"/>
      <c r="D2" s="91"/>
      <c r="E2" s="91"/>
      <c r="F2" s="91"/>
      <c r="G2" s="91"/>
      <c r="H2" s="91"/>
      <c r="I2" s="91"/>
      <c r="J2" s="91"/>
      <c r="K2" s="92"/>
      <c r="L2" s="93"/>
      <c r="M2" s="91"/>
    </row>
    <row r="3" spans="1:16" s="94" customFormat="1" ht="18" x14ac:dyDescent="0.25">
      <c r="A3" s="94">
        <v>1</v>
      </c>
      <c r="B3" s="94" t="s">
        <v>90</v>
      </c>
      <c r="C3" s="95"/>
      <c r="D3" s="95"/>
      <c r="E3" s="95"/>
      <c r="F3" s="95"/>
      <c r="G3" s="96"/>
      <c r="H3" s="96"/>
      <c r="I3" s="96"/>
      <c r="J3" s="96"/>
      <c r="K3" s="97"/>
      <c r="L3" s="98"/>
      <c r="M3" s="96"/>
      <c r="O3" s="99"/>
    </row>
    <row r="4" spans="1:16" ht="15.75" thickBot="1" x14ac:dyDescent="0.3"/>
    <row r="5" spans="1:16" ht="38.25" customHeight="1" thickBot="1" x14ac:dyDescent="0.3">
      <c r="A5" s="105">
        <v>1</v>
      </c>
      <c r="B5" s="106">
        <v>2</v>
      </c>
      <c r="C5" s="179">
        <v>3</v>
      </c>
      <c r="D5" s="180"/>
      <c r="E5" s="179">
        <v>4</v>
      </c>
      <c r="F5" s="180"/>
      <c r="G5" s="181">
        <v>5</v>
      </c>
      <c r="H5" s="182"/>
      <c r="I5" s="181">
        <v>6</v>
      </c>
      <c r="J5" s="182"/>
      <c r="K5" s="107"/>
      <c r="L5" s="181">
        <v>7</v>
      </c>
      <c r="M5" s="182"/>
      <c r="N5" s="108">
        <v>8</v>
      </c>
    </row>
    <row r="6" spans="1:16" ht="38.25" customHeight="1" thickBot="1" x14ac:dyDescent="0.3">
      <c r="A6" s="105" t="s">
        <v>46</v>
      </c>
      <c r="B6" s="106" t="s">
        <v>45</v>
      </c>
      <c r="C6" s="179" t="s">
        <v>92</v>
      </c>
      <c r="D6" s="180"/>
      <c r="E6" s="179" t="s">
        <v>94</v>
      </c>
      <c r="F6" s="180"/>
      <c r="G6" s="181" t="s">
        <v>75</v>
      </c>
      <c r="H6" s="182"/>
      <c r="I6" s="181" t="s">
        <v>75</v>
      </c>
      <c r="J6" s="182"/>
      <c r="K6" s="107" t="s">
        <v>95</v>
      </c>
      <c r="L6" s="109" t="s">
        <v>76</v>
      </c>
      <c r="M6" s="110"/>
      <c r="N6" s="111" t="s">
        <v>109</v>
      </c>
    </row>
    <row r="7" spans="1:16" ht="8.25" customHeight="1" x14ac:dyDescent="0.25">
      <c r="A7" s="112"/>
      <c r="B7" s="112"/>
      <c r="C7" s="112"/>
      <c r="D7" s="113"/>
      <c r="E7" s="112"/>
      <c r="F7" s="113"/>
      <c r="G7" s="114"/>
      <c r="H7" s="115"/>
      <c r="I7" s="114"/>
      <c r="J7" s="115"/>
      <c r="K7" s="107"/>
      <c r="L7" s="116"/>
      <c r="M7" s="115"/>
    </row>
    <row r="8" spans="1:16" s="71" customFormat="1" ht="38.25" customHeight="1" x14ac:dyDescent="0.25">
      <c r="A8" s="117" t="s">
        <v>0</v>
      </c>
      <c r="B8" s="117" t="s">
        <v>1</v>
      </c>
      <c r="C8" s="118"/>
      <c r="D8" s="119"/>
      <c r="E8" s="118"/>
      <c r="F8" s="119"/>
      <c r="G8" s="120"/>
      <c r="H8" s="121"/>
      <c r="I8" s="120"/>
      <c r="J8" s="121"/>
      <c r="K8" s="107"/>
      <c r="L8" s="122"/>
      <c r="M8" s="121"/>
      <c r="O8" s="123"/>
    </row>
    <row r="9" spans="1:16" ht="38.25" customHeight="1" x14ac:dyDescent="0.25">
      <c r="A9" s="32" t="s">
        <v>47</v>
      </c>
      <c r="B9" s="32" t="s">
        <v>2</v>
      </c>
      <c r="C9" s="64">
        <v>1.0772722457596435E-3</v>
      </c>
      <c r="D9" s="33" t="s">
        <v>85</v>
      </c>
      <c r="E9" s="126"/>
      <c r="F9" s="33" t="s">
        <v>85</v>
      </c>
      <c r="G9" s="34">
        <v>714482</v>
      </c>
      <c r="H9" s="35" t="s">
        <v>88</v>
      </c>
      <c r="I9" s="34">
        <v>2468</v>
      </c>
      <c r="J9" s="35" t="s">
        <v>77</v>
      </c>
      <c r="K9" s="36">
        <f>C9*G9*I9</f>
        <v>1899598.939618869</v>
      </c>
      <c r="L9" s="37">
        <f>E9*G9*I9</f>
        <v>0</v>
      </c>
      <c r="M9" s="35" t="s">
        <v>82</v>
      </c>
      <c r="N9" s="2"/>
      <c r="O9" s="58">
        <f>C9*G9*I9</f>
        <v>1899598.939618869</v>
      </c>
      <c r="P9" s="2"/>
    </row>
    <row r="10" spans="1:16" ht="38.25" customHeight="1" x14ac:dyDescent="0.25">
      <c r="A10" s="32" t="s">
        <v>48</v>
      </c>
      <c r="B10" s="32" t="s">
        <v>3</v>
      </c>
      <c r="C10" s="64">
        <v>2.6533799156641469E-3</v>
      </c>
      <c r="D10" s="33" t="s">
        <v>85</v>
      </c>
      <c r="E10" s="126"/>
      <c r="F10" s="33" t="s">
        <v>85</v>
      </c>
      <c r="G10" s="34">
        <v>596907</v>
      </c>
      <c r="H10" s="35" t="s">
        <v>88</v>
      </c>
      <c r="I10" s="34">
        <v>2468</v>
      </c>
      <c r="J10" s="35" t="s">
        <v>77</v>
      </c>
      <c r="K10" s="36">
        <f>C10*G10*I10</f>
        <v>3908870.3398481286</v>
      </c>
      <c r="L10" s="37">
        <f>E10*G10*I10</f>
        <v>0</v>
      </c>
      <c r="M10" s="35" t="s">
        <v>82</v>
      </c>
      <c r="N10" s="2"/>
      <c r="O10" s="58">
        <f>C10*G10*I10</f>
        <v>3908870.3398481286</v>
      </c>
      <c r="P10" s="2"/>
    </row>
    <row r="11" spans="1:16" s="71" customFormat="1" ht="38.25" customHeight="1" x14ac:dyDescent="0.25">
      <c r="A11" s="38" t="s">
        <v>4</v>
      </c>
      <c r="B11" s="38" t="s">
        <v>5</v>
      </c>
      <c r="C11" s="39"/>
      <c r="D11" s="40"/>
      <c r="E11" s="69"/>
      <c r="F11" s="40"/>
      <c r="G11" s="41"/>
      <c r="H11" s="42"/>
      <c r="I11" s="41"/>
      <c r="J11" s="42"/>
      <c r="K11" s="17"/>
      <c r="L11" s="43"/>
      <c r="M11" s="42"/>
      <c r="N11" s="31"/>
      <c r="O11" s="60"/>
      <c r="P11" s="31"/>
    </row>
    <row r="12" spans="1:16" ht="38.25" customHeight="1" x14ac:dyDescent="0.25">
      <c r="A12" s="32" t="s">
        <v>49</v>
      </c>
      <c r="B12" s="32" t="s">
        <v>6</v>
      </c>
      <c r="C12" s="64">
        <v>1.3322304810368274E-2</v>
      </c>
      <c r="D12" s="33" t="s">
        <v>86</v>
      </c>
      <c r="E12" s="126"/>
      <c r="F12" s="33" t="s">
        <v>86</v>
      </c>
      <c r="G12" s="34">
        <v>270624</v>
      </c>
      <c r="H12" s="35" t="s">
        <v>88</v>
      </c>
      <c r="I12" s="34">
        <v>130</v>
      </c>
      <c r="J12" s="35" t="s">
        <v>84</v>
      </c>
      <c r="K12" s="36">
        <f>C12*G12*I12</f>
        <v>468693.6042101435</v>
      </c>
      <c r="L12" s="37">
        <f>E12*G12*I12</f>
        <v>0</v>
      </c>
      <c r="M12" s="35" t="s">
        <v>82</v>
      </c>
      <c r="N12" s="2"/>
      <c r="O12" s="58">
        <f t="shared" ref="O12:O13" si="0">C12*G12*I12</f>
        <v>468693.6042101435</v>
      </c>
      <c r="P12" s="2"/>
    </row>
    <row r="13" spans="1:16" ht="38.25" customHeight="1" x14ac:dyDescent="0.25">
      <c r="A13" s="32" t="s">
        <v>50</v>
      </c>
      <c r="B13" s="32" t="s">
        <v>7</v>
      </c>
      <c r="C13" s="64">
        <v>2.5405787641850981E-2</v>
      </c>
      <c r="D13" s="33" t="s">
        <v>86</v>
      </c>
      <c r="E13" s="126"/>
      <c r="F13" s="33" t="s">
        <v>86</v>
      </c>
      <c r="G13" s="34">
        <v>771232</v>
      </c>
      <c r="H13" s="35" t="s">
        <v>88</v>
      </c>
      <c r="I13" s="34">
        <v>150</v>
      </c>
      <c r="J13" s="35" t="s">
        <v>84</v>
      </c>
      <c r="K13" s="36">
        <f>C13*G13*I13</f>
        <v>2939063.4621900022</v>
      </c>
      <c r="L13" s="37">
        <f>E13*G13*I13</f>
        <v>0</v>
      </c>
      <c r="M13" s="35" t="s">
        <v>82</v>
      </c>
      <c r="N13" s="2"/>
      <c r="O13" s="58">
        <f t="shared" si="0"/>
        <v>2939063.4621900022</v>
      </c>
      <c r="P13" s="2"/>
    </row>
    <row r="14" spans="1:16" s="71" customFormat="1" ht="38.25" customHeight="1" x14ac:dyDescent="0.25">
      <c r="A14" s="38" t="s">
        <v>8</v>
      </c>
      <c r="B14" s="38" t="s">
        <v>9</v>
      </c>
      <c r="C14" s="39"/>
      <c r="D14" s="40"/>
      <c r="E14" s="69"/>
      <c r="F14" s="40"/>
      <c r="G14" s="41"/>
      <c r="H14" s="42"/>
      <c r="I14" s="41"/>
      <c r="J14" s="42"/>
      <c r="K14" s="17"/>
      <c r="L14" s="43"/>
      <c r="M14" s="42"/>
      <c r="N14" s="31"/>
      <c r="O14" s="60"/>
      <c r="P14" s="31"/>
    </row>
    <row r="15" spans="1:16" ht="38.25" customHeight="1" x14ac:dyDescent="0.25">
      <c r="A15" s="32" t="s">
        <v>51</v>
      </c>
      <c r="B15" s="32" t="s">
        <v>10</v>
      </c>
      <c r="C15" s="78">
        <v>0.99658131218700008</v>
      </c>
      <c r="D15" s="33" t="s">
        <v>87</v>
      </c>
      <c r="E15" s="137"/>
      <c r="F15" s="33" t="s">
        <v>87</v>
      </c>
      <c r="G15" s="34">
        <v>312388</v>
      </c>
      <c r="H15" s="35" t="s">
        <v>89</v>
      </c>
      <c r="I15" s="44"/>
      <c r="J15" s="45"/>
      <c r="K15" s="36">
        <f>C15*G15</f>
        <v>311320.04295147257</v>
      </c>
      <c r="L15" s="37">
        <f>E15*G15</f>
        <v>0</v>
      </c>
      <c r="M15" s="35" t="s">
        <v>82</v>
      </c>
      <c r="N15" s="2"/>
      <c r="O15" s="58">
        <f>C15*G15</f>
        <v>311320.04295147257</v>
      </c>
      <c r="P15" s="2"/>
    </row>
    <row r="16" spans="1:16" s="71" customFormat="1" ht="38.25" customHeight="1" x14ac:dyDescent="0.25">
      <c r="A16" s="38" t="s">
        <v>11</v>
      </c>
      <c r="B16" s="38" t="s">
        <v>12</v>
      </c>
      <c r="C16" s="39"/>
      <c r="D16" s="40"/>
      <c r="E16" s="69"/>
      <c r="F16" s="40"/>
      <c r="G16" s="41"/>
      <c r="H16" s="42"/>
      <c r="I16" s="41"/>
      <c r="J16" s="42"/>
      <c r="K16" s="17"/>
      <c r="L16" s="43"/>
      <c r="M16" s="42"/>
      <c r="N16" s="31"/>
      <c r="O16" s="60"/>
      <c r="P16" s="31"/>
    </row>
    <row r="17" spans="1:16" ht="45" x14ac:dyDescent="0.25">
      <c r="A17" s="32" t="s">
        <v>52</v>
      </c>
      <c r="B17" s="32" t="s">
        <v>79</v>
      </c>
      <c r="C17" s="77">
        <v>3.0610124513595922</v>
      </c>
      <c r="D17" s="33" t="s">
        <v>87</v>
      </c>
      <c r="E17" s="140"/>
      <c r="F17" s="33" t="s">
        <v>87</v>
      </c>
      <c r="G17" s="34">
        <v>318450</v>
      </c>
      <c r="H17" s="35" t="s">
        <v>89</v>
      </c>
      <c r="I17" s="44"/>
      <c r="J17" s="45"/>
      <c r="K17" s="36">
        <f>C17*G17</f>
        <v>974779.41513546219</v>
      </c>
      <c r="L17" s="37">
        <f>E17*G17</f>
        <v>0</v>
      </c>
      <c r="M17" s="35" t="s">
        <v>82</v>
      </c>
      <c r="N17" s="2"/>
      <c r="O17" s="58">
        <f t="shared" ref="O17:O19" si="1">C17*G17</f>
        <v>974779.41513546219</v>
      </c>
      <c r="P17" s="2"/>
    </row>
    <row r="18" spans="1:16" ht="38.25" customHeight="1" x14ac:dyDescent="0.25">
      <c r="A18" s="32" t="s">
        <v>105</v>
      </c>
      <c r="B18" s="32" t="s">
        <v>13</v>
      </c>
      <c r="C18" s="77">
        <v>0.29539100477784092</v>
      </c>
      <c r="D18" s="33" t="s">
        <v>87</v>
      </c>
      <c r="E18" s="140"/>
      <c r="F18" s="33" t="s">
        <v>87</v>
      </c>
      <c r="G18" s="34">
        <v>110067</v>
      </c>
      <c r="H18" s="35" t="s">
        <v>89</v>
      </c>
      <c r="I18" s="44"/>
      <c r="J18" s="45"/>
      <c r="K18" s="36">
        <f>C18*G18</f>
        <v>32512.801722882617</v>
      </c>
      <c r="L18" s="37">
        <f>E18*G18</f>
        <v>0</v>
      </c>
      <c r="M18" s="35" t="s">
        <v>82</v>
      </c>
      <c r="N18" s="2"/>
      <c r="O18" s="58">
        <f t="shared" si="1"/>
        <v>32512.801722882617</v>
      </c>
      <c r="P18" s="2"/>
    </row>
    <row r="19" spans="1:16" ht="38.25" customHeight="1" x14ac:dyDescent="0.25">
      <c r="A19" s="32" t="s">
        <v>117</v>
      </c>
      <c r="B19" s="32" t="s">
        <v>122</v>
      </c>
      <c r="C19" s="77">
        <v>150</v>
      </c>
      <c r="D19" s="33" t="s">
        <v>87</v>
      </c>
      <c r="E19" s="140"/>
      <c r="F19" s="33" t="s">
        <v>87</v>
      </c>
      <c r="G19" s="34">
        <v>0</v>
      </c>
      <c r="H19" s="35" t="s">
        <v>89</v>
      </c>
      <c r="I19" s="44"/>
      <c r="J19" s="45"/>
      <c r="K19" s="36">
        <f>C19*G19</f>
        <v>0</v>
      </c>
      <c r="L19" s="37">
        <f>E19*G19</f>
        <v>0</v>
      </c>
      <c r="M19" s="35" t="s">
        <v>82</v>
      </c>
      <c r="N19" s="2"/>
      <c r="O19" s="58">
        <f t="shared" si="1"/>
        <v>0</v>
      </c>
      <c r="P19" s="2"/>
    </row>
    <row r="20" spans="1:16" ht="38.25" customHeight="1" x14ac:dyDescent="0.25">
      <c r="A20" s="38" t="s">
        <v>14</v>
      </c>
      <c r="B20" s="38" t="s">
        <v>15</v>
      </c>
      <c r="C20" s="39"/>
      <c r="D20" s="40"/>
      <c r="E20" s="69"/>
      <c r="F20" s="40"/>
      <c r="G20" s="41"/>
      <c r="H20" s="42"/>
      <c r="I20" s="41"/>
      <c r="J20" s="42"/>
      <c r="K20" s="17"/>
      <c r="L20" s="43"/>
      <c r="M20" s="42"/>
      <c r="N20" s="2"/>
      <c r="O20" s="58"/>
      <c r="P20" s="2"/>
    </row>
    <row r="21" spans="1:16" s="71" customFormat="1" ht="38.25" customHeight="1" x14ac:dyDescent="0.25">
      <c r="A21" s="32" t="s">
        <v>53</v>
      </c>
      <c r="B21" s="32" t="s">
        <v>107</v>
      </c>
      <c r="C21" s="78">
        <v>24.017975586371783</v>
      </c>
      <c r="D21" s="33" t="s">
        <v>87</v>
      </c>
      <c r="E21" s="137"/>
      <c r="F21" s="33" t="s">
        <v>87</v>
      </c>
      <c r="G21" s="34">
        <v>153650</v>
      </c>
      <c r="H21" s="35" t="s">
        <v>89</v>
      </c>
      <c r="I21" s="44"/>
      <c r="J21" s="45"/>
      <c r="K21" s="36">
        <f>C21*G21</f>
        <v>3690361.9488460245</v>
      </c>
      <c r="L21" s="37">
        <f>E21*G21</f>
        <v>0</v>
      </c>
      <c r="M21" s="35" t="s">
        <v>82</v>
      </c>
      <c r="N21" s="31"/>
      <c r="O21" s="58">
        <f t="shared" ref="O21:O25" si="2">C21*G21</f>
        <v>3690361.9488460245</v>
      </c>
      <c r="P21" s="31"/>
    </row>
    <row r="22" spans="1:16" s="71" customFormat="1" ht="38.25" customHeight="1" x14ac:dyDescent="0.25">
      <c r="A22" s="32" t="s">
        <v>54</v>
      </c>
      <c r="B22" s="32" t="s">
        <v>108</v>
      </c>
      <c r="C22" s="78">
        <v>11.185362524184205</v>
      </c>
      <c r="D22" s="33" t="s">
        <v>87</v>
      </c>
      <c r="E22" s="137"/>
      <c r="F22" s="33" t="s">
        <v>87</v>
      </c>
      <c r="G22" s="34">
        <v>227282</v>
      </c>
      <c r="H22" s="35" t="s">
        <v>89</v>
      </c>
      <c r="I22" s="44"/>
      <c r="J22" s="45"/>
      <c r="K22" s="36">
        <f>C22*G22</f>
        <v>2542231.5652216347</v>
      </c>
      <c r="L22" s="37">
        <f>E22*G22</f>
        <v>0</v>
      </c>
      <c r="M22" s="35" t="s">
        <v>82</v>
      </c>
      <c r="N22" s="31"/>
      <c r="O22" s="58">
        <f t="shared" si="2"/>
        <v>2542231.5652216347</v>
      </c>
      <c r="P22" s="31"/>
    </row>
    <row r="23" spans="1:16" ht="38.25" customHeight="1" x14ac:dyDescent="0.25">
      <c r="A23" s="32" t="s">
        <v>100</v>
      </c>
      <c r="B23" s="32" t="s">
        <v>16</v>
      </c>
      <c r="C23" s="78">
        <v>0.6110768124851228</v>
      </c>
      <c r="D23" s="33" t="s">
        <v>87</v>
      </c>
      <c r="E23" s="137"/>
      <c r="F23" s="33" t="s">
        <v>87</v>
      </c>
      <c r="G23" s="34">
        <v>268219</v>
      </c>
      <c r="H23" s="35" t="s">
        <v>89</v>
      </c>
      <c r="I23" s="44"/>
      <c r="J23" s="45"/>
      <c r="K23" s="36">
        <f>C23*G23</f>
        <v>163902.41156794716</v>
      </c>
      <c r="L23" s="37">
        <f>E23*G23</f>
        <v>0</v>
      </c>
      <c r="M23" s="35" t="s">
        <v>82</v>
      </c>
      <c r="N23" s="2"/>
      <c r="O23" s="58">
        <f t="shared" si="2"/>
        <v>163902.41156794716</v>
      </c>
      <c r="P23" s="2"/>
    </row>
    <row r="24" spans="1:16" s="71" customFormat="1" ht="38.25" customHeight="1" x14ac:dyDescent="0.25">
      <c r="A24" s="32" t="s">
        <v>101</v>
      </c>
      <c r="B24" s="32" t="s">
        <v>102</v>
      </c>
      <c r="C24" s="78">
        <v>1920.6131157811997</v>
      </c>
      <c r="D24" s="33" t="s">
        <v>21</v>
      </c>
      <c r="E24" s="137"/>
      <c r="F24" s="33" t="s">
        <v>21</v>
      </c>
      <c r="G24" s="34">
        <v>73</v>
      </c>
      <c r="H24" s="35" t="s">
        <v>83</v>
      </c>
      <c r="I24" s="44"/>
      <c r="J24" s="45"/>
      <c r="K24" s="36">
        <f>C24*G24</f>
        <v>140204.75745202758</v>
      </c>
      <c r="L24" s="37">
        <f>E24*G24</f>
        <v>0</v>
      </c>
      <c r="M24" s="35" t="s">
        <v>82</v>
      </c>
      <c r="N24" s="31"/>
      <c r="O24" s="58">
        <f t="shared" si="2"/>
        <v>140204.75745202758</v>
      </c>
      <c r="P24" s="31"/>
    </row>
    <row r="25" spans="1:16" ht="38.25" customHeight="1" x14ac:dyDescent="0.25">
      <c r="A25" s="32" t="s">
        <v>104</v>
      </c>
      <c r="B25" s="32" t="s">
        <v>103</v>
      </c>
      <c r="C25" s="78">
        <v>2.5642171822259212</v>
      </c>
      <c r="D25" s="33" t="s">
        <v>21</v>
      </c>
      <c r="E25" s="137"/>
      <c r="F25" s="33" t="s">
        <v>21</v>
      </c>
      <c r="G25" s="34">
        <v>65299</v>
      </c>
      <c r="H25" s="35" t="s">
        <v>83</v>
      </c>
      <c r="I25" s="44"/>
      <c r="J25" s="45"/>
      <c r="K25" s="36">
        <f>C25*G25</f>
        <v>167440.81778217043</v>
      </c>
      <c r="L25" s="37">
        <f>E25*G25</f>
        <v>0</v>
      </c>
      <c r="M25" s="35" t="s">
        <v>82</v>
      </c>
      <c r="N25" s="2"/>
      <c r="O25" s="58">
        <f t="shared" si="2"/>
        <v>167440.81778217043</v>
      </c>
      <c r="P25" s="2"/>
    </row>
    <row r="26" spans="1:16" ht="47.25" x14ac:dyDescent="0.25">
      <c r="A26" s="38" t="s">
        <v>17</v>
      </c>
      <c r="B26" s="38" t="s">
        <v>18</v>
      </c>
      <c r="C26" s="39"/>
      <c r="D26" s="40"/>
      <c r="E26" s="69"/>
      <c r="F26" s="40"/>
      <c r="G26" s="41"/>
      <c r="H26" s="42"/>
      <c r="I26" s="41"/>
      <c r="J26" s="42"/>
      <c r="K26" s="17"/>
      <c r="L26" s="43"/>
      <c r="M26" s="42"/>
      <c r="N26" s="2"/>
      <c r="O26" s="58"/>
      <c r="P26" s="2"/>
    </row>
    <row r="27" spans="1:16" s="71" customFormat="1" ht="38.25" customHeight="1" x14ac:dyDescent="0.25">
      <c r="A27" s="32" t="s">
        <v>55</v>
      </c>
      <c r="B27" s="32" t="s">
        <v>19</v>
      </c>
      <c r="C27" s="78">
        <v>1.4505808270340399</v>
      </c>
      <c r="D27" s="33" t="s">
        <v>87</v>
      </c>
      <c r="E27" s="137"/>
      <c r="F27" s="33" t="s">
        <v>87</v>
      </c>
      <c r="G27" s="34">
        <v>380932</v>
      </c>
      <c r="H27" s="35" t="s">
        <v>89</v>
      </c>
      <c r="I27" s="44"/>
      <c r="J27" s="45"/>
      <c r="K27" s="36">
        <f>C27*G27</f>
        <v>552572.65560373093</v>
      </c>
      <c r="L27" s="37">
        <f>E27*G27</f>
        <v>0</v>
      </c>
      <c r="M27" s="35" t="s">
        <v>82</v>
      </c>
      <c r="N27" s="31"/>
      <c r="O27" s="58">
        <f t="shared" ref="O27:O28" si="3">C27*G27</f>
        <v>552572.65560373093</v>
      </c>
      <c r="P27" s="31"/>
    </row>
    <row r="28" spans="1:16" ht="38.25" customHeight="1" x14ac:dyDescent="0.25">
      <c r="A28" s="32" t="s">
        <v>56</v>
      </c>
      <c r="B28" s="32" t="s">
        <v>20</v>
      </c>
      <c r="C28" s="78">
        <v>196.41391881978004</v>
      </c>
      <c r="D28" s="33" t="s">
        <v>21</v>
      </c>
      <c r="E28" s="137"/>
      <c r="F28" s="33" t="s">
        <v>21</v>
      </c>
      <c r="G28" s="34">
        <v>349</v>
      </c>
      <c r="H28" s="35" t="s">
        <v>83</v>
      </c>
      <c r="I28" s="44"/>
      <c r="J28" s="45"/>
      <c r="K28" s="36">
        <f>C28*G28</f>
        <v>68548.457668103234</v>
      </c>
      <c r="L28" s="37">
        <f>E28*G28</f>
        <v>0</v>
      </c>
      <c r="M28" s="35" t="s">
        <v>82</v>
      </c>
      <c r="N28" s="2"/>
      <c r="O28" s="58">
        <f t="shared" si="3"/>
        <v>68548.457668103234</v>
      </c>
      <c r="P28" s="2"/>
    </row>
    <row r="29" spans="1:16" ht="38.25" customHeight="1" x14ac:dyDescent="0.25">
      <c r="A29" s="38" t="s">
        <v>22</v>
      </c>
      <c r="B29" s="38" t="s">
        <v>23</v>
      </c>
      <c r="C29" s="39"/>
      <c r="D29" s="40"/>
      <c r="E29" s="69"/>
      <c r="F29" s="40"/>
      <c r="G29" s="41"/>
      <c r="H29" s="42"/>
      <c r="I29" s="41"/>
      <c r="J29" s="42"/>
      <c r="K29" s="17"/>
      <c r="L29" s="43"/>
      <c r="M29" s="42"/>
      <c r="N29" s="2"/>
      <c r="O29" s="58"/>
      <c r="P29" s="2"/>
    </row>
    <row r="30" spans="1:16" ht="38.25" customHeight="1" x14ac:dyDescent="0.25">
      <c r="A30" s="32" t="s">
        <v>57</v>
      </c>
      <c r="B30" s="32" t="s">
        <v>78</v>
      </c>
      <c r="C30" s="78">
        <v>0.46946070402192563</v>
      </c>
      <c r="D30" s="33" t="s">
        <v>87</v>
      </c>
      <c r="E30" s="137"/>
      <c r="F30" s="33" t="s">
        <v>87</v>
      </c>
      <c r="G30" s="34">
        <v>0</v>
      </c>
      <c r="H30" s="35" t="s">
        <v>89</v>
      </c>
      <c r="I30" s="44"/>
      <c r="J30" s="45"/>
      <c r="K30" s="36">
        <f>C30*G30</f>
        <v>0</v>
      </c>
      <c r="L30" s="37">
        <f>E30*G30</f>
        <v>0</v>
      </c>
      <c r="M30" s="35" t="s">
        <v>82</v>
      </c>
      <c r="N30" s="2"/>
      <c r="O30" s="58">
        <f t="shared" ref="O30:O31" si="4">C30*G30</f>
        <v>0</v>
      </c>
      <c r="P30" s="2"/>
    </row>
    <row r="31" spans="1:16" ht="38.25" customHeight="1" x14ac:dyDescent="0.25">
      <c r="A31" s="32" t="s">
        <v>58</v>
      </c>
      <c r="B31" s="32" t="s">
        <v>24</v>
      </c>
      <c r="C31" s="78">
        <v>5.6388032876341407</v>
      </c>
      <c r="D31" s="33" t="s">
        <v>87</v>
      </c>
      <c r="E31" s="137"/>
      <c r="F31" s="33" t="s">
        <v>87</v>
      </c>
      <c r="G31" s="34">
        <v>400</v>
      </c>
      <c r="H31" s="35" t="s">
        <v>89</v>
      </c>
      <c r="I31" s="44"/>
      <c r="J31" s="45"/>
      <c r="K31" s="36">
        <f>C31*G31</f>
        <v>2255.5213150536565</v>
      </c>
      <c r="L31" s="37">
        <f>E31*G31</f>
        <v>0</v>
      </c>
      <c r="M31" s="35" t="s">
        <v>82</v>
      </c>
      <c r="N31" s="2"/>
      <c r="O31" s="58">
        <f t="shared" si="4"/>
        <v>2255.5213150536565</v>
      </c>
      <c r="P31" s="2"/>
    </row>
    <row r="32" spans="1:16" ht="47.25" x14ac:dyDescent="0.25">
      <c r="A32" s="38" t="s">
        <v>25</v>
      </c>
      <c r="B32" s="38" t="s">
        <v>26</v>
      </c>
      <c r="C32" s="39"/>
      <c r="D32" s="40"/>
      <c r="E32" s="69"/>
      <c r="F32" s="40"/>
      <c r="G32" s="41"/>
      <c r="H32" s="42"/>
      <c r="I32" s="41"/>
      <c r="J32" s="42"/>
      <c r="K32" s="17"/>
      <c r="L32" s="43"/>
      <c r="M32" s="42"/>
      <c r="N32" s="2"/>
      <c r="O32" s="58"/>
      <c r="P32" s="2"/>
    </row>
    <row r="33" spans="1:16" s="71" customFormat="1" ht="38.25" customHeight="1" x14ac:dyDescent="0.25">
      <c r="A33" s="32" t="s">
        <v>59</v>
      </c>
      <c r="B33" s="32" t="s">
        <v>27</v>
      </c>
      <c r="C33" s="78">
        <v>851.68083968633869</v>
      </c>
      <c r="D33" s="33" t="s">
        <v>21</v>
      </c>
      <c r="E33" s="137"/>
      <c r="F33" s="33" t="s">
        <v>21</v>
      </c>
      <c r="G33" s="34">
        <v>110</v>
      </c>
      <c r="H33" s="35" t="s">
        <v>83</v>
      </c>
      <c r="I33" s="44"/>
      <c r="J33" s="45"/>
      <c r="K33" s="36">
        <f>C33*G33</f>
        <v>93684.89236549726</v>
      </c>
      <c r="L33" s="37">
        <f>E33*G33</f>
        <v>0</v>
      </c>
      <c r="M33" s="35" t="s">
        <v>82</v>
      </c>
      <c r="N33" s="31"/>
      <c r="O33" s="58">
        <f t="shared" ref="O33:O36" si="5">C33*G33</f>
        <v>93684.89236549726</v>
      </c>
      <c r="P33" s="31"/>
    </row>
    <row r="34" spans="1:16" ht="38.25" customHeight="1" x14ac:dyDescent="0.25">
      <c r="A34" s="32" t="s">
        <v>60</v>
      </c>
      <c r="B34" s="32" t="s">
        <v>28</v>
      </c>
      <c r="C34" s="78">
        <v>1237.055329294629</v>
      </c>
      <c r="D34" s="33" t="s">
        <v>21</v>
      </c>
      <c r="E34" s="137"/>
      <c r="F34" s="33" t="s">
        <v>21</v>
      </c>
      <c r="G34" s="34">
        <v>60</v>
      </c>
      <c r="H34" s="35" t="s">
        <v>83</v>
      </c>
      <c r="I34" s="44"/>
      <c r="J34" s="45"/>
      <c r="K34" s="36">
        <f>C34*G34</f>
        <v>74223.319757677746</v>
      </c>
      <c r="L34" s="37">
        <f>E34*G34</f>
        <v>0</v>
      </c>
      <c r="M34" s="35" t="s">
        <v>82</v>
      </c>
      <c r="N34" s="2"/>
      <c r="O34" s="58">
        <f t="shared" si="5"/>
        <v>74223.319757677746</v>
      </c>
      <c r="P34" s="2"/>
    </row>
    <row r="35" spans="1:16" ht="38.25" customHeight="1" x14ac:dyDescent="0.25">
      <c r="A35" s="32" t="s">
        <v>61</v>
      </c>
      <c r="B35" s="32" t="s">
        <v>29</v>
      </c>
      <c r="C35" s="78">
        <v>341.9994854602873</v>
      </c>
      <c r="D35" s="33" t="s">
        <v>21</v>
      </c>
      <c r="E35" s="137"/>
      <c r="F35" s="33" t="s">
        <v>21</v>
      </c>
      <c r="G35" s="34">
        <v>1</v>
      </c>
      <c r="H35" s="35" t="s">
        <v>83</v>
      </c>
      <c r="I35" s="44"/>
      <c r="J35" s="45"/>
      <c r="K35" s="36">
        <f>C35*G35</f>
        <v>341.9994854602873</v>
      </c>
      <c r="L35" s="37">
        <f>E35*G35</f>
        <v>0</v>
      </c>
      <c r="M35" s="35" t="s">
        <v>82</v>
      </c>
      <c r="N35" s="2"/>
      <c r="O35" s="58">
        <f t="shared" si="5"/>
        <v>341.9994854602873</v>
      </c>
      <c r="P35" s="2"/>
    </row>
    <row r="36" spans="1:16" ht="38.25" customHeight="1" x14ac:dyDescent="0.25">
      <c r="A36" s="32" t="s">
        <v>62</v>
      </c>
      <c r="B36" s="32" t="s">
        <v>30</v>
      </c>
      <c r="C36" s="78">
        <v>1091.7493291407866</v>
      </c>
      <c r="D36" s="33" t="s">
        <v>21</v>
      </c>
      <c r="E36" s="137"/>
      <c r="F36" s="33" t="s">
        <v>21</v>
      </c>
      <c r="G36" s="34">
        <v>4</v>
      </c>
      <c r="H36" s="35" t="s">
        <v>83</v>
      </c>
      <c r="I36" s="44"/>
      <c r="J36" s="45"/>
      <c r="K36" s="36">
        <f>C36*G36</f>
        <v>4366.9973165631463</v>
      </c>
      <c r="L36" s="37">
        <f>E36*G36</f>
        <v>0</v>
      </c>
      <c r="M36" s="35" t="s">
        <v>82</v>
      </c>
      <c r="N36" s="2"/>
      <c r="O36" s="58">
        <f t="shared" si="5"/>
        <v>4366.9973165631463</v>
      </c>
      <c r="P36" s="2"/>
    </row>
    <row r="37" spans="1:16" ht="38.25" customHeight="1" x14ac:dyDescent="0.25">
      <c r="A37" s="38" t="s">
        <v>31</v>
      </c>
      <c r="B37" s="38" t="s">
        <v>32</v>
      </c>
      <c r="C37" s="39"/>
      <c r="D37" s="40"/>
      <c r="E37" s="69"/>
      <c r="F37" s="40"/>
      <c r="G37" s="41"/>
      <c r="H37" s="42"/>
      <c r="I37" s="41"/>
      <c r="J37" s="42"/>
      <c r="K37" s="17"/>
      <c r="L37" s="43"/>
      <c r="M37" s="42"/>
      <c r="N37" s="2"/>
      <c r="O37" s="58"/>
      <c r="P37" s="2"/>
    </row>
    <row r="38" spans="1:16" s="71" customFormat="1" ht="38.25" customHeight="1" x14ac:dyDescent="0.25">
      <c r="A38" s="32" t="s">
        <v>63</v>
      </c>
      <c r="B38" s="32" t="s">
        <v>33</v>
      </c>
      <c r="C38" s="78">
        <v>370.78428390801372</v>
      </c>
      <c r="D38" s="33" t="s">
        <v>21</v>
      </c>
      <c r="E38" s="137"/>
      <c r="F38" s="33" t="s">
        <v>21</v>
      </c>
      <c r="G38" s="34">
        <v>392</v>
      </c>
      <c r="H38" s="35" t="s">
        <v>83</v>
      </c>
      <c r="I38" s="44"/>
      <c r="J38" s="45"/>
      <c r="K38" s="36">
        <f t="shared" ref="K38:K49" si="6">C38*G38</f>
        <v>145347.43929194138</v>
      </c>
      <c r="L38" s="37">
        <f t="shared" ref="L38:L49" si="7">E38*G38</f>
        <v>0</v>
      </c>
      <c r="M38" s="35" t="s">
        <v>82</v>
      </c>
      <c r="N38" s="31"/>
      <c r="O38" s="58">
        <f t="shared" ref="O38:O49" si="8">C38*G38</f>
        <v>145347.43929194138</v>
      </c>
      <c r="P38" s="31"/>
    </row>
    <row r="39" spans="1:16" ht="38.25" customHeight="1" x14ac:dyDescent="0.25">
      <c r="A39" s="32" t="s">
        <v>64</v>
      </c>
      <c r="B39" s="32" t="s">
        <v>34</v>
      </c>
      <c r="C39" s="78">
        <v>0.44308650716676129</v>
      </c>
      <c r="D39" s="33" t="s">
        <v>87</v>
      </c>
      <c r="E39" s="137"/>
      <c r="F39" s="33" t="s">
        <v>87</v>
      </c>
      <c r="G39" s="34">
        <v>136041</v>
      </c>
      <c r="H39" s="35" t="s">
        <v>89</v>
      </c>
      <c r="I39" s="44"/>
      <c r="J39" s="45"/>
      <c r="K39" s="36">
        <f t="shared" si="6"/>
        <v>60277.931521473372</v>
      </c>
      <c r="L39" s="37">
        <f t="shared" si="7"/>
        <v>0</v>
      </c>
      <c r="M39" s="35" t="s">
        <v>82</v>
      </c>
      <c r="N39" s="2"/>
      <c r="O39" s="58">
        <f t="shared" si="8"/>
        <v>60277.931521473372</v>
      </c>
      <c r="P39" s="2"/>
    </row>
    <row r="40" spans="1:16" ht="38.25" customHeight="1" x14ac:dyDescent="0.25">
      <c r="A40" s="32" t="s">
        <v>65</v>
      </c>
      <c r="B40" s="32" t="s">
        <v>35</v>
      </c>
      <c r="C40" s="78">
        <v>0.6962787969763391</v>
      </c>
      <c r="D40" s="33" t="s">
        <v>87</v>
      </c>
      <c r="E40" s="137"/>
      <c r="F40" s="33" t="s">
        <v>87</v>
      </c>
      <c r="G40" s="34">
        <v>21740</v>
      </c>
      <c r="H40" s="35" t="s">
        <v>89</v>
      </c>
      <c r="I40" s="44"/>
      <c r="J40" s="45"/>
      <c r="K40" s="36">
        <f t="shared" si="6"/>
        <v>15137.101046265612</v>
      </c>
      <c r="L40" s="37">
        <f t="shared" si="7"/>
        <v>0</v>
      </c>
      <c r="M40" s="35" t="s">
        <v>82</v>
      </c>
      <c r="N40" s="2"/>
      <c r="O40" s="58">
        <f t="shared" si="8"/>
        <v>15137.101046265612</v>
      </c>
      <c r="P40" s="2"/>
    </row>
    <row r="41" spans="1:16" ht="38.25" customHeight="1" x14ac:dyDescent="0.25">
      <c r="A41" s="32" t="s">
        <v>66</v>
      </c>
      <c r="B41" s="32" t="s">
        <v>36</v>
      </c>
      <c r="C41" s="78">
        <v>158.69354247752398</v>
      </c>
      <c r="D41" s="33" t="s">
        <v>21</v>
      </c>
      <c r="E41" s="137"/>
      <c r="F41" s="33" t="s">
        <v>21</v>
      </c>
      <c r="G41" s="34">
        <v>9</v>
      </c>
      <c r="H41" s="35" t="s">
        <v>83</v>
      </c>
      <c r="I41" s="44"/>
      <c r="J41" s="45"/>
      <c r="K41" s="36">
        <f t="shared" si="6"/>
        <v>1428.2418822977158</v>
      </c>
      <c r="L41" s="37">
        <f t="shared" si="7"/>
        <v>0</v>
      </c>
      <c r="M41" s="35" t="s">
        <v>82</v>
      </c>
      <c r="N41" s="2"/>
      <c r="O41" s="58">
        <f t="shared" si="8"/>
        <v>1428.2418822977158</v>
      </c>
      <c r="P41" s="2"/>
    </row>
    <row r="42" spans="1:16" ht="38.25" customHeight="1" x14ac:dyDescent="0.25">
      <c r="A42" s="32" t="s">
        <v>67</v>
      </c>
      <c r="B42" s="32" t="s">
        <v>37</v>
      </c>
      <c r="C42" s="78">
        <v>5744.7273370438525</v>
      </c>
      <c r="D42" s="33" t="s">
        <v>21</v>
      </c>
      <c r="E42" s="137"/>
      <c r="F42" s="33" t="s">
        <v>21</v>
      </c>
      <c r="G42" s="34">
        <v>5</v>
      </c>
      <c r="H42" s="35" t="s">
        <v>83</v>
      </c>
      <c r="I42" s="44"/>
      <c r="J42" s="45"/>
      <c r="K42" s="36">
        <f t="shared" si="6"/>
        <v>28723.636685219262</v>
      </c>
      <c r="L42" s="37">
        <f t="shared" si="7"/>
        <v>0</v>
      </c>
      <c r="M42" s="35" t="s">
        <v>82</v>
      </c>
      <c r="N42" s="2"/>
      <c r="O42" s="58">
        <f t="shared" si="8"/>
        <v>28723.636685219262</v>
      </c>
      <c r="P42" s="2"/>
    </row>
    <row r="43" spans="1:16" ht="38.25" customHeight="1" x14ac:dyDescent="0.25">
      <c r="A43" s="32" t="s">
        <v>68</v>
      </c>
      <c r="B43" s="32" t="s">
        <v>38</v>
      </c>
      <c r="C43" s="78">
        <v>170.98919305140157</v>
      </c>
      <c r="D43" s="33" t="s">
        <v>21</v>
      </c>
      <c r="E43" s="137"/>
      <c r="F43" s="33" t="s">
        <v>21</v>
      </c>
      <c r="G43" s="34">
        <v>3</v>
      </c>
      <c r="H43" s="35" t="s">
        <v>83</v>
      </c>
      <c r="I43" s="44"/>
      <c r="J43" s="45"/>
      <c r="K43" s="36">
        <f t="shared" si="6"/>
        <v>512.96757915420471</v>
      </c>
      <c r="L43" s="37">
        <f t="shared" si="7"/>
        <v>0</v>
      </c>
      <c r="M43" s="35" t="s">
        <v>82</v>
      </c>
      <c r="N43" s="2"/>
      <c r="O43" s="58">
        <f t="shared" si="8"/>
        <v>512.96757915420471</v>
      </c>
      <c r="P43" s="2"/>
    </row>
    <row r="44" spans="1:16" ht="38.25" customHeight="1" x14ac:dyDescent="0.25">
      <c r="A44" s="32" t="s">
        <v>69</v>
      </c>
      <c r="B44" s="32" t="s">
        <v>39</v>
      </c>
      <c r="C44" s="78">
        <v>1136.727884457584</v>
      </c>
      <c r="D44" s="33" t="s">
        <v>21</v>
      </c>
      <c r="E44" s="137"/>
      <c r="F44" s="33" t="s">
        <v>21</v>
      </c>
      <c r="G44" s="34">
        <v>3</v>
      </c>
      <c r="H44" s="35" t="s">
        <v>83</v>
      </c>
      <c r="I44" s="44"/>
      <c r="J44" s="45"/>
      <c r="K44" s="36">
        <f t="shared" si="6"/>
        <v>3410.1836533727519</v>
      </c>
      <c r="L44" s="37">
        <f t="shared" si="7"/>
        <v>0</v>
      </c>
      <c r="M44" s="35" t="s">
        <v>82</v>
      </c>
      <c r="N44" s="2"/>
      <c r="O44" s="58">
        <f t="shared" si="8"/>
        <v>3410.1836533727519</v>
      </c>
      <c r="P44" s="2"/>
    </row>
    <row r="45" spans="1:16" ht="38.25" customHeight="1" x14ac:dyDescent="0.25">
      <c r="A45" s="32" t="s">
        <v>70</v>
      </c>
      <c r="B45" s="32" t="s">
        <v>40</v>
      </c>
      <c r="C45" s="78">
        <v>114.34796788525061</v>
      </c>
      <c r="D45" s="33" t="s">
        <v>21</v>
      </c>
      <c r="E45" s="137"/>
      <c r="F45" s="33" t="s">
        <v>21</v>
      </c>
      <c r="G45" s="34">
        <v>504</v>
      </c>
      <c r="H45" s="35" t="s">
        <v>83</v>
      </c>
      <c r="I45" s="44"/>
      <c r="J45" s="45"/>
      <c r="K45" s="36">
        <f t="shared" si="6"/>
        <v>57631.375814166306</v>
      </c>
      <c r="L45" s="37">
        <f t="shared" si="7"/>
        <v>0</v>
      </c>
      <c r="M45" s="35" t="s">
        <v>82</v>
      </c>
      <c r="N45" s="2"/>
      <c r="O45" s="58">
        <f t="shared" si="8"/>
        <v>57631.375814166306</v>
      </c>
      <c r="P45" s="2"/>
    </row>
    <row r="46" spans="1:16" ht="38.25" customHeight="1" x14ac:dyDescent="0.25">
      <c r="A46" s="32" t="s">
        <v>71</v>
      </c>
      <c r="B46" s="32" t="s">
        <v>41</v>
      </c>
      <c r="C46" s="78">
        <v>361.84870601348399</v>
      </c>
      <c r="D46" s="33" t="s">
        <v>21</v>
      </c>
      <c r="E46" s="137"/>
      <c r="F46" s="33" t="s">
        <v>21</v>
      </c>
      <c r="G46" s="34">
        <v>55</v>
      </c>
      <c r="H46" s="35" t="s">
        <v>83</v>
      </c>
      <c r="I46" s="44"/>
      <c r="J46" s="45"/>
      <c r="K46" s="36">
        <f t="shared" si="6"/>
        <v>19901.678830741621</v>
      </c>
      <c r="L46" s="37">
        <f t="shared" si="7"/>
        <v>0</v>
      </c>
      <c r="M46" s="35" t="s">
        <v>82</v>
      </c>
      <c r="N46" s="2"/>
      <c r="O46" s="58">
        <f t="shared" si="8"/>
        <v>19901.678830741621</v>
      </c>
      <c r="P46" s="2"/>
    </row>
    <row r="47" spans="1:16" ht="38.25" customHeight="1" x14ac:dyDescent="0.25">
      <c r="A47" s="32" t="s">
        <v>72</v>
      </c>
      <c r="B47" s="32" t="s">
        <v>42</v>
      </c>
      <c r="C47" s="78">
        <v>1682.9375013280378</v>
      </c>
      <c r="D47" s="33" t="s">
        <v>21</v>
      </c>
      <c r="E47" s="137"/>
      <c r="F47" s="33" t="s">
        <v>21</v>
      </c>
      <c r="G47" s="34">
        <v>2</v>
      </c>
      <c r="H47" s="35" t="s">
        <v>83</v>
      </c>
      <c r="I47" s="44"/>
      <c r="J47" s="45"/>
      <c r="K47" s="36">
        <f t="shared" si="6"/>
        <v>3365.8750026560756</v>
      </c>
      <c r="L47" s="37">
        <f t="shared" si="7"/>
        <v>0</v>
      </c>
      <c r="M47" s="35" t="s">
        <v>82</v>
      </c>
      <c r="N47" s="2"/>
      <c r="O47" s="58">
        <f t="shared" si="8"/>
        <v>3365.8750026560756</v>
      </c>
      <c r="P47" s="2"/>
    </row>
    <row r="48" spans="1:16" ht="38.25" customHeight="1" x14ac:dyDescent="0.25">
      <c r="A48" s="32" t="s">
        <v>73</v>
      </c>
      <c r="B48" s="32" t="s">
        <v>43</v>
      </c>
      <c r="C48" s="78">
        <v>411.55351740672677</v>
      </c>
      <c r="D48" s="33" t="s">
        <v>21</v>
      </c>
      <c r="E48" s="137"/>
      <c r="F48" s="33" t="s">
        <v>21</v>
      </c>
      <c r="G48" s="34">
        <v>106</v>
      </c>
      <c r="H48" s="35" t="s">
        <v>83</v>
      </c>
      <c r="I48" s="44"/>
      <c r="J48" s="45"/>
      <c r="K48" s="36">
        <f t="shared" si="6"/>
        <v>43624.67284511304</v>
      </c>
      <c r="L48" s="37">
        <f t="shared" si="7"/>
        <v>0</v>
      </c>
      <c r="M48" s="35" t="s">
        <v>82</v>
      </c>
      <c r="N48" s="2"/>
      <c r="O48" s="58">
        <f t="shared" si="8"/>
        <v>43624.67284511304</v>
      </c>
      <c r="P48" s="2"/>
    </row>
    <row r="49" spans="1:16" ht="38.25" customHeight="1" x14ac:dyDescent="0.25">
      <c r="A49" s="32" t="s">
        <v>74</v>
      </c>
      <c r="B49" s="32" t="s">
        <v>44</v>
      </c>
      <c r="C49" s="78">
        <v>31.227049076514604</v>
      </c>
      <c r="D49" s="33" t="s">
        <v>21</v>
      </c>
      <c r="E49" s="137"/>
      <c r="F49" s="33" t="s">
        <v>21</v>
      </c>
      <c r="G49" s="34"/>
      <c r="H49" s="35" t="s">
        <v>83</v>
      </c>
      <c r="I49" s="44"/>
      <c r="J49" s="45"/>
      <c r="K49" s="36">
        <f t="shared" si="6"/>
        <v>0</v>
      </c>
      <c r="L49" s="37">
        <f t="shared" si="7"/>
        <v>0</v>
      </c>
      <c r="M49" s="35" t="s">
        <v>82</v>
      </c>
      <c r="N49" s="2"/>
      <c r="O49" s="58">
        <f t="shared" si="8"/>
        <v>0</v>
      </c>
      <c r="P49" s="2"/>
    </row>
    <row r="50" spans="1:16" ht="38.25" customHeight="1" x14ac:dyDescent="0.25">
      <c r="A50" s="131" t="s">
        <v>96</v>
      </c>
      <c r="B50" s="131" t="s">
        <v>99</v>
      </c>
      <c r="C50" s="69"/>
      <c r="D50" s="132"/>
      <c r="E50" s="69"/>
      <c r="F50" s="132"/>
      <c r="G50" s="133"/>
      <c r="H50" s="134"/>
      <c r="I50" s="133"/>
      <c r="J50" s="134"/>
      <c r="K50" s="107"/>
      <c r="L50" s="135"/>
      <c r="M50" s="134"/>
    </row>
    <row r="51" spans="1:16" ht="38.25" customHeight="1" x14ac:dyDescent="0.25">
      <c r="A51" s="124" t="s">
        <v>97</v>
      </c>
      <c r="B51" s="124" t="s">
        <v>80</v>
      </c>
      <c r="C51" s="136">
        <v>66768.119526270457</v>
      </c>
      <c r="D51" s="125" t="s">
        <v>81</v>
      </c>
      <c r="E51" s="137"/>
      <c r="F51" s="125" t="s">
        <v>81</v>
      </c>
      <c r="G51" s="127">
        <v>10</v>
      </c>
      <c r="H51" s="128" t="s">
        <v>81</v>
      </c>
      <c r="I51" s="138"/>
      <c r="J51" s="139"/>
      <c r="K51" s="129">
        <f>C51*G51</f>
        <v>667681.19526270451</v>
      </c>
      <c r="L51" s="130">
        <f>E51*G51</f>
        <v>0</v>
      </c>
      <c r="M51" s="128" t="s">
        <v>82</v>
      </c>
      <c r="O51" s="90">
        <f t="shared" ref="O51:O52" si="9">C51*G51</f>
        <v>667681.19526270451</v>
      </c>
    </row>
    <row r="52" spans="1:16" ht="38.25" customHeight="1" x14ac:dyDescent="0.25">
      <c r="A52" s="124" t="s">
        <v>98</v>
      </c>
      <c r="B52" s="124" t="s">
        <v>106</v>
      </c>
      <c r="C52" s="136">
        <v>107787.58410852712</v>
      </c>
      <c r="D52" s="125" t="s">
        <v>81</v>
      </c>
      <c r="E52" s="137"/>
      <c r="F52" s="125" t="s">
        <v>81</v>
      </c>
      <c r="G52" s="127">
        <v>20</v>
      </c>
      <c r="H52" s="128" t="s">
        <v>81</v>
      </c>
      <c r="I52" s="138"/>
      <c r="J52" s="139"/>
      <c r="K52" s="129">
        <f>C52*G52</f>
        <v>2155751.6821705424</v>
      </c>
      <c r="L52" s="130">
        <f>E52*G52</f>
        <v>0</v>
      </c>
      <c r="M52" s="128" t="s">
        <v>82</v>
      </c>
      <c r="O52" s="90">
        <f t="shared" si="9"/>
        <v>2155751.6821705424</v>
      </c>
    </row>
    <row r="53" spans="1:16" s="71" customFormat="1" ht="17.25" customHeight="1" x14ac:dyDescent="0.25">
      <c r="A53" s="141"/>
      <c r="B53" s="141"/>
      <c r="C53" s="142"/>
      <c r="D53" s="101"/>
      <c r="E53" s="142"/>
      <c r="F53" s="143"/>
      <c r="G53" s="144"/>
      <c r="H53" s="145"/>
      <c r="I53" s="146"/>
      <c r="J53" s="146"/>
      <c r="K53" s="146"/>
      <c r="L53" s="146"/>
      <c r="M53" s="145"/>
      <c r="O53" s="123"/>
    </row>
    <row r="54" spans="1:16" s="71" customFormat="1" ht="36.75" customHeight="1" x14ac:dyDescent="0.25">
      <c r="A54" s="147"/>
      <c r="B54" s="147"/>
      <c r="C54" s="148"/>
      <c r="D54" s="149"/>
      <c r="E54" s="148"/>
      <c r="O54" s="123"/>
    </row>
    <row r="55" spans="1:16" x14ac:dyDescent="0.25">
      <c r="B55" s="150" t="s">
        <v>93</v>
      </c>
    </row>
    <row r="56" spans="1:16" ht="36.75" customHeight="1" x14ac:dyDescent="0.25">
      <c r="C56" s="70"/>
      <c r="E56" s="70"/>
      <c r="F56" s="70"/>
      <c r="G56" s="70"/>
      <c r="H56" s="70"/>
      <c r="I56" s="70"/>
      <c r="J56" s="151" t="s">
        <v>112</v>
      </c>
      <c r="K56" s="70"/>
      <c r="L56" s="130">
        <f>SUM(O9:O52)</f>
        <v>21237767.931644492</v>
      </c>
      <c r="M56" s="128" t="s">
        <v>82</v>
      </c>
    </row>
    <row r="57" spans="1:16" x14ac:dyDescent="0.25">
      <c r="J57" s="104"/>
      <c r="K57" s="70"/>
    </row>
    <row r="58" spans="1:16" ht="36.75" customHeight="1" x14ac:dyDescent="0.25">
      <c r="C58" s="70"/>
      <c r="E58" s="70"/>
      <c r="F58" s="70"/>
      <c r="G58" s="70"/>
      <c r="H58" s="70"/>
      <c r="I58" s="70"/>
      <c r="J58" s="151" t="s">
        <v>113</v>
      </c>
      <c r="K58" s="70"/>
      <c r="L58" s="130">
        <f>SUM(L9:L52)</f>
        <v>0</v>
      </c>
      <c r="M58" s="128" t="s">
        <v>82</v>
      </c>
    </row>
    <row r="59" spans="1:16" ht="15.75" x14ac:dyDescent="0.25">
      <c r="N59" s="152"/>
    </row>
    <row r="60" spans="1:16" ht="36.75" customHeight="1" x14ac:dyDescent="0.25">
      <c r="A60" s="153"/>
      <c r="C60" s="70"/>
      <c r="E60" s="70"/>
      <c r="F60" s="70"/>
      <c r="G60" s="70"/>
      <c r="H60" s="70"/>
      <c r="I60" s="70"/>
      <c r="J60" s="151" t="s">
        <v>114</v>
      </c>
      <c r="K60" s="70"/>
      <c r="L60" s="130">
        <f>(1-L58/L56)*100</f>
        <v>100</v>
      </c>
      <c r="M60" s="128" t="s">
        <v>91</v>
      </c>
      <c r="N60" s="154" t="s">
        <v>119</v>
      </c>
    </row>
    <row r="61" spans="1:16" ht="15.75" x14ac:dyDescent="0.25">
      <c r="N61" s="152"/>
    </row>
    <row r="62" spans="1:16" s="94" customFormat="1" ht="60" customHeight="1" x14ac:dyDescent="0.25">
      <c r="A62" s="153"/>
      <c r="B62" s="176" t="s">
        <v>118</v>
      </c>
      <c r="C62" s="176"/>
      <c r="D62" s="176"/>
      <c r="E62" s="176"/>
      <c r="F62" s="176"/>
      <c r="G62" s="176"/>
      <c r="H62" s="176"/>
      <c r="I62" s="176"/>
      <c r="J62" s="96"/>
      <c r="K62" s="97"/>
      <c r="L62" s="1"/>
      <c r="M62" s="128" t="s">
        <v>91</v>
      </c>
      <c r="N62" s="154" t="s">
        <v>120</v>
      </c>
      <c r="O62" s="99"/>
    </row>
    <row r="63" spans="1:16" ht="15.75" x14ac:dyDescent="0.25">
      <c r="A63" s="155"/>
      <c r="B63" s="156"/>
      <c r="N63" s="152"/>
    </row>
    <row r="64" spans="1:16" ht="15.75" x14ac:dyDescent="0.25">
      <c r="A64" s="155"/>
    </row>
    <row r="65" spans="1:1" ht="15.75" x14ac:dyDescent="0.25">
      <c r="A65" s="155"/>
    </row>
  </sheetData>
  <mergeCells count="11">
    <mergeCell ref="A1:M1"/>
    <mergeCell ref="C5:D5"/>
    <mergeCell ref="E5:F5"/>
    <mergeCell ref="G5:H5"/>
    <mergeCell ref="I5:J5"/>
    <mergeCell ref="L5:M5"/>
    <mergeCell ref="C6:D6"/>
    <mergeCell ref="E6:F6"/>
    <mergeCell ref="G6:H6"/>
    <mergeCell ref="I6:J6"/>
    <mergeCell ref="B62:I62"/>
  </mergeCells>
  <printOptions horizontalCentered="1"/>
  <pageMargins left="0.70866141732283472" right="0.70866141732283472" top="1.1417322834645669" bottom="0.74803149606299213" header="0.31496062992125984" footer="0.31496062992125984"/>
  <pageSetup paperSize="9" scale="32" orientation="portrait" r:id="rId1"/>
  <headerFooter>
    <oddHeader>&amp;R&amp;"Arial,Grassetto Corsivo"&amp;14Allegato 8 - Modello offerta economica</oddHeader>
    <oddFooter>&amp;L&amp;F&amp;RPag. 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Intervalli denominati</vt:lpstr>
      </vt:variant>
      <vt:variant>
        <vt:i4>13</vt:i4>
      </vt:variant>
    </vt:vector>
  </HeadingPairs>
  <TitlesOfParts>
    <vt:vector size="20" baseType="lpstr">
      <vt:lpstr>Intestazione</vt:lpstr>
      <vt:lpstr>Offerta Lotto 1</vt:lpstr>
      <vt:lpstr>Offerta Lotto 2</vt:lpstr>
      <vt:lpstr>Offerta Lotto 3</vt:lpstr>
      <vt:lpstr>Offerta Lotto 4</vt:lpstr>
      <vt:lpstr>Offerta Lotto 5</vt:lpstr>
      <vt:lpstr>Offerta Lotto 6</vt:lpstr>
      <vt:lpstr>Intestazione!Area_stampa</vt:lpstr>
      <vt:lpstr>'Offerta Lotto 1'!Area_stampa</vt:lpstr>
      <vt:lpstr>'Offerta Lotto 2'!Area_stampa</vt:lpstr>
      <vt:lpstr>'Offerta Lotto 3'!Area_stampa</vt:lpstr>
      <vt:lpstr>'Offerta Lotto 4'!Area_stampa</vt:lpstr>
      <vt:lpstr>'Offerta Lotto 5'!Area_stampa</vt:lpstr>
      <vt:lpstr>'Offerta Lotto 6'!Area_stampa</vt:lpstr>
      <vt:lpstr>'Offerta Lotto 1'!Titoli_stampa</vt:lpstr>
      <vt:lpstr>'Offerta Lotto 2'!Titoli_stampa</vt:lpstr>
      <vt:lpstr>'Offerta Lotto 3'!Titoli_stampa</vt:lpstr>
      <vt:lpstr>'Offerta Lotto 4'!Titoli_stampa</vt:lpstr>
      <vt:lpstr>'Offerta Lotto 5'!Titoli_stampa</vt:lpstr>
      <vt:lpstr>'Offerta Lotto 6'!Titoli_stampa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RveAdmin</dc:creator>
  <cp:lastModifiedBy>Stefano Peripoli</cp:lastModifiedBy>
  <cp:lastPrinted>2023-11-23T11:07:40Z</cp:lastPrinted>
  <dcterms:created xsi:type="dcterms:W3CDTF">2018-06-26T13:13:47Z</dcterms:created>
  <dcterms:modified xsi:type="dcterms:W3CDTF">2023-11-30T10:41:43Z</dcterms:modified>
</cp:coreProperties>
</file>